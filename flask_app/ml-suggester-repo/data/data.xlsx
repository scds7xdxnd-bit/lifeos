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<sst xmlns="http://schemas.openxmlformats.org/spreadsheetml/2006/main" uniqueCount="1495">
  <si>
    <t>Date</t>
  </si>
  <si>
    <t>Affected Accounts</t>
  </si>
  <si>
    <t>Description</t>
  </si>
  <si>
    <t>Debit</t>
  </si>
  <si>
    <t>Credit</t>
  </si>
  <si>
    <r>
      <rPr>
        <b val="1"/>
        <sz val="10"/>
        <color indexed="8"/>
        <rFont val="Helvetica Neue"/>
      </rPr>
      <t>KR10101-Toss Checking Account</t>
    </r>
  </si>
  <si>
    <t>Interest Received</t>
  </si>
  <si>
    <r>
      <rPr>
        <b val="1"/>
        <sz val="10"/>
        <color indexed="8"/>
        <rFont val="Helvetica Neue"/>
      </rPr>
      <t>KR70002-Interest Income</t>
    </r>
  </si>
  <si>
    <t>Total</t>
  </si>
  <si>
    <t>Myothurin</t>
  </si>
  <si>
    <r>
      <rPr>
        <b val="1"/>
        <sz val="10"/>
        <color indexed="8"/>
        <rFont val="Helvetica Neue"/>
      </rPr>
      <t>KR60005-Personal Expenses</t>
    </r>
  </si>
  <si>
    <t>Foreign Mart</t>
  </si>
  <si>
    <r>
      <rPr>
        <b val="1"/>
        <sz val="10"/>
        <color indexed="8"/>
        <rFont val="Helvetica Neue"/>
      </rPr>
      <t>KR60002-Food Expenses</t>
    </r>
  </si>
  <si>
    <t>iCloud+</t>
  </si>
  <si>
    <t>양꼬치 w 서진</t>
  </si>
  <si>
    <t>교통카드 충전</t>
  </si>
  <si>
    <r>
      <rPr>
        <b val="1"/>
        <sz val="10"/>
        <color indexed="8"/>
        <rFont val="Helvetica Neue"/>
      </rPr>
      <t>KR60004-Transportation Expenses</t>
    </r>
  </si>
  <si>
    <t>Cashback</t>
  </si>
  <si>
    <r>
      <rPr>
        <b val="1"/>
        <sz val="10"/>
        <color indexed="8"/>
        <rFont val="Helvetica Neue"/>
      </rPr>
      <t>KR70001-Cashback Income</t>
    </r>
  </si>
  <si>
    <t>CU</t>
  </si>
  <si>
    <t>Tisya</t>
  </si>
  <si>
    <r>
      <rPr>
        <b val="1"/>
        <sz val="10"/>
        <color indexed="8"/>
        <rFont val="Helvetica Neue"/>
      </rPr>
      <t>KR30201-Friends Debt</t>
    </r>
  </si>
  <si>
    <t>Punishment</t>
  </si>
  <si>
    <r>
      <rPr>
        <b val="1"/>
        <sz val="10"/>
        <color indexed="8"/>
        <rFont val="Helvetica Neue"/>
      </rPr>
      <t>KR60006-Punishment Expenses</t>
    </r>
  </si>
  <si>
    <t>Pasta w Alua</t>
  </si>
  <si>
    <t>Coupang</t>
  </si>
  <si>
    <t>Pasta w 재원</t>
  </si>
  <si>
    <t>Deposit</t>
  </si>
  <si>
    <r>
      <rPr>
        <b val="1"/>
        <sz val="10"/>
        <color indexed="8"/>
        <rFont val="Helvetica Neue"/>
      </rPr>
      <t>KR10000-Cash</t>
    </r>
  </si>
  <si>
    <t>CU for 고건&amp;식구</t>
  </si>
  <si>
    <t>총 4월 교통비</t>
  </si>
  <si>
    <t>Didimdol w Myothurin</t>
  </si>
  <si>
    <r>
      <rPr>
        <b val="1"/>
        <sz val="10"/>
        <color indexed="8"/>
        <rFont val="Helvetica Neue"/>
      </rPr>
      <t>KR70004-Didimdol Income</t>
    </r>
  </si>
  <si>
    <t>Printing for 황희</t>
  </si>
  <si>
    <t>Subway w Davy</t>
  </si>
  <si>
    <t>Funeral</t>
  </si>
  <si>
    <t>Ivan</t>
  </si>
  <si>
    <t>Haiqal</t>
  </si>
  <si>
    <t>Shunn Lae</t>
  </si>
  <si>
    <r>
      <rPr>
        <b val="1"/>
        <sz val="10"/>
        <color indexed="8"/>
        <rFont val="Helvetica Neue"/>
      </rPr>
      <t>MY11101-Maybank Checking Account</t>
    </r>
  </si>
  <si>
    <t>Mama</t>
  </si>
  <si>
    <r>
      <rPr>
        <b val="1"/>
        <sz val="10"/>
        <color indexed="8"/>
        <rFont val="Helvetica Neue"/>
      </rPr>
      <t>MY71003-Allowance Income</t>
    </r>
  </si>
  <si>
    <t>Wise 1 1MYR@288.217KRW</t>
  </si>
  <si>
    <r>
      <rPr>
        <b val="1"/>
        <sz val="10"/>
        <color indexed="8"/>
        <rFont val="Helvetica Neue"/>
      </rPr>
      <t>MY61007-Exchange Expenses</t>
    </r>
  </si>
  <si>
    <r>
      <rPr>
        <b val="1"/>
        <sz val="10"/>
        <color indexed="8"/>
        <rFont val="Helvetica Neue"/>
      </rPr>
      <t>MY61005-Personal Expenses</t>
    </r>
  </si>
  <si>
    <t>Fees</t>
  </si>
  <si>
    <r>
      <rPr>
        <b val="1"/>
        <sz val="10"/>
        <color indexed="8"/>
        <rFont val="Helvetica Neue"/>
      </rPr>
      <t>KR70005-Allowance Income</t>
    </r>
  </si>
  <si>
    <t>Bakso Rindu Kampung w Myothurin</t>
  </si>
  <si>
    <t>Daiso w Myothurin</t>
  </si>
  <si>
    <t>Holly’s w Myothurin</t>
  </si>
  <si>
    <t>Coins</t>
  </si>
  <si>
    <t>Buy Gold 0.244@MYR</t>
  </si>
  <si>
    <r>
      <rPr>
        <b val="1"/>
        <sz val="10"/>
        <color indexed="8"/>
        <rFont val="Helvetica Neue"/>
      </rPr>
      <t>MY21003-Gold</t>
    </r>
  </si>
  <si>
    <t>GS25</t>
  </si>
  <si>
    <t>Apple Music</t>
  </si>
  <si>
    <r>
      <rPr>
        <b val="1"/>
        <sz val="10"/>
        <color indexed="8"/>
        <rFont val="Helvetica Neue"/>
      </rPr>
      <t>MY11102-TnG Checking Account</t>
    </r>
  </si>
  <si>
    <t>Buy Principal Global Titans Fund 71.02@MYR</t>
  </si>
  <si>
    <r>
      <rPr>
        <b val="1"/>
        <sz val="10"/>
        <color indexed="8"/>
        <rFont val="Helvetica Neue"/>
      </rPr>
      <t>MY61008-Other Expenses</t>
    </r>
  </si>
  <si>
    <r>
      <rPr>
        <b val="1"/>
        <sz val="10"/>
        <color indexed="8"/>
        <rFont val="Helvetica Neue"/>
      </rPr>
      <t>MY21001-Funds</t>
    </r>
  </si>
  <si>
    <t>Transfer to Maybank Invest</t>
  </si>
  <si>
    <r>
      <rPr>
        <b val="1"/>
        <sz val="10"/>
        <color indexed="8"/>
        <rFont val="Helvetica Neue"/>
      </rPr>
      <t>MY11104-Maybank Investment Account</t>
    </r>
  </si>
  <si>
    <r>
      <rPr>
        <b val="1"/>
        <sz val="10"/>
        <color indexed="8"/>
        <rFont val="Helvetica Neue"/>
      </rPr>
      <t>MY11404-Pending Investments</t>
    </r>
  </si>
  <si>
    <t>Sell Principal Asia Titans Fund 444.87@MYR</t>
  </si>
  <si>
    <r>
      <rPr>
        <b val="1"/>
        <sz val="10"/>
        <color indexed="8"/>
        <rFont val="Helvetica Neue"/>
      </rPr>
      <t>MY71004-Other Income</t>
    </r>
  </si>
  <si>
    <t>Babah</t>
  </si>
  <si>
    <t>Buy Maybank 10@MYR</t>
  </si>
  <si>
    <r>
      <rPr>
        <b val="1"/>
        <sz val="10"/>
        <color indexed="8"/>
        <rFont val="Helvetica Neue"/>
      </rPr>
      <t>MY21002-Stocks</t>
    </r>
  </si>
  <si>
    <t>재학증명서</t>
  </si>
  <si>
    <t>Google Drive</t>
  </si>
  <si>
    <t>서동욱</t>
  </si>
  <si>
    <t>문서진</t>
  </si>
  <si>
    <t>6월 Savings</t>
  </si>
  <si>
    <r>
      <rPr>
        <b val="1"/>
        <sz val="10"/>
        <color indexed="8"/>
        <rFont val="Helvetica Neue"/>
      </rPr>
      <t>KR10204-Emergency Savings</t>
    </r>
  </si>
  <si>
    <t>Wise 2 1MYR@289.943KRW</t>
  </si>
  <si>
    <r>
      <rPr>
        <b val="1"/>
        <sz val="10"/>
        <color indexed="8"/>
        <rFont val="Helvetica Neue"/>
      </rPr>
      <t>KR60001-Home Expenses</t>
    </r>
  </si>
  <si>
    <t>Rent</t>
  </si>
  <si>
    <t>Sell Principal Asia Titans Fund 71.02@MYR</t>
  </si>
  <si>
    <t>Wise 3 1MYR@290.202KRW</t>
  </si>
  <si>
    <t xml:space="preserve">Tisya </t>
  </si>
  <si>
    <r>
      <rPr>
        <b val="1"/>
        <sz val="10"/>
        <color indexed="8"/>
        <rFont val="Helvetica Neue"/>
      </rPr>
      <t>KR10104-Shinhan Investment Account</t>
    </r>
  </si>
  <si>
    <t>Buy 현대차 0.192369@₩</t>
  </si>
  <si>
    <r>
      <rPr>
        <b val="1"/>
        <sz val="10"/>
        <color indexed="8"/>
        <rFont val="Helvetica Neue"/>
      </rPr>
      <t>KR10404-Pending Investments</t>
    </r>
  </si>
  <si>
    <t>Transfer to Shinhan Invest</t>
  </si>
  <si>
    <t>Buy 삼성전자 0.643298@₩</t>
  </si>
  <si>
    <r>
      <rPr>
        <b val="1"/>
        <sz val="10"/>
        <color indexed="8"/>
        <rFont val="Helvetica Neue"/>
      </rPr>
      <t>KR60007-Other Expenses</t>
    </r>
  </si>
  <si>
    <r>
      <rPr>
        <b val="1"/>
        <sz val="10"/>
        <color indexed="8"/>
        <rFont val="Helvetica Neue"/>
      </rPr>
      <t>KR20002-Stocks</t>
    </r>
  </si>
  <si>
    <r>
      <rPr>
        <b val="1"/>
        <sz val="10"/>
        <color indexed="8"/>
        <rFont val="Helvetica Neue"/>
      </rPr>
      <t>KR60003-Healthcare Expenses</t>
    </r>
  </si>
  <si>
    <t>6월 건강보혐료</t>
  </si>
  <si>
    <t>삼겹살 w Seojin</t>
  </si>
  <si>
    <r>
      <rPr>
        <b val="1"/>
        <sz val="10"/>
        <color indexed="8"/>
        <rFont val="Helvetica Neue"/>
      </rPr>
      <t>KR10403-Friends Receivable</t>
    </r>
  </si>
  <si>
    <t>Interpreting Job</t>
  </si>
  <si>
    <r>
      <rPr>
        <b val="1"/>
        <sz val="10"/>
        <color indexed="8"/>
        <rFont val="Helvetica Neue"/>
      </rPr>
      <t>KR70006-Other Income</t>
    </r>
  </si>
  <si>
    <t>Wise 4 1MYR@294.432KRW</t>
  </si>
  <si>
    <r>
      <rPr>
        <b val="1"/>
        <sz val="10"/>
        <color indexed="8"/>
        <rFont val="Helvetica Neue"/>
      </rPr>
      <t>KR10105-Kakao Checking Account</t>
    </r>
  </si>
  <si>
    <t>Paying using KakaoPay</t>
  </si>
  <si>
    <t>GS25 w Myothurin</t>
  </si>
  <si>
    <t>Transfer to Toss</t>
  </si>
  <si>
    <r>
      <rPr>
        <b val="1"/>
        <sz val="10"/>
        <color indexed="8"/>
        <rFont val="Helvetica Neue"/>
      </rPr>
      <t>KR70003-Samsung Income</t>
    </r>
  </si>
  <si>
    <t>5월 Samsung</t>
  </si>
  <si>
    <r>
      <rPr>
        <b val="1"/>
        <sz val="10"/>
        <color indexed="8"/>
        <rFont val="Helvetica Neue"/>
      </rPr>
      <t>KR10401-Samsung Receivable</t>
    </r>
  </si>
  <si>
    <t>5월 Didimdol</t>
  </si>
  <si>
    <r>
      <rPr>
        <b val="1"/>
        <sz val="10"/>
        <color indexed="8"/>
        <rFont val="Helvetica Neue"/>
      </rPr>
      <t>KR10402-Didimdol Receivable</t>
    </r>
  </si>
  <si>
    <t>따릉이</t>
  </si>
  <si>
    <t>NaverPay Registration</t>
  </si>
  <si>
    <r>
      <rPr>
        <b val="1"/>
        <sz val="10"/>
        <color indexed="8"/>
        <rFont val="Helvetica Neue"/>
      </rPr>
      <t>MY71002-Interest Income</t>
    </r>
  </si>
  <si>
    <t>Phone Bill</t>
  </si>
  <si>
    <r>
      <rPr>
        <b val="1"/>
        <sz val="10"/>
        <color indexed="8"/>
        <rFont val="Helvetica Neue"/>
      </rPr>
      <t>KR10501-Phone Plan</t>
    </r>
  </si>
  <si>
    <r>
      <rPr>
        <b val="1"/>
        <sz val="10"/>
        <color indexed="8"/>
        <rFont val="Helvetica Neue"/>
      </rPr>
      <t>KR10102-Hana Checking Account</t>
    </r>
  </si>
  <si>
    <t>Hana Registration on NaverPay</t>
  </si>
  <si>
    <t>5월 Interest</t>
  </si>
  <si>
    <t xml:space="preserve">Transfer to KakaoPay </t>
  </si>
  <si>
    <t>BBQ Chicken transfer to Rin</t>
  </si>
  <si>
    <t xml:space="preserve">Transfer to Toss </t>
  </si>
  <si>
    <t>Ace Bag &amp; Scarf</t>
  </si>
  <si>
    <t>Pride Shirt</t>
  </si>
  <si>
    <t>따릉이 Refund</t>
  </si>
  <si>
    <t>GS25 w Seojin</t>
  </si>
  <si>
    <t>Seojin’s Food</t>
  </si>
  <si>
    <t>Mine</t>
  </si>
  <si>
    <t>Groceries (Ayam Sweet Sour)</t>
  </si>
  <si>
    <t xml:space="preserve">Transfer to Shinhan </t>
  </si>
  <si>
    <r>
      <rPr>
        <b val="1"/>
        <sz val="10"/>
        <color indexed="8"/>
        <rFont val="Helvetica Neue"/>
      </rPr>
      <t>KR10103-Shinhan Checking Account</t>
    </r>
  </si>
  <si>
    <t xml:space="preserve">Transfer to Hana </t>
  </si>
  <si>
    <t>Groceries (Itaewon)</t>
  </si>
  <si>
    <t>Transfer from Savings</t>
  </si>
  <si>
    <t>Interest from Savings</t>
  </si>
  <si>
    <t>Malatang w Tisya, Aery, Teena</t>
  </si>
  <si>
    <t>Sulbing w Tisya, Aery, Teena</t>
  </si>
  <si>
    <t>Sulbing w Tisya, Aery, Teena (Aery transfer)</t>
  </si>
  <si>
    <t>Air Tisya</t>
  </si>
  <si>
    <t>Beer w Aery</t>
  </si>
  <si>
    <t>Honey Butter Chip, Poka w Tisya, Aery, Teena</t>
  </si>
  <si>
    <t>Milkys w Tisya, Aery, Teena</t>
  </si>
  <si>
    <t>Karaoke w Teena and Aery</t>
  </si>
  <si>
    <t>Aery</t>
  </si>
  <si>
    <t>Teena</t>
  </si>
  <si>
    <t>오늘이 라면 w Seojin</t>
  </si>
  <si>
    <t>Fee</t>
  </si>
  <si>
    <t>Transfer to Maybank Checking</t>
  </si>
  <si>
    <t>Wise 1 1MYR@293.152KRW</t>
  </si>
  <si>
    <t>Transfer to Savings</t>
  </si>
  <si>
    <t>Seojin</t>
  </si>
  <si>
    <t>Registered for somethting</t>
  </si>
  <si>
    <t>예탁금이용료</t>
  </si>
  <si>
    <t>Cash from 서동욱</t>
  </si>
  <si>
    <t>Transfer to 서동욱</t>
  </si>
  <si>
    <t>Deposit to Toss</t>
  </si>
  <si>
    <t>김치찜 w Seojin</t>
  </si>
  <si>
    <t>교통카드충전</t>
  </si>
  <si>
    <t>2.5% 수수료</t>
  </si>
  <si>
    <t>Tteokbokki with Hani</t>
  </si>
  <si>
    <t>배민 w Seojin</t>
  </si>
  <si>
    <t>Pho w Seojin</t>
  </si>
  <si>
    <t>Pho w Seojin 정산</t>
  </si>
  <si>
    <t>Daiso Pen</t>
  </si>
  <si>
    <t>6월 Didimdol</t>
  </si>
  <si>
    <t>Didimdol Scholarship</t>
  </si>
  <si>
    <t>6월 Samsung</t>
  </si>
  <si>
    <t>Toss Event</t>
  </si>
  <si>
    <t>효자설렁탕 w Seojin</t>
  </si>
  <si>
    <t>투다리 w 정욱</t>
  </si>
  <si>
    <t>Paris Baguette Zion</t>
  </si>
  <si>
    <t>Chinese w Zion</t>
  </si>
  <si>
    <t>Mammoth w Seojin</t>
  </si>
  <si>
    <t>풍타이 w Seojin</t>
  </si>
  <si>
    <t>BBQ w Seojin</t>
  </si>
  <si>
    <t xml:space="preserve">Paris Baguette </t>
  </si>
  <si>
    <t>미가 w Seojin</t>
  </si>
  <si>
    <t>매머드커피</t>
  </si>
  <si>
    <t>7Eleven</t>
  </si>
  <si>
    <t>e-mart birthday Teena</t>
  </si>
  <si>
    <t>My portion</t>
  </si>
  <si>
    <t>Malatang birthday Teena</t>
  </si>
  <si>
    <t>GS25 w Teena, Tisya Ary (Teena’s Birthday)</t>
  </si>
  <si>
    <t>GS25 1만원 권 for 황희</t>
  </si>
  <si>
    <t>GS25 1만원 권 for 황희 취소</t>
  </si>
  <si>
    <t>Cafe w Jing</t>
  </si>
  <si>
    <t>CU (Mask)</t>
  </si>
  <si>
    <t>Malatang w Alua</t>
  </si>
  <si>
    <t>Mammoth w Alua</t>
  </si>
  <si>
    <t>Wise 2 1MYR@295.044KRW</t>
  </si>
  <si>
    <t>7월 건강보혐료</t>
  </si>
  <si>
    <t>Haircut</t>
  </si>
  <si>
    <t>Buy NAVER 0.148306@₩</t>
  </si>
  <si>
    <t>Half Yearly Service Charge</t>
  </si>
  <si>
    <t>Hana Bank</t>
  </si>
  <si>
    <t>Toss Bank</t>
  </si>
  <si>
    <t>수수료</t>
  </si>
  <si>
    <t>훠궈 w Jia Wei</t>
  </si>
  <si>
    <t>교통비 reimbursement</t>
  </si>
  <si>
    <t>Interpreting Job (30 May)</t>
  </si>
  <si>
    <t>7Eleven w Myothurin</t>
  </si>
  <si>
    <t>e-mart w Myothurin</t>
  </si>
  <si>
    <t>Withdraw from Toss</t>
  </si>
  <si>
    <t xml:space="preserve">GS25 </t>
  </si>
  <si>
    <t>십일조</t>
  </si>
  <si>
    <t>녹색가든 w 황희</t>
  </si>
  <si>
    <t>순두부찌개 at 판교</t>
  </si>
  <si>
    <t>6월 Interest</t>
  </si>
  <si>
    <t>Interest Charge</t>
  </si>
  <si>
    <t>Tisya (Punishment)</t>
  </si>
  <si>
    <t>Half Yearly Service Charge Refund (6/26)</t>
  </si>
  <si>
    <t>Transfer to KakaoPay</t>
  </si>
  <si>
    <t>Punishment for missing book paid by Myothurin</t>
  </si>
  <si>
    <t xml:space="preserve">Mobing 4 months Phone Plan </t>
  </si>
  <si>
    <t>Coupang Membership Fee</t>
  </si>
  <si>
    <t>Daiso (pen + notebook)</t>
  </si>
  <si>
    <t>교통비 (6/26)</t>
  </si>
  <si>
    <t>Sell TM-C1H 100@MYR</t>
  </si>
  <si>
    <t>Transfer to Hana</t>
  </si>
  <si>
    <t xml:space="preserve">문서진 </t>
  </si>
  <si>
    <t>SNU Cafe w 서현재</t>
  </si>
  <si>
    <t>7 Eleven</t>
  </si>
  <si>
    <t>Shake Shake w Davy</t>
  </si>
  <si>
    <t xml:space="preserve">Il Mazzio Cafe </t>
  </si>
  <si>
    <t>Ediya Coffee w SSP and PPMK</t>
  </si>
  <si>
    <t>싸다김밥</t>
  </si>
  <si>
    <t>헌물</t>
  </si>
  <si>
    <t>재모식당</t>
  </si>
  <si>
    <t>Transfer to 김민식 (시온 회식)</t>
  </si>
  <si>
    <t>GS25 w 윤여준</t>
  </si>
  <si>
    <t>CU w 윤여준</t>
  </si>
  <si>
    <t>Wise 1 1MYR@296.285KRW</t>
  </si>
  <si>
    <t>Mega Coffee w 황희, 현재, 재국</t>
  </si>
  <si>
    <t>Transfer to Tisya</t>
  </si>
  <si>
    <t>Malatang w Tisya</t>
  </si>
  <si>
    <t>BHC w Tisya</t>
  </si>
  <si>
    <t>Bingsu w Tisya</t>
  </si>
  <si>
    <t>Transfer to Alua</t>
  </si>
  <si>
    <t>For 현재</t>
  </si>
  <si>
    <t>Transfer from Tisya</t>
  </si>
  <si>
    <t>Frank Burger</t>
  </si>
  <si>
    <t xml:space="preserve">Printing </t>
  </si>
  <si>
    <t>Wise 2 1MYR@296.281KRW</t>
  </si>
  <si>
    <t>Wise 3 1MYR@297.472KRW</t>
  </si>
  <si>
    <t>Yonsei Mart</t>
  </si>
  <si>
    <t>Ice cream w 고건</t>
  </si>
  <si>
    <t>8월 건강보혐료</t>
  </si>
  <si>
    <t>7월 Didimdol</t>
  </si>
  <si>
    <t>7월 Samsung</t>
  </si>
  <si>
    <t>Withdrawal 1 십일조</t>
  </si>
  <si>
    <t>지하철 to and from 삼계탕 만들기 체험관</t>
  </si>
  <si>
    <t>Interest Refund</t>
  </si>
  <si>
    <t>Buy 삼양식품 0.038939@₩</t>
  </si>
  <si>
    <t>PALS 회원비</t>
  </si>
  <si>
    <t>Cat food</t>
  </si>
  <si>
    <t>Interest Payment</t>
  </si>
  <si>
    <t>7월 Interest</t>
  </si>
  <si>
    <t>8월 Didimdol</t>
  </si>
  <si>
    <t>8월 Samsung</t>
  </si>
  <si>
    <t>Come and Back from Myothurin</t>
  </si>
  <si>
    <t>Printing (나비 실종 전단지)</t>
  </si>
  <si>
    <t>Withdrawal for 헌물</t>
  </si>
  <si>
    <t>쿠팡 회원비</t>
  </si>
  <si>
    <t>Double A Budget 삼성</t>
  </si>
  <si>
    <r>
      <rPr>
        <b val="1"/>
        <sz val="10"/>
        <color indexed="8"/>
        <rFont val="Helvetica Neue"/>
      </rPr>
      <t>KR10205-Transportation Savings</t>
    </r>
  </si>
  <si>
    <t>Rearranging my savings</t>
  </si>
  <si>
    <r>
      <rPr>
        <b val="1"/>
        <sz val="10"/>
        <color indexed="8"/>
        <rFont val="Helvetica Neue"/>
      </rPr>
      <t>KR10203-Healthcare Savings</t>
    </r>
  </si>
  <si>
    <r>
      <rPr>
        <b val="1"/>
        <sz val="10"/>
        <color indexed="8"/>
        <rFont val="Helvetica Neue"/>
      </rPr>
      <t>KR10202-Food Savings</t>
    </r>
  </si>
  <si>
    <r>
      <rPr>
        <b val="1"/>
        <sz val="10"/>
        <color indexed="8"/>
        <rFont val="Helvetica Neue"/>
      </rPr>
      <t>KR10206-Personal Savings</t>
    </r>
  </si>
  <si>
    <t>8월 Savings</t>
  </si>
  <si>
    <r>
      <rPr>
        <b val="1"/>
        <sz val="10"/>
        <color indexed="8"/>
        <rFont val="Helvetica Neue"/>
      </rPr>
      <t>KR10201-Home Savings</t>
    </r>
  </si>
  <si>
    <t>Transfer to 김민식</t>
  </si>
  <si>
    <t>교통 (양정빈)</t>
  </si>
  <si>
    <t>투썸 w 황휘, 찬희, 현재, 민식</t>
  </si>
  <si>
    <t>삼겹살 with Annie</t>
  </si>
  <si>
    <t>교통 (27/7)</t>
  </si>
  <si>
    <t>교통 (디딤돌 단체문화활동) + Myothurin</t>
  </si>
  <si>
    <t>현대차 배당금</t>
  </si>
  <si>
    <t>Gongcha w 서현재</t>
  </si>
  <si>
    <t>8월 Savings 해제</t>
  </si>
  <si>
    <t>Transfer to Rachel</t>
  </si>
  <si>
    <t>헌금</t>
  </si>
  <si>
    <t>Hani</t>
  </si>
  <si>
    <t>미진축산 w 태훈, 황희</t>
  </si>
  <si>
    <t>교통 (Mubarack)</t>
  </si>
  <si>
    <t>정장 세탁</t>
  </si>
  <si>
    <t>토픽 성적표</t>
  </si>
  <si>
    <t>성적증명서</t>
  </si>
  <si>
    <t>스타벅스</t>
  </si>
  <si>
    <t>Transfer to Maybank</t>
  </si>
  <si>
    <t>Wise 1 1MYR@303.558KRW</t>
  </si>
  <si>
    <t>삼성전자 배당금</t>
  </si>
  <si>
    <t>노브랜드 과자</t>
  </si>
  <si>
    <t>신촌연합동아리 행사 물품_노브랜드</t>
  </si>
  <si>
    <t>신촌연합동아리 행사 물품_다이소</t>
  </si>
  <si>
    <t>신촌연합동아리 행사 물품_알파</t>
  </si>
  <si>
    <t>카카오 택시 w 재현, 황희, 현재</t>
  </si>
  <si>
    <t>교통 (VIP전도)</t>
  </si>
  <si>
    <t xml:space="preserve">교통 (Myothurin) </t>
  </si>
  <si>
    <t xml:space="preserve">교통 (ISN200) </t>
  </si>
  <si>
    <t>매머드커피 w 현재</t>
  </si>
  <si>
    <t>Rachel</t>
  </si>
  <si>
    <t>Le Plaisir du Pain w 현재</t>
  </si>
  <si>
    <t>이디야 w 현재</t>
  </si>
  <si>
    <t>이디야</t>
  </si>
  <si>
    <t xml:space="preserve">미진축산 w 현재, 정욱 </t>
  </si>
  <si>
    <t>Wise 2 1MYR@302.652KRW</t>
  </si>
  <si>
    <t>9월 건강보혐료</t>
  </si>
  <si>
    <t>Withdrawal for 십일조 + 헌금</t>
  </si>
  <si>
    <t>종이봉투, 구디백, 케이크 for Double A 삼성</t>
  </si>
  <si>
    <t>Prepaid Phone Plan</t>
  </si>
  <si>
    <t>자라산수, 보리차 for Double A 삼성</t>
  </si>
  <si>
    <t>편지지, 상장용지, 인쇄 for Double A 삼성</t>
  </si>
  <si>
    <t>Ice Cream w Mapo</t>
  </si>
  <si>
    <t>편의점 오이도역</t>
  </si>
  <si>
    <t xml:space="preserve">교통 (Plogging) </t>
  </si>
  <si>
    <t xml:space="preserve">교통 (중간역량교육) </t>
  </si>
  <si>
    <t xml:space="preserve">교통 (홍대 전도) </t>
  </si>
  <si>
    <t>SGBA 대본, PPT printing</t>
  </si>
  <si>
    <t>택배비 PPMK programme</t>
  </si>
  <si>
    <t>페레로로쉐, 구슬 for Double A 삼성</t>
  </si>
  <si>
    <t>9월 Didimdol</t>
  </si>
  <si>
    <t>9월 Samsung</t>
  </si>
  <si>
    <t>PPMK</t>
  </si>
  <si>
    <t>8월 Interest</t>
  </si>
  <si>
    <t xml:space="preserve">교통 (PALS Hiking) </t>
  </si>
  <si>
    <t>吃在学生食堂跟君熙，振华和问涛</t>
  </si>
  <si>
    <t>GS25 w Belle</t>
  </si>
  <si>
    <t>PPMK Allowance</t>
  </si>
  <si>
    <t>君熙在学证明书</t>
  </si>
  <si>
    <t>振华在学证明书</t>
  </si>
  <si>
    <t>问涛在学证明书</t>
  </si>
  <si>
    <t>신촌연합동아리 还钱</t>
  </si>
  <si>
    <t>8월 교통비</t>
  </si>
  <si>
    <t>Return Aakansha’s Money to Lynne</t>
  </si>
  <si>
    <t>Taxi for 삼성</t>
  </si>
  <si>
    <t xml:space="preserve">교통 (学勤) </t>
  </si>
  <si>
    <t xml:space="preserve">교통 (서울노인복지센터) </t>
  </si>
  <si>
    <t xml:space="preserve">교통 (Leadership Academy) </t>
  </si>
  <si>
    <t>라면 w Tisya, Aakansha and Zaim</t>
  </si>
  <si>
    <t xml:space="preserve">교통 (광장시장, 동대문) </t>
  </si>
  <si>
    <t>콩국수, 망원시장 w Alua, Shun Lae</t>
  </si>
  <si>
    <t>호떡, 망원시장 w Alua, Shun Lae</t>
  </si>
  <si>
    <t>Alua</t>
  </si>
  <si>
    <t>케이크, 동대문 w Alua, Shun Lae</t>
  </si>
  <si>
    <t>빈대떡, 망원시장 w Alua, Shun Lae</t>
  </si>
  <si>
    <t>Wise 1 1MYR@302.652KRW</t>
  </si>
  <si>
    <t>Return Extra Money to Lynne</t>
  </si>
  <si>
    <t>Shun Lae</t>
  </si>
  <si>
    <t>적금 해지</t>
  </si>
  <si>
    <t xml:space="preserve">교통 (振华和君熙家) </t>
  </si>
  <si>
    <t>Refund from Lyne</t>
  </si>
  <si>
    <t>김치찌개 w Jing, Waralee</t>
  </si>
  <si>
    <t>Jing</t>
  </si>
  <si>
    <t>Waralee</t>
  </si>
  <si>
    <t xml:space="preserve">교통 (Malatang w Tisya) </t>
  </si>
  <si>
    <t>삼양식품 배당금</t>
  </si>
  <si>
    <t>마포쌈밥 w 振华</t>
  </si>
  <si>
    <t>星巴克跟振华</t>
  </si>
  <si>
    <t>할맥 w 振华</t>
  </si>
  <si>
    <t>Printing Daily Planner</t>
  </si>
  <si>
    <t>烤鱼跟문서진</t>
  </si>
  <si>
    <t>쿠팡 for 君熙</t>
  </si>
  <si>
    <t>연어초밥 w Annie</t>
  </si>
  <si>
    <t>Dessert39 w Annie</t>
  </si>
  <si>
    <t>Annie</t>
  </si>
  <si>
    <t xml:space="preserve">Wei Tian </t>
  </si>
  <si>
    <t>Forgiving Tisya’s Debt</t>
  </si>
  <si>
    <t xml:space="preserve">떡 </t>
  </si>
  <si>
    <t xml:space="preserve">교통 (송편 만들기) </t>
  </si>
  <si>
    <t>쿠팡이츠 for 君熙</t>
  </si>
  <si>
    <t>Coffee Bean</t>
  </si>
  <si>
    <t>청화원</t>
  </si>
  <si>
    <t>노래방</t>
  </si>
  <si>
    <t xml:space="preserve">교통 (跟学勤吃) </t>
  </si>
  <si>
    <t>김삼보 w 문서진</t>
  </si>
  <si>
    <t>술 w 문서진</t>
  </si>
  <si>
    <t>Davy</t>
  </si>
  <si>
    <t>잘빠진메밀 w PALS</t>
  </si>
  <si>
    <t>잘빠진메밀 w PALS (김어진)</t>
  </si>
  <si>
    <t>잘빠진메밀 w PALS (샬롯)</t>
  </si>
  <si>
    <t>잘빠진메밀 w PALS (Lorelei)</t>
  </si>
  <si>
    <t>잘빠진메밀 &amp; 인생네컷 w PALS (지서)</t>
  </si>
  <si>
    <t>인생네컷 w PALS</t>
  </si>
  <si>
    <t>인생네컷 w PALS (샬롯)</t>
  </si>
  <si>
    <t>인생네컷 w PALS (Lorelei)</t>
  </si>
  <si>
    <t>Hotdog_明洞玩儿跟振华</t>
  </si>
  <si>
    <t xml:space="preserve">교통 (PALS 경복궁) </t>
  </si>
  <si>
    <t>월미짱랜드</t>
  </si>
  <si>
    <t>알루아</t>
  </si>
  <si>
    <t>월미도레미</t>
  </si>
  <si>
    <t>月饼给振华</t>
  </si>
  <si>
    <t>Gantigma 인쌩맥주</t>
  </si>
  <si>
    <t xml:space="preserve">교통 (당일치기 w 알루아 &amp; 간팅마) </t>
  </si>
  <si>
    <t>잘빠진메밀 &amp; 인생네컷 w PALS (지영)</t>
  </si>
  <si>
    <t>Gantigma 인생네컷</t>
  </si>
  <si>
    <t>잘빠진메밀 &amp; 인생네컷 w PALS (Chan)</t>
  </si>
  <si>
    <t>문서진 (입금 부탁)</t>
  </si>
  <si>
    <t>Bakso RIndu Kampung 跟学勤</t>
  </si>
  <si>
    <t>쿠팡</t>
  </si>
  <si>
    <t>Boxquare w Hani, Jing</t>
  </si>
  <si>
    <t xml:space="preserve">교통 (去明洞看见振华) </t>
  </si>
  <si>
    <t>Coins gone missing</t>
  </si>
  <si>
    <t>Forgiving 김어진’s Debt</t>
  </si>
  <si>
    <t>2024_2 Samsung Scholarship</t>
  </si>
  <si>
    <t>10월 건강보혐료</t>
  </si>
  <si>
    <t>동교해물跟振华和君熙</t>
  </si>
  <si>
    <t>NIKE shoes, socks</t>
  </si>
  <si>
    <t>CU跟君熙和振华</t>
  </si>
  <si>
    <t xml:space="preserve">교통 (去弘大跟君熙和振华) </t>
  </si>
  <si>
    <t>西装</t>
  </si>
  <si>
    <t>Wise 2 1MYR@322.272KRW</t>
  </si>
  <si>
    <t>9월 Savings</t>
  </si>
  <si>
    <t>Buy 삼성바이오로직스 0.046523@₩</t>
  </si>
  <si>
    <t>무신사</t>
  </si>
  <si>
    <t>소고기초밥 for 문서진, 振华和君熙</t>
  </si>
  <si>
    <t>Dinner w Davy</t>
  </si>
  <si>
    <t xml:space="preserve">교통 (Steak w Davy) </t>
  </si>
  <si>
    <t>Buy 삼성전자 0.775155@₩</t>
  </si>
  <si>
    <t>Concert Tattoos</t>
  </si>
  <si>
    <t>三味摊摊面</t>
  </si>
  <si>
    <t>振华 ear piercing</t>
  </si>
  <si>
    <t>海底捞跟振华</t>
  </si>
  <si>
    <t>Maybank Dividend</t>
  </si>
  <si>
    <t>춘리마라탕</t>
  </si>
  <si>
    <t xml:space="preserve">교통 (海底捞跟振华) </t>
  </si>
  <si>
    <t>미용실 예약금 (君熙)</t>
  </si>
  <si>
    <t>쿠팡이츠 for 君熙, 振华</t>
  </si>
  <si>
    <t>미용실 예약금 (振华)</t>
  </si>
  <si>
    <t>君熙</t>
  </si>
  <si>
    <t>십원빵 w 振华</t>
  </si>
  <si>
    <t xml:space="preserve">교통 (在明洞购物跟振华) </t>
  </si>
  <si>
    <t>연남어부跟君熙振华</t>
  </si>
  <si>
    <t xml:space="preserve">교통 (吃生鱼片跟振华君熙) </t>
  </si>
  <si>
    <t>한술식당 w 勇太</t>
  </si>
  <si>
    <t xml:space="preserve">교통 (한술식당 w 勇太) </t>
  </si>
  <si>
    <t>역전우동跟振华</t>
  </si>
  <si>
    <t>메머드커피</t>
  </si>
  <si>
    <t>세광양대창跟孙雅婷，王其昌，王君熙，李振华，李问涛</t>
  </si>
  <si>
    <t>10월 Didimdol</t>
  </si>
  <si>
    <t>10월 Samsung</t>
  </si>
  <si>
    <t>9월 Interest</t>
  </si>
  <si>
    <t>9월 교통비</t>
  </si>
  <si>
    <t>쿠팡이츠 for 振华君熙</t>
  </si>
  <si>
    <t>Naver Points</t>
  </si>
  <si>
    <r>
      <rPr>
        <b val="1"/>
        <sz val="10"/>
        <color indexed="8"/>
        <rFont val="Helvetica Neue"/>
      </rPr>
      <t>KR10106-Naver Checking Account</t>
    </r>
  </si>
  <si>
    <t>Transfer to Naver</t>
  </si>
  <si>
    <t xml:space="preserve">교통 (went home from 君熙和振华’s) </t>
  </si>
  <si>
    <t>Transfer to Shinhan</t>
  </si>
  <si>
    <t>Buy 신한 골드 0.44@₩</t>
  </si>
  <si>
    <r>
      <rPr>
        <b val="1"/>
        <sz val="10"/>
        <color indexed="8"/>
        <rFont val="Helvetica Neue"/>
      </rPr>
      <t>KR20003-Gold</t>
    </r>
  </si>
  <si>
    <t>계좌 인증</t>
  </si>
  <si>
    <t xml:space="preserve">교통 (to and from 君熙和振华’s) </t>
  </si>
  <si>
    <t>국밥跟振华</t>
  </si>
  <si>
    <t>감기약, 기침약</t>
  </si>
  <si>
    <t>다이소 w Myothurin</t>
  </si>
  <si>
    <t>Hollys w Myothurin</t>
  </si>
  <si>
    <t>Withdraw for 振华</t>
  </si>
  <si>
    <t>기후동행카드 for 振华</t>
  </si>
  <si>
    <t>기후동행카드 충전 for 振华</t>
  </si>
  <si>
    <t>쿠팡이츠 for 振华</t>
  </si>
  <si>
    <t>Cash from 振华</t>
  </si>
  <si>
    <t>Tous les Jours</t>
  </si>
  <si>
    <t>CU (shaver, ice cream)</t>
  </si>
  <si>
    <t xml:space="preserve">교통 (跟李振华跑步) </t>
  </si>
  <si>
    <t>Thai Tea</t>
  </si>
  <si>
    <t>Thai 꼬치</t>
  </si>
  <si>
    <t>Steak at Thai Festival</t>
  </si>
  <si>
    <t>Waralee paid for Thai Food</t>
  </si>
  <si>
    <t>CU (ice cream)</t>
  </si>
  <si>
    <t>Aakansha</t>
  </si>
  <si>
    <t xml:space="preserve">교통 (Thai Fest) </t>
  </si>
  <si>
    <t>Fatemeh</t>
  </si>
  <si>
    <t>Cafe Namu</t>
  </si>
  <si>
    <t>Zaim</t>
  </si>
  <si>
    <t>Fatemeh’s money</t>
  </si>
  <si>
    <t>Waralee’s money</t>
  </si>
  <si>
    <t>Paris Baguette</t>
  </si>
  <si>
    <t>Coffee Break</t>
  </si>
  <si>
    <t xml:space="preserve">교통 (Lotte World) </t>
  </si>
  <si>
    <t>미진축산 w 王学勤</t>
  </si>
  <si>
    <t>王学勤</t>
  </si>
  <si>
    <t>钱嘉男 hospital</t>
  </si>
  <si>
    <t>Vitamin C</t>
  </si>
  <si>
    <t>麻辣烫（钱嘉男）</t>
  </si>
  <si>
    <t xml:space="preserve">교통 (아침기도모임) </t>
  </si>
  <si>
    <t xml:space="preserve">교통 (钱嘉男) </t>
  </si>
  <si>
    <t>Correcting Toss Mismatch</t>
  </si>
  <si>
    <t>기꾸스시 w 서정민</t>
  </si>
  <si>
    <t>서정민</t>
  </si>
  <si>
    <t>보드카페 w 서정민</t>
  </si>
  <si>
    <t>농구장 예약</t>
  </si>
  <si>
    <t>君熙振华水电费</t>
  </si>
  <si>
    <t>농구장 물</t>
  </si>
  <si>
    <t>Cash from 振华君熙</t>
  </si>
  <si>
    <t xml:space="preserve">교통 (클럽) </t>
  </si>
  <si>
    <t>Clubbing Drinks</t>
  </si>
  <si>
    <t>포차</t>
  </si>
  <si>
    <t>其多（卡拉OK - 酒吧 - 포차）</t>
  </si>
  <si>
    <t>洗衣服</t>
  </si>
  <si>
    <t>李振华交通费</t>
  </si>
  <si>
    <t xml:space="preserve">교통 (기록 없음) </t>
  </si>
  <si>
    <t>Mammoth Coffee</t>
  </si>
  <si>
    <t>Paris Baguette w 振华</t>
  </si>
  <si>
    <t>Mammoth Coffee w 振华</t>
  </si>
  <si>
    <t xml:space="preserve">교통 (귀가) </t>
  </si>
  <si>
    <t>짐닭 w 알루아</t>
  </si>
  <si>
    <t>给李振华买个水</t>
  </si>
  <si>
    <t xml:space="preserve">교통 (振华) </t>
  </si>
  <si>
    <t>Bagel跟振华和他朋友</t>
  </si>
  <si>
    <t>跟王学勤吃烤肉</t>
  </si>
  <si>
    <t>11월 건강보혐료</t>
  </si>
  <si>
    <t>Savings 해제</t>
  </si>
  <si>
    <t>덕승루</t>
  </si>
  <si>
    <t>커피브레이크</t>
  </si>
  <si>
    <t>Forgive 其多’s debt</t>
  </si>
  <si>
    <t>10월 Interest</t>
  </si>
  <si>
    <t>孙雅婷 기숙사 환불</t>
  </si>
  <si>
    <t>청진동해장국 w 振华</t>
  </si>
  <si>
    <t>티머니</t>
  </si>
  <si>
    <t>마포광안리 w 振华</t>
  </si>
  <si>
    <t>보승회관 w 孙雅婷和李振华</t>
  </si>
  <si>
    <t>기꾸스시 w 문서진</t>
  </si>
  <si>
    <t>교통</t>
  </si>
  <si>
    <t>KTV w 孙雅婷，李振华，李思慧</t>
  </si>
  <si>
    <t>Taxi back to Sogang</t>
  </si>
  <si>
    <t>Taxi to 阿岘站</t>
  </si>
  <si>
    <t>火锅跟钱嘉男</t>
  </si>
  <si>
    <t>김치찌개 w 문서진</t>
  </si>
  <si>
    <t>공차</t>
  </si>
  <si>
    <t>청화원 w 钱嘉男</t>
  </si>
  <si>
    <t>닭발 w 문서진</t>
  </si>
  <si>
    <t>미진축산 w 문서진</t>
  </si>
  <si>
    <t>더바스켓 w 李振华</t>
  </si>
  <si>
    <t>청화원 w 李振华</t>
  </si>
  <si>
    <t>Withdrawal</t>
  </si>
  <si>
    <t>OIA Field Trip Deposit</t>
  </si>
  <si>
    <t>그라찌에 w 钱嘉男</t>
  </si>
  <si>
    <t>오늘이라면 w 李振华, 문서진</t>
  </si>
  <si>
    <t>Paris Baguette w 문서진</t>
  </si>
  <si>
    <t>Budget for SEA Studies Samsung</t>
  </si>
  <si>
    <t>Buy 신한 골드 2.44@₩</t>
  </si>
  <si>
    <t>Transfer to Shinhan Investment</t>
  </si>
  <si>
    <t>Buy 삼성전자 1.779857@₩</t>
  </si>
  <si>
    <t>Buy 삼양식품 0.093658@₩</t>
  </si>
  <si>
    <t>춘리마라탕跟钱嘉男</t>
  </si>
  <si>
    <t>서강동회장학회</t>
  </si>
  <si>
    <t>판교행 택시</t>
  </si>
  <si>
    <t>순두부찌개_휴게소</t>
  </si>
  <si>
    <t>소세지_휴게소</t>
  </si>
  <si>
    <t>중국간식</t>
  </si>
  <si>
    <t>사과빵</t>
  </si>
  <si>
    <t>사과식혜</t>
  </si>
  <si>
    <t>불고기跟王学勤</t>
  </si>
  <si>
    <t>마라탕 w Tisya</t>
  </si>
  <si>
    <t>Transfer to Batrisyia to Exhange Money</t>
  </si>
  <si>
    <t>4 months Prepaid Plan</t>
  </si>
  <si>
    <t>10월 Prepaid Phone Plan</t>
  </si>
  <si>
    <t>Batrisyia</t>
  </si>
  <si>
    <t>Duit Belanja Aisyah</t>
  </si>
  <si>
    <t>육쌈냉면 w 문서진</t>
  </si>
  <si>
    <t>쿠팡 groceries</t>
  </si>
  <si>
    <t>孙雅婷 관세 세금 납부</t>
  </si>
  <si>
    <t>쿠츠 w 문서진</t>
  </si>
  <si>
    <t>케이포 w Myothurin</t>
  </si>
  <si>
    <t>교통 (Myothurin to 경복궁)</t>
  </si>
  <si>
    <t>11월 Didimdol (Fixed monthly income calculation)</t>
  </si>
  <si>
    <t>11월 Samsung</t>
  </si>
  <si>
    <t>11월 Prepaid Phone Plan</t>
  </si>
  <si>
    <t>휴게소</t>
  </si>
  <si>
    <t>강정</t>
  </si>
  <si>
    <t>전주 초코파이</t>
  </si>
  <si>
    <t>100원빵</t>
  </si>
  <si>
    <t>E마트24</t>
  </si>
  <si>
    <t>모찌</t>
  </si>
  <si>
    <t>Deposit Refund</t>
  </si>
  <si>
    <t>Hollys</t>
  </si>
  <si>
    <t>10월 교통비</t>
  </si>
  <si>
    <t>孙雅婷电费</t>
  </si>
  <si>
    <t>把钱嘉男朋友的手机寄到大邱</t>
  </si>
  <si>
    <t>把钱嘉男朋友的手机寄到大邱_상자</t>
  </si>
  <si>
    <t>李振华的在学证明书</t>
  </si>
  <si>
    <t>孙雅婷 은행 deposit</t>
  </si>
  <si>
    <t>李振华 은행 deposit</t>
  </si>
  <si>
    <t>교통(Waralee)</t>
  </si>
  <si>
    <t>전 w Waralee</t>
  </si>
  <si>
    <t>마라탕 w Waralee</t>
  </si>
  <si>
    <t>给孙雅婷转钱</t>
  </si>
  <si>
    <t>Compose Coffee</t>
  </si>
  <si>
    <t>물</t>
  </si>
  <si>
    <t>물 4 문서진</t>
  </si>
  <si>
    <t>교통(李振华)</t>
  </si>
  <si>
    <t>쿠팡이츠 for 李振华</t>
  </si>
  <si>
    <t>GS25 w 钱嘉男</t>
  </si>
  <si>
    <t>롤링파스타 w 钱嘉男</t>
  </si>
  <si>
    <t>간식 at PALS MT</t>
  </si>
  <si>
    <t>용우동</t>
  </si>
  <si>
    <t>Davy’s Trip Budget</t>
  </si>
  <si>
    <t>뼈해장국 w 尤其多，王君熙，刘旭</t>
  </si>
  <si>
    <t>麻辣烫跟钱嘉男</t>
  </si>
  <si>
    <t>투썸플레이스</t>
  </si>
  <si>
    <t>교통(홍대)</t>
  </si>
  <si>
    <t>Reduce 李振华’s debt by contra</t>
  </si>
  <si>
    <t>Sell 신한 골드 2.85@₩</t>
  </si>
  <si>
    <t>Loss</t>
  </si>
  <si>
    <t>Sell Gold 0.461@MYR</t>
  </si>
  <si>
    <t>Sell Maybank 32@MYR</t>
  </si>
  <si>
    <t>Profit</t>
  </si>
  <si>
    <t>Sell LCTITAN 5@MYR</t>
  </si>
  <si>
    <t>Stock calculation correction</t>
  </si>
  <si>
    <t>Deposit Cash</t>
  </si>
  <si>
    <t>Pepero</t>
  </si>
  <si>
    <t>Wise 1 1MYR@317.229KRW</t>
  </si>
  <si>
    <t>Transfer to Kakao</t>
  </si>
  <si>
    <t>교통(기록 없음)</t>
  </si>
  <si>
    <t>김덕후의곱창조 신촌점</t>
  </si>
  <si>
    <t>마포광안리</t>
  </si>
  <si>
    <t>콜로라도 프로젝트</t>
  </si>
  <si>
    <t>서강대학교 멘토</t>
  </si>
  <si>
    <t>Sell 삼성전자 3@₩</t>
  </si>
  <si>
    <t>Sell 삼성바이오로직스 0.093046@₩</t>
  </si>
  <si>
    <t>Sell NAVER 0.148306@₩</t>
  </si>
  <si>
    <t>Sell 삼양식품 0.132597@₩</t>
  </si>
  <si>
    <t>미가 w 钱嘉男</t>
  </si>
  <si>
    <t>Wise 2 1MYR@314.216KRW</t>
  </si>
  <si>
    <t>교통(Myothurin)</t>
  </si>
  <si>
    <t>Meeting 1 태양 삼성</t>
  </si>
  <si>
    <t>Meeting 1 징 삼성</t>
  </si>
  <si>
    <t>Meeting 1 엔지 삼성</t>
  </si>
  <si>
    <t>멘츠루 신촌점 삼성</t>
  </si>
  <si>
    <t>신룽푸 마라탕 이대점 삼성</t>
  </si>
  <si>
    <t>Meeting 2 삼성</t>
  </si>
  <si>
    <t>프랭크버거 연남점 삼성</t>
  </si>
  <si>
    <t>마포아트센터 - 이대5번출구역 - 성동세무서앞 삼성</t>
  </si>
  <si>
    <t>교통(Didimdol Sunbae meeting)</t>
  </si>
  <si>
    <t>이대역 - 이화여대기숙사 삼성</t>
  </si>
  <si>
    <t>회기역 - 이대역 - 명동역 삼성</t>
  </si>
  <si>
    <t>안암역 - 이대역 - 안암역 삼성</t>
  </si>
  <si>
    <t>12월 건강보혐료</t>
  </si>
  <si>
    <t>Baskin Robins w 钱嘉男</t>
  </si>
  <si>
    <t>교통(go home)</t>
  </si>
  <si>
    <t>프랭크버거 연남점 식비, 이대역 - 이화여대기숙사 교통비 삼성</t>
  </si>
  <si>
    <t>미쁘동</t>
  </si>
  <si>
    <t>라화방마라탕 w Tisya</t>
  </si>
  <si>
    <t>투썸플레이스 w Tisya</t>
  </si>
  <si>
    <t>Temu</t>
  </si>
  <si>
    <t>교통(met qjn and Tisya)</t>
  </si>
  <si>
    <t>카페나무</t>
  </si>
  <si>
    <t>보승회관 w 문서진</t>
  </si>
  <si>
    <t>동문회장학금</t>
  </si>
  <si>
    <t>서강기프트샵 (돕바)</t>
  </si>
  <si>
    <t>한솥 w 钱嘉男</t>
  </si>
  <si>
    <t>마카롱 4 식구</t>
  </si>
  <si>
    <t>예능 출연비</t>
  </si>
  <si>
    <t>청년밥상문간 w Waralee</t>
  </si>
  <si>
    <t>오전송</t>
  </si>
  <si>
    <t>청년밥상문간 w Waralee 재전송</t>
  </si>
  <si>
    <t>마라탕 w Belle</t>
  </si>
  <si>
    <t>무인플러스마트</t>
  </si>
  <si>
    <t>Paris Baguette 4 식구</t>
  </si>
  <si>
    <t>녹색식당 w 식구</t>
  </si>
  <si>
    <t>녹색식당 w 식구 (이황희)</t>
  </si>
  <si>
    <t>녹색식당 w 식구 (기윤민)</t>
  </si>
  <si>
    <t>녹색식당 w 식구 (윤여준)</t>
  </si>
  <si>
    <t>소신이쏘 w 王学勤</t>
  </si>
  <si>
    <t>할리스 w Tisya</t>
  </si>
  <si>
    <t>교통(Met Tisya)</t>
  </si>
  <si>
    <t>海底捞 w Tisya</t>
  </si>
  <si>
    <t>钱嘉男保险费</t>
  </si>
  <si>
    <t>타코로코</t>
  </si>
  <si>
    <t>Wise 3 1MYR@314.805KRW</t>
  </si>
  <si>
    <t>Radziq</t>
  </si>
  <si>
    <r>
      <rPr>
        <b val="1"/>
        <sz val="10"/>
        <color indexed="8"/>
        <rFont val="Helvetica Neue"/>
      </rPr>
      <t>MY31201-Friends Debt</t>
    </r>
  </si>
  <si>
    <t>Buy 신한 골드 1.59@₩</t>
  </si>
  <si>
    <t>Buy 삼성전자 1.638285@₩</t>
  </si>
  <si>
    <t>Buy 삼성전자 0.065866@₩</t>
  </si>
  <si>
    <t xml:space="preserve">SGBA </t>
  </si>
  <si>
    <t xml:space="preserve">Withdraw </t>
  </si>
  <si>
    <t>Secret Santa’s Gift</t>
  </si>
  <si>
    <t>휘낭시에</t>
  </si>
  <si>
    <t>가츠벤또 w 문서진</t>
  </si>
  <si>
    <t>Myothurin Cursive Writing Exercise</t>
  </si>
  <si>
    <t>정통집 w Anne</t>
  </si>
  <si>
    <t>Books</t>
  </si>
  <si>
    <t>Sell 신한 골드 0.85@₩</t>
  </si>
  <si>
    <t>Dry cleaning clothes</t>
  </si>
  <si>
    <t>Olive Young</t>
  </si>
  <si>
    <t>海底捞 w Shunn Lae</t>
  </si>
  <si>
    <t>교통(met Shunn Lae)</t>
  </si>
  <si>
    <t>Davy (5000 * 10 times)</t>
  </si>
  <si>
    <t>Returned to Davy</t>
  </si>
  <si>
    <t>Davy (2000 * 25 times)</t>
  </si>
  <si>
    <t>황희 브라덜 선물</t>
  </si>
  <si>
    <t>기꾸스시 w 钱嘉男</t>
  </si>
  <si>
    <t>더파이홀 w 钱嘉男</t>
  </si>
  <si>
    <t>GS25 4 MSDC</t>
  </si>
  <si>
    <t>Harufilm w 王君熙，尤其多，王其昌，李问涛，李振华</t>
  </si>
  <si>
    <t>游戏区 w 王君熙，尤其多，王其昌，李问涛，李振华</t>
  </si>
  <si>
    <t>교통(MSDC program)</t>
  </si>
  <si>
    <t>Interest</t>
  </si>
  <si>
    <t>12월 Samsung</t>
  </si>
  <si>
    <t>12월 Prepaid Phone Plan</t>
  </si>
  <si>
    <t>11월 Interest</t>
  </si>
  <si>
    <t>12월 Didimdol</t>
  </si>
  <si>
    <t>Taxi</t>
  </si>
  <si>
    <t>尤其多</t>
  </si>
  <si>
    <t>Pierre Gagnaire w 이황희</t>
  </si>
  <si>
    <t>Sell 신한 골드 0.77@₩</t>
  </si>
  <si>
    <t>清华园跟钱嘉男</t>
  </si>
  <si>
    <t>11월 교통비</t>
  </si>
  <si>
    <t>Correction for Toss</t>
  </si>
  <si>
    <t>교통(跟王学勤吃饭)</t>
  </si>
  <si>
    <t>跟王学勤（喜茶，炸猪排）</t>
  </si>
  <si>
    <t>뿌링클 치즈볼 콜라 BHC</t>
  </si>
  <si>
    <t>교통(跟钱嘉男吃饭)</t>
  </si>
  <si>
    <t>교통(묘투린)</t>
  </si>
  <si>
    <t>Sell 현대차 0.192369@₩</t>
  </si>
  <si>
    <t>Sell 삼성전자 1@₩</t>
  </si>
  <si>
    <t>Sell 삼성전자 0.902461@₩</t>
  </si>
  <si>
    <t xml:space="preserve">MSDC Party </t>
  </si>
  <si>
    <t>고추바사삭 콜라 굽네</t>
  </si>
  <si>
    <t>Pay to 钱嘉男 (debt unrecorded)</t>
  </si>
  <si>
    <t>치과 스케일링</t>
  </si>
  <si>
    <t>약국</t>
  </si>
  <si>
    <t>봉쥬르 마카롱</t>
  </si>
  <si>
    <t>백소정 w 천정욱</t>
  </si>
  <si>
    <t xml:space="preserve">PPMK </t>
  </si>
  <si>
    <t>쿠팡 Myothurin</t>
  </si>
  <si>
    <t>다이소 Myothurin</t>
  </si>
  <si>
    <t>본인확인</t>
  </si>
  <si>
    <t>쿠팡이츠</t>
  </si>
  <si>
    <t>팔공티</t>
  </si>
  <si>
    <t>교통(리앤원 수료식)</t>
  </si>
  <si>
    <t>경양카츠 w 钱嘉男</t>
  </si>
  <si>
    <t>Printing 열역학 cheatsheet</t>
  </si>
  <si>
    <t xml:space="preserve">최민희 네일 </t>
  </si>
  <si>
    <t>영춘옥 (Late night dinner w Tisya xsedap asf)</t>
  </si>
  <si>
    <t>황토골 (Late night dinner w Tisya)</t>
  </si>
  <si>
    <t>교통(dinner w Tisya)</t>
  </si>
  <si>
    <t>Wise 1 1MYR@321.969KRW</t>
  </si>
  <si>
    <t>Printing 화공수학 cheatsheet</t>
  </si>
  <si>
    <t>롯데리아 w Hani, Waralee</t>
  </si>
  <si>
    <t>교통(삼성송년모임)</t>
  </si>
  <si>
    <t>예금이자</t>
  </si>
  <si>
    <t>Withdraw</t>
  </si>
  <si>
    <t>Zaim’s Birthday Gift</t>
  </si>
  <si>
    <t>춘리마라탕 w Alua</t>
  </si>
  <si>
    <t>준</t>
  </si>
  <si>
    <t>앨리스</t>
  </si>
  <si>
    <t>麻辣烫（Jing）</t>
  </si>
  <si>
    <t>다이소</t>
  </si>
  <si>
    <t>Oo Wei Tian</t>
  </si>
  <si>
    <t>교통(Jing)</t>
  </si>
  <si>
    <t>매가박스 Myothurin</t>
  </si>
  <si>
    <t>구름빵제과점</t>
  </si>
  <si>
    <t>교통(영화 w 묘투린)</t>
  </si>
  <si>
    <t>Study Group</t>
  </si>
  <si>
    <t>Pizza Mall</t>
  </si>
  <si>
    <t>Pizza Mall: Tisya</t>
  </si>
  <si>
    <t>교통(삼성 MT)</t>
  </si>
  <si>
    <t>Gorde Cafe</t>
  </si>
  <si>
    <t>Wise 2 1MYR@325.106 KRW</t>
  </si>
  <si>
    <t>1월 건강보험료</t>
  </si>
  <si>
    <t>Poke 하니</t>
  </si>
  <si>
    <t>Poke 태양</t>
  </si>
  <si>
    <t>Meeting 3</t>
  </si>
  <si>
    <t>컵밥</t>
  </si>
  <si>
    <t>닭강정</t>
  </si>
  <si>
    <t>팔공차</t>
  </si>
  <si>
    <t>안암역 - 이대역 - 안암역</t>
  </si>
  <si>
    <t>장진규 Birthday Gift</t>
  </si>
  <si>
    <t>Poke 징</t>
  </si>
  <si>
    <t>교통(SEA Studies)</t>
  </si>
  <si>
    <t>메가커피 w Tisya</t>
  </si>
  <si>
    <t>노래방 w Tisya</t>
  </si>
  <si>
    <t>교통(Dinner w Tisya)</t>
  </si>
  <si>
    <t>계좌확인</t>
  </si>
  <si>
    <t>Onlyfans</t>
  </si>
  <si>
    <t>기쁨나눔 멘토링비</t>
  </si>
  <si>
    <t>Groceries w Farah</t>
  </si>
  <si>
    <t>Daiso w Farah</t>
  </si>
  <si>
    <t>PC방 w 문서진</t>
  </si>
  <si>
    <t>Cash correction</t>
  </si>
  <si>
    <t>교통(Cooking w Farah)</t>
  </si>
  <si>
    <t>Kakao correction</t>
  </si>
  <si>
    <t>1월 Samsung</t>
  </si>
  <si>
    <t>1월 Prepaid Phone Plan</t>
  </si>
  <si>
    <t>12월 Interest</t>
  </si>
  <si>
    <t>노래방 w 문서진</t>
  </si>
  <si>
    <t>Dunkin Donuts</t>
  </si>
  <si>
    <t>12월 교통비</t>
  </si>
  <si>
    <t>교통(Tisya)</t>
  </si>
  <si>
    <t>양정빈 생일 선물</t>
  </si>
  <si>
    <t>Quizlet</t>
  </si>
  <si>
    <t>Savings January</t>
  </si>
  <si>
    <r>
      <rPr>
        <b val="1"/>
        <sz val="10"/>
        <color indexed="8"/>
        <rFont val="Helvetica Neue"/>
      </rPr>
      <t>KR10201-Savings January</t>
    </r>
  </si>
  <si>
    <t>Savings February</t>
  </si>
  <si>
    <r>
      <rPr>
        <b val="1"/>
        <sz val="10"/>
        <color indexed="8"/>
        <rFont val="Helvetica Neue"/>
      </rPr>
      <t>KR10202-Savings February</t>
    </r>
  </si>
  <si>
    <t>Savings March</t>
  </si>
  <si>
    <r>
      <rPr>
        <b val="1"/>
        <sz val="10"/>
        <color indexed="8"/>
        <rFont val="Helvetica Neue"/>
      </rPr>
      <t>KR10203-Savings March</t>
    </r>
  </si>
  <si>
    <t>Transfer to Shinhan (buying Funds)</t>
  </si>
  <si>
    <t>Transfer to Shinhan (buying Gold)</t>
  </si>
  <si>
    <t>Buy 신한 골드 0.15@₩</t>
  </si>
  <si>
    <t>교통(문서진)</t>
  </si>
  <si>
    <t>김덕후의곱창조</t>
  </si>
  <si>
    <t>Jan 3) Quizlet (cancelled)</t>
  </si>
  <si>
    <t>반찬</t>
  </si>
  <si>
    <t>Debt correction</t>
  </si>
  <si>
    <t>채크카드 복권 당첨</t>
  </si>
  <si>
    <t xml:space="preserve">모임통장 개설 </t>
  </si>
  <si>
    <t>Tisya (paid for 고기집, debt unrecorded)</t>
  </si>
  <si>
    <t>US S&amp;P 500 Index Fund</t>
  </si>
  <si>
    <t>Reduce Accounts Receivable</t>
  </si>
  <si>
    <t>其昌</t>
  </si>
  <si>
    <t>学勤</t>
  </si>
  <si>
    <t>振华</t>
  </si>
  <si>
    <t>嘉男</t>
  </si>
  <si>
    <t>问涛</t>
  </si>
  <si>
    <t>孙雅婷</t>
  </si>
  <si>
    <t>李思慧</t>
  </si>
  <si>
    <t>UNRECORDED AR</t>
  </si>
  <si>
    <t>중도해지 (Subscribed earlier than required)</t>
  </si>
  <si>
    <t>Money from Tisya for 고기</t>
  </si>
  <si>
    <r>
      <rPr>
        <b val="1"/>
        <sz val="10"/>
        <color indexed="8"/>
        <rFont val="Helvetica Neue"/>
      </rPr>
      <t>KR10213-Toss Emergency Fund Account</t>
    </r>
  </si>
  <si>
    <t>Money from Interest and Cashbacks</t>
  </si>
  <si>
    <t>편드예탁금 이자</t>
  </si>
  <si>
    <t>방어 w 문서진</t>
  </si>
  <si>
    <t>PC방</t>
  </si>
  <si>
    <t>NAVER 계좌확인</t>
  </si>
  <si>
    <t>이자</t>
  </si>
  <si>
    <t>Buy 신한미국S&amp;P500인덱스 70542@₩</t>
  </si>
  <si>
    <r>
      <rPr>
        <b val="1"/>
        <sz val="10"/>
        <color indexed="8"/>
        <rFont val="Helvetica Neue"/>
      </rPr>
      <t>KR20001-Funds</t>
    </r>
  </si>
  <si>
    <t>교통(디딤돌 해단식)</t>
  </si>
  <si>
    <t>토스 계좌확인</t>
  </si>
  <si>
    <t>SEA Studies money to Jing</t>
  </si>
  <si>
    <t>SEA Food Expense - GS25</t>
  </si>
  <si>
    <t>SEA Meeting Expense - Underwater Cafe</t>
  </si>
  <si>
    <t>SEA Food Expense - Seoul Bangkok</t>
  </si>
  <si>
    <t>SEA Food Expense - Dessert39</t>
  </si>
  <si>
    <t>SEA Transportation Expense - Jing</t>
  </si>
  <si>
    <t>SEA money Jing to Taeyang</t>
  </si>
  <si>
    <t>Pay Tisya for Cinema Ticket</t>
  </si>
  <si>
    <t>하나체크환급</t>
  </si>
  <si>
    <t>하나체크환급 + Cashback (오류)</t>
  </si>
  <si>
    <t>하나체크환급 + Cashback</t>
  </si>
  <si>
    <t>쿠팡 - 히터</t>
  </si>
  <si>
    <t>교통(새 집 방문)</t>
  </si>
  <si>
    <t>Tisya Withdraw</t>
  </si>
  <si>
    <t xml:space="preserve">Pay Tisya </t>
  </si>
  <si>
    <t>Pay Tisya for Malatang</t>
  </si>
  <si>
    <t>PALS debt</t>
  </si>
  <si>
    <t>Transfer SEA 학회 money to separate account</t>
  </si>
  <si>
    <r>
      <rPr>
        <b val="1"/>
        <sz val="10"/>
        <color indexed="8"/>
        <rFont val="Helvetica Neue"/>
      </rPr>
      <t>KR10214-Toss Preparation Fund Account</t>
    </r>
  </si>
  <si>
    <t>추가 적금</t>
  </si>
  <si>
    <t>세솟는 정형외과</t>
  </si>
  <si>
    <t>미소반찬</t>
  </si>
  <si>
    <t>커피랩스</t>
  </si>
  <si>
    <t>SEA money</t>
  </si>
  <si>
    <t>Wise 1 1MYR@326.528 KRW</t>
  </si>
  <si>
    <t>2월 건강보험료</t>
  </si>
  <si>
    <t>Refill used funds</t>
  </si>
  <si>
    <t>Forgiven of debt</t>
  </si>
  <si>
    <t>SEA Food Expense - Mom’s Touch</t>
  </si>
  <si>
    <t>SEA Meeting Expense - Meeting 5 Hollys</t>
  </si>
  <si>
    <t>SEA Food Expense - Hooked</t>
  </si>
  <si>
    <t>교통(마포아트센터 - 신촌역 - 마포아트센터)</t>
  </si>
  <si>
    <t>Wise 2 1MYR@329.327 KRW</t>
  </si>
  <si>
    <t>Recharge + 하나체크환급</t>
  </si>
  <si>
    <t>Pinjam to Tisya</t>
  </si>
  <si>
    <t>2월 Samsung</t>
  </si>
  <si>
    <t>1월 Interest</t>
  </si>
  <si>
    <t>1월 교통 신한</t>
  </si>
  <si>
    <t>Apple Subscription</t>
  </si>
  <si>
    <t>Macarons</t>
  </si>
  <si>
    <t>Dinner w 현재, 재국</t>
  </si>
  <si>
    <t>이디야 커피</t>
  </si>
  <si>
    <t>Recharge</t>
  </si>
  <si>
    <t>교통(디딤돌 면접)</t>
  </si>
  <si>
    <t>Bakery</t>
  </si>
  <si>
    <t>Cashback + 채크카드 복권 당첨</t>
  </si>
  <si>
    <t>교통비 + 쿠팡이츠</t>
  </si>
  <si>
    <t>1월 교통 토스</t>
  </si>
  <si>
    <t>QJN TOPIK</t>
  </si>
  <si>
    <t>교통(명지전문대)</t>
  </si>
  <si>
    <t>쿠팡 (adapter)</t>
  </si>
  <si>
    <t>빵</t>
  </si>
  <si>
    <t>Ferrero Rocher</t>
  </si>
  <si>
    <t>미소떡볶이</t>
  </si>
  <si>
    <t>KTX</t>
  </si>
  <si>
    <t>Cashback + 채크카드 복권 당첨 + Recharge</t>
  </si>
  <si>
    <t>김솔민</t>
  </si>
  <si>
    <t>택시</t>
  </si>
  <si>
    <t>House Deposit (9 million)</t>
  </si>
  <si>
    <t>Dinner w 시온 식구</t>
  </si>
  <si>
    <t>오성학</t>
  </si>
  <si>
    <t>천정욱</t>
  </si>
  <si>
    <t>서현재</t>
  </si>
  <si>
    <t>Top up house deposit + rent</t>
  </si>
  <si>
    <t xml:space="preserve">신한 교통 2월 </t>
  </si>
  <si>
    <t>Printing</t>
  </si>
  <si>
    <t>Taxi w 현재, 재국</t>
  </si>
  <si>
    <t>교통(안경 맞춤, 서현재, 곽재국)</t>
  </si>
  <si>
    <t>교통(말레이시아 대사 통역 업무)</t>
  </si>
  <si>
    <t>고기 w 리샤</t>
  </si>
  <si>
    <t>Sell 신한미국S&amp;P500인덱스 70542@₩</t>
  </si>
  <si>
    <t>신한카드환불</t>
  </si>
  <si>
    <t>Wise 1 1MYR@324.573 KRW</t>
  </si>
  <si>
    <r>
      <rPr>
        <b val="1"/>
        <sz val="10"/>
        <color indexed="8"/>
        <rFont val="Helvetica Neue"/>
      </rPr>
      <t>MY61006-Exchange Expenses</t>
    </r>
  </si>
  <si>
    <t>Wei Tian</t>
  </si>
  <si>
    <t>교통(미국대사관 방문)</t>
  </si>
  <si>
    <t>Taxi (move houses)</t>
  </si>
  <si>
    <t>2월 Interest</t>
  </si>
  <si>
    <t>Transfer to Jing</t>
  </si>
  <si>
    <t>SEA Lunch</t>
  </si>
  <si>
    <t>Account Verification</t>
  </si>
  <si>
    <t>중개보수</t>
  </si>
  <si>
    <t>Boxes (move houses)</t>
  </si>
  <si>
    <t>김치찌개 (현재, 재국, 재호)</t>
  </si>
  <si>
    <t>Transfer to Hani</t>
  </si>
  <si>
    <t>교통(이사)</t>
  </si>
  <si>
    <t>중국어 새노래</t>
  </si>
  <si>
    <t>Internet 설치</t>
  </si>
  <si>
    <t>황희 gift</t>
  </si>
  <si>
    <t>고기 w 식구</t>
  </si>
  <si>
    <t>Daiso</t>
  </si>
  <si>
    <t>emart24</t>
  </si>
  <si>
    <t>집들이 w 문서진</t>
  </si>
  <si>
    <t>교통(운동 모임)</t>
  </si>
  <si>
    <t>Sell 신한 골드 0.15@₩</t>
  </si>
  <si>
    <t>교통(아현)</t>
  </si>
  <si>
    <t>Phone Plan</t>
  </si>
  <si>
    <t>Ediya Coffee</t>
  </si>
  <si>
    <t>Expenses</t>
  </si>
  <si>
    <t>Father Oh’s friend</t>
  </si>
  <si>
    <t>교통(시온)</t>
  </si>
  <si>
    <t>Wise 2 1MYR@323.422 KRW</t>
  </si>
  <si>
    <t>교통(디딤돌 결연식)</t>
  </si>
  <si>
    <t>곽재국 미소떡볶이 + 택시비</t>
  </si>
  <si>
    <t>강성현 바른치킨</t>
  </si>
  <si>
    <t>미진축산 w 学勤</t>
  </si>
  <si>
    <t>SEA Money</t>
  </si>
  <si>
    <t>통역비</t>
  </si>
  <si>
    <t>Return Samsung Money</t>
  </si>
  <si>
    <t>Savings</t>
  </si>
  <si>
    <t>사오 빵</t>
  </si>
  <si>
    <t>백소정</t>
  </si>
  <si>
    <t>3월 Samsung</t>
  </si>
  <si>
    <t>3월 Prepaid Phone Plan</t>
  </si>
  <si>
    <t>3월 Didimdol</t>
  </si>
  <si>
    <t>교통(귀가)</t>
  </si>
  <si>
    <t>개강예배 버스비</t>
  </si>
  <si>
    <t>기차 예배</t>
  </si>
  <si>
    <t>채크카드 복권 당첨 (취소)</t>
  </si>
  <si>
    <t>택시비</t>
  </si>
  <si>
    <t>PALS 카드로 기차표 예매</t>
  </si>
  <si>
    <t>황희 gift (취소)</t>
  </si>
  <si>
    <t>소이54 w Waralee</t>
  </si>
  <si>
    <t>Coffee</t>
  </si>
  <si>
    <t>Cash from 钱嘉男</t>
  </si>
  <si>
    <t>기차표 취소비</t>
  </si>
  <si>
    <t>기부</t>
  </si>
  <si>
    <t>2월 Savings</t>
  </si>
  <si>
    <t>从李振华收到666块钱， 和钱嘉男换了13万3千韩币</t>
  </si>
  <si>
    <t>재학증명서, 성적증명서, 장학금수혜증명서</t>
  </si>
  <si>
    <t>VISA extension</t>
  </si>
  <si>
    <t>와우바게트샌드위치</t>
  </si>
  <si>
    <t>착한커피</t>
  </si>
  <si>
    <t>교통(bahulu)</t>
  </si>
  <si>
    <t>교통(中国零食)</t>
  </si>
  <si>
    <t>转钱：钱嘉男</t>
  </si>
  <si>
    <t>钱嘉男</t>
  </si>
  <si>
    <t>3월 건강보험료, 4월 건강보험료</t>
  </si>
  <si>
    <t>Ice cream</t>
  </si>
  <si>
    <t>Fr Seil Oh</t>
  </si>
  <si>
    <t>교통(Hiking w OIA)</t>
  </si>
  <si>
    <t>钱嘉男 Laundry</t>
  </si>
  <si>
    <t>Laundry Card Recharge + Promotion</t>
  </si>
  <si>
    <r>
      <rPr>
        <b val="1"/>
        <sz val="10"/>
        <color indexed="8"/>
        <rFont val="Helvetica Neue"/>
      </rPr>
      <t>KR10502-Laundry</t>
    </r>
  </si>
  <si>
    <t>이불 Laundry</t>
  </si>
  <si>
    <t>이불 말리기</t>
  </si>
  <si>
    <t>2월 교통비</t>
  </si>
  <si>
    <t>교통(Mentor Meal w OIA)</t>
  </si>
  <si>
    <t>3월 교통비</t>
  </si>
  <si>
    <t>Grazie</t>
  </si>
  <si>
    <t>Stopped Didimdol</t>
  </si>
  <si>
    <t>광복김밥 w 곽재국, 安庆轩</t>
  </si>
  <si>
    <t>Wise 1 1MYR@327.487 KRW</t>
  </si>
  <si>
    <t>그라찌에</t>
  </si>
  <si>
    <t>PALS 환불</t>
  </si>
  <si>
    <t>MSDC</t>
  </si>
  <si>
    <t>교통(삼성 신입생)</t>
  </si>
  <si>
    <t>李振华红包 + 왕익곤 회비</t>
  </si>
  <si>
    <t>왕익곤 회비</t>
  </si>
  <si>
    <t>2025-1 Allowance</t>
  </si>
  <si>
    <t>상하이 비행기표</t>
  </si>
  <si>
    <t>3월 Savings</t>
  </si>
  <si>
    <t>Forgiving 钱嘉男’s Debt</t>
  </si>
  <si>
    <t>Preparation Fund</t>
  </si>
  <si>
    <t>Emergency Fund</t>
  </si>
  <si>
    <t>춘리마라탕 w Waralee</t>
  </si>
  <si>
    <t>핵반 w 钱嘉男</t>
  </si>
  <si>
    <t>Albina PALS</t>
  </si>
  <si>
    <t>Dilnoza PALS</t>
  </si>
  <si>
    <t>Boardgame w 익곤</t>
  </si>
  <si>
    <t>Boardgame Cafe</t>
  </si>
  <si>
    <t>상하이 비행기표 (취소)</t>
  </si>
  <si>
    <t>Water</t>
  </si>
  <si>
    <t>닭한마리</t>
  </si>
  <si>
    <t>Printing 조교</t>
  </si>
  <si>
    <t>Printing PALS</t>
  </si>
  <si>
    <t>투썸 w 김형주</t>
  </si>
  <si>
    <t>Sabina PALS</t>
  </si>
  <si>
    <t>신발 세탁</t>
  </si>
  <si>
    <t>커피인더스트리 @ MSDC</t>
  </si>
  <si>
    <t>교통(MSDC)</t>
  </si>
  <si>
    <t>이빠네마그릴 w 문서진</t>
  </si>
  <si>
    <t>롤링파스타 和王君熙和尤其多</t>
  </si>
  <si>
    <t>옷</t>
  </si>
  <si>
    <t>LIUZECHENG PALS</t>
  </si>
  <si>
    <t>Change Money for LIUZECHENG PALS</t>
  </si>
  <si>
    <t>현금IC캐시백</t>
  </si>
  <si>
    <t>Groceries</t>
  </si>
  <si>
    <t>Boardgame Cafe (Refund)</t>
  </si>
  <si>
    <t>떡볶이 + 튀김</t>
  </si>
  <si>
    <t>Wise 2 1MYR@330.886 KRW</t>
  </si>
  <si>
    <t>떡볶이 + 튀김 和王君熙，李问涛，王其昌</t>
  </si>
  <si>
    <t>Partial refund</t>
  </si>
  <si>
    <t>1월 Savings</t>
  </si>
  <si>
    <t>emart24 + insurance pay back(钱嘉男)</t>
  </si>
  <si>
    <t>Charity PALS</t>
  </si>
  <si>
    <t>Natalie PALS</t>
  </si>
  <si>
    <t>Rent + emart24 pay back (钱嘉男)</t>
  </si>
  <si>
    <t>교통(PALS Picnic)</t>
  </si>
  <si>
    <t>부탄츄</t>
  </si>
  <si>
    <t>Sogang TA Salary</t>
  </si>
  <si>
    <t>Han Gang Picnic 정산</t>
  </si>
  <si>
    <t>한우 王学勤</t>
  </si>
  <si>
    <t>교통(한우 王学勤)</t>
  </si>
  <si>
    <t>Transfer to Shinhan Invest (Wrong Transfer)</t>
  </si>
  <si>
    <t>Buy 신한 골드 0.77@₩</t>
  </si>
  <si>
    <t>새현대약국</t>
  </si>
  <si>
    <t>Starbucks w Charity, Natalie</t>
  </si>
  <si>
    <t>Wi-Fi</t>
  </si>
  <si>
    <t>교통(Met Charity + Back from ZIon)</t>
  </si>
  <si>
    <t>Ediya</t>
  </si>
  <si>
    <t>Nail</t>
  </si>
  <si>
    <t>Frank Burger w 천정욱, 이황희</t>
  </si>
  <si>
    <t>세탁소</t>
  </si>
  <si>
    <t>Perfume for Rachel</t>
  </si>
  <si>
    <t>Perfume for Me</t>
  </si>
  <si>
    <t>Perfume for Me &amp; Rachel</t>
  </si>
  <si>
    <t>Hand cream for 王学勤</t>
  </si>
  <si>
    <t>PALS</t>
  </si>
  <si>
    <t>교통(Rachel Birthday)</t>
  </si>
  <si>
    <t>Sabina PALS, Dilnoza PALS</t>
  </si>
  <si>
    <t>4월 Samsung</t>
  </si>
  <si>
    <t>4월 Prepaid Phone Plan</t>
  </si>
  <si>
    <t>펀드예탁금이자</t>
  </si>
  <si>
    <t>3월 Interest</t>
  </si>
  <si>
    <t>Buy 신한미국S&amp;P500인덱스 48680@₩</t>
  </si>
  <si>
    <t>신입학국제학생 멘토링비</t>
  </si>
  <si>
    <t>Bakso Rindu Kampung w 钱嘉男</t>
  </si>
  <si>
    <t>교통(Bakso Rindu Kampung w 钱嘉男)</t>
  </si>
  <si>
    <t>Grazie for 최서빈</t>
  </si>
  <si>
    <t>피자 w 알루아</t>
  </si>
  <si>
    <t>GS25 Umbrella</t>
  </si>
  <si>
    <t>김가네 w 钱嘉男</t>
  </si>
  <si>
    <t>노래방 w Lorelie, 지안, Ahmed, Mika, 최아라</t>
  </si>
  <si>
    <t>Han River Picnic - Jiangyikun</t>
  </si>
  <si>
    <t>Emart w 安庆轩</t>
  </si>
  <si>
    <t>CU (Wire)</t>
  </si>
  <si>
    <t>PALS Bowling</t>
  </si>
  <si>
    <t>교통(당근)</t>
  </si>
  <si>
    <t>교통(삼성)</t>
  </si>
  <si>
    <t>르 쁠래지흐 뒤</t>
  </si>
  <si>
    <t>王学勤生日礼物</t>
  </si>
  <si>
    <t>Emart w 钱嘉男</t>
  </si>
  <si>
    <t>打印 w 钱嘉男</t>
  </si>
  <si>
    <t>Allianz</t>
  </si>
  <si>
    <t>쿠팡이츠 w 钱嘉男</t>
  </si>
  <si>
    <t>Electricity Bill</t>
  </si>
  <si>
    <t>Gas Bill</t>
  </si>
  <si>
    <t>Flight to Malaysia</t>
  </si>
  <si>
    <r>
      <rPr>
        <b val="1"/>
        <sz val="10"/>
        <color indexed="8"/>
        <rFont val="Helvetica Neue"/>
      </rPr>
      <t>MY61004-Transportation Expenses</t>
    </r>
  </si>
  <si>
    <t>카페리시오</t>
  </si>
  <si>
    <t>서강대산학협력</t>
  </si>
  <si>
    <t>Welcoming Dinner</t>
  </si>
  <si>
    <t>Starbucks</t>
  </si>
  <si>
    <t>McDonalds w Princess, Trippy</t>
  </si>
  <si>
    <t>Ferragamo for 王君熙</t>
  </si>
  <si>
    <t>安庆轩</t>
  </si>
  <si>
    <t>봉쥬르마카롱</t>
  </si>
  <si>
    <t>WeChat 1 1CNY@199.627 KRW</t>
  </si>
  <si>
    <t>청석골타감자탕</t>
  </si>
  <si>
    <t>4월 교통비</t>
  </si>
  <si>
    <t>Hermes for 钱嘉男</t>
  </si>
  <si>
    <t>Cake for 钱嘉男</t>
  </si>
  <si>
    <t>교통(海底捞—钱嘉男)</t>
  </si>
  <si>
    <t>王君熙生日派对</t>
  </si>
  <si>
    <t>Emart w 王学勤</t>
  </si>
  <si>
    <t>Twosome Place</t>
  </si>
  <si>
    <t>Jun Tmoney</t>
  </si>
  <si>
    <t>Study Session Day 1</t>
  </si>
  <si>
    <t>교통(Study w Jun)</t>
  </si>
  <si>
    <t>보승회관 w Alua</t>
  </si>
  <si>
    <t>학식</t>
  </si>
  <si>
    <t>부탄츄 w 刘镇铭</t>
  </si>
  <si>
    <t>Study Session Day 2</t>
  </si>
  <si>
    <t>보승회관 w 王学勤</t>
  </si>
  <si>
    <t>MSDC Fine</t>
  </si>
  <si>
    <t>Lunch w Xavier</t>
  </si>
  <si>
    <t>SEA Studies Meeting</t>
  </si>
  <si>
    <t>Baskin Robins w Waralee</t>
  </si>
  <si>
    <t>교통(SEA Meeting)</t>
  </si>
  <si>
    <t>교통(School)</t>
  </si>
  <si>
    <t>Port Can Coffee</t>
  </si>
  <si>
    <t>Dinner w Alua, Tisya</t>
  </si>
  <si>
    <t>Emart24</t>
  </si>
  <si>
    <t>Flower for Alua</t>
  </si>
  <si>
    <t>Chunli Malatang w Alua</t>
  </si>
  <si>
    <t>Chunli Malatang w Alua (포장비)</t>
  </si>
  <si>
    <t>Coupang Eats w Alua, Shun Lae</t>
  </si>
  <si>
    <t>나이스샤워 w 천정욱</t>
  </si>
  <si>
    <t>핵밥 w Shun Lae, Alua</t>
  </si>
  <si>
    <t>떡볶이 + 어묵 w Alua</t>
  </si>
  <si>
    <t>학교식당</t>
  </si>
  <si>
    <t>Malatang w 钱嘉男</t>
  </si>
  <si>
    <t>CU for Alua, Shun Lae</t>
  </si>
  <si>
    <t>CU w 安庆轩</t>
  </si>
  <si>
    <t>Hani Debt</t>
  </si>
  <si>
    <t>JUMP Didimdol Scholarship</t>
  </si>
  <si>
    <t>명륜진사갈비 w 钱嘉男</t>
  </si>
  <si>
    <t>5월 건강보험료</t>
  </si>
  <si>
    <t>Belle</t>
  </si>
  <si>
    <t>4월 Savings</t>
  </si>
  <si>
    <r>
      <rPr>
        <b val="1"/>
        <sz val="10"/>
        <color indexed="8"/>
        <rFont val="Helvetica Neue"/>
      </rPr>
      <t>KR10204-Savings April</t>
    </r>
  </si>
  <si>
    <t>Buy 신한 골드 0.43@₩</t>
  </si>
  <si>
    <t>CU w Alua, Shun Lae</t>
  </si>
  <si>
    <t>7Eleven w Alua, Shun Lae</t>
  </si>
  <si>
    <t>Han River w Alua, Shun Lae</t>
  </si>
  <si>
    <t>Wise 2 1MYR@329.027 KRW</t>
  </si>
  <si>
    <t>Baskin Robins w Alua, Shun Lae</t>
  </si>
  <si>
    <t>교통(한강)</t>
  </si>
  <si>
    <t>교통(이황희)</t>
  </si>
  <si>
    <t>牛肉面和钱嘉男</t>
  </si>
  <si>
    <t>무신사 (예비비)</t>
  </si>
  <si>
    <t>Pop Mart 手机壳 （钱嘉男）</t>
  </si>
  <si>
    <t>인형（钱嘉男）</t>
  </si>
  <si>
    <t>The Ordinary (예비비)</t>
  </si>
  <si>
    <t>소금빵（钱嘉男）</t>
  </si>
  <si>
    <t>大创（钱嘉男）</t>
  </si>
  <si>
    <t>교통(Hongdae w 钱嘉男)</t>
  </si>
  <si>
    <t>Coupang w 钱嘉男</t>
  </si>
  <si>
    <t>예비비</t>
  </si>
  <si>
    <t>CU w 钱嘉男</t>
  </si>
  <si>
    <t>Baskin Robbins w 钱嘉男</t>
  </si>
  <si>
    <t>WeChat 2 1CNY@198.328 KRW</t>
  </si>
  <si>
    <t>Buy 신한미국S&amp;P500인덱스 77729@₩</t>
  </si>
  <si>
    <t>洗鞋子（钱嘉男）</t>
  </si>
  <si>
    <t>이황희</t>
  </si>
  <si>
    <t>Coffee w 천정욱</t>
  </si>
  <si>
    <t>5월 Prepaid Phone Plan</t>
  </si>
  <si>
    <t>4월 Interest</t>
  </si>
  <si>
    <t>이후</t>
  </si>
  <si>
    <r>
      <rPr>
        <b val="1"/>
        <sz val="10"/>
        <color indexed="8"/>
        <rFont val="Helvetica Neue"/>
      </rPr>
      <t>CN10101-WeChat Account</t>
    </r>
  </si>
  <si>
    <r>
      <rPr>
        <b val="1"/>
        <sz val="10"/>
        <color indexed="8"/>
        <rFont val="Helvetica Neue"/>
      </rPr>
      <t>CN70006-Other Income</t>
    </r>
  </si>
  <si>
    <t>용애마트 (PALS MT)</t>
  </si>
  <si>
    <t>CU (PALS MT)</t>
  </si>
  <si>
    <t>차백도 w Sarah</t>
  </si>
  <si>
    <t>마라공방</t>
  </si>
  <si>
    <t>교통(理发师)</t>
  </si>
  <si>
    <t>교통(新村运动大会)</t>
  </si>
  <si>
    <t>Le Plaisir du Pain</t>
  </si>
  <si>
    <t xml:space="preserve">Coupang </t>
  </si>
  <si>
    <t>교통(李皇熙)</t>
  </si>
  <si>
    <t>PALS 야구 경기 예매</t>
  </si>
  <si>
    <t>麻辣香锅 w Waralee</t>
  </si>
  <si>
    <t>카페 w 安庆轩，刘镇铭</t>
  </si>
  <si>
    <t>교통(북촌마을)</t>
  </si>
  <si>
    <t>炸猪排 w 安庆轩，刘镇铭</t>
  </si>
  <si>
    <t>프랭크버거 w 安庆轩，刘镇铭</t>
  </si>
  <si>
    <t>차백도</t>
  </si>
  <si>
    <t>옷 + 신발</t>
  </si>
  <si>
    <t>기침약</t>
  </si>
  <si>
    <t>교통(口袋妖怪)</t>
  </si>
  <si>
    <t>아끼소바</t>
  </si>
  <si>
    <t>PALS 야구 경기 예매 환불</t>
  </si>
  <si>
    <t>채크카드 복권 당첨 취소</t>
  </si>
  <si>
    <t>정동원</t>
  </si>
  <si>
    <t>타코 w 安庆轩</t>
  </si>
  <si>
    <t>교통(圣水，安庆轩)</t>
  </si>
  <si>
    <t>미진축산 w 安庆轩</t>
  </si>
  <si>
    <t>钱嘉男换钱</t>
  </si>
  <si>
    <t>정혜란</t>
  </si>
  <si>
    <t>최운철</t>
  </si>
  <si>
    <t>서강동문장학회</t>
  </si>
  <si>
    <t>김태연</t>
  </si>
  <si>
    <t>마스크</t>
  </si>
  <si>
    <t>교통(PALS 야구)</t>
  </si>
  <si>
    <t>钱嘉男：书包</t>
  </si>
  <si>
    <r>
      <rPr>
        <b val="1"/>
        <sz val="10"/>
        <color indexed="8"/>
        <rFont val="Helvetica Neue"/>
      </rPr>
      <t>CN60005-Personal Expenses</t>
    </r>
  </si>
  <si>
    <t>여우골 초밥 w 安庆轩</t>
  </si>
  <si>
    <t>서강야구복</t>
  </si>
  <si>
    <t>반지</t>
  </si>
  <si>
    <t>뽁식당 w 安庆轩</t>
  </si>
  <si>
    <t>에어팟 프로 2</t>
  </si>
  <si>
    <t>문서진 군바</t>
  </si>
  <si>
    <t>Forgiving Debts (Aery 3300, Trippy 12300)</t>
  </si>
  <si>
    <t>Debt Audit</t>
  </si>
  <si>
    <t>Receivables Audit</t>
  </si>
  <si>
    <t>Cash Audit</t>
  </si>
  <si>
    <t>emart24 Umbrella</t>
  </si>
  <si>
    <t>Daiso Raincoat</t>
  </si>
  <si>
    <t>Coupang Eats w 安庆轩</t>
  </si>
  <si>
    <t>Laundry</t>
  </si>
  <si>
    <t>교통(弘大校庆)</t>
  </si>
  <si>
    <t>Lotteria</t>
  </si>
  <si>
    <t>교통(乐天世界)</t>
  </si>
  <si>
    <t>5월 교통비</t>
  </si>
  <si>
    <t>교통(东庙站——安庆轩——故着衣服)</t>
  </si>
  <si>
    <t>하이디라오 w 安庆轩</t>
  </si>
  <si>
    <t>학교 식당</t>
  </si>
  <si>
    <t>Outbox for 安庆轩</t>
  </si>
  <si>
    <t>7Eleven for 安庆轩</t>
  </si>
  <si>
    <t>하이디라오 w 安庆轩, 刘镇铭</t>
  </si>
  <si>
    <t>安庆轩 - 电话卡</t>
  </si>
  <si>
    <t>이윤하</t>
  </si>
  <si>
    <t>교통(安庆轩电话卡)</t>
  </si>
  <si>
    <t>곤자가 플라자</t>
  </si>
  <si>
    <t>기록 없음 (제이피에프엔비)</t>
  </si>
  <si>
    <t>茶百道 w 钱嘉男</t>
  </si>
  <si>
    <t>Wash Shoe</t>
  </si>
  <si>
    <t>钱嘉男：无记录</t>
  </si>
  <si>
    <t>해탄신논현점 - 安庆轩</t>
  </si>
  <si>
    <t>Banapresso, Meeting w Sally</t>
  </si>
  <si>
    <t>교통(安庆轩)</t>
  </si>
  <si>
    <t>사랑니 발치</t>
  </si>
  <si>
    <t>알라딘중고서점</t>
  </si>
  <si>
    <t>钱嘉男：西瓜</t>
  </si>
  <si>
    <r>
      <rPr>
        <b val="1"/>
        <sz val="10"/>
        <color indexed="8"/>
        <rFont val="Helvetica Neue"/>
      </rPr>
      <t>CN10401-Friends Receivable</t>
    </r>
  </si>
  <si>
    <t>Withdraw - 安庆轩交通卡</t>
  </si>
  <si>
    <t>安庆轩交通卡</t>
  </si>
  <si>
    <t>곽만근갈비탕상봉점 - 安庆轩</t>
  </si>
  <si>
    <t>메가커피 - 安庆轩</t>
  </si>
  <si>
    <t>6월 건강보험료</t>
  </si>
  <si>
    <t>양원삼겹살 - 安庆轩</t>
  </si>
  <si>
    <t>Wise 1 1MYR@322.870 KRW</t>
  </si>
  <si>
    <t xml:space="preserve">잎사귀치과 </t>
  </si>
  <si>
    <t>5월 Savings</t>
  </si>
  <si>
    <r>
      <rPr>
        <b val="1"/>
        <sz val="10"/>
        <color indexed="8"/>
        <rFont val="Helvetica Neue"/>
      </rPr>
      <t>KR10205-Savings May</t>
    </r>
  </si>
  <si>
    <t>Buy 신한 골드 0.21@₩</t>
  </si>
  <si>
    <t>고기꾼짐춘배 - 安庆轩</t>
  </si>
  <si>
    <t>Study Session 3</t>
  </si>
  <si>
    <t>Study Session 4</t>
  </si>
  <si>
    <t>Buy 신한미국S&amp;P500인덱스 72518@₩</t>
  </si>
  <si>
    <t>Pens</t>
  </si>
  <si>
    <t>세탁</t>
  </si>
  <si>
    <t>热卤鸭货 w 钱嘉男</t>
  </si>
  <si>
    <t>茶百道, 热卤鸭货 w 钱嘉男</t>
  </si>
  <si>
    <t>교통(Zion)</t>
  </si>
  <si>
    <t>이성민</t>
  </si>
  <si>
    <t>최아라 (짜짱면)</t>
  </si>
  <si>
    <t>돈우마미 w 钱嘉男</t>
  </si>
  <si>
    <t>WeChat 1 1CNY@188.889 KRW</t>
  </si>
  <si>
    <t>픽미픽미아이스</t>
  </si>
  <si>
    <t>렛 미 얼론</t>
  </si>
  <si>
    <t>6월 Prepaid Phone Plan</t>
  </si>
  <si>
    <t xml:space="preserve">CU </t>
  </si>
  <si>
    <t>교통(예은교회)</t>
  </si>
  <si>
    <t>다이소 환불</t>
  </si>
  <si>
    <t>다이소 재결제</t>
  </si>
  <si>
    <t>유준상</t>
  </si>
  <si>
    <t xml:space="preserve">Study Session </t>
  </si>
  <si>
    <t>교통(등산)</t>
  </si>
  <si>
    <t>Exchange w 钱嘉男朋友</t>
  </si>
  <si>
    <t>WeChat 1 1CNY@191.939 KRW</t>
  </si>
  <si>
    <t>Exchange w 王君熙</t>
  </si>
  <si>
    <t>WeChat 2 1CNY@189.823 KRW</t>
  </si>
  <si>
    <r>
      <rPr>
        <b val="1"/>
        <sz val="10"/>
        <color indexed="8"/>
        <rFont val="Helvetica Neue"/>
      </rPr>
      <t>CN10000-Cash</t>
    </r>
  </si>
  <si>
    <t>교통(君熙妈妈爸爸)</t>
  </si>
  <si>
    <t>헬스보이 짐</t>
  </si>
  <si>
    <t>王其昌</t>
  </si>
  <si>
    <t>메가커피 for 천정욱</t>
  </si>
  <si>
    <t>올리브영 for Aisyah</t>
  </si>
  <si>
    <t>Dior for Aisyah</t>
  </si>
  <si>
    <r>
      <rPr>
        <b val="1"/>
        <sz val="10"/>
        <color indexed="8"/>
        <rFont val="Helvetica Neue"/>
      </rPr>
      <t>CN60002-Food Expenses</t>
    </r>
  </si>
  <si>
    <t>2018심양</t>
  </si>
  <si>
    <t>메가커피 + 길상양꼬치</t>
  </si>
  <si>
    <t>택시 to 판교</t>
  </si>
  <si>
    <t>교통(판교)</t>
  </si>
  <si>
    <t>McDonalds from Trippy</t>
  </si>
  <si>
    <t>Exchange 1CNY@182.360 KRW</t>
  </si>
  <si>
    <t xml:space="preserve">쭈꾸미 </t>
  </si>
  <si>
    <t>헌금 + 떡</t>
  </si>
  <si>
    <t>钱嘉男礼物</t>
  </si>
  <si>
    <t>Sonia Mega Coffee Gift</t>
  </si>
  <si>
    <t>6월 교통비</t>
  </si>
  <si>
    <t>Printing - 경영정보시스템</t>
  </si>
  <si>
    <t>Zixue Mega Coffee Gift</t>
  </si>
  <si>
    <t>헌금 + 십일조</t>
  </si>
  <si>
    <t>체크카드 복권 당첨</t>
  </si>
  <si>
    <t>Mega Coffee</t>
  </si>
  <si>
    <r>
      <rPr>
        <b val="1"/>
        <sz val="10"/>
        <color indexed="8"/>
        <rFont val="Helvetica Neue"/>
      </rPr>
      <t>KR10206-Savings June</t>
    </r>
  </si>
  <si>
    <t>Sonia</t>
  </si>
  <si>
    <t>김영남</t>
  </si>
  <si>
    <t>메가커피</t>
  </si>
  <si>
    <t>마쌈 w Alua, Shunn Lae</t>
  </si>
  <si>
    <t>钱嘉男衣服</t>
  </si>
  <si>
    <t>Allowance from 철학적인간학 교수님</t>
  </si>
  <si>
    <t xml:space="preserve">투썸플레이스 </t>
  </si>
  <si>
    <t>투썸플레이스 for Ahmed</t>
  </si>
  <si>
    <t>투썸플레이스 for Kistina</t>
  </si>
  <si>
    <t>이다현</t>
  </si>
  <si>
    <t>핵밥 w Waralee (SEA Studies)</t>
  </si>
  <si>
    <t>설빙 w Waralee (SEA Studies)</t>
  </si>
  <si>
    <t>Olive Young for Dane</t>
  </si>
  <si>
    <t>Cash to 钱嘉男</t>
  </si>
  <si>
    <t>SEA Studies reimbursement</t>
  </si>
  <si>
    <t>영어 시험지</t>
  </si>
  <si>
    <t xml:space="preserve">헌금 </t>
  </si>
  <si>
    <t>교통(Haircut)</t>
  </si>
  <si>
    <t>ChatGPT</t>
  </si>
  <si>
    <t>김민식</t>
  </si>
  <si>
    <t>교통(Samsung Leadership Camp)</t>
  </si>
  <si>
    <t>Wise 1 1MYR@320.517 KRW</t>
  </si>
  <si>
    <t>카드등록</t>
  </si>
  <si>
    <t>Wise 2 1MYR@321.482 KRW</t>
  </si>
  <si>
    <t>Tisya &amp; Teena’s birthday gift</t>
  </si>
  <si>
    <t>7월 건강보험료</t>
  </si>
  <si>
    <t>교통(Samsung Leadership Camp &amp; Teena Tisya)</t>
  </si>
  <si>
    <t>TA Salary</t>
  </si>
  <si>
    <t>Album Aliya</t>
  </si>
  <si>
    <t>GS25 (Gift from Korea)</t>
  </si>
  <si>
    <t>Daiso (Gift from Korea)</t>
  </si>
  <si>
    <t>교통(준)</t>
  </si>
  <si>
    <t>잠바주스</t>
  </si>
  <si>
    <t>교통(공항)</t>
  </si>
  <si>
    <t>Grab</t>
  </si>
  <si>
    <r>
      <rPr>
        <b val="1"/>
        <sz val="10"/>
        <color indexed="8"/>
        <rFont val="Helvetica Neue"/>
      </rPr>
      <t>MY11000-Cash</t>
    </r>
  </si>
  <si>
    <t>San Francisco Coffee w Aliya, Annissaa</t>
  </si>
  <si>
    <t>7월 Prepaid Phone Plan</t>
  </si>
  <si>
    <t>The Coffee Bean w Dania</t>
  </si>
  <si>
    <t>Mamak w Dania</t>
  </si>
  <si>
    <t>TouchnGo to 정승현</t>
  </si>
  <si>
    <t>iCloud+ (1500원 할인)</t>
  </si>
  <si>
    <t>PALS refund</t>
  </si>
  <si>
    <t>TAKA PATISSERIE SETAPAK</t>
  </si>
  <si>
    <t>Accounts Payable Audit</t>
  </si>
  <si>
    <t>China Trip Flights</t>
  </si>
  <si>
    <t>China Trip Hotel (Shanghai)</t>
  </si>
  <si>
    <t>Transfer to Toss (Audit)</t>
  </si>
  <si>
    <t xml:space="preserve">Cashback </t>
  </si>
  <si>
    <t>Alipay</t>
  </si>
  <si>
    <t>Snack</t>
  </si>
  <si>
    <r>
      <rPr>
        <b val="1"/>
        <sz val="10"/>
        <color indexed="8"/>
        <rFont val="Helvetica Neue"/>
      </rPr>
      <t>MY61002-Food Expenses</t>
    </r>
  </si>
  <si>
    <t>Trip eSIM</t>
  </si>
  <si>
    <t>HOGAN BAKERY</t>
  </si>
  <si>
    <t>99 Speedmart</t>
  </si>
  <si>
    <t>Samsung Reimbursement</t>
  </si>
  <si>
    <t>BRANDS OUTLET</t>
  </si>
  <si>
    <t>7월 교통비</t>
  </si>
  <si>
    <t>Sell 신한 골드 1.62@₩</t>
  </si>
  <si>
    <t>September Teach English Project Budget</t>
  </si>
  <si>
    <t>Sell 신한미국S&amp;P500인덱스 198927@₩</t>
  </si>
  <si>
    <t>Gains</t>
  </si>
  <si>
    <t>Adam 계좌확인</t>
  </si>
  <si>
    <r>
      <rPr>
        <b val="1"/>
        <sz val="10"/>
        <color indexed="8"/>
        <rFont val="Helvetica Neue"/>
      </rPr>
      <t>CN30201-Friends Debt</t>
    </r>
  </si>
  <si>
    <t>부탄츄 w 남승우</t>
  </si>
  <si>
    <t>롯데리아</t>
  </si>
  <si>
    <t>昆明酒店</t>
  </si>
  <si>
    <t>Borrowed a random man money in Kunming</t>
  </si>
  <si>
    <t>eSIM</t>
  </si>
  <si>
    <t>美宜佳</t>
  </si>
  <si>
    <t>云贵川农家菜</t>
  </si>
  <si>
    <t>美团-霸王茶姬</t>
  </si>
  <si>
    <t>德佑盛腾达地产</t>
  </si>
  <si>
    <t>Apple Store</t>
  </si>
  <si>
    <t>챗GPT</t>
  </si>
  <si>
    <t>Starbucks Vietnam</t>
  </si>
  <si>
    <t>鲜花饼</t>
  </si>
  <si>
    <t>一心便利店</t>
  </si>
  <si>
    <t>按摩椅</t>
  </si>
  <si>
    <t>하나카드환불</t>
  </si>
  <si>
    <t>台球和振华和君熙</t>
  </si>
  <si>
    <t>4월 Savings - 9321</t>
  </si>
  <si>
    <t>钛依钛贸易</t>
  </si>
  <si>
    <t>买衣服</t>
  </si>
  <si>
    <t>君熙（珠海酒店）</t>
  </si>
  <si>
    <t>君熙（吃喝玩乐）</t>
  </si>
  <si>
    <t>糖水</t>
  </si>
  <si>
    <t>珠海长隆矿泉水</t>
  </si>
  <si>
    <t>运佳便利店-辣条</t>
  </si>
  <si>
    <t>君熙（珠海长隆）</t>
  </si>
  <si>
    <t>5월 Savings - 6121</t>
  </si>
  <si>
    <t>全家和振华</t>
  </si>
  <si>
    <t>M Stand</t>
  </si>
  <si>
    <t>美团-喜茶</t>
  </si>
  <si>
    <t>8월 Prepaid Phone Plan</t>
  </si>
  <si>
    <t>支付宝1 1CNY@198.621 KRW</t>
  </si>
  <si>
    <t>振华帮购票</t>
  </si>
  <si>
    <t>滴滴</t>
  </si>
  <si>
    <t>喜市多</t>
  </si>
  <si>
    <t>中国联通</t>
  </si>
  <si>
    <t>阿姨给的红包</t>
  </si>
  <si>
    <t>优酷信息技术（北京）有限公司</t>
  </si>
  <si>
    <t>支付宝</t>
  </si>
  <si>
    <t>支付宝-酒吧和振华</t>
  </si>
  <si>
    <t>君熙（迪士尼）</t>
  </si>
  <si>
    <t>给君熙</t>
  </si>
  <si>
    <t>茉莉奶茶</t>
  </si>
  <si>
    <t>支付宝-Pop Mart</t>
  </si>
  <si>
    <t>全家</t>
  </si>
  <si>
    <t>霸王茶姬</t>
  </si>
  <si>
    <t>Pop Mart</t>
  </si>
  <si>
    <t>高铁</t>
  </si>
  <si>
    <t>苹果手机膜</t>
  </si>
  <si>
    <t>转给钱嘉男</t>
  </si>
  <si>
    <t>现金给君熙</t>
  </si>
  <si>
    <t>君熙（上海-无锡高铁票）</t>
  </si>
  <si>
    <t>美团-早饭和君熙和其昌</t>
  </si>
  <si>
    <t>拍照馆</t>
  </si>
  <si>
    <t>Gentle Monster</t>
  </si>
  <si>
    <t>Times Remake 帽子</t>
  </si>
  <si>
    <t>SMF Money</t>
  </si>
  <si>
    <t>INS</t>
  </si>
  <si>
    <t>书签</t>
  </si>
  <si>
    <t>君熙（吃喝玩乐 3号-7号）</t>
  </si>
  <si>
    <t>无锡地铁（三阳广场站）</t>
  </si>
  <si>
    <t>君熙（吃喝玩乐 8号-9号）</t>
  </si>
  <si>
    <t>无锡地铁（无锡火车站）</t>
  </si>
  <si>
    <t>上海市黄浦区玉宝阁工艺品商店</t>
  </si>
  <si>
    <t>Transfer to TnG</t>
  </si>
  <si>
    <t>뚜레쥬르</t>
  </si>
  <si>
    <t>Preply</t>
  </si>
  <si>
    <t>무야호랜드</t>
  </si>
  <si>
    <t>CoffeeBreak</t>
  </si>
  <si>
    <t>오세일 교수님</t>
  </si>
  <si>
    <t>镇铭转给君熙</t>
  </si>
  <si>
    <t>换君熙2500RMB（50w韩币）</t>
  </si>
  <si>
    <t>君熙帮交房租</t>
  </si>
  <si>
    <t>Cash (Audit)</t>
  </si>
  <si>
    <t>振华帮把机票改签（两次）</t>
  </si>
  <si>
    <t>Zaim’s Receivable Used to Pay 钱嘉男 Debt</t>
  </si>
  <si>
    <t>카카오택시</t>
  </si>
  <si>
    <t>SPM Translation</t>
  </si>
  <si>
    <t>정욱 재국 작별회</t>
  </si>
  <si>
    <t>남승우 물 쿠팡</t>
  </si>
  <si>
    <t>WiFi</t>
  </si>
  <si>
    <t>1월 Savings - 2321</t>
  </si>
  <si>
    <t>2월 Savings - 9362</t>
  </si>
  <si>
    <t>6월 Savings - 4469</t>
  </si>
  <si>
    <t>庆轩</t>
  </si>
  <si>
    <t>커피니</t>
  </si>
  <si>
    <t>증명서 발급</t>
  </si>
  <si>
    <t>마라탕</t>
  </si>
  <si>
    <t>파워에이드</t>
  </si>
  <si>
    <t>Wise 1 1MYR@329.153 KRW</t>
  </si>
  <si>
    <t>转给君熙</t>
  </si>
  <si>
    <t>8월 &amp; 9월 건강보험료</t>
  </si>
  <si>
    <t>王君熙保险费</t>
  </si>
  <si>
    <t>王君熙保险费  1CNY@195.130KRW</t>
  </si>
  <si>
    <t>汤饭跟君熙</t>
  </si>
  <si>
    <t>BBQ跟君熙</t>
  </si>
  <si>
    <t>BBQ跟君熙 1CNY@195.130KRW</t>
  </si>
  <si>
    <t>구이마을跟君熙，其昌，琳峥</t>
  </si>
  <si>
    <t>공항버스</t>
  </si>
  <si>
    <t>Exchange 1 1MYR@329.153 KRW</t>
  </si>
  <si>
    <t>9월 Prepaid Phone Plan</t>
  </si>
  <si>
    <t>Used 王学勤’s card to pay for PALS</t>
  </si>
  <si>
    <t>PALS paid to 王君熙’s card</t>
  </si>
  <si>
    <t>삼성 봉사 환급: Hana</t>
  </si>
  <si>
    <t>Borrow: 君熙</t>
  </si>
  <si>
    <t>Borrow: 钱嘉男</t>
  </si>
  <si>
    <t>PALS hike ice cream</t>
  </si>
  <si>
    <t>서강대학식당</t>
  </si>
  <si>
    <t xml:space="preserve">정착지원 멘토 </t>
  </si>
  <si>
    <t>서강서림</t>
  </si>
  <si>
    <t>Contra Debt &amp; Receivables: 君熙</t>
  </si>
  <si>
    <t>Contra Debt &amp; Receivables: 钱嘉男</t>
  </si>
  <si>
    <t>수지상회</t>
  </si>
  <si>
    <t>부탄츄 w Dylan</t>
  </si>
  <si>
    <t>이마트24</t>
  </si>
  <si>
    <t>정육면체 w 钱嘉男</t>
  </si>
  <si>
    <t>우리농산물</t>
  </si>
  <si>
    <t>Accounts Receivable Audit</t>
  </si>
  <si>
    <t>Short Term Debt Audit</t>
  </si>
  <si>
    <t>2025-2 Allowance</t>
  </si>
  <si>
    <t>청진동해장국 w Dylan</t>
  </si>
  <si>
    <t>오야봉</t>
  </si>
  <si>
    <t>5월 Savings - 9321</t>
  </si>
  <si>
    <t>Exchange 1CNY@200.95 KRW</t>
  </si>
  <si>
    <t>镇铭</t>
  </si>
  <si>
    <t>Cash</t>
  </si>
  <si>
    <t>Extra</t>
  </si>
  <si>
    <r>
      <rPr>
        <b val="1"/>
        <sz val="10"/>
        <color indexed="8"/>
        <rFont val="Helvetica Neue"/>
      </rPr>
      <t>KR60006-Exchange Expenses</t>
    </r>
  </si>
  <si>
    <t>还钱消费</t>
  </si>
  <si>
    <t>Exchange 1CNY@197.45 KRW</t>
  </si>
  <si>
    <t>Cardinal Shirt</t>
  </si>
  <si>
    <t>Wise 1 1MYR@334.200 KRW</t>
  </si>
  <si>
    <t>Vending Machine</t>
  </si>
  <si>
    <t>블루포트</t>
  </si>
  <si>
    <t>Cafe Ann</t>
  </si>
  <si>
    <t>하늘정원더파티</t>
  </si>
  <si>
    <t>Burger King</t>
  </si>
</sst>
</file>

<file path=xl/styles.xml><?xml version="1.0" encoding="utf-8"?>
<styleSheet xmlns="http://schemas.openxmlformats.org/spreadsheetml/2006/main">
  <numFmts count="5">
    <numFmt numFmtId="0" formatCode="General"/>
    <numFmt numFmtId="59" formatCode="yyyy-mm-dd"/>
    <numFmt numFmtId="60" formatCode="#,##0&quot; &quot;;(#,##0)"/>
    <numFmt numFmtId="61" formatCode="#,##0.00&quot; &quot;;(#,##0.00)"/>
    <numFmt numFmtId="62" formatCode="#,##0.0#&quot; &quot;;(#,##0.0#)"/>
  </numFmts>
  <fonts count="3">
    <font>
      <sz val="10"/>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s>
  <borders count="13">
    <border>
      <left/>
      <right/>
      <top/>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2"/>
      </right>
      <top/>
      <bottom style="thin">
        <color indexed="10"/>
      </bottom>
      <diagonal/>
    </border>
    <border>
      <left style="thin">
        <color indexed="12"/>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2"/>
      </right>
      <top style="thin">
        <color indexed="10"/>
      </top>
      <bottom/>
      <diagonal/>
    </border>
    <border>
      <left style="thin">
        <color indexed="12"/>
      </left>
      <right style="thin">
        <color indexed="10"/>
      </right>
      <top style="thin">
        <color indexed="10"/>
      </top>
      <bottom/>
      <diagonal/>
    </border>
  </borders>
  <cellStyleXfs count="1">
    <xf numFmtId="0" fontId="0" applyNumberFormat="0" applyFont="1" applyFill="0" applyBorder="0" applyAlignment="1" applyProtection="0">
      <alignment vertical="top" wrapText="1"/>
    </xf>
  </cellStyleXfs>
  <cellXfs count="3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horizontal="left" vertical="top" wrapText="1"/>
    </xf>
    <xf numFmtId="49" fontId="2" fillId="2" borderId="1" applyNumberFormat="1" applyFont="1" applyFill="1" applyBorder="1" applyAlignment="1" applyProtection="0">
      <alignment vertical="top" wrapText="1"/>
    </xf>
    <xf numFmtId="49" fontId="2" fillId="2" borderId="1" applyNumberFormat="1" applyFont="1" applyFill="1" applyBorder="1" applyAlignment="1" applyProtection="0">
      <alignment horizontal="center" vertical="center" wrapText="1"/>
    </xf>
    <xf numFmtId="59" fontId="2" fillId="3" borderId="2" applyNumberFormat="1" applyFont="1" applyFill="1" applyBorder="1" applyAlignment="1" applyProtection="0">
      <alignment horizontal="left" vertical="top" wrapText="1"/>
    </xf>
    <xf numFmtId="49" fontId="2" fillId="3" borderId="3" applyNumberFormat="1" applyFont="1" applyFill="1" applyBorder="1" applyAlignment="1" applyProtection="0">
      <alignment vertical="top" wrapText="1"/>
    </xf>
    <xf numFmtId="49" fontId="0" fillId="4" borderId="4" applyNumberFormat="1" applyFont="1" applyFill="1" applyBorder="1" applyAlignment="1" applyProtection="0">
      <alignment vertical="top" wrapText="1"/>
    </xf>
    <xf numFmtId="60" fontId="0" fillId="4" borderId="2" applyNumberFormat="1" applyFont="1" applyFill="1" applyBorder="1" applyAlignment="1" applyProtection="0">
      <alignment horizontal="center" vertical="center" wrapText="1"/>
    </xf>
    <xf numFmtId="61" fontId="0" fillId="4" borderId="2" applyNumberFormat="1" applyFont="1" applyFill="1" applyBorder="1" applyAlignment="1" applyProtection="0">
      <alignment horizontal="center" vertical="center" wrapText="1"/>
    </xf>
    <xf numFmtId="59" fontId="2" fillId="3" borderId="5" applyNumberFormat="1" applyFont="1" applyFill="1" applyBorder="1" applyAlignment="1" applyProtection="0">
      <alignment horizontal="left" vertical="top" wrapText="1"/>
    </xf>
    <xf numFmtId="49" fontId="2" fillId="3"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wrapText="1"/>
    </xf>
    <xf numFmtId="60" fontId="0" fillId="4" borderId="8" applyNumberFormat="1" applyFont="1" applyFill="1" applyBorder="1" applyAlignment="1" applyProtection="0">
      <alignment horizontal="center" vertical="center" wrapText="1"/>
    </xf>
    <xf numFmtId="61" fontId="0" fillId="4" borderId="8" applyNumberFormat="1" applyFont="1" applyFill="1" applyBorder="1" applyAlignment="1" applyProtection="0">
      <alignment horizontal="center" vertical="center" wrapText="1"/>
    </xf>
    <xf numFmtId="60" fontId="2" fillId="2" borderId="9" applyNumberFormat="1" applyFont="1" applyFill="1" applyBorder="1" applyAlignment="1" applyProtection="0">
      <alignment horizontal="center" vertical="center" wrapText="1"/>
    </xf>
    <xf numFmtId="61" fontId="2" fillId="2" borderId="9" applyNumberFormat="1" applyFont="1" applyFill="1" applyBorder="1" applyAlignment="1" applyProtection="0">
      <alignment horizontal="center" vertical="center" wrapText="1"/>
    </xf>
    <xf numFmtId="60" fontId="0" fillId="4" borderId="10" applyNumberFormat="1" applyFont="1" applyFill="1" applyBorder="1" applyAlignment="1" applyProtection="0">
      <alignment horizontal="center" vertical="center" wrapText="1"/>
    </xf>
    <xf numFmtId="61" fontId="0" fillId="4" borderId="10" applyNumberFormat="1" applyFont="1" applyFill="1" applyBorder="1" applyAlignment="1" applyProtection="0">
      <alignment horizontal="center" vertical="center" wrapText="1"/>
    </xf>
    <xf numFmtId="60" fontId="0" fillId="4" borderId="5" applyNumberFormat="1" applyFont="1" applyFill="1" applyBorder="1" applyAlignment="1" applyProtection="0">
      <alignment horizontal="center" vertical="center" wrapText="1"/>
    </xf>
    <xf numFmtId="61" fontId="0" fillId="4" borderId="5" applyNumberFormat="1" applyFont="1" applyFill="1" applyBorder="1" applyAlignment="1" applyProtection="0">
      <alignment horizontal="center" vertical="center" wrapText="1"/>
    </xf>
    <xf numFmtId="0" fontId="0" fillId="4" borderId="8" applyNumberFormat="0" applyFont="1" applyFill="1" applyBorder="1" applyAlignment="1" applyProtection="0">
      <alignment vertical="top" wrapText="1"/>
    </xf>
    <xf numFmtId="62" fontId="0" fillId="4" borderId="8" applyNumberFormat="1" applyFont="1" applyFill="1" applyBorder="1" applyAlignment="1" applyProtection="0">
      <alignment horizontal="center" vertical="center" wrapText="1"/>
    </xf>
    <xf numFmtId="0" fontId="0" fillId="4" borderId="5" applyNumberFormat="0" applyFont="1" applyFill="1" applyBorder="1" applyAlignment="1" applyProtection="0">
      <alignment vertical="top" wrapText="1"/>
    </xf>
    <xf numFmtId="0" fontId="0" fillId="4" borderId="10" applyNumberFormat="0" applyFont="1" applyFill="1" applyBorder="1" applyAlignment="1" applyProtection="0">
      <alignment vertical="top" wrapText="1"/>
    </xf>
    <xf numFmtId="0" fontId="0" fillId="4" borderId="5" applyNumberFormat="1" applyFont="1" applyFill="1" applyBorder="1" applyAlignment="1" applyProtection="0">
      <alignment horizontal="center" vertical="top" wrapText="1"/>
    </xf>
    <xf numFmtId="0" fontId="0" fillId="4" borderId="10" applyNumberFormat="0" applyFont="1" applyFill="1" applyBorder="1" applyAlignment="1" applyProtection="0">
      <alignment horizontal="center" vertical="center" wrapText="1"/>
    </xf>
    <xf numFmtId="3" fontId="0" fillId="4" borderId="5" applyNumberFormat="1" applyFont="1" applyFill="1" applyBorder="1" applyAlignment="1" applyProtection="0">
      <alignment horizontal="center" vertical="top" wrapText="1"/>
    </xf>
    <xf numFmtId="59" fontId="2" fillId="3" borderId="1" applyNumberFormat="1" applyFont="1" applyFill="1" applyBorder="1" applyAlignment="1" applyProtection="0">
      <alignment horizontal="left" vertical="top" wrapText="1"/>
    </xf>
    <xf numFmtId="49" fontId="2" fillId="3" borderId="11" applyNumberFormat="1" applyFont="1" applyFill="1" applyBorder="1" applyAlignment="1" applyProtection="0">
      <alignment vertical="top" wrapText="1"/>
    </xf>
    <xf numFmtId="49" fontId="0" fillId="4" borderId="12" applyNumberFormat="1" applyFont="1" applyFill="1" applyBorder="1" applyAlignment="1" applyProtection="0">
      <alignment vertical="top" wrapText="1"/>
    </xf>
  </cellXfs>
  <cellStyles count="1">
    <cellStyle name="Normal" xfId="0" builtinId="0"/>
  </cellStyles>
  <dxfs count="9">
    <dxf>
      <font>
        <color rgb="ff669c35"/>
      </font>
    </dxf>
    <dxf>
      <font>
        <color rgb="ffe32400"/>
      </font>
    </dxf>
    <dxf>
      <font>
        <color rgb="ff669c35"/>
      </font>
    </dxf>
    <dxf>
      <font>
        <color rgb="ffe32400"/>
      </font>
    </dxf>
    <dxf>
      <font>
        <color rgb="ffe32400"/>
      </font>
    </dxf>
    <dxf>
      <font>
        <color rgb="ff669c35"/>
      </font>
    </dxf>
    <dxf>
      <font>
        <color rgb="ffe32400"/>
      </font>
    </dxf>
    <dxf>
      <font>
        <color rgb="ff669c35"/>
      </font>
    </dxf>
    <dxf>
      <font>
        <color rgb="ffe32400"/>
      </font>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dbdbdb"/>
      <rgbColor rgb="ff3f3f3f"/>
      <rgbColor rgb="ffffffff"/>
      <rgbColor rgb="ff669c35"/>
      <rgbColor rgb="ffe324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11732"/>
  <sheetViews>
    <sheetView workbookViewId="0" showGridLines="0" defaultGridColor="1"/>
  </sheetViews>
  <sheetFormatPr defaultColWidth="16.3333" defaultRowHeight="19.9" customHeight="1" outlineLevelRow="0" outlineLevelCol="0"/>
  <cols>
    <col min="1" max="1" width="12.8516" style="1" customWidth="1"/>
    <col min="2" max="2" width="38.5" style="1" customWidth="1"/>
    <col min="3" max="3" width="43.1719" style="1" customWidth="1"/>
    <col min="4" max="9" width="13" style="1" customWidth="1"/>
    <col min="10" max="16384" width="16.3516" style="1" customWidth="1"/>
  </cols>
  <sheetData>
    <row r="1" ht="19.85" customHeight="1">
      <c r="A1" t="s" s="2">
        <v>0</v>
      </c>
      <c r="B1" t="s" s="3">
        <v>1</v>
      </c>
      <c r="C1" t="s" s="3">
        <v>2</v>
      </c>
      <c r="D1" t="s" s="4">
        <v>3</v>
      </c>
      <c r="E1" t="s" s="4">
        <v>4</v>
      </c>
      <c r="F1" t="s" s="4">
        <v>3</v>
      </c>
      <c r="G1" t="s" s="4">
        <v>4</v>
      </c>
      <c r="H1" t="s" s="4">
        <v>3</v>
      </c>
      <c r="I1" t="s" s="4">
        <v>4</v>
      </c>
    </row>
    <row r="2" ht="19.85" customHeight="1">
      <c r="A2" s="5">
        <v>45413</v>
      </c>
      <c r="B2" t="s" s="6">
        <v>5</v>
      </c>
      <c r="C2" t="s" s="7">
        <v>6</v>
      </c>
      <c r="D2" s="8">
        <v>328</v>
      </c>
      <c r="E2" s="8"/>
      <c r="F2" s="9"/>
      <c r="G2" s="9"/>
      <c r="H2" s="9"/>
      <c r="I2" s="9"/>
    </row>
    <row r="3" ht="20.35" customHeight="1">
      <c r="A3" s="10">
        <v>45413</v>
      </c>
      <c r="B3" t="s" s="11">
        <v>7</v>
      </c>
      <c r="C3" t="s" s="12">
        <v>6</v>
      </c>
      <c r="D3" s="13"/>
      <c r="E3" s="13">
        <v>328</v>
      </c>
      <c r="F3" s="14"/>
      <c r="G3" s="14"/>
      <c r="H3" s="14"/>
      <c r="I3" s="14"/>
    </row>
    <row r="4" ht="20.7" customHeight="1">
      <c r="A4" s="10">
        <v>45413</v>
      </c>
      <c r="B4" t="s" s="11">
        <v>8</v>
      </c>
      <c r="C4" t="s" s="12">
        <v>8</v>
      </c>
      <c r="D4" s="15" cm="1">
        <f t="array" ref="D4">SUM(D2:D3)</f>
        <v>328</v>
      </c>
      <c r="E4" s="15" cm="1">
        <f t="array" ref="E4">SUM(E2:E3)</f>
        <v>328</v>
      </c>
      <c r="F4" s="16" cm="1">
        <f t="array" ref="F4">SUM(F2:F3)</f>
        <v>0</v>
      </c>
      <c r="G4" s="16" cm="1">
        <f t="array" ref="G4">SUM(G2:G3)</f>
        <v>0</v>
      </c>
      <c r="H4" s="16" cm="1">
        <f t="array" ref="H4">SUM(H2:H3)</f>
        <v>0</v>
      </c>
      <c r="I4" s="16" cm="1">
        <f t="array" ref="I4">SUM(I2:I3)</f>
        <v>0</v>
      </c>
    </row>
    <row r="5" ht="20.35" customHeight="1">
      <c r="A5" s="10">
        <v>45414</v>
      </c>
      <c r="B5" t="s" s="11">
        <v>5</v>
      </c>
      <c r="C5" t="s" s="12">
        <v>9</v>
      </c>
      <c r="D5" s="17"/>
      <c r="E5" s="17">
        <v>17500</v>
      </c>
      <c r="F5" s="18"/>
      <c r="G5" s="18"/>
      <c r="H5" s="18"/>
      <c r="I5" s="18"/>
    </row>
    <row r="6" ht="20.35" customHeight="1">
      <c r="A6" s="10">
        <v>45414</v>
      </c>
      <c r="B6" t="s" s="11">
        <v>10</v>
      </c>
      <c r="C6" t="s" s="12">
        <v>9</v>
      </c>
      <c r="D6" s="13">
        <v>17500</v>
      </c>
      <c r="E6" s="13"/>
      <c r="F6" s="14"/>
      <c r="G6" s="14"/>
      <c r="H6" s="14"/>
      <c r="I6" s="14"/>
    </row>
    <row r="7" ht="20.7" customHeight="1">
      <c r="A7" s="10">
        <v>45414</v>
      </c>
      <c r="B7" t="s" s="11">
        <v>8</v>
      </c>
      <c r="C7" t="s" s="12">
        <v>8</v>
      </c>
      <c r="D7" s="15" cm="1">
        <f t="array" ref="D7">SUM(D5:D6)</f>
        <v>17500</v>
      </c>
      <c r="E7" s="15" cm="1">
        <f t="array" ref="E7">SUM(E5:E6)</f>
        <v>17500</v>
      </c>
      <c r="F7" s="16" cm="1">
        <f t="array" ref="F7">SUM(F5:F6)</f>
        <v>0</v>
      </c>
      <c r="G7" s="16" cm="1">
        <f t="array" ref="G7">SUM(G5:G6)</f>
        <v>0</v>
      </c>
      <c r="H7" s="16" cm="1">
        <f t="array" ref="H7">SUM(H5:H6)</f>
        <v>0</v>
      </c>
      <c r="I7" s="16" cm="1">
        <f t="array" ref="I7">SUM(I5:I6)</f>
        <v>0</v>
      </c>
    </row>
    <row r="8" ht="20.35" customHeight="1">
      <c r="A8" s="10">
        <v>45414</v>
      </c>
      <c r="B8" t="s" s="11">
        <v>5</v>
      </c>
      <c r="C8" t="s" s="12">
        <v>11</v>
      </c>
      <c r="D8" s="17"/>
      <c r="E8" s="17">
        <v>9400</v>
      </c>
      <c r="F8" s="18"/>
      <c r="G8" s="18"/>
      <c r="H8" s="18"/>
      <c r="I8" s="18"/>
    </row>
    <row r="9" ht="20.35" customHeight="1">
      <c r="A9" s="10">
        <v>45414</v>
      </c>
      <c r="B9" t="s" s="11">
        <v>12</v>
      </c>
      <c r="C9" t="s" s="12">
        <v>11</v>
      </c>
      <c r="D9" s="13">
        <v>9400</v>
      </c>
      <c r="E9" s="13"/>
      <c r="F9" s="14"/>
      <c r="G9" s="14"/>
      <c r="H9" s="14"/>
      <c r="I9" s="14"/>
    </row>
    <row r="10" ht="20.7" customHeight="1">
      <c r="A10" s="10">
        <v>45414</v>
      </c>
      <c r="B10" t="s" s="11">
        <v>8</v>
      </c>
      <c r="C10" t="s" s="12">
        <v>8</v>
      </c>
      <c r="D10" s="15" cm="1">
        <f t="array" ref="D10">SUM(D8:D9)</f>
        <v>9400</v>
      </c>
      <c r="E10" s="15" cm="1">
        <f t="array" ref="E10">SUM(E8:E9)</f>
        <v>9400</v>
      </c>
      <c r="F10" s="16" cm="1">
        <f t="array" ref="F10">SUM(F8:F9)</f>
        <v>0</v>
      </c>
      <c r="G10" s="16" cm="1">
        <f t="array" ref="G10">SUM(G8:G9)</f>
        <v>0</v>
      </c>
      <c r="H10" s="16" cm="1">
        <f t="array" ref="H10">SUM(H8:H9)</f>
        <v>0</v>
      </c>
      <c r="I10" s="16" cm="1">
        <f t="array" ref="I10">SUM(I8:I9)</f>
        <v>0</v>
      </c>
    </row>
    <row r="11" ht="20.35" customHeight="1">
      <c r="A11" s="10">
        <v>45415</v>
      </c>
      <c r="B11" t="s" s="11">
        <v>5</v>
      </c>
      <c r="C11" t="s" s="12">
        <v>13</v>
      </c>
      <c r="D11" s="17"/>
      <c r="E11" s="17">
        <v>8900</v>
      </c>
      <c r="F11" s="18"/>
      <c r="G11" s="18"/>
      <c r="H11" s="18"/>
      <c r="I11" s="18"/>
    </row>
    <row r="12" ht="20.35" customHeight="1">
      <c r="A12" s="10">
        <v>45415</v>
      </c>
      <c r="B12" t="s" s="11">
        <v>10</v>
      </c>
      <c r="C12" t="s" s="12">
        <v>13</v>
      </c>
      <c r="D12" s="13">
        <v>8900</v>
      </c>
      <c r="E12" s="13"/>
      <c r="F12" s="14"/>
      <c r="G12" s="14"/>
      <c r="H12" s="14"/>
      <c r="I12" s="14"/>
    </row>
    <row r="13" ht="20.7" customHeight="1">
      <c r="A13" s="10">
        <v>45415</v>
      </c>
      <c r="B13" t="s" s="11">
        <v>8</v>
      </c>
      <c r="C13" t="s" s="12">
        <v>8</v>
      </c>
      <c r="D13" s="15" cm="1">
        <f t="array" ref="D13">SUM(D11:D12)</f>
        <v>8900</v>
      </c>
      <c r="E13" s="15" cm="1">
        <f t="array" ref="E13">SUM(E11:E12)</f>
        <v>8900</v>
      </c>
      <c r="F13" s="16" cm="1">
        <f t="array" ref="F13">SUM(F11:F12)</f>
        <v>0</v>
      </c>
      <c r="G13" s="16" cm="1">
        <f t="array" ref="G13">SUM(G11:G12)</f>
        <v>0</v>
      </c>
      <c r="H13" s="16" cm="1">
        <f t="array" ref="H13">SUM(H11:H12)</f>
        <v>0</v>
      </c>
      <c r="I13" s="16" cm="1">
        <f t="array" ref="I13">SUM(I11:I12)</f>
        <v>0</v>
      </c>
    </row>
    <row r="14" ht="21.25" customHeight="1">
      <c r="A14" s="10">
        <v>45415</v>
      </c>
      <c r="B14" t="s" s="11">
        <v>5</v>
      </c>
      <c r="C14" t="s" s="12">
        <v>14</v>
      </c>
      <c r="D14" s="17"/>
      <c r="E14" s="17">
        <v>30000</v>
      </c>
      <c r="F14" s="18"/>
      <c r="G14" s="18"/>
      <c r="H14" s="18"/>
      <c r="I14" s="18"/>
    </row>
    <row r="15" ht="21.25" customHeight="1">
      <c r="A15" s="10">
        <v>45415</v>
      </c>
      <c r="B15" t="s" s="11">
        <v>12</v>
      </c>
      <c r="C15" t="s" s="12">
        <v>14</v>
      </c>
      <c r="D15" s="13">
        <v>30000</v>
      </c>
      <c r="E15" s="13"/>
      <c r="F15" s="14"/>
      <c r="G15" s="14"/>
      <c r="H15" s="14"/>
      <c r="I15" s="14"/>
    </row>
    <row r="16" ht="20.7" customHeight="1">
      <c r="A16" s="10">
        <v>45415</v>
      </c>
      <c r="B16" t="s" s="11">
        <v>8</v>
      </c>
      <c r="C16" t="s" s="12">
        <v>8</v>
      </c>
      <c r="D16" s="15" cm="1">
        <f t="array" ref="D16">SUM(D14:D15)</f>
        <v>30000</v>
      </c>
      <c r="E16" s="15" cm="1">
        <f t="array" ref="E16">SUM(E14:E15)</f>
        <v>30000</v>
      </c>
      <c r="F16" s="16" cm="1">
        <f t="array" ref="F16">SUM(F14:F15)</f>
        <v>0</v>
      </c>
      <c r="G16" s="16" cm="1">
        <f t="array" ref="G16">SUM(G14:G15)</f>
        <v>0</v>
      </c>
      <c r="H16" s="16" cm="1">
        <f t="array" ref="H16">SUM(H14:H15)</f>
        <v>0</v>
      </c>
      <c r="I16" s="16" cm="1">
        <f t="array" ref="I16">SUM(I14:I15)</f>
        <v>0</v>
      </c>
    </row>
    <row r="17" ht="21.25" customHeight="1">
      <c r="A17" s="10">
        <v>45415</v>
      </c>
      <c r="B17" t="s" s="11">
        <v>5</v>
      </c>
      <c r="C17" t="s" s="12">
        <v>15</v>
      </c>
      <c r="D17" s="17"/>
      <c r="E17" s="17">
        <v>57275</v>
      </c>
      <c r="F17" s="18"/>
      <c r="G17" s="18"/>
      <c r="H17" s="18"/>
      <c r="I17" s="18"/>
    </row>
    <row r="18" ht="21.25" customHeight="1">
      <c r="A18" s="10">
        <v>45415</v>
      </c>
      <c r="B18" t="s" s="11">
        <v>16</v>
      </c>
      <c r="C18" t="s" s="12">
        <v>15</v>
      </c>
      <c r="D18" s="13">
        <v>57275</v>
      </c>
      <c r="E18" s="13"/>
      <c r="F18" s="14"/>
      <c r="G18" s="14"/>
      <c r="H18" s="14"/>
      <c r="I18" s="14"/>
    </row>
    <row r="19" ht="20.7" customHeight="1">
      <c r="A19" s="10">
        <v>45415</v>
      </c>
      <c r="B19" t="s" s="11">
        <v>8</v>
      </c>
      <c r="C19" t="s" s="12">
        <v>8</v>
      </c>
      <c r="D19" s="15" cm="1">
        <f t="array" ref="D19">SUM(D17:D18)</f>
        <v>57275</v>
      </c>
      <c r="E19" s="15" cm="1">
        <f t="array" ref="E19">SUM(E17:E18)</f>
        <v>57275</v>
      </c>
      <c r="F19" s="16" cm="1">
        <f t="array" ref="F19">SUM(F17:F18)</f>
        <v>0</v>
      </c>
      <c r="G19" s="16" cm="1">
        <f t="array" ref="G19">SUM(G17:G18)</f>
        <v>0</v>
      </c>
      <c r="H19" s="16" cm="1">
        <f t="array" ref="H19">SUM(H17:H18)</f>
        <v>0</v>
      </c>
      <c r="I19" s="16" cm="1">
        <f t="array" ref="I19">SUM(I17:I18)</f>
        <v>0</v>
      </c>
    </row>
    <row r="20" ht="20.35" customHeight="1">
      <c r="A20" s="10">
        <v>45416</v>
      </c>
      <c r="B20" t="s" s="11">
        <v>5</v>
      </c>
      <c r="C20" t="s" s="12">
        <v>17</v>
      </c>
      <c r="D20" s="17">
        <v>100</v>
      </c>
      <c r="E20" s="17"/>
      <c r="F20" s="18"/>
      <c r="G20" s="18"/>
      <c r="H20" s="18"/>
      <c r="I20" s="18"/>
    </row>
    <row r="21" ht="20.35" customHeight="1">
      <c r="A21" s="10">
        <v>45416</v>
      </c>
      <c r="B21" t="s" s="11">
        <v>18</v>
      </c>
      <c r="C21" t="s" s="12">
        <v>17</v>
      </c>
      <c r="D21" s="13"/>
      <c r="E21" s="13">
        <v>100</v>
      </c>
      <c r="F21" s="14"/>
      <c r="G21" s="14"/>
      <c r="H21" s="14"/>
      <c r="I21" s="14"/>
    </row>
    <row r="22" ht="20.7" customHeight="1">
      <c r="A22" s="10">
        <v>45416</v>
      </c>
      <c r="B22" t="s" s="11">
        <v>8</v>
      </c>
      <c r="C22" t="s" s="12">
        <v>8</v>
      </c>
      <c r="D22" s="15" cm="1">
        <f t="array" ref="D22">SUM(D20:D21)</f>
        <v>100</v>
      </c>
      <c r="E22" s="15" cm="1">
        <f t="array" ref="E22">SUM(E20:E21)</f>
        <v>100</v>
      </c>
      <c r="F22" s="16" cm="1">
        <f t="array" ref="F22">SUM(F20:F21)</f>
        <v>0</v>
      </c>
      <c r="G22" s="16" cm="1">
        <f t="array" ref="G22">SUM(G20:G21)</f>
        <v>0</v>
      </c>
      <c r="H22" s="16" cm="1">
        <f t="array" ref="H22">SUM(H20:H21)</f>
        <v>0</v>
      </c>
      <c r="I22" s="16" cm="1">
        <f t="array" ref="I22">SUM(I20:I21)</f>
        <v>0</v>
      </c>
    </row>
    <row r="23" ht="20.35" customHeight="1">
      <c r="A23" s="10">
        <v>45416</v>
      </c>
      <c r="B23" t="s" s="11">
        <v>5</v>
      </c>
      <c r="C23" t="s" s="12">
        <v>19</v>
      </c>
      <c r="D23" s="17"/>
      <c r="E23" s="17">
        <v>5900</v>
      </c>
      <c r="F23" s="18"/>
      <c r="G23" s="18"/>
      <c r="H23" s="18"/>
      <c r="I23" s="18"/>
    </row>
    <row r="24" ht="20.35" customHeight="1">
      <c r="A24" s="10">
        <v>45416</v>
      </c>
      <c r="B24" t="s" s="11">
        <v>10</v>
      </c>
      <c r="C24" t="s" s="12">
        <v>19</v>
      </c>
      <c r="D24" s="13">
        <v>5900</v>
      </c>
      <c r="E24" s="13"/>
      <c r="F24" s="14"/>
      <c r="G24" s="14"/>
      <c r="H24" s="14"/>
      <c r="I24" s="14"/>
    </row>
    <row r="25" ht="20.7" customHeight="1">
      <c r="A25" s="10">
        <v>45416</v>
      </c>
      <c r="B25" t="s" s="11">
        <v>8</v>
      </c>
      <c r="C25" t="s" s="12">
        <v>8</v>
      </c>
      <c r="D25" s="15" cm="1">
        <f t="array" ref="D25">SUM(D23:D24)</f>
        <v>5900</v>
      </c>
      <c r="E25" s="15" cm="1">
        <f t="array" ref="E25">SUM(E23:E24)</f>
        <v>5900</v>
      </c>
      <c r="F25" s="16" cm="1">
        <f t="array" ref="F25">SUM(F23:F24)</f>
        <v>0</v>
      </c>
      <c r="G25" s="16" cm="1">
        <f t="array" ref="G25">SUM(G23:G24)</f>
        <v>0</v>
      </c>
      <c r="H25" s="16" cm="1">
        <f t="array" ref="H25">SUM(H23:H24)</f>
        <v>0</v>
      </c>
      <c r="I25" s="16" cm="1">
        <f t="array" ref="I25">SUM(I23:I24)</f>
        <v>0</v>
      </c>
    </row>
    <row r="26" ht="20.35" customHeight="1">
      <c r="A26" s="10">
        <v>45416</v>
      </c>
      <c r="B26" t="s" s="11">
        <v>5</v>
      </c>
      <c r="C26" t="s" s="12">
        <v>20</v>
      </c>
      <c r="D26" s="17"/>
      <c r="E26" s="17">
        <v>5000</v>
      </c>
      <c r="F26" s="18"/>
      <c r="G26" s="18"/>
      <c r="H26" s="18"/>
      <c r="I26" s="18"/>
    </row>
    <row r="27" ht="20.05" customHeight="1">
      <c r="A27" s="10">
        <v>45416</v>
      </c>
      <c r="B27" t="s" s="11">
        <v>21</v>
      </c>
      <c r="C27" t="s" s="12">
        <v>22</v>
      </c>
      <c r="D27" s="19"/>
      <c r="E27" s="19">
        <v>95000</v>
      </c>
      <c r="F27" s="20"/>
      <c r="G27" s="20"/>
      <c r="H27" s="20"/>
      <c r="I27" s="20"/>
    </row>
    <row r="28" ht="20.35" customHeight="1">
      <c r="A28" s="10">
        <v>45416</v>
      </c>
      <c r="B28" t="s" s="11">
        <v>23</v>
      </c>
      <c r="C28" t="s" s="12">
        <v>22</v>
      </c>
      <c r="D28" s="13">
        <v>100000</v>
      </c>
      <c r="E28" s="13"/>
      <c r="F28" s="14"/>
      <c r="G28" s="14"/>
      <c r="H28" s="14"/>
      <c r="I28" s="14"/>
    </row>
    <row r="29" ht="20.7" customHeight="1">
      <c r="A29" s="10">
        <v>45416</v>
      </c>
      <c r="B29" t="s" s="11">
        <v>8</v>
      </c>
      <c r="C29" t="s" s="12">
        <v>8</v>
      </c>
      <c r="D29" s="15" cm="1">
        <f t="array" ref="D29">SUM(D26:D28)</f>
        <v>100000</v>
      </c>
      <c r="E29" s="15" cm="1">
        <f t="array" ref="E29">SUM(E26:E28)</f>
        <v>100000</v>
      </c>
      <c r="F29" s="16" cm="1">
        <f t="array" ref="F29">SUM(F26:F28)</f>
        <v>0</v>
      </c>
      <c r="G29" s="16" cm="1">
        <f t="array" ref="G29">SUM(G26:G28)</f>
        <v>0</v>
      </c>
      <c r="H29" s="16" cm="1">
        <f t="array" ref="H29">SUM(H26:H28)</f>
        <v>0</v>
      </c>
      <c r="I29" s="16" cm="1">
        <f t="array" ref="I29">SUM(I26:I28)</f>
        <v>0</v>
      </c>
    </row>
    <row r="30" ht="20.35" customHeight="1">
      <c r="A30" s="10">
        <v>45417</v>
      </c>
      <c r="B30" t="s" s="11">
        <v>5</v>
      </c>
      <c r="C30" t="s" s="12">
        <v>24</v>
      </c>
      <c r="D30" s="17"/>
      <c r="E30" s="17">
        <v>22400</v>
      </c>
      <c r="F30" s="18"/>
      <c r="G30" s="18"/>
      <c r="H30" s="18"/>
      <c r="I30" s="18"/>
    </row>
    <row r="31" ht="20.35" customHeight="1">
      <c r="A31" s="10">
        <v>45417</v>
      </c>
      <c r="B31" t="s" s="11">
        <v>12</v>
      </c>
      <c r="C31" t="s" s="12">
        <v>24</v>
      </c>
      <c r="D31" s="13">
        <v>22400</v>
      </c>
      <c r="E31" s="13"/>
      <c r="F31" s="14"/>
      <c r="G31" s="14"/>
      <c r="H31" s="14"/>
      <c r="I31" s="14"/>
    </row>
    <row r="32" ht="20.7" customHeight="1">
      <c r="A32" s="10">
        <v>45417</v>
      </c>
      <c r="B32" t="s" s="11">
        <v>8</v>
      </c>
      <c r="C32" t="s" s="12">
        <v>8</v>
      </c>
      <c r="D32" s="15" cm="1">
        <f t="array" ref="D32">SUM(D30:D31)</f>
        <v>22400</v>
      </c>
      <c r="E32" s="15" cm="1">
        <f t="array" ref="E32">SUM(E30:E31)</f>
        <v>22400</v>
      </c>
      <c r="F32" s="16" cm="1">
        <f t="array" ref="F32">SUM(F30:F31)</f>
        <v>0</v>
      </c>
      <c r="G32" s="16" cm="1">
        <f t="array" ref="G32">SUM(G30:G31)</f>
        <v>0</v>
      </c>
      <c r="H32" s="16" cm="1">
        <f t="array" ref="H32">SUM(H30:H31)</f>
        <v>0</v>
      </c>
      <c r="I32" s="16" cm="1">
        <f t="array" ref="I32">SUM(I30:I31)</f>
        <v>0</v>
      </c>
    </row>
    <row r="33" ht="20.35" customHeight="1">
      <c r="A33" s="10">
        <v>45418</v>
      </c>
      <c r="B33" t="s" s="11">
        <v>5</v>
      </c>
      <c r="C33" t="s" s="12">
        <v>25</v>
      </c>
      <c r="D33" s="17"/>
      <c r="E33" s="17">
        <v>4990</v>
      </c>
      <c r="F33" s="18"/>
      <c r="G33" s="18"/>
      <c r="H33" s="18"/>
      <c r="I33" s="18"/>
    </row>
    <row r="34" ht="20.35" customHeight="1">
      <c r="A34" s="10">
        <v>45418</v>
      </c>
      <c r="B34" t="s" s="11">
        <v>10</v>
      </c>
      <c r="C34" t="s" s="12">
        <v>25</v>
      </c>
      <c r="D34" s="13">
        <v>4990</v>
      </c>
      <c r="E34" s="13"/>
      <c r="F34" s="14"/>
      <c r="G34" s="14"/>
      <c r="H34" s="14"/>
      <c r="I34" s="14"/>
    </row>
    <row r="35" ht="20.7" customHeight="1">
      <c r="A35" s="10">
        <v>45418</v>
      </c>
      <c r="B35" t="s" s="11">
        <v>8</v>
      </c>
      <c r="C35" t="s" s="12">
        <v>8</v>
      </c>
      <c r="D35" s="15" cm="1">
        <f t="array" ref="D35">SUM(D33:D34)</f>
        <v>4990</v>
      </c>
      <c r="E35" s="15" cm="1">
        <f t="array" ref="E35">SUM(E33:E34)</f>
        <v>4990</v>
      </c>
      <c r="F35" s="16" cm="1">
        <f t="array" ref="F35">SUM(F33:F34)</f>
        <v>0</v>
      </c>
      <c r="G35" s="16" cm="1">
        <f t="array" ref="G35">SUM(G33:G34)</f>
        <v>0</v>
      </c>
      <c r="H35" s="16" cm="1">
        <f t="array" ref="H35">SUM(H33:H34)</f>
        <v>0</v>
      </c>
      <c r="I35" s="16" cm="1">
        <f t="array" ref="I35">SUM(I33:I34)</f>
        <v>0</v>
      </c>
    </row>
    <row r="36" ht="20.35" customHeight="1">
      <c r="A36" s="10">
        <v>45418</v>
      </c>
      <c r="B36" t="s" s="11">
        <v>5</v>
      </c>
      <c r="C36" t="s" s="12">
        <v>17</v>
      </c>
      <c r="D36" s="17">
        <v>100</v>
      </c>
      <c r="E36" s="17"/>
      <c r="F36" s="18"/>
      <c r="G36" s="18"/>
      <c r="H36" s="18"/>
      <c r="I36" s="18"/>
    </row>
    <row r="37" ht="20.35" customHeight="1">
      <c r="A37" s="10">
        <v>45418</v>
      </c>
      <c r="B37" t="s" s="11">
        <v>18</v>
      </c>
      <c r="C37" t="s" s="12">
        <v>17</v>
      </c>
      <c r="D37" s="13"/>
      <c r="E37" s="13">
        <v>100</v>
      </c>
      <c r="F37" s="14"/>
      <c r="G37" s="14"/>
      <c r="H37" s="14"/>
      <c r="I37" s="14"/>
    </row>
    <row r="38" ht="20.7" customHeight="1">
      <c r="A38" s="10">
        <v>45418</v>
      </c>
      <c r="B38" t="s" s="11">
        <v>8</v>
      </c>
      <c r="C38" t="s" s="12">
        <v>8</v>
      </c>
      <c r="D38" s="15" cm="1">
        <f t="array" ref="D38">SUM(D36:D37)</f>
        <v>100</v>
      </c>
      <c r="E38" s="15" cm="1">
        <f t="array" ref="E38">SUM(E36:E37)</f>
        <v>100</v>
      </c>
      <c r="F38" s="16" cm="1">
        <f t="array" ref="F38">SUM(F36:F37)</f>
        <v>0</v>
      </c>
      <c r="G38" s="16" cm="1">
        <f t="array" ref="G38">SUM(G36:G37)</f>
        <v>0</v>
      </c>
      <c r="H38" s="16" cm="1">
        <f t="array" ref="H38">SUM(H36:H37)</f>
        <v>0</v>
      </c>
      <c r="I38" s="16" cm="1">
        <f t="array" ref="I38">SUM(I36:I37)</f>
        <v>0</v>
      </c>
    </row>
    <row r="39" ht="21.25" customHeight="1">
      <c r="A39" s="10">
        <v>45419</v>
      </c>
      <c r="B39" t="s" s="11">
        <v>5</v>
      </c>
      <c r="C39" t="s" s="12">
        <v>26</v>
      </c>
      <c r="D39" s="17"/>
      <c r="E39" s="17">
        <v>29750</v>
      </c>
      <c r="F39" s="18"/>
      <c r="G39" s="18"/>
      <c r="H39" s="18"/>
      <c r="I39" s="18"/>
    </row>
    <row r="40" ht="21.25" customHeight="1">
      <c r="A40" s="10">
        <v>45419</v>
      </c>
      <c r="B40" t="s" s="11">
        <v>12</v>
      </c>
      <c r="C40" t="s" s="12">
        <v>26</v>
      </c>
      <c r="D40" s="13">
        <v>29750</v>
      </c>
      <c r="E40" s="13"/>
      <c r="F40" s="14"/>
      <c r="G40" s="14"/>
      <c r="H40" s="14"/>
      <c r="I40" s="14"/>
    </row>
    <row r="41" ht="20.7" customHeight="1">
      <c r="A41" s="10">
        <v>45419</v>
      </c>
      <c r="B41" t="s" s="11">
        <v>8</v>
      </c>
      <c r="C41" t="s" s="12">
        <v>8</v>
      </c>
      <c r="D41" s="15" cm="1">
        <f t="array" ref="D41">SUM(D39:D40)</f>
        <v>29750</v>
      </c>
      <c r="E41" s="15" cm="1">
        <f t="array" ref="E41">SUM(E39:E40)</f>
        <v>29750</v>
      </c>
      <c r="F41" s="16" cm="1">
        <f t="array" ref="F41">SUM(F39:F40)</f>
        <v>0</v>
      </c>
      <c r="G41" s="16" cm="1">
        <f t="array" ref="G41">SUM(G39:G40)</f>
        <v>0</v>
      </c>
      <c r="H41" s="16" cm="1">
        <f t="array" ref="H41">SUM(H39:H40)</f>
        <v>0</v>
      </c>
      <c r="I41" s="16" cm="1">
        <f t="array" ref="I41">SUM(I39:I40)</f>
        <v>0</v>
      </c>
    </row>
    <row r="42" ht="20.35" customHeight="1">
      <c r="A42" s="10">
        <v>45419</v>
      </c>
      <c r="B42" t="s" s="11">
        <v>5</v>
      </c>
      <c r="C42" t="s" s="12">
        <v>27</v>
      </c>
      <c r="D42" s="17">
        <v>40000</v>
      </c>
      <c r="E42" s="17"/>
      <c r="F42" s="18"/>
      <c r="G42" s="18"/>
      <c r="H42" s="18"/>
      <c r="I42" s="18"/>
    </row>
    <row r="43" ht="20.35" customHeight="1">
      <c r="A43" s="10">
        <v>45419</v>
      </c>
      <c r="B43" t="s" s="11">
        <v>28</v>
      </c>
      <c r="C43" t="s" s="12">
        <v>27</v>
      </c>
      <c r="D43" s="13"/>
      <c r="E43" s="13">
        <v>40000</v>
      </c>
      <c r="F43" s="14"/>
      <c r="G43" s="14"/>
      <c r="H43" s="14"/>
      <c r="I43" s="14"/>
    </row>
    <row r="44" ht="20.7" customHeight="1">
      <c r="A44" s="10">
        <v>45419</v>
      </c>
      <c r="B44" t="s" s="11">
        <v>8</v>
      </c>
      <c r="C44" t="s" s="12">
        <v>8</v>
      </c>
      <c r="D44" s="15" cm="1">
        <f t="array" ref="D44">SUM(D42:D43)</f>
        <v>40000</v>
      </c>
      <c r="E44" s="15" cm="1">
        <f t="array" ref="E44">SUM(E42:E43)</f>
        <v>40000</v>
      </c>
      <c r="F44" s="16" cm="1">
        <f t="array" ref="F44">SUM(F42:F43)</f>
        <v>0</v>
      </c>
      <c r="G44" s="16" cm="1">
        <f t="array" ref="G44">SUM(G42:G43)</f>
        <v>0</v>
      </c>
      <c r="H44" s="16" cm="1">
        <f t="array" ref="H44">SUM(H42:H43)</f>
        <v>0</v>
      </c>
      <c r="I44" s="16" cm="1">
        <f t="array" ref="I44">SUM(I42:I43)</f>
        <v>0</v>
      </c>
    </row>
    <row r="45" ht="21.25" customHeight="1">
      <c r="A45" s="10">
        <v>45421</v>
      </c>
      <c r="B45" t="s" s="11">
        <v>5</v>
      </c>
      <c r="C45" t="s" s="12">
        <v>29</v>
      </c>
      <c r="D45" s="17"/>
      <c r="E45" s="17">
        <v>8500</v>
      </c>
      <c r="F45" s="18"/>
      <c r="G45" s="18"/>
      <c r="H45" s="18"/>
      <c r="I45" s="18"/>
    </row>
    <row r="46" ht="21.25" customHeight="1">
      <c r="A46" s="10">
        <v>45421</v>
      </c>
      <c r="B46" t="s" s="11">
        <v>12</v>
      </c>
      <c r="C46" t="s" s="12">
        <v>29</v>
      </c>
      <c r="D46" s="13">
        <v>8500</v>
      </c>
      <c r="E46" s="13"/>
      <c r="F46" s="14"/>
      <c r="G46" s="14"/>
      <c r="H46" s="14"/>
      <c r="I46" s="14"/>
    </row>
    <row r="47" ht="20.7" customHeight="1">
      <c r="A47" s="10">
        <v>45421</v>
      </c>
      <c r="B47" t="s" s="11">
        <v>8</v>
      </c>
      <c r="C47" t="s" s="12">
        <v>8</v>
      </c>
      <c r="D47" s="15" cm="1">
        <f t="array" ref="D47">SUM(D45:D46)</f>
        <v>8500</v>
      </c>
      <c r="E47" s="15" cm="1">
        <f t="array" ref="E47">SUM(E45:E46)</f>
        <v>8500</v>
      </c>
      <c r="F47" s="16" cm="1">
        <f t="array" ref="F47">SUM(F45:F46)</f>
        <v>0</v>
      </c>
      <c r="G47" s="16" cm="1">
        <f t="array" ref="G47">SUM(G45:G46)</f>
        <v>0</v>
      </c>
      <c r="H47" s="16" cm="1">
        <f t="array" ref="H47">SUM(H45:H46)</f>
        <v>0</v>
      </c>
      <c r="I47" s="16" cm="1">
        <f t="array" ref="I47">SUM(I45:I46)</f>
        <v>0</v>
      </c>
    </row>
    <row r="48" ht="21.25" customHeight="1">
      <c r="A48" s="10">
        <v>45421</v>
      </c>
      <c r="B48" t="s" s="11">
        <v>5</v>
      </c>
      <c r="C48" t="s" s="12">
        <v>30</v>
      </c>
      <c r="D48" s="17"/>
      <c r="E48" s="17">
        <v>5800</v>
      </c>
      <c r="F48" s="18"/>
      <c r="G48" s="18"/>
      <c r="H48" s="18"/>
      <c r="I48" s="18"/>
    </row>
    <row r="49" ht="21.25" customHeight="1">
      <c r="A49" s="10">
        <v>45421</v>
      </c>
      <c r="B49" t="s" s="11">
        <v>16</v>
      </c>
      <c r="C49" t="s" s="12">
        <v>30</v>
      </c>
      <c r="D49" s="13">
        <v>5800</v>
      </c>
      <c r="E49" s="13"/>
      <c r="F49" s="14"/>
      <c r="G49" s="14"/>
      <c r="H49" s="14"/>
      <c r="I49" s="14"/>
    </row>
    <row r="50" ht="20.7" customHeight="1">
      <c r="A50" s="10">
        <v>45421</v>
      </c>
      <c r="B50" t="s" s="11">
        <v>8</v>
      </c>
      <c r="C50" t="s" s="12">
        <v>8</v>
      </c>
      <c r="D50" s="15" cm="1">
        <f t="array" ref="D50">SUM(D48:D49)</f>
        <v>5800</v>
      </c>
      <c r="E50" s="15" cm="1">
        <f t="array" ref="E50">SUM(E48:E49)</f>
        <v>5800</v>
      </c>
      <c r="F50" s="16" cm="1">
        <f t="array" ref="F50">SUM(F48:F49)</f>
        <v>0</v>
      </c>
      <c r="G50" s="16" cm="1">
        <f t="array" ref="G50">SUM(G48:G49)</f>
        <v>0</v>
      </c>
      <c r="H50" s="16" cm="1">
        <f t="array" ref="H50">SUM(H48:H49)</f>
        <v>0</v>
      </c>
      <c r="I50" s="16" cm="1">
        <f t="array" ref="I50">SUM(I48:I49)</f>
        <v>0</v>
      </c>
    </row>
    <row r="51" ht="20.35" customHeight="1">
      <c r="A51" s="10">
        <v>45421</v>
      </c>
      <c r="B51" t="s" s="11">
        <v>5</v>
      </c>
      <c r="C51" t="s" s="12">
        <v>31</v>
      </c>
      <c r="D51" s="17">
        <v>50000</v>
      </c>
      <c r="E51" s="17"/>
      <c r="F51" s="18"/>
      <c r="G51" s="18"/>
      <c r="H51" s="18"/>
      <c r="I51" s="18"/>
    </row>
    <row r="52" ht="20.35" customHeight="1">
      <c r="A52" s="10">
        <v>45421</v>
      </c>
      <c r="B52" t="s" s="11">
        <v>32</v>
      </c>
      <c r="C52" t="s" s="12">
        <v>31</v>
      </c>
      <c r="D52" s="13"/>
      <c r="E52" s="13">
        <v>50000</v>
      </c>
      <c r="F52" s="14"/>
      <c r="G52" s="14"/>
      <c r="H52" s="14"/>
      <c r="I52" s="14"/>
    </row>
    <row r="53" ht="20.7" customHeight="1">
      <c r="A53" s="10">
        <v>45421</v>
      </c>
      <c r="B53" t="s" s="11">
        <v>8</v>
      </c>
      <c r="C53" t="s" s="12">
        <v>8</v>
      </c>
      <c r="D53" s="15" cm="1">
        <f t="array" ref="D53">SUM(D51:D52)</f>
        <v>50000</v>
      </c>
      <c r="E53" s="15" cm="1">
        <f t="array" ref="E53">SUM(E51:E52)</f>
        <v>50000</v>
      </c>
      <c r="F53" s="16" cm="1">
        <f t="array" ref="F53">SUM(F51:F52)</f>
        <v>0</v>
      </c>
      <c r="G53" s="16" cm="1">
        <f t="array" ref="G53">SUM(G51:G52)</f>
        <v>0</v>
      </c>
      <c r="H53" s="16" cm="1">
        <f t="array" ref="H53">SUM(H51:H52)</f>
        <v>0</v>
      </c>
      <c r="I53" s="16" cm="1">
        <f t="array" ref="I53">SUM(I51:I52)</f>
        <v>0</v>
      </c>
    </row>
    <row r="54" ht="20.35" customHeight="1">
      <c r="A54" s="10">
        <v>45421</v>
      </c>
      <c r="B54" t="s" s="11">
        <v>5</v>
      </c>
      <c r="C54" t="s" s="12">
        <v>17</v>
      </c>
      <c r="D54" s="17">
        <v>100</v>
      </c>
      <c r="E54" s="17"/>
      <c r="F54" s="18"/>
      <c r="G54" s="18"/>
      <c r="H54" s="18"/>
      <c r="I54" s="18"/>
    </row>
    <row r="55" ht="20.35" customHeight="1">
      <c r="A55" s="10">
        <v>45421</v>
      </c>
      <c r="B55" t="s" s="11">
        <v>18</v>
      </c>
      <c r="C55" t="s" s="12">
        <v>17</v>
      </c>
      <c r="D55" s="13"/>
      <c r="E55" s="13">
        <v>100</v>
      </c>
      <c r="F55" s="14"/>
      <c r="G55" s="14"/>
      <c r="H55" s="14"/>
      <c r="I55" s="14"/>
    </row>
    <row r="56" ht="20.7" customHeight="1">
      <c r="A56" s="10">
        <v>45421</v>
      </c>
      <c r="B56" t="s" s="11">
        <v>8</v>
      </c>
      <c r="C56" t="s" s="12">
        <v>8</v>
      </c>
      <c r="D56" s="15" cm="1">
        <f t="array" ref="D56">SUM(D54:D55)</f>
        <v>100</v>
      </c>
      <c r="E56" s="15" cm="1">
        <f t="array" ref="E56">SUM(E54:E55)</f>
        <v>100</v>
      </c>
      <c r="F56" s="16" cm="1">
        <f t="array" ref="F56">SUM(F54:F55)</f>
        <v>0</v>
      </c>
      <c r="G56" s="16" cm="1">
        <f t="array" ref="G56">SUM(G54:G55)</f>
        <v>0</v>
      </c>
      <c r="H56" s="16" cm="1">
        <f t="array" ref="H56">SUM(H54:H55)</f>
        <v>0</v>
      </c>
      <c r="I56" s="16" cm="1">
        <f t="array" ref="I56">SUM(I54:I55)</f>
        <v>0</v>
      </c>
    </row>
    <row r="57" ht="21.25" customHeight="1">
      <c r="A57" s="10">
        <v>45422</v>
      </c>
      <c r="B57" t="s" s="11">
        <v>5</v>
      </c>
      <c r="C57" t="s" s="12">
        <v>33</v>
      </c>
      <c r="D57" s="17"/>
      <c r="E57" s="17">
        <v>9840</v>
      </c>
      <c r="F57" s="18"/>
      <c r="G57" s="18"/>
      <c r="H57" s="18"/>
      <c r="I57" s="18"/>
    </row>
    <row r="58" ht="21.25" customHeight="1">
      <c r="A58" s="10">
        <v>45422</v>
      </c>
      <c r="B58" t="s" s="11">
        <v>10</v>
      </c>
      <c r="C58" t="s" s="12">
        <v>33</v>
      </c>
      <c r="D58" s="13">
        <v>9840</v>
      </c>
      <c r="E58" s="13"/>
      <c r="F58" s="14"/>
      <c r="G58" s="14"/>
      <c r="H58" s="14"/>
      <c r="I58" s="14"/>
    </row>
    <row r="59" ht="20.7" customHeight="1">
      <c r="A59" s="10">
        <v>45422</v>
      </c>
      <c r="B59" t="s" s="11">
        <v>8</v>
      </c>
      <c r="C59" t="s" s="12">
        <v>8</v>
      </c>
      <c r="D59" s="15" cm="1">
        <f t="array" ref="D59">SUM(D57:D58)</f>
        <v>9840</v>
      </c>
      <c r="E59" s="15" cm="1">
        <f t="array" ref="E59">SUM(E57:E58)</f>
        <v>9840</v>
      </c>
      <c r="F59" s="16" cm="1">
        <f t="array" ref="F59">SUM(F57:F58)</f>
        <v>0</v>
      </c>
      <c r="G59" s="16" cm="1">
        <f t="array" ref="G59">SUM(G57:G58)</f>
        <v>0</v>
      </c>
      <c r="H59" s="16" cm="1">
        <f t="array" ref="H59">SUM(H57:H58)</f>
        <v>0</v>
      </c>
      <c r="I59" s="16" cm="1">
        <f t="array" ref="I59">SUM(I57:I58)</f>
        <v>0</v>
      </c>
    </row>
    <row r="60" ht="20.35" customHeight="1">
      <c r="A60" s="10">
        <v>45423</v>
      </c>
      <c r="B60" t="s" s="11">
        <v>5</v>
      </c>
      <c r="C60" t="s" s="12">
        <v>25</v>
      </c>
      <c r="D60" s="17"/>
      <c r="E60" s="17">
        <v>10710</v>
      </c>
      <c r="F60" s="18"/>
      <c r="G60" s="18"/>
      <c r="H60" s="18"/>
      <c r="I60" s="18"/>
    </row>
    <row r="61" ht="20.35" customHeight="1">
      <c r="A61" s="10">
        <v>45423</v>
      </c>
      <c r="B61" t="s" s="11">
        <v>12</v>
      </c>
      <c r="C61" t="s" s="12">
        <v>25</v>
      </c>
      <c r="D61" s="13">
        <v>10710</v>
      </c>
      <c r="E61" s="13"/>
      <c r="F61" s="14"/>
      <c r="G61" s="14"/>
      <c r="H61" s="14"/>
      <c r="I61" s="14"/>
    </row>
    <row r="62" ht="20.7" customHeight="1">
      <c r="A62" s="10">
        <v>45423</v>
      </c>
      <c r="B62" t="s" s="11">
        <v>8</v>
      </c>
      <c r="C62" t="s" s="12">
        <v>8</v>
      </c>
      <c r="D62" s="15" cm="1">
        <f t="array" ref="D62">SUM(D60:D61)</f>
        <v>10710</v>
      </c>
      <c r="E62" s="15" cm="1">
        <f t="array" ref="E62">SUM(E60:E61)</f>
        <v>10710</v>
      </c>
      <c r="F62" s="16" cm="1">
        <f t="array" ref="F62">SUM(F60:F61)</f>
        <v>0</v>
      </c>
      <c r="G62" s="16" cm="1">
        <f t="array" ref="G62">SUM(G60:G61)</f>
        <v>0</v>
      </c>
      <c r="H62" s="16" cm="1">
        <f t="array" ref="H62">SUM(H60:H61)</f>
        <v>0</v>
      </c>
      <c r="I62" s="16" cm="1">
        <f t="array" ref="I62">SUM(I60:I61)</f>
        <v>0</v>
      </c>
    </row>
    <row r="63" ht="20.35" customHeight="1">
      <c r="A63" s="10">
        <v>45423</v>
      </c>
      <c r="B63" t="s" s="11">
        <v>5</v>
      </c>
      <c r="C63" t="s" s="12">
        <v>34</v>
      </c>
      <c r="D63" s="17"/>
      <c r="E63" s="17">
        <v>15000</v>
      </c>
      <c r="F63" s="18"/>
      <c r="G63" s="18"/>
      <c r="H63" s="18"/>
      <c r="I63" s="18"/>
    </row>
    <row r="64" ht="20.35" customHeight="1">
      <c r="A64" s="10">
        <v>45423</v>
      </c>
      <c r="B64" t="s" s="11">
        <v>12</v>
      </c>
      <c r="C64" t="s" s="12">
        <v>34</v>
      </c>
      <c r="D64" s="13">
        <v>15000</v>
      </c>
      <c r="E64" s="13"/>
      <c r="F64" s="14"/>
      <c r="G64" s="14"/>
      <c r="H64" s="14"/>
      <c r="I64" s="14"/>
    </row>
    <row r="65" ht="20.7" customHeight="1">
      <c r="A65" s="10">
        <v>45423</v>
      </c>
      <c r="B65" t="s" s="11">
        <v>8</v>
      </c>
      <c r="C65" t="s" s="12">
        <v>8</v>
      </c>
      <c r="D65" s="15" cm="1">
        <f t="array" ref="D65">SUM(D63:D64)</f>
        <v>15000</v>
      </c>
      <c r="E65" s="15" cm="1">
        <f t="array" ref="E65">SUM(E63:E64)</f>
        <v>15000</v>
      </c>
      <c r="F65" s="16" cm="1">
        <f t="array" ref="F65">SUM(F63:F64)</f>
        <v>0</v>
      </c>
      <c r="G65" s="16" cm="1">
        <f t="array" ref="G65">SUM(G63:G64)</f>
        <v>0</v>
      </c>
      <c r="H65" s="16" cm="1">
        <f t="array" ref="H65">SUM(H63:H64)</f>
        <v>0</v>
      </c>
      <c r="I65" s="16" cm="1">
        <f t="array" ref="I65">SUM(I63:I64)</f>
        <v>0</v>
      </c>
    </row>
    <row r="66" ht="20.35" customHeight="1">
      <c r="A66" s="10">
        <v>45424</v>
      </c>
      <c r="B66" t="s" s="11">
        <v>5</v>
      </c>
      <c r="C66" t="s" s="12">
        <v>35</v>
      </c>
      <c r="D66" s="17"/>
      <c r="E66" s="17">
        <v>30000</v>
      </c>
      <c r="F66" s="18"/>
      <c r="G66" s="18"/>
      <c r="H66" s="18"/>
      <c r="I66" s="18"/>
    </row>
    <row r="67" ht="20.35" customHeight="1">
      <c r="A67" s="10">
        <v>45424</v>
      </c>
      <c r="B67" t="s" s="11">
        <v>10</v>
      </c>
      <c r="C67" t="s" s="12">
        <v>35</v>
      </c>
      <c r="D67" s="13">
        <v>30000</v>
      </c>
      <c r="E67" s="13"/>
      <c r="F67" s="14"/>
      <c r="G67" s="14"/>
      <c r="H67" s="14"/>
      <c r="I67" s="14"/>
    </row>
    <row r="68" ht="20.7" customHeight="1">
      <c r="A68" s="10">
        <v>45424</v>
      </c>
      <c r="B68" t="s" s="11">
        <v>8</v>
      </c>
      <c r="C68" t="s" s="12">
        <v>8</v>
      </c>
      <c r="D68" s="15" cm="1">
        <f t="array" ref="D68">SUM(D66:D67)</f>
        <v>30000</v>
      </c>
      <c r="E68" s="15" cm="1">
        <f t="array" ref="E68">SUM(E66:E67)</f>
        <v>30000</v>
      </c>
      <c r="F68" s="16" cm="1">
        <f t="array" ref="F68">SUM(F66:F67)</f>
        <v>0</v>
      </c>
      <c r="G68" s="16" cm="1">
        <f t="array" ref="G68">SUM(G66:G67)</f>
        <v>0</v>
      </c>
      <c r="H68" s="16" cm="1">
        <f t="array" ref="H68">SUM(H66:H67)</f>
        <v>0</v>
      </c>
      <c r="I68" s="16" cm="1">
        <f t="array" ref="I68">SUM(I66:I67)</f>
        <v>0</v>
      </c>
    </row>
    <row r="69" ht="20.35" customHeight="1">
      <c r="A69" s="10">
        <v>45424</v>
      </c>
      <c r="B69" t="s" s="11">
        <v>5</v>
      </c>
      <c r="C69" t="s" s="12">
        <v>36</v>
      </c>
      <c r="D69" s="17">
        <v>15000</v>
      </c>
      <c r="E69" s="17"/>
      <c r="F69" s="18"/>
      <c r="G69" s="18"/>
      <c r="H69" s="18"/>
      <c r="I69" s="18"/>
    </row>
    <row r="70" ht="20.35" customHeight="1">
      <c r="A70" s="10">
        <v>45424</v>
      </c>
      <c r="B70" t="s" s="11">
        <v>21</v>
      </c>
      <c r="C70" t="s" s="12">
        <v>36</v>
      </c>
      <c r="D70" s="13"/>
      <c r="E70" s="13">
        <v>15000</v>
      </c>
      <c r="F70" s="14"/>
      <c r="G70" s="14"/>
      <c r="H70" s="14"/>
      <c r="I70" s="14"/>
    </row>
    <row r="71" ht="20.7" customHeight="1">
      <c r="A71" s="10">
        <v>45424</v>
      </c>
      <c r="B71" t="s" s="11">
        <v>8</v>
      </c>
      <c r="C71" t="s" s="12">
        <v>8</v>
      </c>
      <c r="D71" s="15" cm="1">
        <f t="array" ref="D71">SUM(D69:D70)</f>
        <v>15000</v>
      </c>
      <c r="E71" s="15" cm="1">
        <f t="array" ref="E71">SUM(E69:E70)</f>
        <v>15000</v>
      </c>
      <c r="F71" s="16" cm="1">
        <f t="array" ref="F71">SUM(F69:F70)</f>
        <v>0</v>
      </c>
      <c r="G71" s="16" cm="1">
        <f t="array" ref="G71">SUM(G69:G70)</f>
        <v>0</v>
      </c>
      <c r="H71" s="16" cm="1">
        <f t="array" ref="H71">SUM(H69:H70)</f>
        <v>0</v>
      </c>
      <c r="I71" s="16" cm="1">
        <f t="array" ref="I71">SUM(I69:I70)</f>
        <v>0</v>
      </c>
    </row>
    <row r="72" ht="20.35" customHeight="1">
      <c r="A72" s="10">
        <v>45424</v>
      </c>
      <c r="B72" t="s" s="11">
        <v>5</v>
      </c>
      <c r="C72" t="s" s="12">
        <v>37</v>
      </c>
      <c r="D72" s="17">
        <v>15000</v>
      </c>
      <c r="E72" s="17"/>
      <c r="F72" s="18"/>
      <c r="G72" s="18"/>
      <c r="H72" s="18"/>
      <c r="I72" s="18"/>
    </row>
    <row r="73" ht="20.35" customHeight="1">
      <c r="A73" s="10">
        <v>45424</v>
      </c>
      <c r="B73" t="s" s="11">
        <v>21</v>
      </c>
      <c r="C73" t="s" s="12">
        <v>37</v>
      </c>
      <c r="D73" s="13"/>
      <c r="E73" s="13">
        <v>15000</v>
      </c>
      <c r="F73" s="14"/>
      <c r="G73" s="14"/>
      <c r="H73" s="14"/>
      <c r="I73" s="14"/>
    </row>
    <row r="74" ht="20.7" customHeight="1">
      <c r="A74" s="10">
        <v>45424</v>
      </c>
      <c r="B74" t="s" s="11">
        <v>8</v>
      </c>
      <c r="C74" t="s" s="12">
        <v>8</v>
      </c>
      <c r="D74" s="15" cm="1">
        <f t="array" ref="D74">SUM(D72:D73)</f>
        <v>15000</v>
      </c>
      <c r="E74" s="15" cm="1">
        <f t="array" ref="E74">SUM(E72:E73)</f>
        <v>15000</v>
      </c>
      <c r="F74" s="16" cm="1">
        <f t="array" ref="F74">SUM(F72:F73)</f>
        <v>0</v>
      </c>
      <c r="G74" s="16" cm="1">
        <f t="array" ref="G74">SUM(G72:G73)</f>
        <v>0</v>
      </c>
      <c r="H74" s="16" cm="1">
        <f t="array" ref="H74">SUM(H72:H73)</f>
        <v>0</v>
      </c>
      <c r="I74" s="16" cm="1">
        <f t="array" ref="I74">SUM(I72:I73)</f>
        <v>0</v>
      </c>
    </row>
    <row r="75" ht="20.35" customHeight="1">
      <c r="A75" s="10">
        <v>45425</v>
      </c>
      <c r="B75" t="s" s="11">
        <v>5</v>
      </c>
      <c r="C75" t="s" s="12">
        <v>38</v>
      </c>
      <c r="D75" s="17">
        <v>15000</v>
      </c>
      <c r="E75" s="17"/>
      <c r="F75" s="18"/>
      <c r="G75" s="18"/>
      <c r="H75" s="18"/>
      <c r="I75" s="18"/>
    </row>
    <row r="76" ht="20.35" customHeight="1">
      <c r="A76" s="10">
        <v>45425</v>
      </c>
      <c r="B76" t="s" s="11">
        <v>21</v>
      </c>
      <c r="C76" t="s" s="12">
        <v>38</v>
      </c>
      <c r="D76" s="13"/>
      <c r="E76" s="13">
        <v>15000</v>
      </c>
      <c r="F76" s="14"/>
      <c r="G76" s="14"/>
      <c r="H76" s="14"/>
      <c r="I76" s="14"/>
    </row>
    <row r="77" ht="20.7" customHeight="1">
      <c r="A77" s="10">
        <v>45425</v>
      </c>
      <c r="B77" t="s" s="11">
        <v>8</v>
      </c>
      <c r="C77" t="s" s="12">
        <v>8</v>
      </c>
      <c r="D77" s="15" cm="1">
        <f t="array" ref="D77">SUM(D75:D76)</f>
        <v>15000</v>
      </c>
      <c r="E77" s="15" cm="1">
        <f t="array" ref="E77">SUM(E75:E76)</f>
        <v>15000</v>
      </c>
      <c r="F77" s="16" cm="1">
        <f t="array" ref="F77">SUM(F75:F76)</f>
        <v>0</v>
      </c>
      <c r="G77" s="16" cm="1">
        <f t="array" ref="G77">SUM(G75:G76)</f>
        <v>0</v>
      </c>
      <c r="H77" s="16" cm="1">
        <f t="array" ref="H77">SUM(H75:H76)</f>
        <v>0</v>
      </c>
      <c r="I77" s="16" cm="1">
        <f t="array" ref="I77">SUM(I75:I76)</f>
        <v>0</v>
      </c>
    </row>
    <row r="78" ht="20.35" customHeight="1">
      <c r="A78" s="10">
        <v>45425</v>
      </c>
      <c r="B78" t="s" s="11">
        <v>39</v>
      </c>
      <c r="C78" t="s" s="12">
        <v>40</v>
      </c>
      <c r="D78" s="17"/>
      <c r="E78" s="17"/>
      <c r="F78" s="18">
        <v>300</v>
      </c>
      <c r="G78" s="18"/>
      <c r="H78" s="18"/>
      <c r="I78" s="18"/>
    </row>
    <row r="79" ht="20.35" customHeight="1">
      <c r="A79" s="10">
        <v>45425</v>
      </c>
      <c r="B79" t="s" s="11">
        <v>41</v>
      </c>
      <c r="C79" t="s" s="12">
        <v>40</v>
      </c>
      <c r="D79" s="13"/>
      <c r="E79" s="13"/>
      <c r="F79" s="14"/>
      <c r="G79" s="14">
        <v>300</v>
      </c>
      <c r="H79" s="14"/>
      <c r="I79" s="14"/>
    </row>
    <row r="80" ht="20.7" customHeight="1">
      <c r="A80" s="10">
        <v>45425</v>
      </c>
      <c r="B80" t="s" s="11">
        <v>8</v>
      </c>
      <c r="C80" t="s" s="12">
        <v>8</v>
      </c>
      <c r="D80" s="15" cm="1">
        <f t="array" ref="D80">SUM(D78:D79)</f>
        <v>0</v>
      </c>
      <c r="E80" s="15" cm="1">
        <f t="array" ref="E80">SUM(E78:E79)</f>
        <v>0</v>
      </c>
      <c r="F80" s="16" cm="1">
        <f t="array" ref="F80">SUM(F78:F79)</f>
        <v>300</v>
      </c>
      <c r="G80" s="16" cm="1">
        <f t="array" ref="G80">SUM(G78:G79)</f>
        <v>300</v>
      </c>
      <c r="H80" s="16" cm="1">
        <f t="array" ref="H80">SUM(H78:H79)</f>
        <v>0</v>
      </c>
      <c r="I80" s="16" cm="1">
        <f t="array" ref="I80">SUM(I78:I79)</f>
        <v>0</v>
      </c>
    </row>
    <row r="81" ht="20.35" customHeight="1">
      <c r="A81" s="10">
        <v>45425</v>
      </c>
      <c r="B81" t="s" s="11">
        <v>39</v>
      </c>
      <c r="C81" t="s" s="12">
        <v>42</v>
      </c>
      <c r="D81" s="17"/>
      <c r="E81" s="17"/>
      <c r="F81" s="18"/>
      <c r="G81" s="18">
        <v>300</v>
      </c>
      <c r="H81" s="18"/>
      <c r="I81" s="18"/>
    </row>
    <row r="82" ht="20.05" customHeight="1">
      <c r="A82" s="10">
        <v>45425</v>
      </c>
      <c r="B82" t="s" s="11">
        <v>43</v>
      </c>
      <c r="C82" t="s" s="12">
        <v>42</v>
      </c>
      <c r="D82" s="19"/>
      <c r="E82" s="19"/>
      <c r="F82" s="20">
        <v>8.470000000000001</v>
      </c>
      <c r="G82" s="20"/>
      <c r="H82" s="20"/>
      <c r="I82" s="20"/>
    </row>
    <row r="83" ht="20.05" customHeight="1">
      <c r="A83" s="10">
        <v>45425</v>
      </c>
      <c r="B83" t="s" s="11">
        <v>44</v>
      </c>
      <c r="C83" t="s" s="12">
        <v>45</v>
      </c>
      <c r="D83" s="19"/>
      <c r="E83" s="19"/>
      <c r="F83" s="20">
        <v>291.53</v>
      </c>
      <c r="G83" s="20"/>
      <c r="H83" s="20"/>
      <c r="I83" s="20"/>
    </row>
    <row r="84" ht="20.05" customHeight="1">
      <c r="A84" s="10">
        <v>45425</v>
      </c>
      <c r="B84" t="s" s="11">
        <v>5</v>
      </c>
      <c r="C84" t="s" s="12">
        <v>42</v>
      </c>
      <c r="D84" s="19">
        <v>84024</v>
      </c>
      <c r="E84" s="19"/>
      <c r="F84" s="20"/>
      <c r="G84" s="20"/>
      <c r="H84" s="20"/>
      <c r="I84" s="20"/>
    </row>
    <row r="85" ht="20.35" customHeight="1">
      <c r="A85" s="10">
        <v>45425</v>
      </c>
      <c r="B85" t="s" s="11">
        <v>46</v>
      </c>
      <c r="C85" t="s" s="12">
        <v>42</v>
      </c>
      <c r="D85" s="13"/>
      <c r="E85" s="13">
        <v>84024</v>
      </c>
      <c r="F85" s="14"/>
      <c r="G85" s="14"/>
      <c r="H85" s="14"/>
      <c r="I85" s="14"/>
    </row>
    <row r="86" ht="20.7" customHeight="1">
      <c r="A86" s="10">
        <v>45425</v>
      </c>
      <c r="B86" t="s" s="11">
        <v>8</v>
      </c>
      <c r="C86" t="s" s="12">
        <v>8</v>
      </c>
      <c r="D86" s="15" cm="1">
        <f t="array" ref="D86">SUM(D81:D85)</f>
        <v>84024</v>
      </c>
      <c r="E86" s="15" cm="1">
        <f t="array" ref="E86">SUM(E81:E85)</f>
        <v>84024</v>
      </c>
      <c r="F86" s="16" cm="1">
        <f t="array" ref="F86">SUM(F81:F85)</f>
        <v>300</v>
      </c>
      <c r="G86" s="16" cm="1">
        <f t="array" ref="G86">SUM(G81:G85)</f>
        <v>300</v>
      </c>
      <c r="H86" s="16" cm="1">
        <f t="array" ref="H86">SUM(H81:H85)</f>
        <v>0</v>
      </c>
      <c r="I86" s="16" cm="1">
        <f t="array" ref="I86">SUM(I81:I85)</f>
        <v>0</v>
      </c>
    </row>
    <row r="87" ht="20.35" customHeight="1">
      <c r="A87" s="10">
        <v>45425</v>
      </c>
      <c r="B87" t="s" s="11">
        <v>5</v>
      </c>
      <c r="C87" t="s" s="12">
        <v>17</v>
      </c>
      <c r="D87" s="17">
        <v>100</v>
      </c>
      <c r="E87" s="17"/>
      <c r="F87" s="18"/>
      <c r="G87" s="18"/>
      <c r="H87" s="18"/>
      <c r="I87" s="18"/>
    </row>
    <row r="88" ht="20.35" customHeight="1">
      <c r="A88" s="10">
        <v>45425</v>
      </c>
      <c r="B88" t="s" s="11">
        <v>18</v>
      </c>
      <c r="C88" t="s" s="12">
        <v>17</v>
      </c>
      <c r="D88" s="13"/>
      <c r="E88" s="13">
        <v>100</v>
      </c>
      <c r="F88" s="14"/>
      <c r="G88" s="14"/>
      <c r="H88" s="14"/>
      <c r="I88" s="14"/>
    </row>
    <row r="89" ht="20.7" customHeight="1">
      <c r="A89" s="10">
        <v>45425</v>
      </c>
      <c r="B89" t="s" s="11">
        <v>8</v>
      </c>
      <c r="C89" t="s" s="12">
        <v>8</v>
      </c>
      <c r="D89" s="15" cm="1">
        <f t="array" ref="D89">SUM(D87:D88)</f>
        <v>100</v>
      </c>
      <c r="E89" s="15" cm="1">
        <f t="array" ref="E89">SUM(E87:E88)</f>
        <v>100</v>
      </c>
      <c r="F89" s="16" cm="1">
        <f t="array" ref="F89">SUM(F87:F88)</f>
        <v>0</v>
      </c>
      <c r="G89" s="16" cm="1">
        <f t="array" ref="G89">SUM(G87:G88)</f>
        <v>0</v>
      </c>
      <c r="H89" s="16" cm="1">
        <f t="array" ref="H89">SUM(H87:H88)</f>
        <v>0</v>
      </c>
      <c r="I89" s="16" cm="1">
        <f t="array" ref="I89">SUM(I87:I88)</f>
        <v>0</v>
      </c>
    </row>
    <row r="90" ht="20.35" customHeight="1">
      <c r="A90" s="10">
        <v>45425</v>
      </c>
      <c r="B90" t="s" s="11">
        <v>5</v>
      </c>
      <c r="C90" t="s" s="12">
        <v>19</v>
      </c>
      <c r="D90" s="17"/>
      <c r="E90" s="17">
        <v>5600</v>
      </c>
      <c r="F90" s="18"/>
      <c r="G90" s="18"/>
      <c r="H90" s="18"/>
      <c r="I90" s="18"/>
    </row>
    <row r="91" ht="20.35" customHeight="1">
      <c r="A91" s="10">
        <v>45425</v>
      </c>
      <c r="B91" t="s" s="11">
        <v>10</v>
      </c>
      <c r="C91" t="s" s="12">
        <v>19</v>
      </c>
      <c r="D91" s="13">
        <v>5600</v>
      </c>
      <c r="E91" s="13"/>
      <c r="F91" s="14"/>
      <c r="G91" s="14"/>
      <c r="H91" s="14"/>
      <c r="I91" s="14"/>
    </row>
    <row r="92" ht="20.7" customHeight="1">
      <c r="A92" s="10">
        <v>45425</v>
      </c>
      <c r="B92" t="s" s="11">
        <v>8</v>
      </c>
      <c r="C92" t="s" s="12">
        <v>8</v>
      </c>
      <c r="D92" s="15" cm="1">
        <f t="array" ref="D92">SUM(D90:D91)</f>
        <v>5600</v>
      </c>
      <c r="E92" s="15" cm="1">
        <f t="array" ref="E92">SUM(E90:E91)</f>
        <v>5600</v>
      </c>
      <c r="F92" s="16" cm="1">
        <f t="array" ref="F92">SUM(F90:F91)</f>
        <v>0</v>
      </c>
      <c r="G92" s="16" cm="1">
        <f t="array" ref="G92">SUM(G90:G91)</f>
        <v>0</v>
      </c>
      <c r="H92" s="16" cm="1">
        <f t="array" ref="H92">SUM(H90:H91)</f>
        <v>0</v>
      </c>
      <c r="I92" s="16" cm="1">
        <f t="array" ref="I92">SUM(I90:I91)</f>
        <v>0</v>
      </c>
    </row>
    <row r="93" ht="20.35" customHeight="1">
      <c r="A93" s="10">
        <v>45426</v>
      </c>
      <c r="B93" t="s" s="11">
        <v>5</v>
      </c>
      <c r="C93" t="s" s="12">
        <v>38</v>
      </c>
      <c r="D93" s="17"/>
      <c r="E93" s="17">
        <v>15000</v>
      </c>
      <c r="F93" s="18"/>
      <c r="G93" s="18"/>
      <c r="H93" s="18"/>
      <c r="I93" s="18"/>
    </row>
    <row r="94" ht="20.35" customHeight="1">
      <c r="A94" s="10">
        <v>45426</v>
      </c>
      <c r="B94" t="s" s="11">
        <v>21</v>
      </c>
      <c r="C94" t="s" s="12">
        <v>38</v>
      </c>
      <c r="D94" s="13">
        <v>15000</v>
      </c>
      <c r="E94" s="13"/>
      <c r="F94" s="14"/>
      <c r="G94" s="14"/>
      <c r="H94" s="14"/>
      <c r="I94" s="14"/>
    </row>
    <row r="95" ht="20.7" customHeight="1">
      <c r="A95" s="10">
        <v>45426</v>
      </c>
      <c r="B95" t="s" s="11">
        <v>8</v>
      </c>
      <c r="C95" t="s" s="12">
        <v>8</v>
      </c>
      <c r="D95" s="15" cm="1">
        <f t="array" ref="D95">SUM(D93:D94)</f>
        <v>15000</v>
      </c>
      <c r="E95" s="15" cm="1">
        <f t="array" ref="E95">SUM(E93:E94)</f>
        <v>15000</v>
      </c>
      <c r="F95" s="16" cm="1">
        <f t="array" ref="F95">SUM(F93:F94)</f>
        <v>0</v>
      </c>
      <c r="G95" s="16" cm="1">
        <f t="array" ref="G95">SUM(G93:G94)</f>
        <v>0</v>
      </c>
      <c r="H95" s="16" cm="1">
        <f t="array" ref="H95">SUM(H93:H94)</f>
        <v>0</v>
      </c>
      <c r="I95" s="16" cm="1">
        <f t="array" ref="I95">SUM(I93:I94)</f>
        <v>0</v>
      </c>
    </row>
    <row r="96" ht="20.35" customHeight="1">
      <c r="A96" s="10">
        <v>45427</v>
      </c>
      <c r="B96" t="s" s="11">
        <v>5</v>
      </c>
      <c r="C96" t="s" s="12">
        <v>17</v>
      </c>
      <c r="D96" s="17">
        <v>500</v>
      </c>
      <c r="E96" s="17"/>
      <c r="F96" s="18"/>
      <c r="G96" s="18"/>
      <c r="H96" s="18"/>
      <c r="I96" s="18"/>
    </row>
    <row r="97" ht="20.35" customHeight="1">
      <c r="A97" s="10">
        <v>45427</v>
      </c>
      <c r="B97" t="s" s="11">
        <v>18</v>
      </c>
      <c r="C97" t="s" s="12">
        <v>17</v>
      </c>
      <c r="D97" s="13"/>
      <c r="E97" s="13">
        <v>500</v>
      </c>
      <c r="F97" s="14"/>
      <c r="G97" s="14"/>
      <c r="H97" s="14"/>
      <c r="I97" s="14"/>
    </row>
    <row r="98" ht="20.7" customHeight="1">
      <c r="A98" s="10">
        <v>45427</v>
      </c>
      <c r="B98" t="s" s="11">
        <v>8</v>
      </c>
      <c r="C98" t="s" s="12">
        <v>8</v>
      </c>
      <c r="D98" s="15" cm="1">
        <f t="array" ref="D98">SUM(D96:D97)</f>
        <v>500</v>
      </c>
      <c r="E98" s="15" cm="1">
        <f t="array" ref="E98">SUM(E96:E97)</f>
        <v>500</v>
      </c>
      <c r="F98" s="16" cm="1">
        <f t="array" ref="F98">SUM(F96:F97)</f>
        <v>0</v>
      </c>
      <c r="G98" s="16" cm="1">
        <f t="array" ref="G98">SUM(G96:G97)</f>
        <v>0</v>
      </c>
      <c r="H98" s="16" cm="1">
        <f t="array" ref="H98">SUM(H96:H97)</f>
        <v>0</v>
      </c>
      <c r="I98" s="16" cm="1">
        <f t="array" ref="I98">SUM(I96:I97)</f>
        <v>0</v>
      </c>
    </row>
    <row r="99" ht="20.35" customHeight="1">
      <c r="A99" s="10">
        <v>45427</v>
      </c>
      <c r="B99" t="s" s="11">
        <v>5</v>
      </c>
      <c r="C99" t="s" s="12">
        <v>47</v>
      </c>
      <c r="D99" s="17"/>
      <c r="E99" s="17">
        <v>34000</v>
      </c>
      <c r="F99" s="18"/>
      <c r="G99" s="18"/>
      <c r="H99" s="18"/>
      <c r="I99" s="18"/>
    </row>
    <row r="100" ht="20.35" customHeight="1">
      <c r="A100" s="10">
        <v>45427</v>
      </c>
      <c r="B100" t="s" s="11">
        <v>10</v>
      </c>
      <c r="C100" t="s" s="12">
        <v>47</v>
      </c>
      <c r="D100" s="13">
        <v>34000</v>
      </c>
      <c r="E100" s="13"/>
      <c r="F100" s="14"/>
      <c r="G100" s="14"/>
      <c r="H100" s="14"/>
      <c r="I100" s="14"/>
    </row>
    <row r="101" ht="20.7" customHeight="1">
      <c r="A101" s="10">
        <v>45427</v>
      </c>
      <c r="B101" t="s" s="11">
        <v>8</v>
      </c>
      <c r="C101" t="s" s="12">
        <v>8</v>
      </c>
      <c r="D101" s="15" cm="1">
        <f t="array" ref="D101">SUM(D99:D100)</f>
        <v>34000</v>
      </c>
      <c r="E101" s="15" cm="1">
        <f t="array" ref="E101">SUM(E99:E100)</f>
        <v>34000</v>
      </c>
      <c r="F101" s="16" cm="1">
        <f t="array" ref="F101">SUM(F99:F100)</f>
        <v>0</v>
      </c>
      <c r="G101" s="16" cm="1">
        <f t="array" ref="G101">SUM(G99:G100)</f>
        <v>0</v>
      </c>
      <c r="H101" s="16" cm="1">
        <f t="array" ref="H101">SUM(H99:H100)</f>
        <v>0</v>
      </c>
      <c r="I101" s="16" cm="1">
        <f t="array" ref="I101">SUM(I99:I100)</f>
        <v>0</v>
      </c>
    </row>
    <row r="102" ht="20.35" customHeight="1">
      <c r="A102" s="10">
        <v>45427</v>
      </c>
      <c r="B102" t="s" s="11">
        <v>5</v>
      </c>
      <c r="C102" t="s" s="12">
        <v>48</v>
      </c>
      <c r="D102" s="17"/>
      <c r="E102" s="17">
        <v>16200</v>
      </c>
      <c r="F102" s="18"/>
      <c r="G102" s="18"/>
      <c r="H102" s="18"/>
      <c r="I102" s="18"/>
    </row>
    <row r="103" ht="20.35" customHeight="1">
      <c r="A103" s="10">
        <v>45427</v>
      </c>
      <c r="B103" t="s" s="11">
        <v>10</v>
      </c>
      <c r="C103" t="s" s="12">
        <v>48</v>
      </c>
      <c r="D103" s="13">
        <v>16200</v>
      </c>
      <c r="E103" s="13"/>
      <c r="F103" s="14"/>
      <c r="G103" s="14"/>
      <c r="H103" s="14"/>
      <c r="I103" s="14"/>
    </row>
    <row r="104" ht="20.7" customHeight="1">
      <c r="A104" s="10">
        <v>45427</v>
      </c>
      <c r="B104" t="s" s="11">
        <v>8</v>
      </c>
      <c r="C104" t="s" s="12">
        <v>8</v>
      </c>
      <c r="D104" s="15" cm="1">
        <f t="array" ref="D104">SUM(D102:D103)</f>
        <v>16200</v>
      </c>
      <c r="E104" s="15" cm="1">
        <f t="array" ref="E104">SUM(E102:E103)</f>
        <v>16200</v>
      </c>
      <c r="F104" s="16" cm="1">
        <f t="array" ref="F104">SUM(F102:F103)</f>
        <v>0</v>
      </c>
      <c r="G104" s="16" cm="1">
        <f t="array" ref="G104">SUM(G102:G103)</f>
        <v>0</v>
      </c>
      <c r="H104" s="16" cm="1">
        <f t="array" ref="H104">SUM(H102:H103)</f>
        <v>0</v>
      </c>
      <c r="I104" s="16" cm="1">
        <f t="array" ref="I104">SUM(I102:I103)</f>
        <v>0</v>
      </c>
    </row>
    <row r="105" ht="20.35" customHeight="1">
      <c r="A105" s="10">
        <v>45427</v>
      </c>
      <c r="B105" t="s" s="11">
        <v>5</v>
      </c>
      <c r="C105" t="s" s="12">
        <v>49</v>
      </c>
      <c r="D105" s="17"/>
      <c r="E105" s="17">
        <v>11600</v>
      </c>
      <c r="F105" s="18"/>
      <c r="G105" s="18"/>
      <c r="H105" s="18"/>
      <c r="I105" s="18"/>
    </row>
    <row r="106" ht="20.35" customHeight="1">
      <c r="A106" s="10">
        <v>45427</v>
      </c>
      <c r="B106" t="s" s="11">
        <v>10</v>
      </c>
      <c r="C106" t="s" s="12">
        <v>49</v>
      </c>
      <c r="D106" s="13">
        <v>11600</v>
      </c>
      <c r="E106" s="13"/>
      <c r="F106" s="14"/>
      <c r="G106" s="14"/>
      <c r="H106" s="14"/>
      <c r="I106" s="14"/>
    </row>
    <row r="107" ht="20.7" customHeight="1">
      <c r="A107" s="10">
        <v>45427</v>
      </c>
      <c r="B107" t="s" s="11">
        <v>8</v>
      </c>
      <c r="C107" t="s" s="12">
        <v>8</v>
      </c>
      <c r="D107" s="15" cm="1">
        <f t="array" ref="D107">SUM(D105:D106)</f>
        <v>11600</v>
      </c>
      <c r="E107" s="15" cm="1">
        <f t="array" ref="E107">SUM(E105:E106)</f>
        <v>11600</v>
      </c>
      <c r="F107" s="16" cm="1">
        <f t="array" ref="F107">SUM(F105:F106)</f>
        <v>0</v>
      </c>
      <c r="G107" s="16" cm="1">
        <f t="array" ref="G107">SUM(G105:G106)</f>
        <v>0</v>
      </c>
      <c r="H107" s="16" cm="1">
        <f t="array" ref="H107">SUM(H105:H106)</f>
        <v>0</v>
      </c>
      <c r="I107" s="16" cm="1">
        <f t="array" ref="I107">SUM(I105:I106)</f>
        <v>0</v>
      </c>
    </row>
    <row r="108" ht="20.35" customHeight="1">
      <c r="A108" s="10">
        <v>45430</v>
      </c>
      <c r="B108" t="s" s="11">
        <v>39</v>
      </c>
      <c r="C108" t="s" s="12">
        <v>40</v>
      </c>
      <c r="D108" s="17"/>
      <c r="E108" s="17"/>
      <c r="F108" s="18">
        <v>300</v>
      </c>
      <c r="G108" s="18"/>
      <c r="H108" s="18"/>
      <c r="I108" s="18"/>
    </row>
    <row r="109" ht="20.35" customHeight="1">
      <c r="A109" s="10">
        <v>45430</v>
      </c>
      <c r="B109" t="s" s="11">
        <v>41</v>
      </c>
      <c r="C109" t="s" s="12">
        <v>40</v>
      </c>
      <c r="D109" s="13"/>
      <c r="E109" s="13"/>
      <c r="F109" s="14"/>
      <c r="G109" s="14">
        <v>300</v>
      </c>
      <c r="H109" s="14"/>
      <c r="I109" s="14"/>
    </row>
    <row r="110" ht="20.7" customHeight="1">
      <c r="A110" s="10">
        <v>45430</v>
      </c>
      <c r="B110" t="s" s="11">
        <v>8</v>
      </c>
      <c r="C110" t="s" s="12">
        <v>8</v>
      </c>
      <c r="D110" s="15" cm="1">
        <f t="array" ref="D110">SUM(D108:D109)</f>
        <v>0</v>
      </c>
      <c r="E110" s="15" cm="1">
        <f t="array" ref="E110">SUM(E108:E109)</f>
        <v>0</v>
      </c>
      <c r="F110" s="16" cm="1">
        <f t="array" ref="F110">SUM(F108:F109)</f>
        <v>300</v>
      </c>
      <c r="G110" s="16" cm="1">
        <f t="array" ref="G110">SUM(G108:G109)</f>
        <v>300</v>
      </c>
      <c r="H110" s="16" cm="1">
        <f t="array" ref="H110">SUM(H108:H109)</f>
        <v>0</v>
      </c>
      <c r="I110" s="16" cm="1">
        <f t="array" ref="I110">SUM(I108:I109)</f>
        <v>0</v>
      </c>
    </row>
    <row r="111" ht="20.35" customHeight="1">
      <c r="A111" s="10">
        <v>45430</v>
      </c>
      <c r="B111" t="s" s="11">
        <v>28</v>
      </c>
      <c r="C111" t="s" s="12">
        <v>50</v>
      </c>
      <c r="D111" s="17">
        <v>1800</v>
      </c>
      <c r="E111" s="17"/>
      <c r="F111" s="18"/>
      <c r="G111" s="18"/>
      <c r="H111" s="18"/>
      <c r="I111" s="18"/>
    </row>
    <row r="112" ht="20.35" customHeight="1">
      <c r="A112" s="10">
        <v>45430</v>
      </c>
      <c r="B112" t="s" s="11">
        <v>18</v>
      </c>
      <c r="C112" t="s" s="12">
        <v>50</v>
      </c>
      <c r="D112" s="13"/>
      <c r="E112" s="13">
        <v>1800</v>
      </c>
      <c r="F112" s="14"/>
      <c r="G112" s="14"/>
      <c r="H112" s="14"/>
      <c r="I112" s="14"/>
    </row>
    <row r="113" ht="20.7" customHeight="1">
      <c r="A113" s="10">
        <v>45430</v>
      </c>
      <c r="B113" t="s" s="11">
        <v>8</v>
      </c>
      <c r="C113" t="s" s="12">
        <v>8</v>
      </c>
      <c r="D113" s="15" cm="1">
        <f t="array" ref="D113">SUM(D111:D112)</f>
        <v>1800</v>
      </c>
      <c r="E113" s="15" cm="1">
        <f t="array" ref="E113">SUM(E111:E112)</f>
        <v>1800</v>
      </c>
      <c r="F113" s="16" cm="1">
        <f t="array" ref="F113">SUM(F111:F112)</f>
        <v>0</v>
      </c>
      <c r="G113" s="16" cm="1">
        <f t="array" ref="G113">SUM(G111:G112)</f>
        <v>0</v>
      </c>
      <c r="H113" s="16" cm="1">
        <f t="array" ref="H113">SUM(H111:H112)</f>
        <v>0</v>
      </c>
      <c r="I113" s="16" cm="1">
        <f t="array" ref="I113">SUM(I111:I112)</f>
        <v>0</v>
      </c>
    </row>
    <row r="114" ht="20.35" customHeight="1">
      <c r="A114" s="10">
        <v>45431</v>
      </c>
      <c r="B114" t="s" s="11">
        <v>39</v>
      </c>
      <c r="C114" t="s" s="12">
        <v>51</v>
      </c>
      <c r="D114" s="17"/>
      <c r="E114" s="17"/>
      <c r="F114" s="18"/>
      <c r="G114" s="18">
        <v>90</v>
      </c>
      <c r="H114" s="18"/>
      <c r="I114" s="18"/>
    </row>
    <row r="115" ht="20.35" customHeight="1">
      <c r="A115" s="10">
        <v>45431</v>
      </c>
      <c r="B115" t="s" s="11">
        <v>52</v>
      </c>
      <c r="C115" t="s" s="12">
        <v>51</v>
      </c>
      <c r="D115" s="13"/>
      <c r="E115" s="13"/>
      <c r="F115" s="14">
        <v>90</v>
      </c>
      <c r="G115" s="14"/>
      <c r="H115" s="14"/>
      <c r="I115" s="14"/>
    </row>
    <row r="116" ht="20.7" customHeight="1">
      <c r="A116" s="10">
        <v>45431</v>
      </c>
      <c r="B116" t="s" s="11">
        <v>8</v>
      </c>
      <c r="C116" t="s" s="12">
        <v>8</v>
      </c>
      <c r="D116" s="15" cm="1">
        <f t="array" ref="D116">SUM(D114:D115)</f>
        <v>0</v>
      </c>
      <c r="E116" s="15" cm="1">
        <f t="array" ref="E116">SUM(E114:E115)</f>
        <v>0</v>
      </c>
      <c r="F116" s="16" cm="1">
        <f t="array" ref="F116">SUM(F114:F115)</f>
        <v>90</v>
      </c>
      <c r="G116" s="16" cm="1">
        <f t="array" ref="G116">SUM(G114:G115)</f>
        <v>90</v>
      </c>
      <c r="H116" s="16" cm="1">
        <f t="array" ref="H116">SUM(H114:H115)</f>
        <v>0</v>
      </c>
      <c r="I116" s="16" cm="1">
        <f t="array" ref="I116">SUM(I114:I115)</f>
        <v>0</v>
      </c>
    </row>
    <row r="117" ht="20.35" customHeight="1">
      <c r="A117" s="10">
        <v>45431</v>
      </c>
      <c r="B117" t="s" s="11">
        <v>5</v>
      </c>
      <c r="C117" t="s" s="12">
        <v>53</v>
      </c>
      <c r="D117" s="17"/>
      <c r="E117" s="17">
        <v>13550</v>
      </c>
      <c r="F117" s="18"/>
      <c r="G117" s="18"/>
      <c r="H117" s="18"/>
      <c r="I117" s="18"/>
    </row>
    <row r="118" ht="20.35" customHeight="1">
      <c r="A118" s="10">
        <v>45431</v>
      </c>
      <c r="B118" t="s" s="11">
        <v>12</v>
      </c>
      <c r="C118" t="s" s="12">
        <v>53</v>
      </c>
      <c r="D118" s="13">
        <v>13550</v>
      </c>
      <c r="E118" s="13"/>
      <c r="F118" s="14"/>
      <c r="G118" s="14"/>
      <c r="H118" s="14"/>
      <c r="I118" s="14"/>
    </row>
    <row r="119" ht="20.7" customHeight="1">
      <c r="A119" s="10">
        <v>45431</v>
      </c>
      <c r="B119" t="s" s="11">
        <v>8</v>
      </c>
      <c r="C119" t="s" s="12">
        <v>8</v>
      </c>
      <c r="D119" s="15" cm="1">
        <f t="array" ref="D119">SUM(D117:D118)</f>
        <v>13550</v>
      </c>
      <c r="E119" s="15" cm="1">
        <f t="array" ref="E119">SUM(E117:E118)</f>
        <v>13550</v>
      </c>
      <c r="F119" s="16" cm="1">
        <f t="array" ref="F119">SUM(F117:F118)</f>
        <v>0</v>
      </c>
      <c r="G119" s="16" cm="1">
        <f t="array" ref="G119">SUM(G117:G118)</f>
        <v>0</v>
      </c>
      <c r="H119" s="16" cm="1">
        <f t="array" ref="H119">SUM(H117:H118)</f>
        <v>0</v>
      </c>
      <c r="I119" s="16" cm="1">
        <f t="array" ref="I119">SUM(I117:I118)</f>
        <v>0</v>
      </c>
    </row>
    <row r="120" ht="20.35" customHeight="1">
      <c r="A120" s="10">
        <v>45432</v>
      </c>
      <c r="B120" t="s" s="11">
        <v>5</v>
      </c>
      <c r="C120" t="s" s="12">
        <v>54</v>
      </c>
      <c r="D120" s="17"/>
      <c r="E120" s="17">
        <v>3300</v>
      </c>
      <c r="F120" s="18"/>
      <c r="G120" s="18"/>
      <c r="H120" s="18"/>
      <c r="I120" s="18"/>
    </row>
    <row r="121" ht="20.35" customHeight="1">
      <c r="A121" s="10">
        <v>45432</v>
      </c>
      <c r="B121" t="s" s="11">
        <v>10</v>
      </c>
      <c r="C121" t="s" s="12">
        <v>54</v>
      </c>
      <c r="D121" s="13">
        <v>3300</v>
      </c>
      <c r="E121" s="13"/>
      <c r="F121" s="14"/>
      <c r="G121" s="14"/>
      <c r="H121" s="14"/>
      <c r="I121" s="14"/>
    </row>
    <row r="122" ht="20.7" customHeight="1">
      <c r="A122" s="10">
        <v>45432</v>
      </c>
      <c r="B122" t="s" s="11">
        <v>8</v>
      </c>
      <c r="C122" t="s" s="12">
        <v>8</v>
      </c>
      <c r="D122" s="15" cm="1">
        <f t="array" ref="D122">SUM(D120:D121)</f>
        <v>3300</v>
      </c>
      <c r="E122" s="15" cm="1">
        <f t="array" ref="E122">SUM(E120:E121)</f>
        <v>3300</v>
      </c>
      <c r="F122" s="16" cm="1">
        <f t="array" ref="F122">SUM(F120:F121)</f>
        <v>0</v>
      </c>
      <c r="G122" s="16" cm="1">
        <f t="array" ref="G122">SUM(G120:G121)</f>
        <v>0</v>
      </c>
      <c r="H122" s="16" cm="1">
        <f t="array" ref="H122">SUM(H120:H121)</f>
        <v>0</v>
      </c>
      <c r="I122" s="16" cm="1">
        <f t="array" ref="I122">SUM(I120:I121)</f>
        <v>0</v>
      </c>
    </row>
    <row r="123" ht="20.35" customHeight="1">
      <c r="A123" s="10">
        <v>45432</v>
      </c>
      <c r="B123" t="s" s="11">
        <v>39</v>
      </c>
      <c r="C123" t="s" s="12">
        <v>8</v>
      </c>
      <c r="D123" s="17"/>
      <c r="E123" s="17"/>
      <c r="F123" s="18"/>
      <c r="G123" s="18">
        <v>90</v>
      </c>
      <c r="H123" s="18"/>
      <c r="I123" s="18"/>
    </row>
    <row r="124" ht="20.35" customHeight="1">
      <c r="A124" s="10">
        <v>45432</v>
      </c>
      <c r="B124" t="s" s="11">
        <v>55</v>
      </c>
      <c r="C124" t="s" s="12">
        <v>8</v>
      </c>
      <c r="D124" s="13"/>
      <c r="E124" s="13"/>
      <c r="F124" s="14">
        <v>90</v>
      </c>
      <c r="G124" s="14"/>
      <c r="H124" s="14"/>
      <c r="I124" s="14"/>
    </row>
    <row r="125" ht="20.7" customHeight="1">
      <c r="A125" s="10">
        <v>45432</v>
      </c>
      <c r="B125" t="s" s="11">
        <v>8</v>
      </c>
      <c r="C125" t="s" s="12">
        <v>8</v>
      </c>
      <c r="D125" s="15" cm="1">
        <f t="array" ref="D125">SUM(D123:D124)</f>
        <v>0</v>
      </c>
      <c r="E125" s="15" cm="1">
        <f t="array" ref="E125">SUM(E123:E124)</f>
        <v>0</v>
      </c>
      <c r="F125" s="16" cm="1">
        <f t="array" ref="F125">SUM(F123:F124)</f>
        <v>90</v>
      </c>
      <c r="G125" s="16" cm="1">
        <f t="array" ref="G125">SUM(G123:G124)</f>
        <v>90</v>
      </c>
      <c r="H125" s="16" cm="1">
        <f t="array" ref="H125">SUM(H123:H124)</f>
        <v>0</v>
      </c>
      <c r="I125" s="16" cm="1">
        <f t="array" ref="I125">SUM(I123:I124)</f>
        <v>0</v>
      </c>
    </row>
    <row r="126" ht="20.35" customHeight="1">
      <c r="A126" s="10">
        <v>45432</v>
      </c>
      <c r="B126" t="s" s="11">
        <v>55</v>
      </c>
      <c r="C126" t="s" s="12">
        <v>56</v>
      </c>
      <c r="D126" s="17"/>
      <c r="E126" s="17"/>
      <c r="F126" s="18"/>
      <c r="G126" s="18">
        <v>90</v>
      </c>
      <c r="H126" s="18"/>
      <c r="I126" s="18"/>
    </row>
    <row r="127" ht="20.05" customHeight="1">
      <c r="A127" s="10">
        <v>45432</v>
      </c>
      <c r="B127" t="s" s="11">
        <v>57</v>
      </c>
      <c r="C127" t="s" s="12">
        <v>45</v>
      </c>
      <c r="D127" s="19"/>
      <c r="E127" s="19"/>
      <c r="F127" s="20">
        <v>1.33</v>
      </c>
      <c r="G127" s="20"/>
      <c r="H127" s="20"/>
      <c r="I127" s="20"/>
    </row>
    <row r="128" ht="20.35" customHeight="1">
      <c r="A128" s="10">
        <v>45432</v>
      </c>
      <c r="B128" t="s" s="11">
        <v>58</v>
      </c>
      <c r="C128" t="s" s="12">
        <v>45</v>
      </c>
      <c r="D128" s="13"/>
      <c r="E128" s="13"/>
      <c r="F128" s="14">
        <v>88.67</v>
      </c>
      <c r="G128" s="14"/>
      <c r="H128" s="14"/>
      <c r="I128" s="14"/>
    </row>
    <row r="129" ht="20.7" customHeight="1">
      <c r="A129" s="10">
        <v>45432</v>
      </c>
      <c r="B129" t="s" s="11">
        <v>8</v>
      </c>
      <c r="C129" t="s" s="12">
        <v>8</v>
      </c>
      <c r="D129" s="15" cm="1">
        <f t="array" ref="D129">SUM(D123:D128)</f>
        <v>0</v>
      </c>
      <c r="E129" s="15" cm="1">
        <f t="array" ref="E129">SUM(E123:E128)</f>
        <v>0</v>
      </c>
      <c r="F129" s="16" cm="1">
        <f t="array" ref="F129">SUM(F126:F128)</f>
        <v>90</v>
      </c>
      <c r="G129" s="16" cm="1">
        <f t="array" ref="G129">SUM(G126:G128)</f>
        <v>90</v>
      </c>
      <c r="H129" s="16" cm="1">
        <f t="array" ref="H129">SUM(H126:H128)</f>
        <v>0</v>
      </c>
      <c r="I129" s="16" cm="1">
        <f t="array" ref="I129">SUM(I126:I128)</f>
        <v>0</v>
      </c>
    </row>
    <row r="130" ht="20.35" customHeight="1">
      <c r="A130" s="10">
        <v>45432</v>
      </c>
      <c r="B130" t="s" s="11">
        <v>39</v>
      </c>
      <c r="C130" t="s" s="12">
        <v>59</v>
      </c>
      <c r="D130" s="17"/>
      <c r="E130" s="17"/>
      <c r="F130" s="18"/>
      <c r="G130" s="18">
        <v>120</v>
      </c>
      <c r="H130" s="18"/>
      <c r="I130" s="18"/>
    </row>
    <row r="131" ht="20.35" customHeight="1">
      <c r="A131" s="10">
        <v>45432</v>
      </c>
      <c r="B131" t="s" s="11">
        <v>60</v>
      </c>
      <c r="C131" t="s" s="12">
        <v>59</v>
      </c>
      <c r="D131" s="13"/>
      <c r="E131" s="13"/>
      <c r="F131" s="14">
        <v>120</v>
      </c>
      <c r="G131" s="14"/>
      <c r="H131" s="14"/>
      <c r="I131" s="14"/>
    </row>
    <row r="132" ht="20.7" customHeight="1">
      <c r="A132" s="10">
        <v>45432</v>
      </c>
      <c r="B132" t="s" s="11">
        <v>8</v>
      </c>
      <c r="C132" t="s" s="12">
        <v>8</v>
      </c>
      <c r="D132" s="15" cm="1">
        <f t="array" ref="D132">SUM(D130:D131)</f>
        <v>0</v>
      </c>
      <c r="E132" s="15" cm="1">
        <f t="array" ref="E132">SUM(E130:E131)</f>
        <v>0</v>
      </c>
      <c r="F132" s="16" cm="1">
        <f t="array" ref="F132">SUM(F130:F131)</f>
        <v>120</v>
      </c>
      <c r="G132" s="16" cm="1">
        <f t="array" ref="G132">SUM(G130:G131)</f>
        <v>120</v>
      </c>
      <c r="H132" s="16" cm="1">
        <f t="array" ref="H132">SUM(H130:H131)</f>
        <v>0</v>
      </c>
      <c r="I132" s="16" cm="1">
        <f t="array" ref="I132">SUM(I130:I131)</f>
        <v>0</v>
      </c>
    </row>
    <row r="133" ht="20.35" customHeight="1">
      <c r="A133" s="10">
        <v>45434</v>
      </c>
      <c r="B133" t="s" s="11">
        <v>61</v>
      </c>
      <c r="C133" t="s" s="12">
        <v>62</v>
      </c>
      <c r="D133" s="17"/>
      <c r="E133" s="17"/>
      <c r="F133" s="18">
        <v>513.29</v>
      </c>
      <c r="G133" s="18"/>
      <c r="H133" s="18"/>
      <c r="I133" s="18"/>
    </row>
    <row r="134" ht="20.05" customHeight="1">
      <c r="A134" s="10">
        <v>45434</v>
      </c>
      <c r="B134" t="s" s="11">
        <v>63</v>
      </c>
      <c r="C134" t="s" s="12">
        <v>62</v>
      </c>
      <c r="D134" s="19"/>
      <c r="E134" s="19"/>
      <c r="F134" s="20"/>
      <c r="G134" s="20" cm="1">
        <f t="array" ref="G134">513.29-492.61</f>
        <v>20.68</v>
      </c>
      <c r="H134" s="20"/>
      <c r="I134" s="20"/>
    </row>
    <row r="135" ht="20.35" customHeight="1">
      <c r="A135" s="10">
        <v>45434</v>
      </c>
      <c r="B135" t="s" s="11">
        <v>58</v>
      </c>
      <c r="C135" t="s" s="12">
        <v>62</v>
      </c>
      <c r="D135" s="13"/>
      <c r="E135" s="13"/>
      <c r="F135" s="14"/>
      <c r="G135" s="14">
        <v>492.61</v>
      </c>
      <c r="H135" s="14"/>
      <c r="I135" s="14"/>
    </row>
    <row r="136" ht="20.7" customHeight="1">
      <c r="A136" s="10">
        <v>45434</v>
      </c>
      <c r="B136" t="s" s="11">
        <v>8</v>
      </c>
      <c r="C136" t="s" s="12">
        <v>8</v>
      </c>
      <c r="D136" s="15" cm="1">
        <f t="array" ref="D136">SUM(D133:D135)</f>
        <v>0</v>
      </c>
      <c r="E136" s="15" cm="1">
        <f t="array" ref="E136">SUM(E133:E135)</f>
        <v>0</v>
      </c>
      <c r="F136" s="16" cm="1">
        <f t="array" ref="F136">SUM(F133:F135)</f>
        <v>513.29</v>
      </c>
      <c r="G136" s="16" cm="1">
        <f t="array" ref="G136">SUM(G133:G135)</f>
        <v>513.29</v>
      </c>
      <c r="H136" s="16" cm="1">
        <f t="array" ref="H136">SUM(H133:H135)</f>
        <v>0</v>
      </c>
      <c r="I136" s="16" cm="1">
        <f t="array" ref="I136">SUM(I133:I135)</f>
        <v>0</v>
      </c>
    </row>
    <row r="137" ht="20.35" customHeight="1">
      <c r="A137" s="10">
        <v>45435</v>
      </c>
      <c r="B137" t="s" s="11">
        <v>39</v>
      </c>
      <c r="C137" t="s" s="12">
        <v>64</v>
      </c>
      <c r="D137" s="17"/>
      <c r="E137" s="17"/>
      <c r="F137" s="18">
        <v>50</v>
      </c>
      <c r="G137" s="18"/>
      <c r="H137" s="18"/>
      <c r="I137" s="18"/>
    </row>
    <row r="138" ht="20.35" customHeight="1">
      <c r="A138" s="10">
        <v>45435</v>
      </c>
      <c r="B138" t="s" s="11">
        <v>41</v>
      </c>
      <c r="C138" t="s" s="12">
        <v>64</v>
      </c>
      <c r="D138" s="13"/>
      <c r="E138" s="13"/>
      <c r="F138" s="14"/>
      <c r="G138" s="14">
        <v>50</v>
      </c>
      <c r="H138" s="14"/>
      <c r="I138" s="14"/>
    </row>
    <row r="139" ht="20.7" customHeight="1">
      <c r="A139" s="10">
        <v>45435</v>
      </c>
      <c r="B139" t="s" s="11">
        <v>8</v>
      </c>
      <c r="C139" t="s" s="12">
        <v>8</v>
      </c>
      <c r="D139" s="15" cm="1">
        <f t="array" ref="D139">SUM(D137:D138)</f>
        <v>0</v>
      </c>
      <c r="E139" s="15" cm="1">
        <f t="array" ref="E139">SUM(E137:E138)</f>
        <v>0</v>
      </c>
      <c r="F139" s="16" cm="1">
        <f t="array" ref="F139">SUM(F137:F138)</f>
        <v>50</v>
      </c>
      <c r="G139" s="16" cm="1">
        <f t="array" ref="G139">SUM(G137:G138)</f>
        <v>50</v>
      </c>
      <c r="H139" s="16" cm="1">
        <f t="array" ref="H139">SUM(H137:H138)</f>
        <v>0</v>
      </c>
      <c r="I139" s="16" cm="1">
        <f t="array" ref="I139">SUM(I137:I138)</f>
        <v>0</v>
      </c>
    </row>
    <row r="140" ht="20.35" customHeight="1">
      <c r="A140" s="10">
        <v>45435</v>
      </c>
      <c r="B140" t="s" s="11">
        <v>60</v>
      </c>
      <c r="C140" t="s" s="12">
        <v>65</v>
      </c>
      <c r="D140" s="17"/>
      <c r="E140" s="17"/>
      <c r="F140" s="18"/>
      <c r="G140" s="18">
        <v>108.43</v>
      </c>
      <c r="H140" s="18"/>
      <c r="I140" s="18"/>
    </row>
    <row r="141" ht="20.05" customHeight="1">
      <c r="A141" s="10">
        <v>45435</v>
      </c>
      <c r="B141" t="s" s="11">
        <v>57</v>
      </c>
      <c r="C141" t="s" s="12">
        <v>45</v>
      </c>
      <c r="D141" s="19"/>
      <c r="E141" s="19"/>
      <c r="F141" s="20">
        <v>9.029999999999999</v>
      </c>
      <c r="G141" s="20"/>
      <c r="H141" s="20"/>
      <c r="I141" s="20"/>
    </row>
    <row r="142" ht="20.35" customHeight="1">
      <c r="A142" s="10">
        <v>45435</v>
      </c>
      <c r="B142" t="s" s="11">
        <v>66</v>
      </c>
      <c r="C142" t="s" s="12">
        <v>45</v>
      </c>
      <c r="D142" s="13"/>
      <c r="E142" s="13"/>
      <c r="F142" s="14">
        <v>99.40000000000001</v>
      </c>
      <c r="G142" s="14"/>
      <c r="H142" s="14"/>
      <c r="I142" s="14"/>
    </row>
    <row r="143" ht="20.7" customHeight="1">
      <c r="A143" s="10">
        <v>45435</v>
      </c>
      <c r="B143" t="s" s="11">
        <v>8</v>
      </c>
      <c r="C143" t="s" s="12">
        <v>8</v>
      </c>
      <c r="D143" s="15" cm="1">
        <f t="array" ref="D143">SUM(D140:D142)</f>
        <v>0</v>
      </c>
      <c r="E143" s="15" cm="1">
        <f t="array" ref="E143">SUM(E140:E142)</f>
        <v>0</v>
      </c>
      <c r="F143" s="16" cm="1">
        <f t="array" ref="F143">SUM(F140:F142)</f>
        <v>108.43</v>
      </c>
      <c r="G143" s="16" cm="1">
        <f t="array" ref="G143">SUM(G140:G142)</f>
        <v>108.43</v>
      </c>
      <c r="H143" s="16" cm="1">
        <f t="array" ref="H143">SUM(H140:H142)</f>
        <v>0</v>
      </c>
      <c r="I143" s="16" cm="1">
        <f t="array" ref="I143">SUM(I140:I142)</f>
        <v>0</v>
      </c>
    </row>
    <row r="144" ht="20.65" customHeight="1">
      <c r="A144" s="10">
        <v>45435</v>
      </c>
      <c r="B144" t="s" s="11">
        <v>5</v>
      </c>
      <c r="C144" t="s" s="12">
        <v>67</v>
      </c>
      <c r="D144" s="17"/>
      <c r="E144" s="17">
        <v>500</v>
      </c>
      <c r="F144" s="18"/>
      <c r="G144" s="18"/>
      <c r="H144" s="18"/>
      <c r="I144" s="18"/>
    </row>
    <row r="145" ht="20.65" customHeight="1">
      <c r="A145" s="10">
        <v>45435</v>
      </c>
      <c r="B145" t="s" s="11">
        <v>10</v>
      </c>
      <c r="C145" t="s" s="12">
        <v>67</v>
      </c>
      <c r="D145" s="13">
        <v>500</v>
      </c>
      <c r="E145" s="13"/>
      <c r="F145" s="14"/>
      <c r="G145" s="14"/>
      <c r="H145" s="14"/>
      <c r="I145" s="14"/>
    </row>
    <row r="146" ht="20.7" customHeight="1">
      <c r="A146" s="10">
        <v>45435</v>
      </c>
      <c r="B146" t="s" s="11">
        <v>8</v>
      </c>
      <c r="C146" t="s" s="12">
        <v>8</v>
      </c>
      <c r="D146" s="15" cm="1">
        <f t="array" ref="D146">SUM(D144:D145)</f>
        <v>500</v>
      </c>
      <c r="E146" s="15" cm="1">
        <f t="array" ref="E146">SUM(E144:E145)</f>
        <v>500</v>
      </c>
      <c r="F146" s="16" cm="1">
        <f t="array" ref="F146">SUM(F144:F145)</f>
        <v>0</v>
      </c>
      <c r="G146" s="16" cm="1">
        <f t="array" ref="G146">SUM(G144:G145)</f>
        <v>0</v>
      </c>
      <c r="H146" s="16" cm="1">
        <f t="array" ref="H146">SUM(H144:H145)</f>
        <v>0</v>
      </c>
      <c r="I146" s="16" cm="1">
        <f t="array" ref="I146">SUM(I144:I145)</f>
        <v>0</v>
      </c>
    </row>
    <row r="147" ht="20.35" customHeight="1">
      <c r="A147" s="10">
        <v>45436</v>
      </c>
      <c r="B147" t="s" s="11">
        <v>39</v>
      </c>
      <c r="C147" t="s" s="12">
        <v>68</v>
      </c>
      <c r="D147" s="17"/>
      <c r="E147" s="17"/>
      <c r="F147" s="18"/>
      <c r="G147" s="18">
        <v>8.49</v>
      </c>
      <c r="H147" s="18"/>
      <c r="I147" s="18"/>
    </row>
    <row r="148" ht="20.35" customHeight="1">
      <c r="A148" s="10">
        <v>45436</v>
      </c>
      <c r="B148" t="s" s="11">
        <v>44</v>
      </c>
      <c r="C148" t="s" s="12">
        <v>68</v>
      </c>
      <c r="D148" s="13"/>
      <c r="E148" s="13"/>
      <c r="F148" s="14">
        <v>8.49</v>
      </c>
      <c r="G148" s="14"/>
      <c r="H148" s="14"/>
      <c r="I148" s="14"/>
    </row>
    <row r="149" ht="20.7" customHeight="1">
      <c r="A149" s="10">
        <v>45436</v>
      </c>
      <c r="B149" t="s" s="11">
        <v>8</v>
      </c>
      <c r="C149" t="s" s="12">
        <v>8</v>
      </c>
      <c r="D149" s="15" cm="1">
        <f t="array" ref="D149">SUM(D147:D148)</f>
        <v>0</v>
      </c>
      <c r="E149" s="15" cm="1">
        <f t="array" ref="E149">SUM(E147:E148)</f>
        <v>0</v>
      </c>
      <c r="F149" s="16" cm="1">
        <f t="array" ref="F149">SUM(F147:F148)</f>
        <v>8.49</v>
      </c>
      <c r="G149" s="16" cm="1">
        <f t="array" ref="G149">SUM(G147:G148)</f>
        <v>8.49</v>
      </c>
      <c r="H149" s="16" cm="1">
        <f t="array" ref="H149">SUM(H147:H148)</f>
        <v>0</v>
      </c>
      <c r="I149" s="16" cm="1">
        <f t="array" ref="I149">SUM(I147:I148)</f>
        <v>0</v>
      </c>
    </row>
    <row r="150" ht="20.35" customHeight="1">
      <c r="A150" s="10">
        <v>45437</v>
      </c>
      <c r="B150" t="s" s="11">
        <v>5</v>
      </c>
      <c r="C150" t="s" s="12">
        <v>37</v>
      </c>
      <c r="D150" s="17">
        <v>15000</v>
      </c>
      <c r="E150" s="17"/>
      <c r="F150" s="18"/>
      <c r="G150" s="18"/>
      <c r="H150" s="18"/>
      <c r="I150" s="18"/>
    </row>
    <row r="151" ht="20.35" customHeight="1">
      <c r="A151" s="10">
        <v>45437</v>
      </c>
      <c r="B151" t="s" s="11">
        <v>21</v>
      </c>
      <c r="C151" t="s" s="12">
        <v>37</v>
      </c>
      <c r="D151" s="13"/>
      <c r="E151" s="13">
        <v>15000</v>
      </c>
      <c r="F151" s="14"/>
      <c r="G151" s="14"/>
      <c r="H151" s="14"/>
      <c r="I151" s="14"/>
    </row>
    <row r="152" ht="20.7" customHeight="1">
      <c r="A152" s="10">
        <v>45437</v>
      </c>
      <c r="B152" t="s" s="11">
        <v>8</v>
      </c>
      <c r="C152" t="s" s="12">
        <v>8</v>
      </c>
      <c r="D152" s="15" cm="1">
        <f t="array" ref="D152">SUM(D150:D151)</f>
        <v>15000</v>
      </c>
      <c r="E152" s="15" cm="1">
        <f t="array" ref="E152">SUM(E150:E151)</f>
        <v>15000</v>
      </c>
      <c r="F152" s="16" cm="1">
        <f t="array" ref="F152">SUM(F150:F151)</f>
        <v>0</v>
      </c>
      <c r="G152" s="16" cm="1">
        <f t="array" ref="G152">SUM(G150:G151)</f>
        <v>0</v>
      </c>
      <c r="H152" s="16" cm="1">
        <f t="array" ref="H152">SUM(H150:H151)</f>
        <v>0</v>
      </c>
      <c r="I152" s="16" cm="1">
        <f t="array" ref="I152">SUM(I150:I151)</f>
        <v>0</v>
      </c>
    </row>
    <row r="153" ht="20.35" customHeight="1">
      <c r="A153" s="10">
        <v>45437</v>
      </c>
      <c r="B153" t="s" s="11">
        <v>5</v>
      </c>
      <c r="C153" t="s" s="12">
        <v>36</v>
      </c>
      <c r="D153" s="17">
        <v>15000</v>
      </c>
      <c r="E153" s="17"/>
      <c r="F153" s="18"/>
      <c r="G153" s="18"/>
      <c r="H153" s="18"/>
      <c r="I153" s="18"/>
    </row>
    <row r="154" ht="20.35" customHeight="1">
      <c r="A154" s="10">
        <v>45437</v>
      </c>
      <c r="B154" t="s" s="11">
        <v>21</v>
      </c>
      <c r="C154" t="s" s="12">
        <v>36</v>
      </c>
      <c r="D154" s="13"/>
      <c r="E154" s="13">
        <v>15000</v>
      </c>
      <c r="F154" s="14"/>
      <c r="G154" s="14"/>
      <c r="H154" s="14"/>
      <c r="I154" s="14"/>
    </row>
    <row r="155" ht="20.7" customHeight="1">
      <c r="A155" s="10">
        <v>45437</v>
      </c>
      <c r="B155" t="s" s="11">
        <v>8</v>
      </c>
      <c r="C155" t="s" s="12">
        <v>8</v>
      </c>
      <c r="D155" s="15" cm="1">
        <f t="array" ref="D155">SUM(D153:D154)</f>
        <v>15000</v>
      </c>
      <c r="E155" s="15" cm="1">
        <f t="array" ref="E155">SUM(E153:E154)</f>
        <v>15000</v>
      </c>
      <c r="F155" s="16" cm="1">
        <f t="array" ref="F155">SUM(F153:F154)</f>
        <v>0</v>
      </c>
      <c r="G155" s="16" cm="1">
        <f t="array" ref="G155">SUM(G153:G154)</f>
        <v>0</v>
      </c>
      <c r="H155" s="16" cm="1">
        <f t="array" ref="H155">SUM(H153:H154)</f>
        <v>0</v>
      </c>
      <c r="I155" s="16" cm="1">
        <f t="array" ref="I155">SUM(I153:I154)</f>
        <v>0</v>
      </c>
    </row>
    <row r="156" ht="20.65" customHeight="1">
      <c r="A156" s="10">
        <v>45437</v>
      </c>
      <c r="B156" t="s" s="11">
        <v>5</v>
      </c>
      <c r="C156" t="s" s="12">
        <v>69</v>
      </c>
      <c r="D156" s="17">
        <v>15000</v>
      </c>
      <c r="E156" s="17"/>
      <c r="F156" s="18"/>
      <c r="G156" s="18"/>
      <c r="H156" s="18"/>
      <c r="I156" s="18"/>
    </row>
    <row r="157" ht="20.65" customHeight="1">
      <c r="A157" s="10">
        <v>45437</v>
      </c>
      <c r="B157" t="s" s="11">
        <v>21</v>
      </c>
      <c r="C157" t="s" s="12">
        <v>69</v>
      </c>
      <c r="D157" s="13"/>
      <c r="E157" s="13">
        <v>15000</v>
      </c>
      <c r="F157" s="14"/>
      <c r="G157" s="14"/>
      <c r="H157" s="14"/>
      <c r="I157" s="14"/>
    </row>
    <row r="158" ht="20.7" customHeight="1">
      <c r="A158" s="10">
        <v>45437</v>
      </c>
      <c r="B158" t="s" s="11">
        <v>8</v>
      </c>
      <c r="C158" t="s" s="12">
        <v>8</v>
      </c>
      <c r="D158" s="15" cm="1">
        <f t="array" ref="D158">SUM(D156:D157)</f>
        <v>15000</v>
      </c>
      <c r="E158" s="15" cm="1">
        <f t="array" ref="E158">SUM(E156:E157)</f>
        <v>15000</v>
      </c>
      <c r="F158" s="16" cm="1">
        <f t="array" ref="F158">SUM(F156:F157)</f>
        <v>0</v>
      </c>
      <c r="G158" s="16" cm="1">
        <f t="array" ref="G158">SUM(G156:G157)</f>
        <v>0</v>
      </c>
      <c r="H158" s="16" cm="1">
        <f t="array" ref="H158">SUM(H156:H157)</f>
        <v>0</v>
      </c>
      <c r="I158" s="16" cm="1">
        <f t="array" ref="I158">SUM(I156:I157)</f>
        <v>0</v>
      </c>
    </row>
    <row r="159" ht="20.65" customHeight="1">
      <c r="A159" s="10">
        <v>45437</v>
      </c>
      <c r="B159" t="s" s="11">
        <v>5</v>
      </c>
      <c r="C159" t="s" s="12">
        <v>70</v>
      </c>
      <c r="D159" s="17">
        <v>15000</v>
      </c>
      <c r="E159" s="17"/>
      <c r="F159" s="18"/>
      <c r="G159" s="18"/>
      <c r="H159" s="18"/>
      <c r="I159" s="18"/>
    </row>
    <row r="160" ht="20.65" customHeight="1">
      <c r="A160" s="10">
        <v>45437</v>
      </c>
      <c r="B160" t="s" s="11">
        <v>21</v>
      </c>
      <c r="C160" t="s" s="12">
        <v>70</v>
      </c>
      <c r="D160" s="13"/>
      <c r="E160" s="13">
        <v>15000</v>
      </c>
      <c r="F160" s="14"/>
      <c r="G160" s="14"/>
      <c r="H160" s="14"/>
      <c r="I160" s="14"/>
    </row>
    <row r="161" ht="20.7" customHeight="1">
      <c r="A161" s="10">
        <v>45437</v>
      </c>
      <c r="B161" t="s" s="11">
        <v>8</v>
      </c>
      <c r="C161" t="s" s="12">
        <v>8</v>
      </c>
      <c r="D161" s="15" cm="1">
        <f t="array" ref="D161">SUM(D159:D160)</f>
        <v>15000</v>
      </c>
      <c r="E161" s="15" cm="1">
        <f t="array" ref="E161">SUM(E159:E160)</f>
        <v>15000</v>
      </c>
      <c r="F161" s="16" cm="1">
        <f t="array" ref="F161">SUM(F159:F160)</f>
        <v>0</v>
      </c>
      <c r="G161" s="16" cm="1">
        <f t="array" ref="G161">SUM(G159:G160)</f>
        <v>0</v>
      </c>
      <c r="H161" s="16" cm="1">
        <f t="array" ref="H161">SUM(H159:H160)</f>
        <v>0</v>
      </c>
      <c r="I161" s="16" cm="1">
        <f t="array" ref="I161">SUM(I159:I160)</f>
        <v>0</v>
      </c>
    </row>
    <row r="162" ht="21.25" customHeight="1">
      <c r="A162" s="10">
        <v>45437</v>
      </c>
      <c r="B162" t="s" s="11">
        <v>5</v>
      </c>
      <c r="C162" t="s" s="12">
        <v>71</v>
      </c>
      <c r="D162" s="17"/>
      <c r="E162" s="17">
        <v>50000</v>
      </c>
      <c r="F162" s="18"/>
      <c r="G162" s="18"/>
      <c r="H162" s="18"/>
      <c r="I162" s="18"/>
    </row>
    <row r="163" ht="21.25" customHeight="1">
      <c r="A163" s="10">
        <v>45437</v>
      </c>
      <c r="B163" t="s" s="11">
        <v>72</v>
      </c>
      <c r="C163" t="s" s="12">
        <v>71</v>
      </c>
      <c r="D163" s="13">
        <v>50000</v>
      </c>
      <c r="E163" s="13"/>
      <c r="F163" s="14"/>
      <c r="G163" s="14"/>
      <c r="H163" s="14"/>
      <c r="I163" s="14"/>
    </row>
    <row r="164" ht="20.7" customHeight="1">
      <c r="A164" s="10">
        <v>45437</v>
      </c>
      <c r="B164" t="s" s="11">
        <v>8</v>
      </c>
      <c r="C164" t="s" s="12">
        <v>8</v>
      </c>
      <c r="D164" s="15" cm="1">
        <f t="array" ref="D164">SUM(D162:D163)</f>
        <v>50000</v>
      </c>
      <c r="E164" s="15" cm="1">
        <f t="array" ref="E164">SUM(E162:E163)</f>
        <v>50000</v>
      </c>
      <c r="F164" s="16" cm="1">
        <f t="array" ref="F164">SUM(F162:F163)</f>
        <v>0</v>
      </c>
      <c r="G164" s="16" cm="1">
        <f t="array" ref="G164">SUM(G162:G163)</f>
        <v>0</v>
      </c>
      <c r="H164" s="16" cm="1">
        <f t="array" ref="H164">SUM(H162:H163)</f>
        <v>0</v>
      </c>
      <c r="I164" s="16" cm="1">
        <f t="array" ref="I164">SUM(I162:I163)</f>
        <v>0</v>
      </c>
    </row>
    <row r="165" ht="20.35" customHeight="1">
      <c r="A165" s="10">
        <v>45437</v>
      </c>
      <c r="B165" t="s" s="11">
        <v>39</v>
      </c>
      <c r="C165" t="s" s="12">
        <v>64</v>
      </c>
      <c r="D165" s="17"/>
      <c r="E165" s="17"/>
      <c r="F165" s="18">
        <v>1500</v>
      </c>
      <c r="G165" s="18"/>
      <c r="H165" s="18"/>
      <c r="I165" s="18"/>
    </row>
    <row r="166" ht="20.35" customHeight="1">
      <c r="A166" s="10">
        <v>45437</v>
      </c>
      <c r="B166" t="s" s="11">
        <v>41</v>
      </c>
      <c r="C166" t="s" s="12">
        <v>64</v>
      </c>
      <c r="D166" s="13"/>
      <c r="E166" s="13"/>
      <c r="F166" s="14"/>
      <c r="G166" s="14">
        <v>1500</v>
      </c>
      <c r="H166" s="14"/>
      <c r="I166" s="14"/>
    </row>
    <row r="167" ht="20.7" customHeight="1">
      <c r="A167" s="10">
        <v>45437</v>
      </c>
      <c r="B167" t="s" s="11">
        <v>8</v>
      </c>
      <c r="C167" t="s" s="12">
        <v>8</v>
      </c>
      <c r="D167" s="15" cm="1">
        <f t="array" ref="D167">SUM(D165:D166)</f>
        <v>0</v>
      </c>
      <c r="E167" s="15" cm="1">
        <f t="array" ref="E167">SUM(E165:E166)</f>
        <v>0</v>
      </c>
      <c r="F167" s="16" cm="1">
        <f t="array" ref="F167">SUM(F165:F166)</f>
        <v>1500</v>
      </c>
      <c r="G167" s="16" cm="1">
        <f t="array" ref="G167">SUM(G165:G166)</f>
        <v>1500</v>
      </c>
      <c r="H167" s="16" cm="1">
        <f t="array" ref="H167">SUM(H165:H166)</f>
        <v>0</v>
      </c>
      <c r="I167" s="16" cm="1">
        <f t="array" ref="I167">SUM(I165:I166)</f>
        <v>0</v>
      </c>
    </row>
    <row r="168" ht="20.35" customHeight="1">
      <c r="A168" s="10">
        <v>45439</v>
      </c>
      <c r="B168" t="s" s="11">
        <v>39</v>
      </c>
      <c r="C168" t="s" s="12">
        <v>73</v>
      </c>
      <c r="D168" s="17"/>
      <c r="E168" s="17"/>
      <c r="F168" s="18"/>
      <c r="G168" s="18">
        <v>1541.51</v>
      </c>
      <c r="H168" s="18"/>
      <c r="I168" s="18"/>
    </row>
    <row r="169" ht="20.05" customHeight="1">
      <c r="A169" s="10">
        <v>45439</v>
      </c>
      <c r="B169" t="s" s="11">
        <v>44</v>
      </c>
      <c r="C169" t="s" s="12">
        <v>73</v>
      </c>
      <c r="D169" s="19"/>
      <c r="E169" s="19"/>
      <c r="F169" s="20">
        <v>1520.76</v>
      </c>
      <c r="G169" s="20"/>
      <c r="H169" s="20"/>
      <c r="I169" s="20"/>
    </row>
    <row r="170" ht="20.05" customHeight="1">
      <c r="A170" s="10">
        <v>45439</v>
      </c>
      <c r="B170" t="s" s="11">
        <v>43</v>
      </c>
      <c r="C170" t="s" s="12">
        <v>73</v>
      </c>
      <c r="D170" s="19"/>
      <c r="E170" s="19"/>
      <c r="F170" s="20">
        <v>20.75</v>
      </c>
      <c r="G170" s="20"/>
      <c r="H170" s="20"/>
      <c r="I170" s="20"/>
    </row>
    <row r="171" ht="20.05" customHeight="1">
      <c r="A171" s="10">
        <v>45439</v>
      </c>
      <c r="B171" t="s" s="11">
        <v>5</v>
      </c>
      <c r="C171" t="s" s="12">
        <v>73</v>
      </c>
      <c r="D171" s="19">
        <v>440934</v>
      </c>
      <c r="E171" s="19"/>
      <c r="F171" s="20"/>
      <c r="G171" s="20"/>
      <c r="H171" s="20"/>
      <c r="I171" s="20"/>
    </row>
    <row r="172" ht="20.35" customHeight="1">
      <c r="A172" s="10">
        <v>45439</v>
      </c>
      <c r="B172" t="s" s="11">
        <v>46</v>
      </c>
      <c r="C172" t="s" s="12">
        <v>73</v>
      </c>
      <c r="D172" s="13"/>
      <c r="E172" s="13">
        <v>440934</v>
      </c>
      <c r="F172" s="14"/>
      <c r="G172" s="14"/>
      <c r="H172" s="14"/>
      <c r="I172" s="14"/>
    </row>
    <row r="173" ht="20.7" customHeight="1">
      <c r="A173" s="10">
        <v>45439</v>
      </c>
      <c r="B173" t="s" s="11">
        <v>8</v>
      </c>
      <c r="C173" t="s" s="12">
        <v>8</v>
      </c>
      <c r="D173" s="15" cm="1">
        <f t="array" ref="D173">SUM(D168:D172)</f>
        <v>440934</v>
      </c>
      <c r="E173" s="15" cm="1">
        <f t="array" ref="E173">SUM(E168:E172)</f>
        <v>440934</v>
      </c>
      <c r="F173" s="16" cm="1">
        <f t="array" ref="F173">SUM(F168:F172)</f>
        <v>1541.51</v>
      </c>
      <c r="G173" s="16" cm="1">
        <f t="array" ref="G173">SUM(G168:G172)</f>
        <v>1541.51</v>
      </c>
      <c r="H173" s="16" cm="1">
        <f t="array" ref="H173">SUM(H168:H172)</f>
        <v>0</v>
      </c>
      <c r="I173" s="16" cm="1">
        <f t="array" ref="I173">SUM(I168:I172)</f>
        <v>0</v>
      </c>
    </row>
    <row r="174" ht="20.35" customHeight="1">
      <c r="A174" s="10">
        <v>45439</v>
      </c>
      <c r="B174" t="s" s="11">
        <v>74</v>
      </c>
      <c r="C174" t="s" s="12">
        <v>75</v>
      </c>
      <c r="D174" s="17">
        <v>410000</v>
      </c>
      <c r="E174" s="17"/>
      <c r="F174" s="18"/>
      <c r="G174" s="18"/>
      <c r="H174" s="18"/>
      <c r="I174" s="18"/>
    </row>
    <row r="175" ht="20.35" customHeight="1">
      <c r="A175" s="10">
        <v>45439</v>
      </c>
      <c r="B175" t="s" s="11">
        <v>5</v>
      </c>
      <c r="C175" t="s" s="12">
        <v>75</v>
      </c>
      <c r="D175" s="13"/>
      <c r="E175" s="13">
        <v>410000</v>
      </c>
      <c r="F175" s="14"/>
      <c r="G175" s="14"/>
      <c r="H175" s="14"/>
      <c r="I175" s="14"/>
    </row>
    <row r="176" ht="20.7" customHeight="1">
      <c r="A176" s="10">
        <v>45439</v>
      </c>
      <c r="B176" t="s" s="11">
        <v>8</v>
      </c>
      <c r="C176" t="s" s="12">
        <v>8</v>
      </c>
      <c r="D176" s="15" cm="1">
        <f t="array" ref="D176">SUM(D174:D175)</f>
        <v>410000</v>
      </c>
      <c r="E176" s="15" cm="1">
        <f t="array" ref="E176">SUM(E174:E175)</f>
        <v>410000</v>
      </c>
      <c r="F176" s="16" cm="1">
        <f t="array" ref="F176">SUM(F174:F175)</f>
        <v>0</v>
      </c>
      <c r="G176" s="16" cm="1">
        <f t="array" ref="G176">SUM(G174:G175)</f>
        <v>0</v>
      </c>
      <c r="H176" s="16" cm="1">
        <f t="array" ref="H176">SUM(H174:H175)</f>
        <v>0</v>
      </c>
      <c r="I176" s="16" cm="1">
        <f t="array" ref="I176">SUM(I174:I175)</f>
        <v>0</v>
      </c>
    </row>
    <row r="177" ht="20.65" customHeight="1">
      <c r="A177" s="10">
        <v>45439</v>
      </c>
      <c r="B177" t="s" s="11">
        <v>5</v>
      </c>
      <c r="C177" t="s" s="12">
        <v>69</v>
      </c>
      <c r="D177" s="17"/>
      <c r="E177" s="17">
        <v>15000</v>
      </c>
      <c r="F177" s="18"/>
      <c r="G177" s="18"/>
      <c r="H177" s="18"/>
      <c r="I177" s="18"/>
    </row>
    <row r="178" ht="20.65" customHeight="1">
      <c r="A178" s="10">
        <v>45439</v>
      </c>
      <c r="B178" t="s" s="11">
        <v>21</v>
      </c>
      <c r="C178" t="s" s="12">
        <v>69</v>
      </c>
      <c r="D178" s="13">
        <v>15000</v>
      </c>
      <c r="E178" s="13"/>
      <c r="F178" s="14"/>
      <c r="G178" s="14"/>
      <c r="H178" s="14"/>
      <c r="I178" s="14"/>
    </row>
    <row r="179" ht="20.7" customHeight="1">
      <c r="A179" s="10">
        <v>45439</v>
      </c>
      <c r="B179" t="s" s="11">
        <v>8</v>
      </c>
      <c r="C179" t="s" s="12">
        <v>8</v>
      </c>
      <c r="D179" s="15" cm="1">
        <f t="array" ref="D179">SUM(D177:D178)</f>
        <v>15000</v>
      </c>
      <c r="E179" s="15" cm="1">
        <f t="array" ref="E179">SUM(E177:E178)</f>
        <v>15000</v>
      </c>
      <c r="F179" s="16" cm="1">
        <f t="array" ref="F179">SUM(F177:F178)</f>
        <v>0</v>
      </c>
      <c r="G179" s="16" cm="1">
        <f t="array" ref="G179">SUM(G177:G178)</f>
        <v>0</v>
      </c>
      <c r="H179" s="16" cm="1">
        <f t="array" ref="H179">SUM(H177:H178)</f>
        <v>0</v>
      </c>
      <c r="I179" s="16" cm="1">
        <f t="array" ref="I179">SUM(I177:I178)</f>
        <v>0</v>
      </c>
    </row>
    <row r="180" ht="20.65" customHeight="1">
      <c r="A180" s="10">
        <v>45439</v>
      </c>
      <c r="B180" t="s" s="11">
        <v>5</v>
      </c>
      <c r="C180" t="s" s="12">
        <v>70</v>
      </c>
      <c r="D180" s="17"/>
      <c r="E180" s="17">
        <v>15000</v>
      </c>
      <c r="F180" s="18"/>
      <c r="G180" s="18"/>
      <c r="H180" s="18"/>
      <c r="I180" s="18"/>
    </row>
    <row r="181" ht="20.65" customHeight="1">
      <c r="A181" s="10">
        <v>45439</v>
      </c>
      <c r="B181" t="s" s="11">
        <v>21</v>
      </c>
      <c r="C181" t="s" s="12">
        <v>70</v>
      </c>
      <c r="D181" s="13">
        <v>15000</v>
      </c>
      <c r="E181" s="13"/>
      <c r="F181" s="14"/>
      <c r="G181" s="14"/>
      <c r="H181" s="14"/>
      <c r="I181" s="14"/>
    </row>
    <row r="182" ht="20.7" customHeight="1">
      <c r="A182" s="10">
        <v>45439</v>
      </c>
      <c r="B182" t="s" s="11">
        <v>8</v>
      </c>
      <c r="C182" t="s" s="12">
        <v>8</v>
      </c>
      <c r="D182" s="15" cm="1">
        <f t="array" ref="D182">SUM(D180:D181)</f>
        <v>15000</v>
      </c>
      <c r="E182" s="15" cm="1">
        <f t="array" ref="E182">SUM(E180:E181)</f>
        <v>15000</v>
      </c>
      <c r="F182" s="16" cm="1">
        <f t="array" ref="F182">SUM(F180:F181)</f>
        <v>0</v>
      </c>
      <c r="G182" s="16" cm="1">
        <f t="array" ref="G182">SUM(G180:G181)</f>
        <v>0</v>
      </c>
      <c r="H182" s="16" cm="1">
        <f t="array" ref="H182">SUM(H180:H181)</f>
        <v>0</v>
      </c>
      <c r="I182" s="16" cm="1">
        <f t="array" ref="I182">SUM(I180:I181)</f>
        <v>0</v>
      </c>
    </row>
    <row r="183" ht="20.35" customHeight="1">
      <c r="A183" s="10">
        <v>45439</v>
      </c>
      <c r="B183" t="s" s="11">
        <v>5</v>
      </c>
      <c r="C183" t="s" s="12">
        <v>37</v>
      </c>
      <c r="D183" s="17"/>
      <c r="E183" s="17">
        <v>30000</v>
      </c>
      <c r="F183" s="18"/>
      <c r="G183" s="18"/>
      <c r="H183" s="18"/>
      <c r="I183" s="18"/>
    </row>
    <row r="184" ht="20.35" customHeight="1">
      <c r="A184" s="10">
        <v>45439</v>
      </c>
      <c r="B184" t="s" s="11">
        <v>21</v>
      </c>
      <c r="C184" t="s" s="12">
        <v>37</v>
      </c>
      <c r="D184" s="13">
        <v>30000</v>
      </c>
      <c r="E184" s="13"/>
      <c r="F184" s="14"/>
      <c r="G184" s="14"/>
      <c r="H184" s="14"/>
      <c r="I184" s="14"/>
    </row>
    <row r="185" ht="20.7" customHeight="1">
      <c r="A185" s="10">
        <v>45439</v>
      </c>
      <c r="B185" t="s" s="11">
        <v>8</v>
      </c>
      <c r="C185" t="s" s="12">
        <v>8</v>
      </c>
      <c r="D185" s="15" cm="1">
        <f t="array" ref="D185">SUM(D183:D184)</f>
        <v>30000</v>
      </c>
      <c r="E185" s="15" cm="1">
        <f t="array" ref="E185">SUM(E183:E184)</f>
        <v>30000</v>
      </c>
      <c r="F185" s="16" cm="1">
        <f t="array" ref="F185">SUM(F183:F184)</f>
        <v>0</v>
      </c>
      <c r="G185" s="16" cm="1">
        <f t="array" ref="G185">SUM(G183:G184)</f>
        <v>0</v>
      </c>
      <c r="H185" s="16" cm="1">
        <f t="array" ref="H185">SUM(H183:H184)</f>
        <v>0</v>
      </c>
      <c r="I185" s="16" cm="1">
        <f t="array" ref="I185">SUM(I183:I184)</f>
        <v>0</v>
      </c>
    </row>
    <row r="186" ht="20.35" customHeight="1">
      <c r="A186" s="10">
        <v>45439</v>
      </c>
      <c r="B186" t="s" s="11">
        <v>58</v>
      </c>
      <c r="C186" t="s" s="12">
        <v>76</v>
      </c>
      <c r="D186" s="17"/>
      <c r="E186" s="17"/>
      <c r="F186" s="18"/>
      <c r="G186" s="18">
        <v>88.67</v>
      </c>
      <c r="H186" s="18"/>
      <c r="I186" s="18"/>
    </row>
    <row r="187" ht="20.05" customHeight="1">
      <c r="A187" s="10">
        <v>45439</v>
      </c>
      <c r="B187" t="s" s="11">
        <v>63</v>
      </c>
      <c r="C187" t="s" s="12">
        <v>76</v>
      </c>
      <c r="D187" s="19"/>
      <c r="E187" s="19"/>
      <c r="F187" s="20"/>
      <c r="G187" s="20">
        <v>0.11</v>
      </c>
      <c r="H187" s="20"/>
      <c r="I187" s="20"/>
    </row>
    <row r="188" ht="20.35" customHeight="1">
      <c r="A188" s="10">
        <v>45439</v>
      </c>
      <c r="B188" t="s" s="11">
        <v>61</v>
      </c>
      <c r="C188" t="s" s="12">
        <v>76</v>
      </c>
      <c r="D188" s="13"/>
      <c r="E188" s="21"/>
      <c r="F188" s="22">
        <v>88.78</v>
      </c>
      <c r="G188" s="14"/>
      <c r="H188" s="13"/>
      <c r="I188" s="14"/>
    </row>
    <row r="189" ht="20.7" customHeight="1">
      <c r="A189" s="10">
        <v>45439</v>
      </c>
      <c r="B189" t="s" s="11">
        <v>8</v>
      </c>
      <c r="C189" t="s" s="12">
        <v>8</v>
      </c>
      <c r="D189" s="15" cm="1">
        <f t="array" ref="D189">SUM(D186:D188)</f>
        <v>0</v>
      </c>
      <c r="E189" s="15" cm="1">
        <f t="array" ref="E189">SUM(E186:E188)</f>
        <v>0</v>
      </c>
      <c r="F189" s="16" cm="1">
        <f t="array" ref="F189">SUM(F186:F188)</f>
        <v>88.78</v>
      </c>
      <c r="G189" s="16" cm="1">
        <f t="array" ref="G189">SUM(G186:G188)</f>
        <v>88.78</v>
      </c>
      <c r="H189" s="16" cm="1">
        <f t="array" ref="H189">SUM(H186:H188)</f>
        <v>0</v>
      </c>
      <c r="I189" s="16" cm="1">
        <f t="array" ref="I189">SUM(I186:I188)</f>
        <v>0</v>
      </c>
    </row>
    <row r="190" ht="20.35" customHeight="1">
      <c r="A190" s="10">
        <v>45439</v>
      </c>
      <c r="B190" t="s" s="11">
        <v>39</v>
      </c>
      <c r="C190" t="s" s="12">
        <v>64</v>
      </c>
      <c r="D190" s="17"/>
      <c r="E190" s="17"/>
      <c r="F190" s="18">
        <v>1000</v>
      </c>
      <c r="G190" s="18"/>
      <c r="H190" s="18"/>
      <c r="I190" s="18"/>
    </row>
    <row r="191" ht="20.35" customHeight="1">
      <c r="A191" s="10">
        <v>45439</v>
      </c>
      <c r="B191" t="s" s="11">
        <v>41</v>
      </c>
      <c r="C191" t="s" s="12">
        <v>64</v>
      </c>
      <c r="D191" s="13"/>
      <c r="E191" s="13"/>
      <c r="F191" s="14"/>
      <c r="G191" s="14">
        <v>1000</v>
      </c>
      <c r="H191" s="14"/>
      <c r="I191" s="14"/>
    </row>
    <row r="192" ht="20.7" customHeight="1">
      <c r="A192" s="10">
        <v>45439</v>
      </c>
      <c r="B192" t="s" s="11">
        <v>8</v>
      </c>
      <c r="C192" t="s" s="12">
        <v>8</v>
      </c>
      <c r="D192" s="15" cm="1">
        <f t="array" ref="D192">SUM(D190:D191)</f>
        <v>0</v>
      </c>
      <c r="E192" s="15" cm="1">
        <f t="array" ref="E192">SUM(E190:E191)</f>
        <v>0</v>
      </c>
      <c r="F192" s="16" cm="1">
        <f t="array" ref="F192">SUM(F190:F191)</f>
        <v>1000</v>
      </c>
      <c r="G192" s="16" cm="1">
        <f t="array" ref="G192">SUM(G190:G191)</f>
        <v>1000</v>
      </c>
      <c r="H192" s="16" cm="1">
        <f t="array" ref="H192">SUM(H190:H191)</f>
        <v>0</v>
      </c>
      <c r="I192" s="16" cm="1">
        <f t="array" ref="I192">SUM(I190:I191)</f>
        <v>0</v>
      </c>
    </row>
    <row r="193" ht="20.35" customHeight="1">
      <c r="A193" s="10">
        <v>45439</v>
      </c>
      <c r="B193" t="s" s="11">
        <v>39</v>
      </c>
      <c r="C193" t="s" s="12">
        <v>77</v>
      </c>
      <c r="D193" s="17"/>
      <c r="E193" s="17"/>
      <c r="F193" s="18"/>
      <c r="G193" s="18">
        <v>1000</v>
      </c>
      <c r="H193" s="18"/>
      <c r="I193" s="18"/>
    </row>
    <row r="194" ht="20.05" customHeight="1">
      <c r="A194" s="10">
        <v>45439</v>
      </c>
      <c r="B194" t="s" s="11">
        <v>43</v>
      </c>
      <c r="C194" t="s" s="12">
        <v>77</v>
      </c>
      <c r="D194" s="19"/>
      <c r="E194" s="19"/>
      <c r="F194" s="20">
        <v>16.13</v>
      </c>
      <c r="G194" s="20"/>
      <c r="H194" s="20"/>
      <c r="I194" s="20"/>
    </row>
    <row r="195" ht="20.05" customHeight="1">
      <c r="A195" s="10">
        <v>45439</v>
      </c>
      <c r="B195" t="s" s="11">
        <v>57</v>
      </c>
      <c r="C195" t="s" s="12">
        <v>45</v>
      </c>
      <c r="D195" s="19"/>
      <c r="E195" s="19"/>
      <c r="F195" s="20">
        <v>983.87</v>
      </c>
      <c r="G195" s="20"/>
      <c r="H195" s="20"/>
      <c r="I195" s="20"/>
    </row>
    <row r="196" ht="20.05" customHeight="1">
      <c r="A196" s="10">
        <v>45439</v>
      </c>
      <c r="B196" t="s" s="11">
        <v>5</v>
      </c>
      <c r="C196" t="s" s="12">
        <v>77</v>
      </c>
      <c r="D196" s="19">
        <v>285521</v>
      </c>
      <c r="E196" s="19"/>
      <c r="F196" s="20"/>
      <c r="G196" s="20"/>
      <c r="H196" s="20"/>
      <c r="I196" s="20"/>
    </row>
    <row r="197" ht="20.35" customHeight="1">
      <c r="A197" s="10">
        <v>45439</v>
      </c>
      <c r="B197" t="s" s="11">
        <v>46</v>
      </c>
      <c r="C197" t="s" s="12">
        <v>77</v>
      </c>
      <c r="D197" s="13"/>
      <c r="E197" s="13">
        <v>285521</v>
      </c>
      <c r="F197" s="14"/>
      <c r="G197" s="14"/>
      <c r="H197" s="14"/>
      <c r="I197" s="14"/>
    </row>
    <row r="198" ht="20.7" customHeight="1">
      <c r="A198" s="10">
        <v>45439</v>
      </c>
      <c r="B198" t="s" s="11">
        <v>8</v>
      </c>
      <c r="C198" t="s" s="12">
        <v>8</v>
      </c>
      <c r="D198" s="15" cm="1">
        <f t="array" ref="D198">SUM(D193:D197)</f>
        <v>285521</v>
      </c>
      <c r="E198" s="15" cm="1">
        <f t="array" ref="E198">SUM(E193:E197)</f>
        <v>285521</v>
      </c>
      <c r="F198" s="16" cm="1">
        <f t="array" ref="F198">SUM(F193:F197)</f>
        <v>1000</v>
      </c>
      <c r="G198" s="16" cm="1">
        <f t="array" ref="G198">SUM(G193:G197)</f>
        <v>1000</v>
      </c>
      <c r="H198" s="16" cm="1">
        <f t="array" ref="H198">SUM(H193:H197)</f>
        <v>0</v>
      </c>
      <c r="I198" s="16" cm="1">
        <f t="array" ref="I198">SUM(I193:I197)</f>
        <v>0</v>
      </c>
    </row>
    <row r="199" ht="20.35" customHeight="1">
      <c r="A199" s="10">
        <v>45441</v>
      </c>
      <c r="B199" t="s" s="11">
        <v>21</v>
      </c>
      <c r="C199" t="s" s="12">
        <v>20</v>
      </c>
      <c r="D199" s="17">
        <v>45000</v>
      </c>
      <c r="E199" s="17"/>
      <c r="F199" s="18"/>
      <c r="G199" s="18"/>
      <c r="H199" s="18"/>
      <c r="I199" s="18"/>
    </row>
    <row r="200" ht="20.35" customHeight="1">
      <c r="A200" s="10">
        <v>45441</v>
      </c>
      <c r="B200" t="s" s="11">
        <v>5</v>
      </c>
      <c r="C200" t="s" s="12">
        <v>22</v>
      </c>
      <c r="D200" s="13"/>
      <c r="E200" s="13">
        <v>45000</v>
      </c>
      <c r="F200" s="14"/>
      <c r="G200" s="14"/>
      <c r="H200" s="14"/>
      <c r="I200" s="14"/>
    </row>
    <row r="201" ht="20.7" customHeight="1">
      <c r="A201" s="10">
        <v>45441</v>
      </c>
      <c r="B201" t="s" s="11">
        <v>8</v>
      </c>
      <c r="C201" t="s" s="12">
        <v>8</v>
      </c>
      <c r="D201" s="15" cm="1">
        <f t="array" ref="D201">SUM(D199:D200)</f>
        <v>45000</v>
      </c>
      <c r="E201" s="15" cm="1">
        <f t="array" ref="E201">SUM(E199:E200)</f>
        <v>45000</v>
      </c>
      <c r="F201" s="16" cm="1">
        <f t="array" ref="F201">SUM(F199:F200)</f>
        <v>0</v>
      </c>
      <c r="G201" s="16" cm="1">
        <f t="array" ref="G201">SUM(G199:G200)</f>
        <v>0</v>
      </c>
      <c r="H201" s="16" cm="1">
        <f t="array" ref="H201">SUM(H199:H200)</f>
        <v>0</v>
      </c>
      <c r="I201" s="16" cm="1">
        <f t="array" ref="I201">SUM(I199:I200)</f>
        <v>0</v>
      </c>
    </row>
    <row r="202" ht="20.35" customHeight="1">
      <c r="A202" s="10">
        <v>45441</v>
      </c>
      <c r="B202" t="s" s="11">
        <v>5</v>
      </c>
      <c r="C202" t="s" s="12">
        <v>78</v>
      </c>
      <c r="D202" s="17"/>
      <c r="E202" s="17">
        <v>50000</v>
      </c>
      <c r="F202" s="18"/>
      <c r="G202" s="18"/>
      <c r="H202" s="18"/>
      <c r="I202" s="18"/>
    </row>
    <row r="203" ht="20.35" customHeight="1">
      <c r="A203" s="10">
        <v>45441</v>
      </c>
      <c r="B203" t="s" s="11">
        <v>79</v>
      </c>
      <c r="C203" t="s" s="12">
        <v>78</v>
      </c>
      <c r="D203" s="13">
        <v>50000</v>
      </c>
      <c r="E203" s="13"/>
      <c r="F203" s="14"/>
      <c r="G203" s="14"/>
      <c r="H203" s="14"/>
      <c r="I203" s="14"/>
    </row>
    <row r="204" ht="20.7" customHeight="1">
      <c r="A204" s="10">
        <v>45441</v>
      </c>
      <c r="B204" t="s" s="11">
        <v>8</v>
      </c>
      <c r="C204" t="s" s="12">
        <v>8</v>
      </c>
      <c r="D204" s="15" cm="1">
        <f t="array" ref="D204">SUM(D202:D203)</f>
        <v>50000</v>
      </c>
      <c r="E204" s="15" cm="1">
        <f t="array" ref="E204">SUM(E202:E203)</f>
        <v>50000</v>
      </c>
      <c r="F204" s="16" cm="1">
        <f t="array" ref="F204">SUM(F202:F203)</f>
        <v>0</v>
      </c>
      <c r="G204" s="16" cm="1">
        <f t="array" ref="G204">SUM(G202:G203)</f>
        <v>0</v>
      </c>
      <c r="H204" s="16" cm="1">
        <f t="array" ref="H204">SUM(H202:H203)</f>
        <v>0</v>
      </c>
      <c r="I204" s="16" cm="1">
        <f t="array" ref="I204">SUM(I202:I203)</f>
        <v>0</v>
      </c>
    </row>
    <row r="205" ht="21.25" customHeight="1">
      <c r="A205" s="10">
        <v>45441</v>
      </c>
      <c r="B205" t="s" s="11">
        <v>79</v>
      </c>
      <c r="C205" t="s" s="12">
        <v>80</v>
      </c>
      <c r="D205" s="17"/>
      <c r="E205" s="17">
        <v>49989</v>
      </c>
      <c r="F205" s="18"/>
      <c r="G205" s="18"/>
      <c r="H205" s="18"/>
      <c r="I205" s="18"/>
    </row>
    <row r="206" ht="20.05" customHeight="1">
      <c r="A206" s="10">
        <v>45441</v>
      </c>
      <c r="B206" t="s" s="11">
        <v>21</v>
      </c>
      <c r="C206" t="s" s="12">
        <v>45</v>
      </c>
      <c r="D206" s="19">
        <v>70</v>
      </c>
      <c r="E206" s="19"/>
      <c r="F206" s="20"/>
      <c r="G206" s="20"/>
      <c r="H206" s="20"/>
      <c r="I206" s="20"/>
    </row>
    <row r="207" ht="20.35" customHeight="1">
      <c r="A207" s="10">
        <v>45441</v>
      </c>
      <c r="B207" t="s" s="11">
        <v>81</v>
      </c>
      <c r="C207" t="s" s="12">
        <v>45</v>
      </c>
      <c r="D207" s="13">
        <v>49919</v>
      </c>
      <c r="E207" s="13"/>
      <c r="F207" s="14"/>
      <c r="G207" s="14"/>
      <c r="H207" s="14"/>
      <c r="I207" s="14"/>
    </row>
    <row r="208" ht="20.7" customHeight="1">
      <c r="A208" s="10">
        <v>45441</v>
      </c>
      <c r="B208" t="s" s="11">
        <v>8</v>
      </c>
      <c r="C208" t="s" s="12">
        <v>8</v>
      </c>
      <c r="D208" s="15" cm="1">
        <f t="array" ref="D208">SUM(D205:D207)</f>
        <v>49989</v>
      </c>
      <c r="E208" s="15" cm="1">
        <f t="array" ref="E208">SUM(E205:E207)</f>
        <v>49989</v>
      </c>
      <c r="F208" s="16" cm="1">
        <f t="array" ref="F208">SUM(F205:F207)</f>
        <v>0</v>
      </c>
      <c r="G208" s="16" cm="1">
        <f t="array" ref="G208">SUM(G205:G207)</f>
        <v>0</v>
      </c>
      <c r="H208" s="16" cm="1">
        <f t="array" ref="H208">SUM(H205:H207)</f>
        <v>0</v>
      </c>
      <c r="I208" s="16" cm="1">
        <f t="array" ref="I208">SUM(I205:I207)</f>
        <v>0</v>
      </c>
    </row>
    <row r="209" ht="20.35" customHeight="1">
      <c r="A209" s="10">
        <v>45441</v>
      </c>
      <c r="B209" t="s" s="11">
        <v>5</v>
      </c>
      <c r="C209" t="s" s="12">
        <v>82</v>
      </c>
      <c r="D209" s="17"/>
      <c r="E209" s="17">
        <v>51500</v>
      </c>
      <c r="F209" s="18"/>
      <c r="G209" s="18"/>
      <c r="H209" s="18"/>
      <c r="I209" s="18"/>
    </row>
    <row r="210" ht="20.35" customHeight="1">
      <c r="A210" s="10">
        <v>45441</v>
      </c>
      <c r="B210" t="s" s="11">
        <v>79</v>
      </c>
      <c r="C210" t="s" s="12">
        <v>82</v>
      </c>
      <c r="D210" s="13">
        <v>51500</v>
      </c>
      <c r="E210" s="13"/>
      <c r="F210" s="14"/>
      <c r="G210" s="14"/>
      <c r="H210" s="14"/>
      <c r="I210" s="14"/>
    </row>
    <row r="211" ht="20.7" customHeight="1">
      <c r="A211" s="10">
        <v>45441</v>
      </c>
      <c r="B211" t="s" s="11">
        <v>8</v>
      </c>
      <c r="C211" t="s" s="12">
        <v>8</v>
      </c>
      <c r="D211" s="15" cm="1">
        <f t="array" ref="D211">SUM(D209:D210)</f>
        <v>51500</v>
      </c>
      <c r="E211" s="15" cm="1">
        <f t="array" ref="E211">SUM(E209:E210)</f>
        <v>51500</v>
      </c>
      <c r="F211" s="16" cm="1">
        <f t="array" ref="F211">SUM(F209:F210)</f>
        <v>0</v>
      </c>
      <c r="G211" s="16" cm="1">
        <f t="array" ref="G211">SUM(G209:G210)</f>
        <v>0</v>
      </c>
      <c r="H211" s="16" cm="1">
        <f t="array" ref="H211">SUM(H209:H210)</f>
        <v>0</v>
      </c>
      <c r="I211" s="16" cm="1">
        <f t="array" ref="I211">SUM(I209:I210)</f>
        <v>0</v>
      </c>
    </row>
    <row r="212" ht="21.25" customHeight="1">
      <c r="A212" s="10">
        <v>45441</v>
      </c>
      <c r="B212" t="s" s="11">
        <v>79</v>
      </c>
      <c r="C212" t="s" s="12">
        <v>83</v>
      </c>
      <c r="D212" s="17"/>
      <c r="E212" s="17">
        <v>49989</v>
      </c>
      <c r="F212" s="18"/>
      <c r="G212" s="18"/>
      <c r="H212" s="18"/>
      <c r="I212" s="18"/>
    </row>
    <row r="213" ht="20.05" customHeight="1">
      <c r="A213" s="10">
        <v>45441</v>
      </c>
      <c r="B213" t="s" s="11">
        <v>84</v>
      </c>
      <c r="C213" t="s" s="12">
        <v>45</v>
      </c>
      <c r="D213" s="19">
        <v>70</v>
      </c>
      <c r="E213" s="19"/>
      <c r="F213" s="20"/>
      <c r="G213" s="20"/>
      <c r="H213" s="20"/>
      <c r="I213" s="20"/>
    </row>
    <row r="214" ht="20.35" customHeight="1">
      <c r="A214" s="10">
        <v>45441</v>
      </c>
      <c r="B214" t="s" s="11">
        <v>81</v>
      </c>
      <c r="C214" t="s" s="12">
        <v>45</v>
      </c>
      <c r="D214" s="13">
        <v>49919</v>
      </c>
      <c r="E214" s="13"/>
      <c r="F214" s="14"/>
      <c r="G214" s="14"/>
      <c r="H214" s="14"/>
      <c r="I214" s="14"/>
    </row>
    <row r="215" ht="20.7" customHeight="1">
      <c r="A215" s="10">
        <v>45441</v>
      </c>
      <c r="B215" t="s" s="11">
        <v>8</v>
      </c>
      <c r="C215" t="s" s="12">
        <v>8</v>
      </c>
      <c r="D215" s="15" cm="1">
        <f t="array" ref="D215">SUM(D212:D214)</f>
        <v>49989</v>
      </c>
      <c r="E215" s="15" cm="1">
        <f t="array" ref="E215">SUM(E212:E214)</f>
        <v>49989</v>
      </c>
      <c r="F215" s="16" cm="1">
        <f t="array" ref="F215">SUM(F212:F214)</f>
        <v>0</v>
      </c>
      <c r="G215" s="16" cm="1">
        <f t="array" ref="G215">SUM(G212:G214)</f>
        <v>0</v>
      </c>
      <c r="H215" s="16" cm="1">
        <f t="array" ref="H215">SUM(H212:H214)</f>
        <v>0</v>
      </c>
      <c r="I215" s="16" cm="1">
        <f t="array" ref="I215">SUM(I212:I214)</f>
        <v>0</v>
      </c>
    </row>
    <row r="216" ht="21.25" customHeight="1">
      <c r="A216" s="10">
        <v>45441</v>
      </c>
      <c r="B216" t="s" s="11">
        <v>81</v>
      </c>
      <c r="C216" t="s" s="12">
        <v>83</v>
      </c>
      <c r="D216" s="17"/>
      <c r="E216" s="17">
        <v>49919</v>
      </c>
      <c r="F216" s="18"/>
      <c r="G216" s="18"/>
      <c r="H216" s="18"/>
      <c r="I216" s="18"/>
    </row>
    <row r="217" ht="21.25" customHeight="1">
      <c r="A217" s="10">
        <v>45441</v>
      </c>
      <c r="B217" t="s" s="11">
        <v>85</v>
      </c>
      <c r="C217" t="s" s="12">
        <v>83</v>
      </c>
      <c r="D217" s="13">
        <v>49919</v>
      </c>
      <c r="E217" s="13"/>
      <c r="F217" s="14"/>
      <c r="G217" s="14"/>
      <c r="H217" s="14"/>
      <c r="I217" s="14"/>
    </row>
    <row r="218" ht="20.7" customHeight="1">
      <c r="A218" s="10">
        <v>45441</v>
      </c>
      <c r="B218" t="s" s="11">
        <v>8</v>
      </c>
      <c r="C218" t="s" s="12">
        <v>8</v>
      </c>
      <c r="D218" s="15" cm="1">
        <f t="array" ref="D218">SUM(D216:D217)</f>
        <v>49919</v>
      </c>
      <c r="E218" s="15" cm="1">
        <f t="array" ref="E218">SUM(E216:E217)</f>
        <v>49919</v>
      </c>
      <c r="F218" s="16" cm="1">
        <f t="array" ref="F218">SUM(F216:F217)</f>
        <v>0</v>
      </c>
      <c r="G218" s="16" cm="1">
        <f t="array" ref="G218">SUM(G216:G217)</f>
        <v>0</v>
      </c>
      <c r="H218" s="16" cm="1">
        <f t="array" ref="H218">SUM(H216:H217)</f>
        <v>0</v>
      </c>
      <c r="I218" s="16" cm="1">
        <f t="array" ref="I218">SUM(I216:I217)</f>
        <v>0</v>
      </c>
    </row>
    <row r="219" ht="21.25" customHeight="1">
      <c r="A219" s="10">
        <v>45441</v>
      </c>
      <c r="B219" t="s" s="11">
        <v>81</v>
      </c>
      <c r="C219" t="s" s="12">
        <v>80</v>
      </c>
      <c r="D219" s="17"/>
      <c r="E219" s="17">
        <v>49919</v>
      </c>
      <c r="F219" s="18"/>
      <c r="G219" s="18"/>
      <c r="H219" s="18"/>
      <c r="I219" s="18"/>
    </row>
    <row r="220" ht="21.25" customHeight="1">
      <c r="A220" s="10">
        <v>45441</v>
      </c>
      <c r="B220" t="s" s="11">
        <v>85</v>
      </c>
      <c r="C220" t="s" s="12">
        <v>80</v>
      </c>
      <c r="D220" s="13">
        <v>49919</v>
      </c>
      <c r="E220" s="13"/>
      <c r="F220" s="14"/>
      <c r="G220" s="14"/>
      <c r="H220" s="14"/>
      <c r="I220" s="14"/>
    </row>
    <row r="221" ht="20.7" customHeight="1">
      <c r="A221" s="10">
        <v>45441</v>
      </c>
      <c r="B221" t="s" s="11">
        <v>8</v>
      </c>
      <c r="C221" t="s" s="12">
        <v>8</v>
      </c>
      <c r="D221" s="15" cm="1">
        <f t="array" ref="D221">SUM(D219:D220)</f>
        <v>49919</v>
      </c>
      <c r="E221" s="15" cm="1">
        <f t="array" ref="E221">SUM(E219:E220)</f>
        <v>49919</v>
      </c>
      <c r="F221" s="16" cm="1">
        <f t="array" ref="F221">SUM(F219:F220)</f>
        <v>0</v>
      </c>
      <c r="G221" s="16" cm="1">
        <f t="array" ref="G221">SUM(G219:G220)</f>
        <v>0</v>
      </c>
      <c r="H221" s="16" cm="1">
        <f t="array" ref="H221">SUM(H219:H220)</f>
        <v>0</v>
      </c>
      <c r="I221" s="16" cm="1">
        <f t="array" ref="I221">SUM(I219:I220)</f>
        <v>0</v>
      </c>
    </row>
    <row r="222" ht="20.35" customHeight="1">
      <c r="A222" s="10">
        <v>45441</v>
      </c>
      <c r="B222" t="s" s="11">
        <v>21</v>
      </c>
      <c r="C222" t="s" s="12">
        <v>36</v>
      </c>
      <c r="D222" s="17">
        <v>30000</v>
      </c>
      <c r="E222" s="17"/>
      <c r="F222" s="18"/>
      <c r="G222" s="18"/>
      <c r="H222" s="18"/>
      <c r="I222" s="18"/>
    </row>
    <row r="223" ht="20.35" customHeight="1">
      <c r="A223" s="10">
        <v>45441</v>
      </c>
      <c r="B223" t="s" s="11">
        <v>5</v>
      </c>
      <c r="C223" t="s" s="12">
        <v>36</v>
      </c>
      <c r="D223" s="13"/>
      <c r="E223" s="13">
        <v>30000</v>
      </c>
      <c r="F223" s="14"/>
      <c r="G223" s="14"/>
      <c r="H223" s="14"/>
      <c r="I223" s="14"/>
    </row>
    <row r="224" ht="20.7" customHeight="1">
      <c r="A224" s="10">
        <v>45441</v>
      </c>
      <c r="B224" t="s" s="11">
        <v>8</v>
      </c>
      <c r="C224" t="s" s="12">
        <v>8</v>
      </c>
      <c r="D224" s="15" cm="1">
        <f t="array" ref="D224">SUM(D222:D223)</f>
        <v>30000</v>
      </c>
      <c r="E224" s="15" cm="1">
        <f t="array" ref="E224">SUM(E222:E223)</f>
        <v>30000</v>
      </c>
      <c r="F224" s="16" cm="1">
        <f t="array" ref="F224">SUM(F222:F223)</f>
        <v>0</v>
      </c>
      <c r="G224" s="16" cm="1">
        <f t="array" ref="G224">SUM(G222:G223)</f>
        <v>0</v>
      </c>
      <c r="H224" s="16" cm="1">
        <f t="array" ref="H224">SUM(H222:H223)</f>
        <v>0</v>
      </c>
      <c r="I224" s="16" cm="1">
        <f t="array" ref="I224">SUM(I222:I223)</f>
        <v>0</v>
      </c>
    </row>
    <row r="225" ht="21.25" customHeight="1">
      <c r="A225" s="10">
        <v>45441</v>
      </c>
      <c r="B225" t="s" s="11">
        <v>86</v>
      </c>
      <c r="C225" t="s" s="12">
        <v>87</v>
      </c>
      <c r="D225" s="17">
        <v>75580</v>
      </c>
      <c r="E225" s="17"/>
      <c r="F225" s="18"/>
      <c r="G225" s="18"/>
      <c r="H225" s="18"/>
      <c r="I225" s="18"/>
    </row>
    <row r="226" ht="21.25" customHeight="1">
      <c r="A226" s="10">
        <v>45441</v>
      </c>
      <c r="B226" t="s" s="11">
        <v>5</v>
      </c>
      <c r="C226" t="s" s="12">
        <v>87</v>
      </c>
      <c r="D226" s="13"/>
      <c r="E226" s="13">
        <v>75580</v>
      </c>
      <c r="F226" s="14"/>
      <c r="G226" s="14"/>
      <c r="H226" s="14"/>
      <c r="I226" s="14"/>
    </row>
    <row r="227" ht="20.7" customHeight="1">
      <c r="A227" s="10">
        <v>45441</v>
      </c>
      <c r="B227" t="s" s="11">
        <v>8</v>
      </c>
      <c r="C227" t="s" s="12">
        <v>8</v>
      </c>
      <c r="D227" s="15" cm="1">
        <f t="array" ref="D227">SUM(D225:D226)</f>
        <v>75580</v>
      </c>
      <c r="E227" s="15" cm="1">
        <f t="array" ref="E227">SUM(E225:E226)</f>
        <v>75580</v>
      </c>
      <c r="F227" s="16" cm="1">
        <f t="array" ref="F227">SUM(F225:F226)</f>
        <v>0</v>
      </c>
      <c r="G227" s="16" cm="1">
        <f t="array" ref="G227">SUM(G225:G226)</f>
        <v>0</v>
      </c>
      <c r="H227" s="16" cm="1">
        <f t="array" ref="H227">SUM(H225:H226)</f>
        <v>0</v>
      </c>
      <c r="I227" s="16" cm="1">
        <f t="array" ref="I227">SUM(I225:I226)</f>
        <v>0</v>
      </c>
    </row>
    <row r="228" ht="21.25" customHeight="1">
      <c r="A228" s="10">
        <v>45441</v>
      </c>
      <c r="B228" t="s" s="11">
        <v>5</v>
      </c>
      <c r="C228" t="s" s="12">
        <v>88</v>
      </c>
      <c r="D228" s="17"/>
      <c r="E228" s="17">
        <v>31000</v>
      </c>
      <c r="F228" s="18"/>
      <c r="G228" s="18"/>
      <c r="H228" s="18"/>
      <c r="I228" s="18"/>
    </row>
    <row r="229" ht="21.25" customHeight="1">
      <c r="A229" s="10">
        <v>45441</v>
      </c>
      <c r="B229" t="s" s="11">
        <v>12</v>
      </c>
      <c r="C229" t="s" s="12">
        <v>88</v>
      </c>
      <c r="D229" s="13">
        <v>31000</v>
      </c>
      <c r="E229" s="13"/>
      <c r="F229" s="14"/>
      <c r="G229" s="14"/>
      <c r="H229" s="14"/>
      <c r="I229" s="14"/>
    </row>
    <row r="230" ht="20.7" customHeight="1">
      <c r="A230" s="10">
        <v>45441</v>
      </c>
      <c r="B230" t="s" s="11">
        <v>8</v>
      </c>
      <c r="C230" t="s" s="12">
        <v>8</v>
      </c>
      <c r="D230" s="15" cm="1">
        <f t="array" ref="D230">SUM(D228:D229)</f>
        <v>31000</v>
      </c>
      <c r="E230" s="15" cm="1">
        <f t="array" ref="E230">SUM(E228:E229)</f>
        <v>31000</v>
      </c>
      <c r="F230" s="16" cm="1">
        <f t="array" ref="F230">SUM(F228:F229)</f>
        <v>0</v>
      </c>
      <c r="G230" s="16" cm="1">
        <f t="array" ref="G230">SUM(G228:G229)</f>
        <v>0</v>
      </c>
      <c r="H230" s="16" cm="1">
        <f t="array" ref="H230">SUM(H228:H229)</f>
        <v>0</v>
      </c>
      <c r="I230" s="16" cm="1">
        <f t="array" ref="I230">SUM(I228:I229)</f>
        <v>0</v>
      </c>
    </row>
    <row r="231" ht="20.35" customHeight="1">
      <c r="A231" s="10">
        <v>45442</v>
      </c>
      <c r="B231" t="s" s="11">
        <v>89</v>
      </c>
      <c r="C231" t="s" s="12">
        <v>90</v>
      </c>
      <c r="D231" s="17">
        <v>120000</v>
      </c>
      <c r="E231" s="17"/>
      <c r="F231" s="18"/>
      <c r="G231" s="18"/>
      <c r="H231" s="18"/>
      <c r="I231" s="18"/>
    </row>
    <row r="232" ht="20.35" customHeight="1">
      <c r="A232" s="10">
        <v>45442</v>
      </c>
      <c r="B232" t="s" s="11">
        <v>91</v>
      </c>
      <c r="C232" t="s" s="12">
        <v>90</v>
      </c>
      <c r="D232" s="13"/>
      <c r="E232" s="13">
        <v>120000</v>
      </c>
      <c r="F232" s="14"/>
      <c r="G232" s="14"/>
      <c r="H232" s="14"/>
      <c r="I232" s="14"/>
    </row>
    <row r="233" ht="20.7" customHeight="1">
      <c r="A233" s="10">
        <v>45442</v>
      </c>
      <c r="B233" t="s" s="11">
        <v>8</v>
      </c>
      <c r="C233" t="s" s="12">
        <v>8</v>
      </c>
      <c r="D233" s="15" cm="1">
        <f t="array" ref="D233">SUM(D231:D232)</f>
        <v>120000</v>
      </c>
      <c r="E233" s="15" cm="1">
        <f t="array" ref="E233">SUM(E231:E232)</f>
        <v>120000</v>
      </c>
      <c r="F233" s="16" cm="1">
        <f t="array" ref="F233">SUM(F231:F232)</f>
        <v>0</v>
      </c>
      <c r="G233" s="16" cm="1">
        <f t="array" ref="G233">SUM(G231:G232)</f>
        <v>0</v>
      </c>
      <c r="H233" s="16" cm="1">
        <f t="array" ref="H233">SUM(H231:H232)</f>
        <v>0</v>
      </c>
      <c r="I233" s="16" cm="1">
        <f t="array" ref="I233">SUM(I231:I232)</f>
        <v>0</v>
      </c>
    </row>
    <row r="234" ht="20.35" customHeight="1">
      <c r="A234" s="10">
        <v>45443</v>
      </c>
      <c r="B234" t="s" s="11">
        <v>61</v>
      </c>
      <c r="C234" t="s" s="12">
        <v>62</v>
      </c>
      <c r="D234" s="17"/>
      <c r="E234" s="17"/>
      <c r="F234" s="18"/>
      <c r="G234" s="18">
        <v>513.29</v>
      </c>
      <c r="H234" s="18"/>
      <c r="I234" s="18"/>
    </row>
    <row r="235" ht="20.35" customHeight="1">
      <c r="A235" s="10">
        <v>45443</v>
      </c>
      <c r="B235" t="s" s="11">
        <v>39</v>
      </c>
      <c r="C235" t="s" s="12">
        <v>62</v>
      </c>
      <c r="D235" s="13"/>
      <c r="E235" s="13"/>
      <c r="F235" s="14">
        <v>513.29</v>
      </c>
      <c r="G235" s="14"/>
      <c r="H235" s="14"/>
      <c r="I235" s="14"/>
    </row>
    <row r="236" ht="20.7" customHeight="1">
      <c r="A236" s="10">
        <v>45443</v>
      </c>
      <c r="B236" t="s" s="11">
        <v>8</v>
      </c>
      <c r="C236" t="s" s="12">
        <v>8</v>
      </c>
      <c r="D236" s="15" cm="1">
        <f t="array" ref="D236">SUM(D234:D235)</f>
        <v>0</v>
      </c>
      <c r="E236" s="15" cm="1">
        <f t="array" ref="E236">SUM(E234:E235)</f>
        <v>0</v>
      </c>
      <c r="F236" s="16" cm="1">
        <f t="array" ref="F236">SUM(F234:F235)</f>
        <v>513.29</v>
      </c>
      <c r="G236" s="16" cm="1">
        <f t="array" ref="G236">SUM(G234:G235)</f>
        <v>513.29</v>
      </c>
      <c r="H236" s="16" cm="1">
        <f t="array" ref="H236">SUM(H234:H235)</f>
        <v>0</v>
      </c>
      <c r="I236" s="16" cm="1">
        <f t="array" ref="I236">SUM(I234:I235)</f>
        <v>0</v>
      </c>
    </row>
    <row r="237" ht="20.35" customHeight="1">
      <c r="A237" s="10">
        <v>45443</v>
      </c>
      <c r="B237" t="s" s="11">
        <v>39</v>
      </c>
      <c r="C237" t="s" s="12">
        <v>92</v>
      </c>
      <c r="D237" s="17"/>
      <c r="E237" s="17"/>
      <c r="F237" s="18"/>
      <c r="G237" s="18">
        <v>513.29</v>
      </c>
      <c r="H237" s="18"/>
      <c r="I237" s="18"/>
    </row>
    <row r="238" ht="20.05" customHeight="1">
      <c r="A238" s="10">
        <v>45443</v>
      </c>
      <c r="B238" t="s" s="11">
        <v>43</v>
      </c>
      <c r="C238" t="s" s="12">
        <v>92</v>
      </c>
      <c r="D238" s="19"/>
      <c r="E238" s="19"/>
      <c r="F238" s="20">
        <v>11.96</v>
      </c>
      <c r="G238" s="20"/>
      <c r="H238" s="20"/>
      <c r="I238" s="20"/>
    </row>
    <row r="239" ht="20.05" customHeight="1">
      <c r="A239" s="10">
        <v>45443</v>
      </c>
      <c r="B239" t="s" s="11">
        <v>44</v>
      </c>
      <c r="C239" t="s" s="12">
        <v>45</v>
      </c>
      <c r="D239" s="19"/>
      <c r="E239" s="19"/>
      <c r="F239" s="20">
        <v>501.33</v>
      </c>
      <c r="G239" s="20"/>
      <c r="H239" s="20"/>
      <c r="I239" s="20"/>
    </row>
    <row r="240" ht="20.05" customHeight="1">
      <c r="A240" s="10">
        <v>45443</v>
      </c>
      <c r="B240" t="s" s="11">
        <v>5</v>
      </c>
      <c r="C240" t="s" s="12">
        <v>92</v>
      </c>
      <c r="D240" s="19">
        <v>147608</v>
      </c>
      <c r="E240" s="19"/>
      <c r="F240" s="20"/>
      <c r="G240" s="20"/>
      <c r="H240" s="20"/>
      <c r="I240" s="20"/>
    </row>
    <row r="241" ht="20.35" customHeight="1">
      <c r="A241" s="10">
        <v>45443</v>
      </c>
      <c r="B241" t="s" s="11">
        <v>46</v>
      </c>
      <c r="C241" t="s" s="12">
        <v>92</v>
      </c>
      <c r="D241" s="13"/>
      <c r="E241" s="13">
        <v>147608</v>
      </c>
      <c r="F241" s="14"/>
      <c r="G241" s="14"/>
      <c r="H241" s="14"/>
      <c r="I241" s="14"/>
    </row>
    <row r="242" ht="20.7" customHeight="1">
      <c r="A242" s="10">
        <v>45443</v>
      </c>
      <c r="B242" t="s" s="11">
        <v>8</v>
      </c>
      <c r="C242" t="s" s="12">
        <v>8</v>
      </c>
      <c r="D242" s="15" cm="1">
        <f t="array" ref="D242">SUM(D237:D241)</f>
        <v>147608</v>
      </c>
      <c r="E242" s="15" cm="1">
        <f t="array" ref="E242">SUM(E237:E241)</f>
        <v>147608</v>
      </c>
      <c r="F242" s="16" cm="1">
        <f t="array" ref="F242">SUM(F237:F241)</f>
        <v>513.29</v>
      </c>
      <c r="G242" s="16" cm="1">
        <f t="array" ref="G242">SUM(G237:G241)</f>
        <v>513.29</v>
      </c>
      <c r="H242" s="16" cm="1">
        <f t="array" ref="H242">SUM(H237:H241)</f>
        <v>0</v>
      </c>
      <c r="I242" s="16" cm="1">
        <f t="array" ref="I242">SUM(I237:I241)</f>
        <v>0</v>
      </c>
    </row>
    <row r="243" ht="20.35" customHeight="1">
      <c r="A243" s="10">
        <v>45443</v>
      </c>
      <c r="B243" t="s" s="11">
        <v>93</v>
      </c>
      <c r="C243" t="s" s="12">
        <v>94</v>
      </c>
      <c r="D243" s="17">
        <v>10000</v>
      </c>
      <c r="E243" s="17"/>
      <c r="F243" s="18"/>
      <c r="G243" s="18"/>
      <c r="H243" s="18"/>
      <c r="I243" s="18"/>
    </row>
    <row r="244" ht="20.35" customHeight="1">
      <c r="A244" s="10">
        <v>45443</v>
      </c>
      <c r="B244" t="s" s="11">
        <v>5</v>
      </c>
      <c r="C244" t="s" s="12">
        <v>94</v>
      </c>
      <c r="D244" s="13"/>
      <c r="E244" s="13">
        <v>10000</v>
      </c>
      <c r="F244" s="14"/>
      <c r="G244" s="14"/>
      <c r="H244" s="14"/>
      <c r="I244" s="14"/>
    </row>
    <row r="245" ht="20.7" customHeight="1">
      <c r="A245" s="10">
        <v>45443</v>
      </c>
      <c r="B245" t="s" s="11">
        <v>8</v>
      </c>
      <c r="C245" t="s" s="12">
        <v>8</v>
      </c>
      <c r="D245" s="15" cm="1">
        <f t="array" ref="D245">SUM(D243:D244)</f>
        <v>10000</v>
      </c>
      <c r="E245" s="15" cm="1">
        <f t="array" ref="E245">SUM(E243:E244)</f>
        <v>10000</v>
      </c>
      <c r="F245" s="16" cm="1">
        <f t="array" ref="F245">SUM(F243:F244)</f>
        <v>0</v>
      </c>
      <c r="G245" s="16" cm="1">
        <f t="array" ref="G245">SUM(G243:G244)</f>
        <v>0</v>
      </c>
      <c r="H245" s="16" cm="1">
        <f t="array" ref="H245">SUM(H243:H244)</f>
        <v>0</v>
      </c>
      <c r="I245" s="16" cm="1">
        <f t="array" ref="I245">SUM(I243:I244)</f>
        <v>0</v>
      </c>
    </row>
    <row r="246" ht="20.35" customHeight="1">
      <c r="A246" s="10">
        <v>45443</v>
      </c>
      <c r="B246" t="s" s="11">
        <v>93</v>
      </c>
      <c r="C246" t="s" s="12">
        <v>95</v>
      </c>
      <c r="D246" s="17"/>
      <c r="E246" s="17">
        <v>3770</v>
      </c>
      <c r="F246" s="18"/>
      <c r="G246" s="18"/>
      <c r="H246" s="18"/>
      <c r="I246" s="18"/>
    </row>
    <row r="247" ht="20.35" customHeight="1">
      <c r="A247" s="10">
        <v>45443</v>
      </c>
      <c r="B247" t="s" s="11">
        <v>10</v>
      </c>
      <c r="C247" t="s" s="12">
        <v>95</v>
      </c>
      <c r="D247" s="13">
        <v>3770</v>
      </c>
      <c r="E247" s="13"/>
      <c r="F247" s="14"/>
      <c r="G247" s="14"/>
      <c r="H247" s="14"/>
      <c r="I247" s="14"/>
    </row>
    <row r="248" ht="20.7" customHeight="1">
      <c r="A248" s="10">
        <v>45443</v>
      </c>
      <c r="B248" t="s" s="11">
        <v>8</v>
      </c>
      <c r="C248" t="s" s="12">
        <v>8</v>
      </c>
      <c r="D248" s="15" cm="1">
        <f t="array" ref="D248">SUM(D246:D247)</f>
        <v>3770</v>
      </c>
      <c r="E248" s="15" cm="1">
        <f t="array" ref="E248">SUM(E246:E247)</f>
        <v>3770</v>
      </c>
      <c r="F248" s="16" cm="1">
        <f t="array" ref="F248">SUM(F246:F247)</f>
        <v>0</v>
      </c>
      <c r="G248" s="16" cm="1">
        <f t="array" ref="G248">SUM(G246:G247)</f>
        <v>0</v>
      </c>
      <c r="H248" s="16" cm="1">
        <f t="array" ref="H248">SUM(H246:H247)</f>
        <v>0</v>
      </c>
      <c r="I248" s="16" cm="1">
        <f t="array" ref="I248">SUM(I246:I247)</f>
        <v>0</v>
      </c>
    </row>
    <row r="249" ht="20.35" customHeight="1">
      <c r="A249" s="10">
        <v>45443</v>
      </c>
      <c r="B249" t="s" s="11">
        <v>93</v>
      </c>
      <c r="C249" t="s" s="12">
        <v>96</v>
      </c>
      <c r="D249" s="17"/>
      <c r="E249" s="17">
        <v>6230</v>
      </c>
      <c r="F249" s="18"/>
      <c r="G249" s="18"/>
      <c r="H249" s="18"/>
      <c r="I249" s="18"/>
    </row>
    <row r="250" ht="20.35" customHeight="1">
      <c r="A250" s="10">
        <v>45443</v>
      </c>
      <c r="B250" t="s" s="11">
        <v>5</v>
      </c>
      <c r="C250" t="s" s="12">
        <v>96</v>
      </c>
      <c r="D250" s="13">
        <v>6230</v>
      </c>
      <c r="E250" s="13"/>
      <c r="F250" s="14"/>
      <c r="G250" s="14"/>
      <c r="H250" s="14"/>
      <c r="I250" s="14"/>
    </row>
    <row r="251" ht="20.7" customHeight="1">
      <c r="A251" s="10">
        <v>45443</v>
      </c>
      <c r="B251" t="s" s="11">
        <v>8</v>
      </c>
      <c r="C251" t="s" s="12">
        <v>8</v>
      </c>
      <c r="D251" s="15" cm="1">
        <f t="array" ref="D251">SUM(D249:D250)</f>
        <v>6230</v>
      </c>
      <c r="E251" s="15" cm="1">
        <f t="array" ref="E251">SUM(E249:E250)</f>
        <v>6230</v>
      </c>
      <c r="F251" s="16" cm="1">
        <f t="array" ref="F251">SUM(F249:F250)</f>
        <v>0</v>
      </c>
      <c r="G251" s="16" cm="1">
        <f t="array" ref="G251">SUM(G249:G250)</f>
        <v>0</v>
      </c>
      <c r="H251" s="16" cm="1">
        <f t="array" ref="H251">SUM(H249:H250)</f>
        <v>0</v>
      </c>
      <c r="I251" s="16" cm="1">
        <f t="array" ref="I251">SUM(I249:I250)</f>
        <v>0</v>
      </c>
    </row>
    <row r="252" ht="21.25" customHeight="1">
      <c r="A252" s="10">
        <v>45443</v>
      </c>
      <c r="B252" t="s" s="11">
        <v>97</v>
      </c>
      <c r="C252" t="s" s="12">
        <v>98</v>
      </c>
      <c r="D252" s="17"/>
      <c r="E252" s="17">
        <v>557143</v>
      </c>
      <c r="F252" s="18"/>
      <c r="G252" s="18"/>
      <c r="H252" s="18"/>
      <c r="I252" s="18"/>
    </row>
    <row r="253" ht="21.25" customHeight="1">
      <c r="A253" s="10">
        <v>45443</v>
      </c>
      <c r="B253" t="s" s="11">
        <v>99</v>
      </c>
      <c r="C253" t="s" s="12">
        <v>98</v>
      </c>
      <c r="D253" s="13">
        <v>557143</v>
      </c>
      <c r="E253" s="13"/>
      <c r="F253" s="14"/>
      <c r="G253" s="14"/>
      <c r="H253" s="14"/>
      <c r="I253" s="14"/>
    </row>
    <row r="254" ht="20.7" customHeight="1">
      <c r="A254" s="10">
        <v>45443</v>
      </c>
      <c r="B254" t="s" s="11">
        <v>8</v>
      </c>
      <c r="C254" t="s" s="12">
        <v>8</v>
      </c>
      <c r="D254" s="15" cm="1">
        <f t="array" ref="D254">SUM(D252:D253)</f>
        <v>557143</v>
      </c>
      <c r="E254" s="15" cm="1">
        <f t="array" ref="E254">SUM(E252:E253)</f>
        <v>557143</v>
      </c>
      <c r="F254" s="16" cm="1">
        <f t="array" ref="F254">SUM(F252:F253)</f>
        <v>0</v>
      </c>
      <c r="G254" s="16" cm="1">
        <f t="array" ref="G254">SUM(G252:G253)</f>
        <v>0</v>
      </c>
      <c r="H254" s="16" cm="1">
        <f t="array" ref="H254">SUM(H252:H253)</f>
        <v>0</v>
      </c>
      <c r="I254" s="16" cm="1">
        <f t="array" ref="I254">SUM(I252:I253)</f>
        <v>0</v>
      </c>
    </row>
    <row r="255" ht="21.25" customHeight="1">
      <c r="A255" s="10">
        <v>45443</v>
      </c>
      <c r="B255" t="s" s="11">
        <v>32</v>
      </c>
      <c r="C255" t="s" s="12">
        <v>100</v>
      </c>
      <c r="D255" s="17"/>
      <c r="E255" s="17">
        <v>150000</v>
      </c>
      <c r="F255" s="18"/>
      <c r="G255" s="18"/>
      <c r="H255" s="18"/>
      <c r="I255" s="18"/>
    </row>
    <row r="256" ht="21.25" customHeight="1">
      <c r="A256" s="10">
        <v>45443</v>
      </c>
      <c r="B256" t="s" s="11">
        <v>101</v>
      </c>
      <c r="C256" t="s" s="12">
        <v>100</v>
      </c>
      <c r="D256" s="13">
        <v>150000</v>
      </c>
      <c r="E256" s="13"/>
      <c r="F256" s="14"/>
      <c r="G256" s="14"/>
      <c r="H256" s="14"/>
      <c r="I256" s="14"/>
    </row>
    <row r="257" ht="20.7" customHeight="1">
      <c r="A257" s="10">
        <v>45443</v>
      </c>
      <c r="B257" t="s" s="11">
        <v>8</v>
      </c>
      <c r="C257" t="s" s="12">
        <v>8</v>
      </c>
      <c r="D257" s="15" cm="1">
        <f t="array" ref="D257">SUM(D255:D256)</f>
        <v>150000</v>
      </c>
      <c r="E257" s="15" cm="1">
        <f t="array" ref="E257">SUM(E255:E256)</f>
        <v>150000</v>
      </c>
      <c r="F257" s="16" cm="1">
        <f t="array" ref="F257">SUM(F255:F256)</f>
        <v>0</v>
      </c>
      <c r="G257" s="16" cm="1">
        <f t="array" ref="G257">SUM(G255:G256)</f>
        <v>0</v>
      </c>
      <c r="H257" s="16" cm="1">
        <f t="array" ref="H257">SUM(H255:H256)</f>
        <v>0</v>
      </c>
      <c r="I257" s="16" cm="1">
        <f t="array" ref="I257">SUM(I255:I256)</f>
        <v>0</v>
      </c>
    </row>
    <row r="258" ht="20.35" customHeight="1">
      <c r="A258" s="10">
        <v>45443</v>
      </c>
      <c r="B258" t="s" s="11">
        <v>5</v>
      </c>
      <c r="C258" t="s" s="12">
        <v>94</v>
      </c>
      <c r="D258" s="17"/>
      <c r="E258" s="17">
        <v>10000</v>
      </c>
      <c r="F258" s="18"/>
      <c r="G258" s="18"/>
      <c r="H258" s="18"/>
      <c r="I258" s="18"/>
    </row>
    <row r="259" ht="20.35" customHeight="1">
      <c r="A259" s="10">
        <v>45443</v>
      </c>
      <c r="B259" t="s" s="11">
        <v>93</v>
      </c>
      <c r="C259" t="s" s="12">
        <v>94</v>
      </c>
      <c r="D259" s="13">
        <v>10000</v>
      </c>
      <c r="E259" s="13"/>
      <c r="F259" s="14"/>
      <c r="G259" s="14"/>
      <c r="H259" s="14"/>
      <c r="I259" s="14"/>
    </row>
    <row r="260" ht="20.7" customHeight="1">
      <c r="A260" s="10">
        <v>45443</v>
      </c>
      <c r="B260" t="s" s="11">
        <v>8</v>
      </c>
      <c r="C260" t="s" s="12">
        <v>8</v>
      </c>
      <c r="D260" s="15" cm="1">
        <f t="array" ref="D260">SUM(D258:D259)</f>
        <v>10000</v>
      </c>
      <c r="E260" s="15" cm="1">
        <f t="array" ref="E260">SUM(E258:E259)</f>
        <v>10000</v>
      </c>
      <c r="F260" s="16" cm="1">
        <f t="array" ref="F260">SUM(F258:F259)</f>
        <v>0</v>
      </c>
      <c r="G260" s="16" cm="1">
        <f t="array" ref="G260">SUM(G258:G259)</f>
        <v>0</v>
      </c>
      <c r="H260" s="16" cm="1">
        <f t="array" ref="H260">SUM(H258:H259)</f>
        <v>0</v>
      </c>
      <c r="I260" s="16" cm="1">
        <f t="array" ref="I260">SUM(I258:I259)</f>
        <v>0</v>
      </c>
    </row>
    <row r="261" ht="20.35" customHeight="1">
      <c r="A261" s="10">
        <v>45443</v>
      </c>
      <c r="B261" t="s" s="11">
        <v>93</v>
      </c>
      <c r="C261" t="s" s="12">
        <v>53</v>
      </c>
      <c r="D261" s="17"/>
      <c r="E261" s="17">
        <v>4878</v>
      </c>
      <c r="F261" s="18"/>
      <c r="G261" s="18"/>
      <c r="H261" s="18"/>
      <c r="I261" s="18"/>
    </row>
    <row r="262" ht="20.35" customHeight="1">
      <c r="A262" s="10">
        <v>45443</v>
      </c>
      <c r="B262" t="s" s="11">
        <v>12</v>
      </c>
      <c r="C262" t="s" s="12">
        <v>53</v>
      </c>
      <c r="D262" s="13">
        <v>4878</v>
      </c>
      <c r="E262" s="13"/>
      <c r="F262" s="14"/>
      <c r="G262" s="14"/>
      <c r="H262" s="14"/>
      <c r="I262" s="14"/>
    </row>
    <row r="263" ht="20.7" customHeight="1">
      <c r="A263" s="10">
        <v>45443</v>
      </c>
      <c r="B263" t="s" s="11">
        <v>8</v>
      </c>
      <c r="C263" t="s" s="12">
        <v>8</v>
      </c>
      <c r="D263" s="15" cm="1">
        <f t="array" ref="D263">SUM(D261:D262)</f>
        <v>4878</v>
      </c>
      <c r="E263" s="15" cm="1">
        <f t="array" ref="E263">SUM(E261:E262)</f>
        <v>4878</v>
      </c>
      <c r="F263" s="16" cm="1">
        <f t="array" ref="F263">SUM(F261:F262)</f>
        <v>0</v>
      </c>
      <c r="G263" s="16" cm="1">
        <f t="array" ref="G263">SUM(G261:G262)</f>
        <v>0</v>
      </c>
      <c r="H263" s="16" cm="1">
        <f t="array" ref="H263">SUM(H261:H262)</f>
        <v>0</v>
      </c>
      <c r="I263" s="16" cm="1">
        <f t="array" ref="I263">SUM(I261:I262)</f>
        <v>0</v>
      </c>
    </row>
    <row r="264" ht="20.35" customHeight="1">
      <c r="A264" s="10">
        <v>45443</v>
      </c>
      <c r="B264" t="s" s="11">
        <v>93</v>
      </c>
      <c r="C264" t="s" s="12">
        <v>96</v>
      </c>
      <c r="D264" s="17"/>
      <c r="E264" s="17">
        <v>5122</v>
      </c>
      <c r="F264" s="18"/>
      <c r="G264" s="18"/>
      <c r="H264" s="18"/>
      <c r="I264" s="18"/>
    </row>
    <row r="265" ht="20.35" customHeight="1">
      <c r="A265" s="10">
        <v>45443</v>
      </c>
      <c r="B265" t="s" s="11">
        <v>5</v>
      </c>
      <c r="C265" t="s" s="12">
        <v>96</v>
      </c>
      <c r="D265" s="13">
        <v>5122</v>
      </c>
      <c r="E265" s="13"/>
      <c r="F265" s="14"/>
      <c r="G265" s="14"/>
      <c r="H265" s="14"/>
      <c r="I265" s="14"/>
    </row>
    <row r="266" ht="20.7" customHeight="1">
      <c r="A266" s="10">
        <v>45443</v>
      </c>
      <c r="B266" t="s" s="11">
        <v>8</v>
      </c>
      <c r="C266" t="s" s="12">
        <v>8</v>
      </c>
      <c r="D266" s="15" cm="1">
        <f t="array" ref="D266">SUM(D264:D265)</f>
        <v>5122</v>
      </c>
      <c r="E266" s="15" cm="1">
        <f t="array" ref="E266">SUM(E264:E265)</f>
        <v>5122</v>
      </c>
      <c r="F266" s="16" cm="1">
        <f t="array" ref="F266">SUM(F264:F265)</f>
        <v>0</v>
      </c>
      <c r="G266" s="16" cm="1">
        <f t="array" ref="G266">SUM(G264:G265)</f>
        <v>0</v>
      </c>
      <c r="H266" s="16" cm="1">
        <f t="array" ref="H266">SUM(H264:H265)</f>
        <v>0</v>
      </c>
      <c r="I266" s="16" cm="1">
        <f t="array" ref="I266">SUM(I264:I265)</f>
        <v>0</v>
      </c>
    </row>
    <row r="267" ht="20.65" customHeight="1">
      <c r="A267" s="10">
        <v>45443</v>
      </c>
      <c r="B267" t="s" s="11">
        <v>5</v>
      </c>
      <c r="C267" t="s" s="12">
        <v>102</v>
      </c>
      <c r="D267" s="17"/>
      <c r="E267" s="17">
        <v>1000</v>
      </c>
      <c r="F267" s="18"/>
      <c r="G267" s="18"/>
      <c r="H267" s="18"/>
      <c r="I267" s="18"/>
    </row>
    <row r="268" ht="20.65" customHeight="1">
      <c r="A268" s="10">
        <v>45443</v>
      </c>
      <c r="B268" t="s" s="11">
        <v>10</v>
      </c>
      <c r="C268" t="s" s="12">
        <v>102</v>
      </c>
      <c r="D268" s="13">
        <v>1000</v>
      </c>
      <c r="E268" s="13"/>
      <c r="F268" s="14"/>
      <c r="G268" s="14"/>
      <c r="H268" s="14"/>
      <c r="I268" s="14"/>
    </row>
    <row r="269" ht="20.7" customHeight="1">
      <c r="A269" s="10">
        <v>45443</v>
      </c>
      <c r="B269" t="s" s="11">
        <v>8</v>
      </c>
      <c r="C269" t="s" s="12">
        <v>8</v>
      </c>
      <c r="D269" s="15" cm="1">
        <f t="array" ref="D269">SUM(D267:D268)</f>
        <v>1000</v>
      </c>
      <c r="E269" s="15" cm="1">
        <f t="array" ref="E269">SUM(E267:E268)</f>
        <v>1000</v>
      </c>
      <c r="F269" s="16" cm="1">
        <f t="array" ref="F269">SUM(F267:F268)</f>
        <v>0</v>
      </c>
      <c r="G269" s="16" cm="1">
        <f t="array" ref="G269">SUM(G267:G268)</f>
        <v>0</v>
      </c>
      <c r="H269" s="16" cm="1">
        <f t="array" ref="H269">SUM(H267:H268)</f>
        <v>0</v>
      </c>
      <c r="I269" s="16" cm="1">
        <f t="array" ref="I269">SUM(I267:I268)</f>
        <v>0</v>
      </c>
    </row>
    <row r="270" ht="20.35" customHeight="1">
      <c r="A270" s="10">
        <v>45443</v>
      </c>
      <c r="B270" t="s" s="11">
        <v>5</v>
      </c>
      <c r="C270" t="s" s="12">
        <v>95</v>
      </c>
      <c r="D270" s="17"/>
      <c r="E270" s="17">
        <v>7900</v>
      </c>
      <c r="F270" s="18"/>
      <c r="G270" s="18"/>
      <c r="H270" s="18"/>
      <c r="I270" s="18"/>
    </row>
    <row r="271" ht="20.35" customHeight="1">
      <c r="A271" s="10">
        <v>45443</v>
      </c>
      <c r="B271" t="s" s="11">
        <v>10</v>
      </c>
      <c r="C271" t="s" s="12">
        <v>95</v>
      </c>
      <c r="D271" s="13">
        <v>7900</v>
      </c>
      <c r="E271" s="13"/>
      <c r="F271" s="14"/>
      <c r="G271" s="14"/>
      <c r="H271" s="14"/>
      <c r="I271" s="14"/>
    </row>
    <row r="272" ht="20.7" customHeight="1">
      <c r="A272" s="10">
        <v>45443</v>
      </c>
      <c r="B272" t="s" s="11">
        <v>8</v>
      </c>
      <c r="C272" t="s" s="12">
        <v>8</v>
      </c>
      <c r="D272" s="15" cm="1">
        <f t="array" ref="D272">SUM(D270:D271)</f>
        <v>7900</v>
      </c>
      <c r="E272" s="15" cm="1">
        <f t="array" ref="E272">SUM(E270:E271)</f>
        <v>7900</v>
      </c>
      <c r="F272" s="16" cm="1">
        <f t="array" ref="F272">SUM(F270:F271)</f>
        <v>0</v>
      </c>
      <c r="G272" s="16" cm="1">
        <f t="array" ref="G272">SUM(G270:G271)</f>
        <v>0</v>
      </c>
      <c r="H272" s="16" cm="1">
        <f t="array" ref="H272">SUM(H270:H271)</f>
        <v>0</v>
      </c>
      <c r="I272" s="16" cm="1">
        <f t="array" ref="I272">SUM(I270:I271)</f>
        <v>0</v>
      </c>
    </row>
    <row r="273" ht="20.35" customHeight="1">
      <c r="A273" s="10">
        <v>45443</v>
      </c>
      <c r="B273" t="s" s="11">
        <v>5</v>
      </c>
      <c r="C273" t="s" s="12">
        <v>17</v>
      </c>
      <c r="D273" s="17">
        <v>100</v>
      </c>
      <c r="E273" s="17"/>
      <c r="F273" s="18"/>
      <c r="G273" s="18"/>
      <c r="H273" s="18"/>
      <c r="I273" s="18"/>
    </row>
    <row r="274" ht="20.35" customHeight="1">
      <c r="A274" s="10">
        <v>45443</v>
      </c>
      <c r="B274" t="s" s="11">
        <v>18</v>
      </c>
      <c r="C274" t="s" s="12">
        <v>17</v>
      </c>
      <c r="D274" s="13"/>
      <c r="E274" s="13">
        <v>100</v>
      </c>
      <c r="F274" s="14"/>
      <c r="G274" s="14"/>
      <c r="H274" s="14"/>
      <c r="I274" s="14"/>
    </row>
    <row r="275" ht="20.7" customHeight="1">
      <c r="A275" s="10">
        <v>45443</v>
      </c>
      <c r="B275" t="s" s="11">
        <v>8</v>
      </c>
      <c r="C275" t="s" s="12">
        <v>8</v>
      </c>
      <c r="D275" s="15" cm="1">
        <f t="array" ref="D275">SUM(D273:D274)</f>
        <v>100</v>
      </c>
      <c r="E275" s="15" cm="1">
        <f t="array" ref="E275">SUM(E273:E274)</f>
        <v>100</v>
      </c>
      <c r="F275" s="16" cm="1">
        <f t="array" ref="F275">SUM(F273:F274)</f>
        <v>0</v>
      </c>
      <c r="G275" s="16" cm="1">
        <f t="array" ref="G275">SUM(G273:G274)</f>
        <v>0</v>
      </c>
      <c r="H275" s="16" cm="1">
        <f t="array" ref="H275">SUM(H273:H274)</f>
        <v>0</v>
      </c>
      <c r="I275" s="16" cm="1">
        <f t="array" ref="I275">SUM(I273:I274)</f>
        <v>0</v>
      </c>
    </row>
    <row r="276" ht="20.35" customHeight="1">
      <c r="A276" s="10">
        <v>45443</v>
      </c>
      <c r="B276" t="s" s="11">
        <v>5</v>
      </c>
      <c r="C276" t="s" s="12">
        <v>103</v>
      </c>
      <c r="D276" s="17">
        <v>1</v>
      </c>
      <c r="E276" s="17"/>
      <c r="F276" s="18"/>
      <c r="G276" s="18"/>
      <c r="H276" s="18"/>
      <c r="I276" s="18"/>
    </row>
    <row r="277" ht="20.35" customHeight="1">
      <c r="A277" s="10">
        <v>45443</v>
      </c>
      <c r="B277" t="s" s="11">
        <v>91</v>
      </c>
      <c r="C277" t="s" s="12">
        <v>103</v>
      </c>
      <c r="D277" s="13"/>
      <c r="E277" s="13">
        <v>1</v>
      </c>
      <c r="F277" s="14"/>
      <c r="G277" s="14"/>
      <c r="H277" s="14"/>
      <c r="I277" s="14"/>
    </row>
    <row r="278" ht="20.7" customHeight="1">
      <c r="A278" s="10">
        <v>45443</v>
      </c>
      <c r="B278" t="s" s="11">
        <v>8</v>
      </c>
      <c r="C278" t="s" s="12">
        <v>8</v>
      </c>
      <c r="D278" s="15" cm="1">
        <f t="array" ref="D278">SUM(D276:D277)</f>
        <v>1</v>
      </c>
      <c r="E278" s="15" cm="1">
        <f t="array" ref="E278">SUM(E276:E277)</f>
        <v>1</v>
      </c>
      <c r="F278" s="16" cm="1">
        <f t="array" ref="F278">SUM(F276:F277)</f>
        <v>0</v>
      </c>
      <c r="G278" s="16" cm="1">
        <f t="array" ref="G278">SUM(G276:G277)</f>
        <v>0</v>
      </c>
      <c r="H278" s="16" cm="1">
        <f t="array" ref="H278">SUM(H276:H277)</f>
        <v>0</v>
      </c>
      <c r="I278" s="16" cm="1">
        <f t="array" ref="I278">SUM(I276:I277)</f>
        <v>0</v>
      </c>
    </row>
    <row r="279" ht="20.35" customHeight="1">
      <c r="A279" s="10">
        <v>45443</v>
      </c>
      <c r="B279" t="s" s="11">
        <v>60</v>
      </c>
      <c r="C279" t="s" s="12">
        <v>6</v>
      </c>
      <c r="D279" s="17"/>
      <c r="E279" s="17"/>
      <c r="F279" s="18">
        <v>0.02</v>
      </c>
      <c r="G279" s="18"/>
      <c r="H279" s="18"/>
      <c r="I279" s="18"/>
    </row>
    <row r="280" ht="20.35" customHeight="1">
      <c r="A280" s="10">
        <v>45443</v>
      </c>
      <c r="B280" t="s" s="11">
        <v>104</v>
      </c>
      <c r="C280" t="s" s="12">
        <v>6</v>
      </c>
      <c r="D280" s="13"/>
      <c r="E280" s="13"/>
      <c r="F280" s="14"/>
      <c r="G280" s="14">
        <v>0.02</v>
      </c>
      <c r="H280" s="14"/>
      <c r="I280" s="14"/>
    </row>
    <row r="281" ht="20.7" customHeight="1">
      <c r="A281" s="10">
        <v>45443</v>
      </c>
      <c r="B281" t="s" s="11">
        <v>8</v>
      </c>
      <c r="C281" t="s" s="12">
        <v>8</v>
      </c>
      <c r="D281" s="15" cm="1">
        <f t="array" ref="D281">SUM(D279:D280)</f>
        <v>0</v>
      </c>
      <c r="E281" s="15" cm="1">
        <f t="array" ref="E281">SUM(E279:E280)</f>
        <v>0</v>
      </c>
      <c r="F281" s="16" cm="1">
        <f t="array" ref="F281">SUM(F279:F280)</f>
        <v>0.02</v>
      </c>
      <c r="G281" s="16" cm="1">
        <f t="array" ref="G281">SUM(G279:G280)</f>
        <v>0.02</v>
      </c>
      <c r="H281" s="16" cm="1">
        <f t="array" ref="H281">SUM(H279:H280)</f>
        <v>0</v>
      </c>
      <c r="I281" s="16" cm="1">
        <f t="array" ref="I281">SUM(I279:I280)</f>
        <v>0</v>
      </c>
    </row>
    <row r="282" ht="20.35" customHeight="1">
      <c r="A282" s="10">
        <v>45443</v>
      </c>
      <c r="B282" t="s" s="11">
        <v>10</v>
      </c>
      <c r="C282" t="s" s="12">
        <v>105</v>
      </c>
      <c r="D282" s="17">
        <v>20000</v>
      </c>
      <c r="E282" s="17"/>
      <c r="F282" s="18"/>
      <c r="G282" s="18"/>
      <c r="H282" s="18"/>
      <c r="I282" s="18"/>
    </row>
    <row r="283" ht="20.35" customHeight="1">
      <c r="A283" s="10">
        <v>45443</v>
      </c>
      <c r="B283" t="s" s="11">
        <v>106</v>
      </c>
      <c r="C283" t="s" s="12">
        <v>105</v>
      </c>
      <c r="D283" s="13"/>
      <c r="E283" s="13">
        <v>20000</v>
      </c>
      <c r="F283" s="14"/>
      <c r="G283" s="14"/>
      <c r="H283" s="14"/>
      <c r="I283" s="14"/>
    </row>
    <row r="284" ht="20.7" customHeight="1">
      <c r="A284" s="10">
        <v>45443</v>
      </c>
      <c r="B284" t="s" s="11">
        <v>8</v>
      </c>
      <c r="C284" t="s" s="12">
        <v>8</v>
      </c>
      <c r="D284" s="15" cm="1">
        <f t="array" ref="D284">SUM(D282:D283)</f>
        <v>20000</v>
      </c>
      <c r="E284" s="15" cm="1">
        <f t="array" ref="E284">SUM(E282:E283)</f>
        <v>20000</v>
      </c>
      <c r="F284" s="16" cm="1">
        <f t="array" ref="F284">SUM(F282:F283)</f>
        <v>0</v>
      </c>
      <c r="G284" s="16" cm="1">
        <f t="array" ref="G284">SUM(G282:G283)</f>
        <v>0</v>
      </c>
      <c r="H284" s="16" cm="1">
        <f t="array" ref="H284">SUM(H282:H283)</f>
        <v>0</v>
      </c>
      <c r="I284" s="16" cm="1">
        <f t="array" ref="I284">SUM(I282:I283)</f>
        <v>0</v>
      </c>
    </row>
    <row r="285" ht="20.35" customHeight="1">
      <c r="A285" s="10">
        <v>45444</v>
      </c>
      <c r="B285" t="s" s="11">
        <v>107</v>
      </c>
      <c r="C285" t="s" s="12">
        <v>108</v>
      </c>
      <c r="D285" s="17">
        <v>1</v>
      </c>
      <c r="E285" s="17"/>
      <c r="F285" s="18"/>
      <c r="G285" s="18"/>
      <c r="H285" s="18"/>
      <c r="I285" s="18"/>
    </row>
    <row r="286" ht="20.35" customHeight="1">
      <c r="A286" s="10">
        <v>45444</v>
      </c>
      <c r="B286" t="s" s="11">
        <v>91</v>
      </c>
      <c r="C286" t="s" s="12">
        <v>108</v>
      </c>
      <c r="D286" s="13"/>
      <c r="E286" s="13">
        <v>1</v>
      </c>
      <c r="F286" s="14"/>
      <c r="G286" s="14"/>
      <c r="H286" s="14"/>
      <c r="I286" s="14"/>
    </row>
    <row r="287" ht="20.7" customHeight="1">
      <c r="A287" s="10">
        <v>45444</v>
      </c>
      <c r="B287" t="s" s="11">
        <v>8</v>
      </c>
      <c r="C287" t="s" s="12">
        <v>8</v>
      </c>
      <c r="D287" s="15" cm="1">
        <f t="array" ref="D287">SUM(D285:D286)</f>
        <v>1</v>
      </c>
      <c r="E287" s="15" cm="1">
        <f t="array" ref="E287">SUM(E285:E286)</f>
        <v>1</v>
      </c>
      <c r="F287" s="16" cm="1">
        <f t="array" ref="F287">SUM(F285:F286)</f>
        <v>0</v>
      </c>
      <c r="G287" s="16" cm="1">
        <f t="array" ref="G287">SUM(G285:G286)</f>
        <v>0</v>
      </c>
      <c r="H287" s="16" cm="1">
        <f t="array" ref="H287">SUM(H285:H286)</f>
        <v>0</v>
      </c>
      <c r="I287" s="16" cm="1">
        <f t="array" ref="I287">SUM(I285:I286)</f>
        <v>0</v>
      </c>
    </row>
    <row r="288" ht="21.25" customHeight="1">
      <c r="A288" s="10">
        <v>45444</v>
      </c>
      <c r="B288" t="s" s="11">
        <v>5</v>
      </c>
      <c r="C288" t="s" s="12">
        <v>109</v>
      </c>
      <c r="D288" s="17">
        <v>64</v>
      </c>
      <c r="E288" s="17"/>
      <c r="F288" s="18"/>
      <c r="G288" s="18"/>
      <c r="H288" s="18"/>
      <c r="I288" s="18"/>
    </row>
    <row r="289" ht="21.25" customHeight="1">
      <c r="A289" s="10">
        <v>45444</v>
      </c>
      <c r="B289" t="s" s="11">
        <v>7</v>
      </c>
      <c r="C289" t="s" s="12">
        <v>109</v>
      </c>
      <c r="D289" s="13"/>
      <c r="E289" s="13">
        <v>64</v>
      </c>
      <c r="F289" s="14"/>
      <c r="G289" s="14"/>
      <c r="H289" s="14"/>
      <c r="I289" s="14"/>
    </row>
    <row r="290" ht="20.7" customHeight="1">
      <c r="A290" s="10">
        <v>45444</v>
      </c>
      <c r="B290" t="s" s="11">
        <v>8</v>
      </c>
      <c r="C290" t="s" s="12">
        <v>8</v>
      </c>
      <c r="D290" s="15" cm="1">
        <f t="array" ref="D290">SUM(D288:D289)</f>
        <v>64</v>
      </c>
      <c r="E290" s="15" cm="1">
        <f t="array" ref="E290">SUM(E288:E289)</f>
        <v>64</v>
      </c>
      <c r="F290" s="16" cm="1">
        <f t="array" ref="F290">SUM(F288:F289)</f>
        <v>0</v>
      </c>
      <c r="G290" s="16" cm="1">
        <f t="array" ref="G290">SUM(G288:G289)</f>
        <v>0</v>
      </c>
      <c r="H290" s="16" cm="1">
        <f t="array" ref="H290">SUM(H288:H289)</f>
        <v>0</v>
      </c>
      <c r="I290" s="16" cm="1">
        <f t="array" ref="I290">SUM(I288:I289)</f>
        <v>0</v>
      </c>
    </row>
    <row r="291" ht="20.35" customHeight="1">
      <c r="A291" s="10">
        <v>45444</v>
      </c>
      <c r="B291" t="s" s="11">
        <v>5</v>
      </c>
      <c r="C291" t="s" s="12">
        <v>110</v>
      </c>
      <c r="D291" s="17"/>
      <c r="E291" s="17">
        <v>10000</v>
      </c>
      <c r="F291" s="18"/>
      <c r="G291" s="18"/>
      <c r="H291" s="18"/>
      <c r="I291" s="18"/>
    </row>
    <row r="292" ht="20.35" customHeight="1">
      <c r="A292" s="10">
        <v>45444</v>
      </c>
      <c r="B292" t="s" s="11">
        <v>93</v>
      </c>
      <c r="C292" t="s" s="12">
        <v>110</v>
      </c>
      <c r="D292" s="13">
        <v>10000</v>
      </c>
      <c r="E292" s="13"/>
      <c r="F292" s="14"/>
      <c r="G292" s="14"/>
      <c r="H292" s="14"/>
      <c r="I292" s="14"/>
    </row>
    <row r="293" ht="20.7" customHeight="1">
      <c r="A293" s="10">
        <v>45444</v>
      </c>
      <c r="B293" t="s" s="11">
        <v>8</v>
      </c>
      <c r="C293" t="s" s="12">
        <v>8</v>
      </c>
      <c r="D293" s="15" cm="1">
        <f t="array" ref="D293">SUM(D291:D292)</f>
        <v>10000</v>
      </c>
      <c r="E293" s="15" cm="1">
        <f t="array" ref="E293">SUM(E291:E292)</f>
        <v>10000</v>
      </c>
      <c r="F293" s="16" cm="1">
        <f t="array" ref="F293">SUM(F291:F292)</f>
        <v>0</v>
      </c>
      <c r="G293" s="16" cm="1">
        <f t="array" ref="G293">SUM(G291:G292)</f>
        <v>0</v>
      </c>
      <c r="H293" s="16" cm="1">
        <f t="array" ref="H293">SUM(H291:H292)</f>
        <v>0</v>
      </c>
      <c r="I293" s="16" cm="1">
        <f t="array" ref="I293">SUM(I291:I292)</f>
        <v>0</v>
      </c>
    </row>
    <row r="294" ht="20.35" customHeight="1">
      <c r="A294" s="10">
        <v>45444</v>
      </c>
      <c r="B294" t="s" s="11">
        <v>93</v>
      </c>
      <c r="C294" t="s" s="12">
        <v>111</v>
      </c>
      <c r="D294" s="17"/>
      <c r="E294" s="17">
        <v>9000</v>
      </c>
      <c r="F294" s="18"/>
      <c r="G294" s="18"/>
      <c r="H294" s="18"/>
      <c r="I294" s="18"/>
    </row>
    <row r="295" ht="20.35" customHeight="1">
      <c r="A295" s="10">
        <v>45444</v>
      </c>
      <c r="B295" t="s" s="11">
        <v>12</v>
      </c>
      <c r="C295" t="s" s="12">
        <v>111</v>
      </c>
      <c r="D295" s="13">
        <v>9000</v>
      </c>
      <c r="E295" s="13"/>
      <c r="F295" s="14"/>
      <c r="G295" s="14"/>
      <c r="H295" s="14"/>
      <c r="I295" s="14"/>
    </row>
    <row r="296" ht="20.7" customHeight="1">
      <c r="A296" s="10">
        <v>45444</v>
      </c>
      <c r="B296" t="s" s="11">
        <v>8</v>
      </c>
      <c r="C296" t="s" s="12">
        <v>8</v>
      </c>
      <c r="D296" s="15" cm="1">
        <f t="array" ref="D296">SUM(D294:D295)</f>
        <v>9000</v>
      </c>
      <c r="E296" s="15" cm="1">
        <f t="array" ref="E296">SUM(E294:E295)</f>
        <v>9000</v>
      </c>
      <c r="F296" s="16" cm="1">
        <f t="array" ref="F296">SUM(F294:F295)</f>
        <v>0</v>
      </c>
      <c r="G296" s="16" cm="1">
        <f t="array" ref="G296">SUM(G294:G295)</f>
        <v>0</v>
      </c>
      <c r="H296" s="16" cm="1">
        <f t="array" ref="H296">SUM(H294:H295)</f>
        <v>0</v>
      </c>
      <c r="I296" s="16" cm="1">
        <f t="array" ref="I296">SUM(I294:I295)</f>
        <v>0</v>
      </c>
    </row>
    <row r="297" ht="20.35" customHeight="1">
      <c r="A297" s="10">
        <v>45444</v>
      </c>
      <c r="B297" t="s" s="11">
        <v>93</v>
      </c>
      <c r="C297" t="s" s="12">
        <v>112</v>
      </c>
      <c r="D297" s="17"/>
      <c r="E297" s="17">
        <v>1000</v>
      </c>
      <c r="F297" s="18"/>
      <c r="G297" s="18"/>
      <c r="H297" s="18"/>
      <c r="I297" s="18"/>
    </row>
    <row r="298" ht="20.35" customHeight="1">
      <c r="A298" s="10">
        <v>45444</v>
      </c>
      <c r="B298" t="s" s="11">
        <v>5</v>
      </c>
      <c r="C298" t="s" s="12">
        <v>112</v>
      </c>
      <c r="D298" s="13">
        <v>1000</v>
      </c>
      <c r="E298" s="13"/>
      <c r="F298" s="14"/>
      <c r="G298" s="14"/>
      <c r="H298" s="14"/>
      <c r="I298" s="14"/>
    </row>
    <row r="299" ht="20.7" customHeight="1">
      <c r="A299" s="10">
        <v>45444</v>
      </c>
      <c r="B299" t="s" s="11">
        <v>8</v>
      </c>
      <c r="C299" t="s" s="12">
        <v>8</v>
      </c>
      <c r="D299" s="15" cm="1">
        <f t="array" ref="D299">SUM(D297:D298)</f>
        <v>1000</v>
      </c>
      <c r="E299" s="15" cm="1">
        <f t="array" ref="E299">SUM(E297:E298)</f>
        <v>1000</v>
      </c>
      <c r="F299" s="16" cm="1">
        <f t="array" ref="F299">SUM(F297:F298)</f>
        <v>0</v>
      </c>
      <c r="G299" s="16" cm="1">
        <f t="array" ref="G299">SUM(G297:G298)</f>
        <v>0</v>
      </c>
      <c r="H299" s="16" cm="1">
        <f t="array" ref="H299">SUM(H297:H298)</f>
        <v>0</v>
      </c>
      <c r="I299" s="16" cm="1">
        <f t="array" ref="I299">SUM(I297:I298)</f>
        <v>0</v>
      </c>
    </row>
    <row r="300" ht="20.35" customHeight="1">
      <c r="A300" s="10">
        <v>45444</v>
      </c>
      <c r="B300" t="s" s="11">
        <v>5</v>
      </c>
      <c r="C300" t="s" s="12">
        <v>113</v>
      </c>
      <c r="D300" s="17"/>
      <c r="E300" s="17">
        <v>33000</v>
      </c>
      <c r="F300" s="18"/>
      <c r="G300" s="18"/>
      <c r="H300" s="18"/>
      <c r="I300" s="18"/>
    </row>
    <row r="301" ht="20.35" customHeight="1">
      <c r="A301" s="10">
        <v>45444</v>
      </c>
      <c r="B301" t="s" s="11">
        <v>10</v>
      </c>
      <c r="C301" t="s" s="12">
        <v>113</v>
      </c>
      <c r="D301" s="13">
        <v>33000</v>
      </c>
      <c r="E301" s="13"/>
      <c r="F301" s="14"/>
      <c r="G301" s="14"/>
      <c r="H301" s="14"/>
      <c r="I301" s="14"/>
    </row>
    <row r="302" ht="20.7" customHeight="1">
      <c r="A302" s="10">
        <v>45444</v>
      </c>
      <c r="B302" t="s" s="11">
        <v>8</v>
      </c>
      <c r="C302" t="s" s="12">
        <v>8</v>
      </c>
      <c r="D302" s="15" cm="1">
        <f t="array" ref="D302">SUM(D300:D301)</f>
        <v>33000</v>
      </c>
      <c r="E302" s="15" cm="1">
        <f t="array" ref="E302">SUM(E300:E301)</f>
        <v>33000</v>
      </c>
      <c r="F302" s="16" cm="1">
        <f t="array" ref="F302">SUM(F300:F301)</f>
        <v>0</v>
      </c>
      <c r="G302" s="16" cm="1">
        <f t="array" ref="G302">SUM(G300:G301)</f>
        <v>0</v>
      </c>
      <c r="H302" s="16" cm="1">
        <f t="array" ref="H302">SUM(H300:H301)</f>
        <v>0</v>
      </c>
      <c r="I302" s="16" cm="1">
        <f t="array" ref="I302">SUM(I300:I301)</f>
        <v>0</v>
      </c>
    </row>
    <row r="303" ht="20.35" customHeight="1">
      <c r="A303" s="10">
        <v>45444</v>
      </c>
      <c r="B303" t="s" s="11">
        <v>5</v>
      </c>
      <c r="C303" t="s" s="12">
        <v>114</v>
      </c>
      <c r="D303" s="17"/>
      <c r="E303" s="17">
        <v>35000</v>
      </c>
      <c r="F303" s="18"/>
      <c r="G303" s="18"/>
      <c r="H303" s="18"/>
      <c r="I303" s="18"/>
    </row>
    <row r="304" ht="20.35" customHeight="1">
      <c r="A304" s="10">
        <v>45444</v>
      </c>
      <c r="B304" t="s" s="11">
        <v>10</v>
      </c>
      <c r="C304" t="s" s="12">
        <v>114</v>
      </c>
      <c r="D304" s="13">
        <v>35000</v>
      </c>
      <c r="E304" s="13"/>
      <c r="F304" s="14"/>
      <c r="G304" s="14"/>
      <c r="H304" s="14"/>
      <c r="I304" s="14"/>
    </row>
    <row r="305" ht="20.7" customHeight="1">
      <c r="A305" s="10">
        <v>45444</v>
      </c>
      <c r="B305" t="s" s="11">
        <v>8</v>
      </c>
      <c r="C305" t="s" s="12">
        <v>8</v>
      </c>
      <c r="D305" s="15" cm="1">
        <f t="array" ref="D305">SUM(D303:D304)</f>
        <v>35000</v>
      </c>
      <c r="E305" s="15" cm="1">
        <f t="array" ref="E305">SUM(E303:E304)</f>
        <v>35000</v>
      </c>
      <c r="F305" s="16" cm="1">
        <f t="array" ref="F305">SUM(F303:F304)</f>
        <v>0</v>
      </c>
      <c r="G305" s="16" cm="1">
        <f t="array" ref="G305">SUM(G303:G304)</f>
        <v>0</v>
      </c>
      <c r="H305" s="16" cm="1">
        <f t="array" ref="H305">SUM(H303:H304)</f>
        <v>0</v>
      </c>
      <c r="I305" s="16" cm="1">
        <f t="array" ref="I305">SUM(I303:I304)</f>
        <v>0</v>
      </c>
    </row>
    <row r="306" ht="21.25" customHeight="1">
      <c r="A306" s="10">
        <v>45444</v>
      </c>
      <c r="B306" t="s" s="11">
        <v>5</v>
      </c>
      <c r="C306" t="s" s="12">
        <v>115</v>
      </c>
      <c r="D306" s="17">
        <v>1000</v>
      </c>
      <c r="E306" s="17"/>
      <c r="F306" s="18"/>
      <c r="G306" s="18"/>
      <c r="H306" s="18"/>
      <c r="I306" s="18"/>
    </row>
    <row r="307" ht="21.25" customHeight="1">
      <c r="A307" s="10">
        <v>45444</v>
      </c>
      <c r="B307" t="s" s="11">
        <v>10</v>
      </c>
      <c r="C307" t="s" s="12">
        <v>115</v>
      </c>
      <c r="D307" s="13"/>
      <c r="E307" s="13">
        <v>1000</v>
      </c>
      <c r="F307" s="14"/>
      <c r="G307" s="14"/>
      <c r="H307" s="14"/>
      <c r="I307" s="14"/>
    </row>
    <row r="308" ht="20.7" customHeight="1">
      <c r="A308" s="10">
        <v>45444</v>
      </c>
      <c r="B308" t="s" s="11">
        <v>8</v>
      </c>
      <c r="C308" t="s" s="12">
        <v>8</v>
      </c>
      <c r="D308" s="15" cm="1">
        <f t="array" ref="D308">SUM(D306:D307)</f>
        <v>1000</v>
      </c>
      <c r="E308" s="15" cm="1">
        <f t="array" ref="E308">SUM(E306:E307)</f>
        <v>1000</v>
      </c>
      <c r="F308" s="16" cm="1">
        <f t="array" ref="F308">SUM(F306:F307)</f>
        <v>0</v>
      </c>
      <c r="G308" s="16" cm="1">
        <f t="array" ref="G308">SUM(G306:G307)</f>
        <v>0</v>
      </c>
      <c r="H308" s="16" cm="1">
        <f t="array" ref="H308">SUM(H306:H307)</f>
        <v>0</v>
      </c>
      <c r="I308" s="16" cm="1">
        <f t="array" ref="I308">SUM(I306:I307)</f>
        <v>0</v>
      </c>
    </row>
    <row r="309" ht="20.35" customHeight="1">
      <c r="A309" s="10">
        <v>45444</v>
      </c>
      <c r="B309" t="s" s="11">
        <v>5</v>
      </c>
      <c r="C309" t="s" s="12">
        <v>110</v>
      </c>
      <c r="D309" s="17"/>
      <c r="E309" s="17">
        <v>10000</v>
      </c>
      <c r="F309" s="18"/>
      <c r="G309" s="18"/>
      <c r="H309" s="18"/>
      <c r="I309" s="18"/>
    </row>
    <row r="310" ht="20.35" customHeight="1">
      <c r="A310" s="10">
        <v>45444</v>
      </c>
      <c r="B310" t="s" s="11">
        <v>93</v>
      </c>
      <c r="C310" t="s" s="12">
        <v>110</v>
      </c>
      <c r="D310" s="13">
        <v>10000</v>
      </c>
      <c r="E310" s="13"/>
      <c r="F310" s="14"/>
      <c r="G310" s="14"/>
      <c r="H310" s="14"/>
      <c r="I310" s="14"/>
    </row>
    <row r="311" ht="20.7" customHeight="1">
      <c r="A311" s="10">
        <v>45444</v>
      </c>
      <c r="B311" t="s" s="11">
        <v>8</v>
      </c>
      <c r="C311" t="s" s="12">
        <v>8</v>
      </c>
      <c r="D311" s="15" cm="1">
        <f t="array" ref="D311">SUM(D309:D310)</f>
        <v>10000</v>
      </c>
      <c r="E311" s="15" cm="1">
        <f t="array" ref="E311">SUM(E309:E310)</f>
        <v>10000</v>
      </c>
      <c r="F311" s="16" cm="1">
        <f t="array" ref="F311">SUM(F309:F310)</f>
        <v>0</v>
      </c>
      <c r="G311" s="16" cm="1">
        <f t="array" ref="G311">SUM(G309:G310)</f>
        <v>0</v>
      </c>
      <c r="H311" s="16" cm="1">
        <f t="array" ref="H311">SUM(H309:H310)</f>
        <v>0</v>
      </c>
      <c r="I311" s="16" cm="1">
        <f t="array" ref="I311">SUM(I309:I310)</f>
        <v>0</v>
      </c>
    </row>
    <row r="312" ht="20.35" customHeight="1">
      <c r="A312" s="10">
        <v>45444</v>
      </c>
      <c r="B312" t="s" s="11">
        <v>93</v>
      </c>
      <c r="C312" t="s" s="12">
        <v>116</v>
      </c>
      <c r="D312" s="17"/>
      <c r="E312" s="17">
        <v>6397</v>
      </c>
      <c r="F312" s="18"/>
      <c r="G312" s="18"/>
      <c r="H312" s="18"/>
      <c r="I312" s="18"/>
    </row>
    <row r="313" ht="20.05" customHeight="1">
      <c r="A313" s="10">
        <v>45444</v>
      </c>
      <c r="B313" t="s" s="11">
        <v>10</v>
      </c>
      <c r="C313" t="s" s="12">
        <v>117</v>
      </c>
      <c r="D313" s="19">
        <v>4450</v>
      </c>
      <c r="E313" s="19"/>
      <c r="F313" s="20"/>
      <c r="G313" s="20"/>
      <c r="H313" s="20"/>
      <c r="I313" s="20"/>
    </row>
    <row r="314" ht="20.35" customHeight="1">
      <c r="A314" s="10">
        <v>45444</v>
      </c>
      <c r="B314" t="s" s="11">
        <v>12</v>
      </c>
      <c r="C314" t="s" s="12">
        <v>118</v>
      </c>
      <c r="D314" s="13">
        <v>1947</v>
      </c>
      <c r="E314" s="13"/>
      <c r="F314" s="14"/>
      <c r="G314" s="14"/>
      <c r="H314" s="14"/>
      <c r="I314" s="14"/>
    </row>
    <row r="315" ht="20.7" customHeight="1">
      <c r="A315" s="10">
        <v>45444</v>
      </c>
      <c r="B315" t="s" s="11">
        <v>8</v>
      </c>
      <c r="C315" t="s" s="12">
        <v>8</v>
      </c>
      <c r="D315" s="15" cm="1">
        <f t="array" ref="D315">SUM(D312:D314)</f>
        <v>6397</v>
      </c>
      <c r="E315" s="15" cm="1">
        <f t="array" ref="E315">SUM(E312:E314)</f>
        <v>6397</v>
      </c>
      <c r="F315" s="16" cm="1">
        <f t="array" ref="F315">SUM(F312:F314)</f>
        <v>0</v>
      </c>
      <c r="G315" s="16" cm="1">
        <f t="array" ref="G315">SUM(G312:G314)</f>
        <v>0</v>
      </c>
      <c r="H315" s="16" cm="1">
        <f t="array" ref="H315">SUM(H312:H314)</f>
        <v>0</v>
      </c>
      <c r="I315" s="16" cm="1">
        <f t="array" ref="I315">SUM(I312:I314)</f>
        <v>0</v>
      </c>
    </row>
    <row r="316" ht="20.35" customHeight="1">
      <c r="A316" s="10">
        <v>45444</v>
      </c>
      <c r="B316" t="s" s="11">
        <v>93</v>
      </c>
      <c r="C316" t="s" s="12">
        <v>112</v>
      </c>
      <c r="D316" s="17"/>
      <c r="E316" s="17">
        <v>3603</v>
      </c>
      <c r="F316" s="18"/>
      <c r="G316" s="18"/>
      <c r="H316" s="18"/>
      <c r="I316" s="18"/>
    </row>
    <row r="317" ht="20.35" customHeight="1">
      <c r="A317" s="10">
        <v>45444</v>
      </c>
      <c r="B317" t="s" s="11">
        <v>5</v>
      </c>
      <c r="C317" t="s" s="12">
        <v>112</v>
      </c>
      <c r="D317" s="13">
        <v>3603</v>
      </c>
      <c r="E317" s="13"/>
      <c r="F317" s="14"/>
      <c r="G317" s="14"/>
      <c r="H317" s="14"/>
      <c r="I317" s="14"/>
    </row>
    <row r="318" ht="20.7" customHeight="1">
      <c r="A318" s="10">
        <v>45444</v>
      </c>
      <c r="B318" t="s" s="11">
        <v>8</v>
      </c>
      <c r="C318" t="s" s="12">
        <v>8</v>
      </c>
      <c r="D318" s="15" cm="1">
        <f t="array" ref="D318">SUM(D316:D317)</f>
        <v>3603</v>
      </c>
      <c r="E318" s="15" cm="1">
        <f t="array" ref="E318">SUM(E316:E317)</f>
        <v>3603</v>
      </c>
      <c r="F318" s="16" cm="1">
        <f t="array" ref="F318">SUM(F316:F317)</f>
        <v>0</v>
      </c>
      <c r="G318" s="16" cm="1">
        <f t="array" ref="G318">SUM(G316:G317)</f>
        <v>0</v>
      </c>
      <c r="H318" s="16" cm="1">
        <f t="array" ref="H318">SUM(H316:H317)</f>
        <v>0</v>
      </c>
      <c r="I318" s="16" cm="1">
        <f t="array" ref="I318">SUM(I316:I317)</f>
        <v>0</v>
      </c>
    </row>
    <row r="319" ht="20.35" customHeight="1">
      <c r="A319" s="10">
        <v>45444</v>
      </c>
      <c r="B319" t="s" s="11">
        <v>107</v>
      </c>
      <c r="C319" t="s" s="12">
        <v>112</v>
      </c>
      <c r="D319" s="17"/>
      <c r="E319" s="17">
        <v>1</v>
      </c>
      <c r="F319" s="18"/>
      <c r="G319" s="18"/>
      <c r="H319" s="18"/>
      <c r="I319" s="18"/>
    </row>
    <row r="320" ht="20.35" customHeight="1">
      <c r="A320" s="10">
        <v>45444</v>
      </c>
      <c r="B320" t="s" s="11">
        <v>5</v>
      </c>
      <c r="C320" t="s" s="12">
        <v>112</v>
      </c>
      <c r="D320" s="13">
        <v>1</v>
      </c>
      <c r="E320" s="13"/>
      <c r="F320" s="14"/>
      <c r="G320" s="14"/>
      <c r="H320" s="14"/>
      <c r="I320" s="14"/>
    </row>
    <row r="321" ht="20.7" customHeight="1">
      <c r="A321" s="10">
        <v>45444</v>
      </c>
      <c r="B321" t="s" s="11">
        <v>8</v>
      </c>
      <c r="C321" t="s" s="12">
        <v>8</v>
      </c>
      <c r="D321" s="15" cm="1">
        <f t="array" ref="D321">SUM(D319:D320)</f>
        <v>1</v>
      </c>
      <c r="E321" s="15" cm="1">
        <f t="array" ref="E321">SUM(E319:E320)</f>
        <v>1</v>
      </c>
      <c r="F321" s="16" cm="1">
        <f t="array" ref="F321">SUM(F319:F320)</f>
        <v>0</v>
      </c>
      <c r="G321" s="16" cm="1">
        <f t="array" ref="G321">SUM(G319:G320)</f>
        <v>0</v>
      </c>
      <c r="H321" s="16" cm="1">
        <f t="array" ref="H321">SUM(H319:H320)</f>
        <v>0</v>
      </c>
      <c r="I321" s="16" cm="1">
        <f t="array" ref="I321">SUM(I319:I320)</f>
        <v>0</v>
      </c>
    </row>
    <row r="322" ht="20.35" customHeight="1">
      <c r="A322" s="10">
        <v>45445</v>
      </c>
      <c r="B322" t="s" s="11">
        <v>5</v>
      </c>
      <c r="C322" t="s" s="12">
        <v>119</v>
      </c>
      <c r="D322" s="17"/>
      <c r="E322" s="17">
        <v>15650</v>
      </c>
      <c r="F322" s="18"/>
      <c r="G322" s="18"/>
      <c r="H322" s="18"/>
      <c r="I322" s="18"/>
    </row>
    <row r="323" ht="20.35" customHeight="1">
      <c r="A323" s="10">
        <v>45445</v>
      </c>
      <c r="B323" t="s" s="11">
        <v>12</v>
      </c>
      <c r="C323" t="s" s="12">
        <v>119</v>
      </c>
      <c r="D323" s="13">
        <v>15650</v>
      </c>
      <c r="E323" s="13"/>
      <c r="F323" s="14"/>
      <c r="G323" s="14"/>
      <c r="H323" s="14"/>
      <c r="I323" s="14"/>
    </row>
    <row r="324" ht="20.7" customHeight="1">
      <c r="A324" s="10">
        <v>45445</v>
      </c>
      <c r="B324" t="s" s="11">
        <v>8</v>
      </c>
      <c r="C324" t="s" s="12">
        <v>8</v>
      </c>
      <c r="D324" s="15" cm="1">
        <f t="array" ref="D324">SUM(D322:D323)</f>
        <v>15650</v>
      </c>
      <c r="E324" s="15" cm="1">
        <f t="array" ref="E324">SUM(E322:E323)</f>
        <v>15650</v>
      </c>
      <c r="F324" s="16" cm="1">
        <f t="array" ref="F324">SUM(F322:F323)</f>
        <v>0</v>
      </c>
      <c r="G324" s="16" cm="1">
        <f t="array" ref="G324">SUM(G322:G323)</f>
        <v>0</v>
      </c>
      <c r="H324" s="16" cm="1">
        <f t="array" ref="H324">SUM(H322:H323)</f>
        <v>0</v>
      </c>
      <c r="I324" s="16" cm="1">
        <f t="array" ref="I324">SUM(I322:I323)</f>
        <v>0</v>
      </c>
    </row>
    <row r="325" ht="20.35" customHeight="1">
      <c r="A325" s="10">
        <v>45445</v>
      </c>
      <c r="B325" t="s" s="11">
        <v>5</v>
      </c>
      <c r="C325" t="s" s="12">
        <v>120</v>
      </c>
      <c r="D325" s="17"/>
      <c r="E325" s="17">
        <v>30000</v>
      </c>
      <c r="F325" s="18"/>
      <c r="G325" s="18"/>
      <c r="H325" s="18"/>
      <c r="I325" s="18"/>
    </row>
    <row r="326" ht="20.35" customHeight="1">
      <c r="A326" s="10">
        <v>45445</v>
      </c>
      <c r="B326" t="s" s="11">
        <v>121</v>
      </c>
      <c r="C326" t="s" s="12">
        <v>120</v>
      </c>
      <c r="D326" s="13">
        <v>30000</v>
      </c>
      <c r="E326" s="13"/>
      <c r="F326" s="14"/>
      <c r="G326" s="14"/>
      <c r="H326" s="14"/>
      <c r="I326" s="14"/>
    </row>
    <row r="327" ht="20.7" customHeight="1">
      <c r="A327" s="10">
        <v>45445</v>
      </c>
      <c r="B327" t="s" s="11">
        <v>8</v>
      </c>
      <c r="C327" t="s" s="12">
        <v>8</v>
      </c>
      <c r="D327" s="15" cm="1">
        <f t="array" ref="D327">SUM(D325:D326)</f>
        <v>30000</v>
      </c>
      <c r="E327" s="15" cm="1">
        <f t="array" ref="E327">SUM(E325:E326)</f>
        <v>30000</v>
      </c>
      <c r="F327" s="16" cm="1">
        <f t="array" ref="F327">SUM(F325:F326)</f>
        <v>0</v>
      </c>
      <c r="G327" s="16" cm="1">
        <f t="array" ref="G327">SUM(G325:G326)</f>
        <v>0</v>
      </c>
      <c r="H327" s="16" cm="1">
        <f t="array" ref="H327">SUM(H325:H326)</f>
        <v>0</v>
      </c>
      <c r="I327" s="16" cm="1">
        <f t="array" ref="I327">SUM(I325:I326)</f>
        <v>0</v>
      </c>
    </row>
    <row r="328" ht="20.35" customHeight="1">
      <c r="A328" s="10">
        <v>45445</v>
      </c>
      <c r="B328" t="s" s="11">
        <v>121</v>
      </c>
      <c r="C328" t="s" s="12">
        <v>122</v>
      </c>
      <c r="D328" s="17"/>
      <c r="E328" s="17">
        <v>30000</v>
      </c>
      <c r="F328" s="18"/>
      <c r="G328" s="18"/>
      <c r="H328" s="18"/>
      <c r="I328" s="18"/>
    </row>
    <row r="329" ht="20.35" customHeight="1">
      <c r="A329" s="10">
        <v>45445</v>
      </c>
      <c r="B329" t="s" s="11">
        <v>107</v>
      </c>
      <c r="C329" t="s" s="12">
        <v>122</v>
      </c>
      <c r="D329" s="13">
        <v>30000</v>
      </c>
      <c r="E329" s="13"/>
      <c r="F329" s="14"/>
      <c r="G329" s="14"/>
      <c r="H329" s="14"/>
      <c r="I329" s="14"/>
    </row>
    <row r="330" ht="20.7" customHeight="1">
      <c r="A330" s="10">
        <v>45445</v>
      </c>
      <c r="B330" t="s" s="11">
        <v>8</v>
      </c>
      <c r="C330" t="s" s="12">
        <v>8</v>
      </c>
      <c r="D330" s="15" cm="1">
        <f t="array" ref="D330">SUM(D328:D329)</f>
        <v>30000</v>
      </c>
      <c r="E330" s="15" cm="1">
        <f t="array" ref="E330">SUM(E328:E329)</f>
        <v>30000</v>
      </c>
      <c r="F330" s="16" cm="1">
        <f t="array" ref="F330">SUM(F328:F329)</f>
        <v>0</v>
      </c>
      <c r="G330" s="16" cm="1">
        <f t="array" ref="G330">SUM(G328:G329)</f>
        <v>0</v>
      </c>
      <c r="H330" s="16" cm="1">
        <f t="array" ref="H330">SUM(H328:H329)</f>
        <v>0</v>
      </c>
      <c r="I330" s="16" cm="1">
        <f t="array" ref="I330">SUM(I328:I329)</f>
        <v>0</v>
      </c>
    </row>
    <row r="331" ht="20.35" customHeight="1">
      <c r="A331" s="10">
        <v>45445</v>
      </c>
      <c r="B331" t="s" s="11">
        <v>5</v>
      </c>
      <c r="C331" t="s" s="12">
        <v>122</v>
      </c>
      <c r="D331" s="17"/>
      <c r="E331" s="17">
        <v>2000</v>
      </c>
      <c r="F331" s="18"/>
      <c r="G331" s="18"/>
      <c r="H331" s="18"/>
      <c r="I331" s="18"/>
    </row>
    <row r="332" ht="20.35" customHeight="1">
      <c r="A332" s="10">
        <v>45445</v>
      </c>
      <c r="B332" t="s" s="11">
        <v>107</v>
      </c>
      <c r="C332" t="s" s="12">
        <v>122</v>
      </c>
      <c r="D332" s="13">
        <v>2000</v>
      </c>
      <c r="E332" s="13"/>
      <c r="F332" s="14"/>
      <c r="G332" s="14"/>
      <c r="H332" s="14"/>
      <c r="I332" s="14"/>
    </row>
    <row r="333" ht="20.7" customHeight="1">
      <c r="A333" s="10">
        <v>45445</v>
      </c>
      <c r="B333" t="s" s="11">
        <v>8</v>
      </c>
      <c r="C333" t="s" s="12">
        <v>8</v>
      </c>
      <c r="D333" s="15" cm="1">
        <f t="array" ref="D333">SUM(D331:D332)</f>
        <v>2000</v>
      </c>
      <c r="E333" s="15" cm="1">
        <f t="array" ref="E333">SUM(E331:E332)</f>
        <v>2000</v>
      </c>
      <c r="F333" s="16" cm="1">
        <f t="array" ref="F333">SUM(F331:F332)</f>
        <v>0</v>
      </c>
      <c r="G333" s="16" cm="1">
        <f t="array" ref="G333">SUM(G331:G332)</f>
        <v>0</v>
      </c>
      <c r="H333" s="16" cm="1">
        <f t="array" ref="H333">SUM(H331:H332)</f>
        <v>0</v>
      </c>
      <c r="I333" s="16" cm="1">
        <f t="array" ref="I333">SUM(I331:I332)</f>
        <v>0</v>
      </c>
    </row>
    <row r="334" ht="20.35" customHeight="1">
      <c r="A334" s="10">
        <v>45445</v>
      </c>
      <c r="B334" t="s" s="11">
        <v>107</v>
      </c>
      <c r="C334" t="s" s="12">
        <v>123</v>
      </c>
      <c r="D334" s="17"/>
      <c r="E334" s="17">
        <v>31300</v>
      </c>
      <c r="F334" s="18"/>
      <c r="G334" s="18"/>
      <c r="H334" s="18"/>
      <c r="I334" s="18"/>
    </row>
    <row r="335" ht="20.35" customHeight="1">
      <c r="A335" s="10">
        <v>45445</v>
      </c>
      <c r="B335" t="s" s="11">
        <v>12</v>
      </c>
      <c r="C335" t="s" s="12">
        <v>123</v>
      </c>
      <c r="D335" s="13">
        <v>31300</v>
      </c>
      <c r="E335" s="13"/>
      <c r="F335" s="14"/>
      <c r="G335" s="14"/>
      <c r="H335" s="14"/>
      <c r="I335" s="14"/>
    </row>
    <row r="336" ht="20.7" customHeight="1">
      <c r="A336" s="10">
        <v>45445</v>
      </c>
      <c r="B336" t="s" s="11">
        <v>8</v>
      </c>
      <c r="C336" t="s" s="12">
        <v>8</v>
      </c>
      <c r="D336" s="15" cm="1">
        <f t="array" ref="D336">SUM(D334:D335)</f>
        <v>31300</v>
      </c>
      <c r="E336" s="15" cm="1">
        <f t="array" ref="E336">SUM(E334:E335)</f>
        <v>31300</v>
      </c>
      <c r="F336" s="16" cm="1">
        <f t="array" ref="F336">SUM(F334:F335)</f>
        <v>0</v>
      </c>
      <c r="G336" s="16" cm="1">
        <f t="array" ref="G336">SUM(G334:G335)</f>
        <v>0</v>
      </c>
      <c r="H336" s="16" cm="1">
        <f t="array" ref="H336">SUM(H334:H335)</f>
        <v>0</v>
      </c>
      <c r="I336" s="16" cm="1">
        <f t="array" ref="I336">SUM(I334:I335)</f>
        <v>0</v>
      </c>
    </row>
    <row r="337" ht="20.35" customHeight="1">
      <c r="A337" s="10">
        <v>45445</v>
      </c>
      <c r="B337" t="s" s="11">
        <v>107</v>
      </c>
      <c r="C337" t="s" s="12">
        <v>112</v>
      </c>
      <c r="D337" s="17"/>
      <c r="E337" s="17">
        <v>700</v>
      </c>
      <c r="F337" s="18"/>
      <c r="G337" s="18"/>
      <c r="H337" s="18"/>
      <c r="I337" s="18"/>
    </row>
    <row r="338" ht="20.35" customHeight="1">
      <c r="A338" s="10">
        <v>45445</v>
      </c>
      <c r="B338" t="s" s="11">
        <v>5</v>
      </c>
      <c r="C338" t="s" s="12">
        <v>112</v>
      </c>
      <c r="D338" s="13">
        <v>700</v>
      </c>
      <c r="E338" s="13"/>
      <c r="F338" s="14"/>
      <c r="G338" s="14"/>
      <c r="H338" s="14"/>
      <c r="I338" s="14"/>
    </row>
    <row r="339" ht="20.7" customHeight="1">
      <c r="A339" s="10">
        <v>45445</v>
      </c>
      <c r="B339" t="s" s="11">
        <v>8</v>
      </c>
      <c r="C339" t="s" s="12">
        <v>8</v>
      </c>
      <c r="D339" s="15" cm="1">
        <f t="array" ref="D339">SUM(D337:D338)</f>
        <v>700</v>
      </c>
      <c r="E339" s="15" cm="1">
        <f t="array" ref="E339">SUM(E337:E338)</f>
        <v>700</v>
      </c>
      <c r="F339" s="16" cm="1">
        <f t="array" ref="F339">SUM(F337:F338)</f>
        <v>0</v>
      </c>
      <c r="G339" s="16" cm="1">
        <f t="array" ref="G339">SUM(G337:G338)</f>
        <v>0</v>
      </c>
      <c r="H339" s="16" cm="1">
        <f t="array" ref="H339">SUM(H337:H338)</f>
        <v>0</v>
      </c>
      <c r="I339" s="16" cm="1">
        <f t="array" ref="I339">SUM(I337:I338)</f>
        <v>0</v>
      </c>
    </row>
    <row r="340" ht="20.35" customHeight="1">
      <c r="A340" s="10">
        <v>45445</v>
      </c>
      <c r="B340" t="s" s="11">
        <v>72</v>
      </c>
      <c r="C340" t="s" s="12">
        <v>124</v>
      </c>
      <c r="D340" s="17"/>
      <c r="E340" s="17">
        <v>60000</v>
      </c>
      <c r="F340" s="18"/>
      <c r="G340" s="18"/>
      <c r="H340" s="18"/>
      <c r="I340" s="18"/>
    </row>
    <row r="341" ht="20.05" customHeight="1">
      <c r="A341" s="10">
        <v>45445</v>
      </c>
      <c r="B341" t="s" s="11">
        <v>7</v>
      </c>
      <c r="C341" t="s" s="12">
        <v>125</v>
      </c>
      <c r="D341" s="19"/>
      <c r="E341" s="19">
        <v>9</v>
      </c>
      <c r="F341" s="20"/>
      <c r="G341" s="20"/>
      <c r="H341" s="20"/>
      <c r="I341" s="20"/>
    </row>
    <row r="342" ht="20.35" customHeight="1">
      <c r="A342" s="10">
        <v>45445</v>
      </c>
      <c r="B342" t="s" s="11">
        <v>5</v>
      </c>
      <c r="C342" t="s" s="12">
        <v>125</v>
      </c>
      <c r="D342" s="13">
        <v>60009</v>
      </c>
      <c r="E342" s="13"/>
      <c r="F342" s="14"/>
      <c r="G342" s="14"/>
      <c r="H342" s="14"/>
      <c r="I342" s="14"/>
    </row>
    <row r="343" ht="20.7" customHeight="1">
      <c r="A343" s="10">
        <v>45445</v>
      </c>
      <c r="B343" t="s" s="11">
        <v>8</v>
      </c>
      <c r="C343" t="s" s="12">
        <v>8</v>
      </c>
      <c r="D343" s="15" cm="1">
        <f t="array" ref="D343">SUM(D340:D342)</f>
        <v>60009</v>
      </c>
      <c r="E343" s="15" cm="1">
        <f t="array" ref="E343">SUM(E340:E342)</f>
        <v>60009</v>
      </c>
      <c r="F343" s="16" cm="1">
        <f t="array" ref="F343">SUM(F340:F342)</f>
        <v>0</v>
      </c>
      <c r="G343" s="16" cm="1">
        <f t="array" ref="G343">SUM(G340:G342)</f>
        <v>0</v>
      </c>
      <c r="H343" s="16" cm="1">
        <f t="array" ref="H343">SUM(H340:H342)</f>
        <v>0</v>
      </c>
      <c r="I343" s="16" cm="1">
        <f t="array" ref="I343">SUM(I340:I342)</f>
        <v>0</v>
      </c>
    </row>
    <row r="344" ht="20.35" customHeight="1">
      <c r="A344" s="10">
        <v>45445</v>
      </c>
      <c r="B344" t="s" s="11">
        <v>5</v>
      </c>
      <c r="C344" t="s" s="12">
        <v>122</v>
      </c>
      <c r="D344" s="17"/>
      <c r="E344" s="17">
        <v>50000</v>
      </c>
      <c r="F344" s="18"/>
      <c r="G344" s="18"/>
      <c r="H344" s="18"/>
      <c r="I344" s="18"/>
    </row>
    <row r="345" ht="20.35" customHeight="1">
      <c r="A345" s="10">
        <v>45445</v>
      </c>
      <c r="B345" t="s" s="11">
        <v>107</v>
      </c>
      <c r="C345" t="s" s="12">
        <v>122</v>
      </c>
      <c r="D345" s="13">
        <v>50000</v>
      </c>
      <c r="E345" s="13"/>
      <c r="F345" s="14"/>
      <c r="G345" s="14"/>
      <c r="H345" s="14"/>
      <c r="I345" s="14"/>
    </row>
    <row r="346" ht="20.7" customHeight="1">
      <c r="A346" s="10">
        <v>45445</v>
      </c>
      <c r="B346" t="s" s="11">
        <v>8</v>
      </c>
      <c r="C346" t="s" s="12">
        <v>8</v>
      </c>
      <c r="D346" s="15" cm="1">
        <f t="array" ref="D346">SUM(D344:D345)</f>
        <v>50000</v>
      </c>
      <c r="E346" s="15" cm="1">
        <f t="array" ref="E346">SUM(E344:E345)</f>
        <v>50000</v>
      </c>
      <c r="F346" s="16" cm="1">
        <f t="array" ref="F346">SUM(F344:F345)</f>
        <v>0</v>
      </c>
      <c r="G346" s="16" cm="1">
        <f t="array" ref="G346">SUM(G344:G345)</f>
        <v>0</v>
      </c>
      <c r="H346" s="16" cm="1">
        <f t="array" ref="H346">SUM(H344:H345)</f>
        <v>0</v>
      </c>
      <c r="I346" s="16" cm="1">
        <f t="array" ref="I346">SUM(I344:I345)</f>
        <v>0</v>
      </c>
    </row>
    <row r="347" ht="20.35" customHeight="1">
      <c r="A347" s="10">
        <v>45445</v>
      </c>
      <c r="B347" t="s" s="11">
        <v>107</v>
      </c>
      <c r="C347" t="s" s="12">
        <v>126</v>
      </c>
      <c r="D347" s="17"/>
      <c r="E347" s="17">
        <v>23400</v>
      </c>
      <c r="F347" s="18"/>
      <c r="G347" s="18"/>
      <c r="H347" s="18"/>
      <c r="I347" s="18"/>
    </row>
    <row r="348" ht="20.35" customHeight="1">
      <c r="A348" s="10">
        <v>45445</v>
      </c>
      <c r="B348" t="s" s="11">
        <v>12</v>
      </c>
      <c r="C348" t="s" s="12">
        <v>126</v>
      </c>
      <c r="D348" s="13">
        <v>23400</v>
      </c>
      <c r="E348" s="13"/>
      <c r="F348" s="14"/>
      <c r="G348" s="14"/>
      <c r="H348" s="14"/>
      <c r="I348" s="14"/>
    </row>
    <row r="349" ht="20.7" customHeight="1">
      <c r="A349" s="10">
        <v>45445</v>
      </c>
      <c r="B349" t="s" s="11">
        <v>8</v>
      </c>
      <c r="C349" t="s" s="12">
        <v>8</v>
      </c>
      <c r="D349" s="15" cm="1">
        <f t="array" ref="D349">SUM(D347:D348)</f>
        <v>23400</v>
      </c>
      <c r="E349" s="15" cm="1">
        <f t="array" ref="E349">SUM(E347:E348)</f>
        <v>23400</v>
      </c>
      <c r="F349" s="16" cm="1">
        <f t="array" ref="F349">SUM(F347:F348)</f>
        <v>0</v>
      </c>
      <c r="G349" s="16" cm="1">
        <f t="array" ref="G349">SUM(G347:G348)</f>
        <v>0</v>
      </c>
      <c r="H349" s="16" cm="1">
        <f t="array" ref="H349">SUM(H347:H348)</f>
        <v>0</v>
      </c>
      <c r="I349" s="16" cm="1">
        <f t="array" ref="I349">SUM(I347:I348)</f>
        <v>0</v>
      </c>
    </row>
    <row r="350" ht="20.35" customHeight="1">
      <c r="A350" s="10">
        <v>45445</v>
      </c>
      <c r="B350" t="s" s="11">
        <v>107</v>
      </c>
      <c r="C350" t="s" s="12">
        <v>127</v>
      </c>
      <c r="D350" s="17"/>
      <c r="E350" s="17">
        <v>23800</v>
      </c>
      <c r="F350" s="18"/>
      <c r="G350" s="18"/>
      <c r="H350" s="18"/>
      <c r="I350" s="18"/>
    </row>
    <row r="351" ht="20.05" customHeight="1">
      <c r="A351" s="10">
        <v>45445</v>
      </c>
      <c r="B351" t="s" s="11">
        <v>89</v>
      </c>
      <c r="C351" t="s" s="12">
        <v>127</v>
      </c>
      <c r="D351" s="19">
        <v>11900</v>
      </c>
      <c r="E351" s="19"/>
      <c r="F351" s="20"/>
      <c r="G351" s="20"/>
      <c r="H351" s="20"/>
      <c r="I351" s="20"/>
    </row>
    <row r="352" ht="20.35" customHeight="1">
      <c r="A352" s="10">
        <v>45445</v>
      </c>
      <c r="B352" t="s" s="11">
        <v>12</v>
      </c>
      <c r="C352" t="s" s="12">
        <v>127</v>
      </c>
      <c r="D352" s="13">
        <v>11900</v>
      </c>
      <c r="E352" s="13"/>
      <c r="F352" s="14"/>
      <c r="G352" s="14"/>
      <c r="H352" s="14"/>
      <c r="I352" s="14"/>
    </row>
    <row r="353" ht="20.7" customHeight="1">
      <c r="A353" s="10">
        <v>45445</v>
      </c>
      <c r="B353" t="s" s="11">
        <v>8</v>
      </c>
      <c r="C353" t="s" s="12">
        <v>8</v>
      </c>
      <c r="D353" s="15" cm="1">
        <f t="array" ref="D353">SUM(D350:D352)</f>
        <v>23800</v>
      </c>
      <c r="E353" s="15" cm="1">
        <f t="array" ref="E353">SUM(E350:E352)</f>
        <v>23800</v>
      </c>
      <c r="F353" s="16" cm="1">
        <f t="array" ref="F353">SUM(F350:F352)</f>
        <v>0</v>
      </c>
      <c r="G353" s="16" cm="1">
        <f t="array" ref="G353">SUM(G350:G352)</f>
        <v>0</v>
      </c>
      <c r="H353" s="16" cm="1">
        <f t="array" ref="H353">SUM(H350:H352)</f>
        <v>0</v>
      </c>
      <c r="I353" s="16" cm="1">
        <f t="array" ref="I353">SUM(I350:I352)</f>
        <v>0</v>
      </c>
    </row>
    <row r="354" ht="20.35" customHeight="1">
      <c r="A354" s="10">
        <v>45445</v>
      </c>
      <c r="B354" t="s" s="11">
        <v>89</v>
      </c>
      <c r="C354" t="s" s="12">
        <v>128</v>
      </c>
      <c r="D354" s="17"/>
      <c r="E354" s="17">
        <v>11900</v>
      </c>
      <c r="F354" s="18"/>
      <c r="G354" s="18"/>
      <c r="H354" s="18"/>
      <c r="I354" s="18"/>
    </row>
    <row r="355" ht="20.35" customHeight="1">
      <c r="A355" s="10">
        <v>45445</v>
      </c>
      <c r="B355" t="s" s="11">
        <v>107</v>
      </c>
      <c r="C355" t="s" s="12">
        <v>128</v>
      </c>
      <c r="D355" s="13">
        <v>11900</v>
      </c>
      <c r="E355" s="13"/>
      <c r="F355" s="14"/>
      <c r="G355" s="14"/>
      <c r="H355" s="14"/>
      <c r="I355" s="14"/>
    </row>
    <row r="356" ht="20.7" customHeight="1">
      <c r="A356" s="10">
        <v>45445</v>
      </c>
      <c r="B356" t="s" s="11">
        <v>8</v>
      </c>
      <c r="C356" t="s" s="12">
        <v>8</v>
      </c>
      <c r="D356" s="15" cm="1">
        <f t="array" ref="D356">SUM(D354:D355)</f>
        <v>11900</v>
      </c>
      <c r="E356" s="15" cm="1">
        <f t="array" ref="E356">SUM(E354:E355)</f>
        <v>11900</v>
      </c>
      <c r="F356" s="16" cm="1">
        <f t="array" ref="F356">SUM(F354:F355)</f>
        <v>0</v>
      </c>
      <c r="G356" s="16" cm="1">
        <f t="array" ref="G356">SUM(G354:G355)</f>
        <v>0</v>
      </c>
      <c r="H356" s="16" cm="1">
        <f t="array" ref="H356">SUM(H354:H355)</f>
        <v>0</v>
      </c>
      <c r="I356" s="16" cm="1">
        <f t="array" ref="I356">SUM(I354:I355)</f>
        <v>0</v>
      </c>
    </row>
    <row r="357" ht="20.35" customHeight="1">
      <c r="A357" s="10">
        <v>45445</v>
      </c>
      <c r="B357" t="s" s="11">
        <v>107</v>
      </c>
      <c r="C357" t="s" s="12">
        <v>129</v>
      </c>
      <c r="D357" s="17"/>
      <c r="E357" s="17">
        <v>5400</v>
      </c>
      <c r="F357" s="18"/>
      <c r="G357" s="18"/>
      <c r="H357" s="18"/>
      <c r="I357" s="18"/>
    </row>
    <row r="358" ht="20.35" customHeight="1">
      <c r="A358" s="10">
        <v>45445</v>
      </c>
      <c r="B358" t="s" s="11">
        <v>89</v>
      </c>
      <c r="C358" t="s" s="12">
        <v>129</v>
      </c>
      <c r="D358" s="13">
        <v>5400</v>
      </c>
      <c r="E358" s="13"/>
      <c r="F358" s="14"/>
      <c r="G358" s="14"/>
      <c r="H358" s="14"/>
      <c r="I358" s="14"/>
    </row>
    <row r="359" ht="20.7" customHeight="1">
      <c r="A359" s="10">
        <v>45445</v>
      </c>
      <c r="B359" t="s" s="11">
        <v>8</v>
      </c>
      <c r="C359" t="s" s="12">
        <v>8</v>
      </c>
      <c r="D359" s="15" cm="1">
        <f t="array" ref="D359">SUM(D357:D358)</f>
        <v>5400</v>
      </c>
      <c r="E359" s="15" cm="1">
        <f t="array" ref="E359">SUM(E357:E358)</f>
        <v>5400</v>
      </c>
      <c r="F359" s="16" cm="1">
        <f t="array" ref="F359">SUM(F357:F358)</f>
        <v>0</v>
      </c>
      <c r="G359" s="16" cm="1">
        <f t="array" ref="G359">SUM(G357:G358)</f>
        <v>0</v>
      </c>
      <c r="H359" s="16" cm="1">
        <f t="array" ref="H359">SUM(H357:H358)</f>
        <v>0</v>
      </c>
      <c r="I359" s="16" cm="1">
        <f t="array" ref="I359">SUM(I357:I358)</f>
        <v>0</v>
      </c>
    </row>
    <row r="360" ht="20.35" customHeight="1">
      <c r="A360" s="10">
        <v>45445</v>
      </c>
      <c r="B360" t="s" s="11">
        <v>107</v>
      </c>
      <c r="C360" t="s" s="12">
        <v>130</v>
      </c>
      <c r="D360" s="17"/>
      <c r="E360" s="17">
        <v>5800</v>
      </c>
      <c r="F360" s="18"/>
      <c r="G360" s="18"/>
      <c r="H360" s="18"/>
      <c r="I360" s="18"/>
    </row>
    <row r="361" ht="20.05" customHeight="1">
      <c r="A361" s="10">
        <v>45445</v>
      </c>
      <c r="B361" t="s" s="11">
        <v>12</v>
      </c>
      <c r="C361" t="s" s="12">
        <v>130</v>
      </c>
      <c r="D361" s="19">
        <v>2900</v>
      </c>
      <c r="E361" s="19"/>
      <c r="F361" s="20"/>
      <c r="G361" s="20"/>
      <c r="H361" s="20"/>
      <c r="I361" s="20"/>
    </row>
    <row r="362" ht="20.35" customHeight="1">
      <c r="A362" s="10">
        <v>45445</v>
      </c>
      <c r="B362" t="s" s="11">
        <v>89</v>
      </c>
      <c r="C362" t="s" s="12">
        <v>130</v>
      </c>
      <c r="D362" s="13">
        <v>2900</v>
      </c>
      <c r="E362" s="13"/>
      <c r="F362" s="14"/>
      <c r="G362" s="14"/>
      <c r="H362" s="14"/>
      <c r="I362" s="14"/>
    </row>
    <row r="363" ht="20.7" customHeight="1">
      <c r="A363" s="10">
        <v>45445</v>
      </c>
      <c r="B363" t="s" s="11">
        <v>8</v>
      </c>
      <c r="C363" t="s" s="12">
        <v>8</v>
      </c>
      <c r="D363" s="15" cm="1">
        <f t="array" ref="D363">SUM(D360:D362)</f>
        <v>5800</v>
      </c>
      <c r="E363" s="15" cm="1">
        <f t="array" ref="E363">SUM(E360:E362)</f>
        <v>5800</v>
      </c>
      <c r="F363" s="16" cm="1">
        <f t="array" ref="F363">SUM(F360:F362)</f>
        <v>0</v>
      </c>
      <c r="G363" s="16" cm="1">
        <f t="array" ref="G363">SUM(G360:G362)</f>
        <v>0</v>
      </c>
      <c r="H363" s="16" cm="1">
        <f t="array" ref="H363">SUM(H360:H362)</f>
        <v>0</v>
      </c>
      <c r="I363" s="16" cm="1">
        <f t="array" ref="I363">SUM(I360:I362)</f>
        <v>0</v>
      </c>
    </row>
    <row r="364" ht="20.35" customHeight="1">
      <c r="A364" s="10">
        <v>45445</v>
      </c>
      <c r="B364" t="s" s="11">
        <v>107</v>
      </c>
      <c r="C364" t="s" s="12">
        <v>131</v>
      </c>
      <c r="D364" s="17"/>
      <c r="E364" s="17">
        <v>10100</v>
      </c>
      <c r="F364" s="18"/>
      <c r="G364" s="18"/>
      <c r="H364" s="18"/>
      <c r="I364" s="18"/>
    </row>
    <row r="365" ht="20.05" customHeight="1">
      <c r="A365" s="10">
        <v>45445</v>
      </c>
      <c r="B365" t="s" s="11">
        <v>12</v>
      </c>
      <c r="C365" t="s" s="12">
        <v>131</v>
      </c>
      <c r="D365" s="19" cm="1">
        <f t="array" ref="D365">10100/4</f>
        <v>2525</v>
      </c>
      <c r="E365" s="19"/>
      <c r="F365" s="20"/>
      <c r="G365" s="20"/>
      <c r="H365" s="20"/>
      <c r="I365" s="20"/>
    </row>
    <row r="366" ht="20.35" customHeight="1">
      <c r="A366" s="10">
        <v>45445</v>
      </c>
      <c r="B366" t="s" s="11">
        <v>89</v>
      </c>
      <c r="C366" t="s" s="12">
        <v>131</v>
      </c>
      <c r="D366" s="13" cm="1">
        <f t="array" ref="D366">10100*3/4</f>
        <v>7575</v>
      </c>
      <c r="E366" s="13"/>
      <c r="F366" s="14"/>
      <c r="G366" s="14"/>
      <c r="H366" s="14"/>
      <c r="I366" s="14"/>
    </row>
    <row r="367" ht="20.7" customHeight="1">
      <c r="A367" s="10">
        <v>45445</v>
      </c>
      <c r="B367" t="s" s="11">
        <v>8</v>
      </c>
      <c r="C367" t="s" s="12">
        <v>8</v>
      </c>
      <c r="D367" s="15" cm="1">
        <f t="array" ref="D367">SUM(D364:D366)</f>
        <v>10100</v>
      </c>
      <c r="E367" s="15" cm="1">
        <f t="array" ref="E367">SUM(E364:E366)</f>
        <v>10100</v>
      </c>
      <c r="F367" s="16" cm="1">
        <f t="array" ref="F367">SUM(F364:F366)</f>
        <v>0</v>
      </c>
      <c r="G367" s="16" cm="1">
        <f t="array" ref="G367">SUM(G364:G366)</f>
        <v>0</v>
      </c>
      <c r="H367" s="16" cm="1">
        <f t="array" ref="H367">SUM(H364:H366)</f>
        <v>0</v>
      </c>
      <c r="I367" s="16" cm="1">
        <f t="array" ref="I367">SUM(I364:I366)</f>
        <v>0</v>
      </c>
    </row>
    <row r="368" ht="20.35" customHeight="1">
      <c r="A368" s="10">
        <v>45445</v>
      </c>
      <c r="B368" t="s" s="11">
        <v>107</v>
      </c>
      <c r="C368" t="s" s="12">
        <v>132</v>
      </c>
      <c r="D368" s="17"/>
      <c r="E368" s="17">
        <v>3200</v>
      </c>
      <c r="F368" s="18"/>
      <c r="G368" s="18"/>
      <c r="H368" s="18"/>
      <c r="I368" s="18"/>
    </row>
    <row r="369" ht="20.35" customHeight="1">
      <c r="A369" s="10">
        <v>45445</v>
      </c>
      <c r="B369" t="s" s="11">
        <v>89</v>
      </c>
      <c r="C369" t="s" s="12">
        <v>132</v>
      </c>
      <c r="D369" s="13">
        <v>3200</v>
      </c>
      <c r="E369" s="13"/>
      <c r="F369" s="14"/>
      <c r="G369" s="14"/>
      <c r="H369" s="14"/>
      <c r="I369" s="14"/>
    </row>
    <row r="370" ht="20.7" customHeight="1">
      <c r="A370" s="10">
        <v>45445</v>
      </c>
      <c r="B370" t="s" s="11">
        <v>8</v>
      </c>
      <c r="C370" t="s" s="12">
        <v>8</v>
      </c>
      <c r="D370" s="15" cm="1">
        <f t="array" ref="D370">SUM(D368:D369)</f>
        <v>3200</v>
      </c>
      <c r="E370" s="15" cm="1">
        <f t="array" ref="E370">SUM(E368:E369)</f>
        <v>3200</v>
      </c>
      <c r="F370" s="16" cm="1">
        <f t="array" ref="F370">SUM(F368:F369)</f>
        <v>0</v>
      </c>
      <c r="G370" s="16" cm="1">
        <f t="array" ref="G370">SUM(G368:G369)</f>
        <v>0</v>
      </c>
      <c r="H370" s="16" cm="1">
        <f t="array" ref="H370">SUM(H368:H369)</f>
        <v>0</v>
      </c>
      <c r="I370" s="16" cm="1">
        <f t="array" ref="I370">SUM(I368:I369)</f>
        <v>0</v>
      </c>
    </row>
    <row r="371" ht="20.35" customHeight="1">
      <c r="A371" s="10">
        <v>45445</v>
      </c>
      <c r="B371" t="s" s="11">
        <v>5</v>
      </c>
      <c r="C371" t="s" s="12">
        <v>122</v>
      </c>
      <c r="D371" s="17"/>
      <c r="E371" s="17">
        <v>17000</v>
      </c>
      <c r="F371" s="18"/>
      <c r="G371" s="18"/>
      <c r="H371" s="18"/>
      <c r="I371" s="18"/>
    </row>
    <row r="372" ht="20.35" customHeight="1">
      <c r="A372" s="10">
        <v>45445</v>
      </c>
      <c r="B372" t="s" s="11">
        <v>107</v>
      </c>
      <c r="C372" t="s" s="12">
        <v>122</v>
      </c>
      <c r="D372" s="13">
        <v>17000</v>
      </c>
      <c r="E372" s="13"/>
      <c r="F372" s="14"/>
      <c r="G372" s="14"/>
      <c r="H372" s="14"/>
      <c r="I372" s="14"/>
    </row>
    <row r="373" ht="20.7" customHeight="1">
      <c r="A373" s="10">
        <v>45445</v>
      </c>
      <c r="B373" t="s" s="11">
        <v>8</v>
      </c>
      <c r="C373" t="s" s="12">
        <v>8</v>
      </c>
      <c r="D373" s="15" cm="1">
        <f t="array" ref="D373">SUM(D371:D372)</f>
        <v>17000</v>
      </c>
      <c r="E373" s="15" cm="1">
        <f t="array" ref="E373">SUM(E371:E372)</f>
        <v>17000</v>
      </c>
      <c r="F373" s="16" cm="1">
        <f t="array" ref="F373">SUM(F371:F372)</f>
        <v>0</v>
      </c>
      <c r="G373" s="16" cm="1">
        <f t="array" ref="G373">SUM(G371:G372)</f>
        <v>0</v>
      </c>
      <c r="H373" s="16" cm="1">
        <f t="array" ref="H373">SUM(H371:H372)</f>
        <v>0</v>
      </c>
      <c r="I373" s="16" cm="1">
        <f t="array" ref="I373">SUM(I371:I372)</f>
        <v>0</v>
      </c>
    </row>
    <row r="374" ht="20.35" customHeight="1">
      <c r="A374" s="10">
        <v>45446</v>
      </c>
      <c r="B374" t="s" s="11">
        <v>107</v>
      </c>
      <c r="C374" t="s" s="12">
        <v>133</v>
      </c>
      <c r="D374" s="17"/>
      <c r="E374" s="17">
        <v>6000</v>
      </c>
      <c r="F374" s="18"/>
      <c r="G374" s="18"/>
      <c r="H374" s="18"/>
      <c r="I374" s="18"/>
    </row>
    <row r="375" ht="20.05" customHeight="1">
      <c r="A375" s="10">
        <v>45446</v>
      </c>
      <c r="B375" t="s" s="11">
        <v>89</v>
      </c>
      <c r="C375" t="s" s="12">
        <v>133</v>
      </c>
      <c r="D375" s="19">
        <v>4000</v>
      </c>
      <c r="E375" s="19"/>
      <c r="F375" s="20"/>
      <c r="G375" s="20"/>
      <c r="H375" s="20"/>
      <c r="I375" s="20"/>
    </row>
    <row r="376" ht="20.35" customHeight="1">
      <c r="A376" s="10">
        <v>45446</v>
      </c>
      <c r="B376" t="s" s="11">
        <v>10</v>
      </c>
      <c r="C376" t="s" s="12">
        <v>133</v>
      </c>
      <c r="D376" s="13">
        <v>2000</v>
      </c>
      <c r="E376" s="13"/>
      <c r="F376" s="14"/>
      <c r="G376" s="14"/>
      <c r="H376" s="14"/>
      <c r="I376" s="14"/>
    </row>
    <row r="377" ht="20.7" customHeight="1">
      <c r="A377" s="10">
        <v>45446</v>
      </c>
      <c r="B377" t="s" s="11">
        <v>8</v>
      </c>
      <c r="C377" t="s" s="12">
        <v>8</v>
      </c>
      <c r="D377" s="15" cm="1">
        <f t="array" ref="D377">SUM(D374:D376)</f>
        <v>6000</v>
      </c>
      <c r="E377" s="15" cm="1">
        <f t="array" ref="E377">SUM(E374:E376)</f>
        <v>6000</v>
      </c>
      <c r="F377" s="16" cm="1">
        <f t="array" ref="F377">SUM(F374:F376)</f>
        <v>0</v>
      </c>
      <c r="G377" s="16" cm="1">
        <f t="array" ref="G377">SUM(G374:G376)</f>
        <v>0</v>
      </c>
      <c r="H377" s="16" cm="1">
        <f t="array" ref="H377">SUM(H374:H376)</f>
        <v>0</v>
      </c>
      <c r="I377" s="16" cm="1">
        <f t="array" ref="I377">SUM(I374:I376)</f>
        <v>0</v>
      </c>
    </row>
    <row r="378" ht="20.35" customHeight="1">
      <c r="A378" s="10">
        <v>45446</v>
      </c>
      <c r="B378" t="s" s="11">
        <v>89</v>
      </c>
      <c r="C378" t="s" s="12">
        <v>134</v>
      </c>
      <c r="D378" s="17"/>
      <c r="E378" s="17">
        <v>8492</v>
      </c>
      <c r="F378" s="18"/>
      <c r="G378" s="18"/>
      <c r="H378" s="18"/>
      <c r="I378" s="18"/>
    </row>
    <row r="379" ht="20.35" customHeight="1">
      <c r="A379" s="10">
        <v>45446</v>
      </c>
      <c r="B379" t="s" s="11">
        <v>93</v>
      </c>
      <c r="C379" t="s" s="12">
        <v>134</v>
      </c>
      <c r="D379" s="13">
        <v>8492</v>
      </c>
      <c r="E379" s="13"/>
      <c r="F379" s="14"/>
      <c r="G379" s="14"/>
      <c r="H379" s="14"/>
      <c r="I379" s="14"/>
    </row>
    <row r="380" ht="20.7" customHeight="1">
      <c r="A380" s="10">
        <v>45446</v>
      </c>
      <c r="B380" t="s" s="11">
        <v>8</v>
      </c>
      <c r="C380" t="s" s="12">
        <v>8</v>
      </c>
      <c r="D380" s="15" cm="1">
        <f t="array" ref="D380">SUM(D378:D379)</f>
        <v>8492</v>
      </c>
      <c r="E380" s="15" cm="1">
        <f t="array" ref="E380">SUM(E378:E379)</f>
        <v>8492</v>
      </c>
      <c r="F380" s="16" cm="1">
        <f t="array" ref="F380">SUM(F378:F379)</f>
        <v>0</v>
      </c>
      <c r="G380" s="16" cm="1">
        <f t="array" ref="G380">SUM(G378:G379)</f>
        <v>0</v>
      </c>
      <c r="H380" s="16" cm="1">
        <f t="array" ref="H380">SUM(H378:H379)</f>
        <v>0</v>
      </c>
      <c r="I380" s="16" cm="1">
        <f t="array" ref="I380">SUM(I378:I379)</f>
        <v>0</v>
      </c>
    </row>
    <row r="381" ht="20.35" customHeight="1">
      <c r="A381" s="10">
        <v>45446</v>
      </c>
      <c r="B381" t="s" s="11">
        <v>93</v>
      </c>
      <c r="C381" t="s" s="12">
        <v>112</v>
      </c>
      <c r="D381" s="17"/>
      <c r="E381" s="17">
        <v>8492</v>
      </c>
      <c r="F381" s="18"/>
      <c r="G381" s="18"/>
      <c r="H381" s="18"/>
      <c r="I381" s="18"/>
    </row>
    <row r="382" ht="20.35" customHeight="1">
      <c r="A382" s="10">
        <v>45446</v>
      </c>
      <c r="B382" t="s" s="11">
        <v>5</v>
      </c>
      <c r="C382" t="s" s="12">
        <v>112</v>
      </c>
      <c r="D382" s="13">
        <v>8492</v>
      </c>
      <c r="E382" s="13"/>
      <c r="F382" s="14"/>
      <c r="G382" s="14"/>
      <c r="H382" s="14"/>
      <c r="I382" s="14"/>
    </row>
    <row r="383" ht="20.7" customHeight="1">
      <c r="A383" s="10">
        <v>45446</v>
      </c>
      <c r="B383" t="s" s="11">
        <v>8</v>
      </c>
      <c r="C383" t="s" s="12">
        <v>8</v>
      </c>
      <c r="D383" s="15" cm="1">
        <f t="array" ref="D383">SUM(D381:D382)</f>
        <v>8492</v>
      </c>
      <c r="E383" s="15" cm="1">
        <f t="array" ref="E383">SUM(E381:E382)</f>
        <v>8492</v>
      </c>
      <c r="F383" s="16" cm="1">
        <f t="array" ref="F383">SUM(F381:F382)</f>
        <v>0</v>
      </c>
      <c r="G383" s="16" cm="1">
        <f t="array" ref="G383">SUM(G381:G382)</f>
        <v>0</v>
      </c>
      <c r="H383" s="16" cm="1">
        <f t="array" ref="H383">SUM(H381:H382)</f>
        <v>0</v>
      </c>
      <c r="I383" s="16" cm="1">
        <f t="array" ref="I383">SUM(I381:I382)</f>
        <v>0</v>
      </c>
    </row>
    <row r="384" ht="20.35" customHeight="1">
      <c r="A384" s="10">
        <v>45446</v>
      </c>
      <c r="B384" t="s" s="11">
        <v>89</v>
      </c>
      <c r="C384" t="s" s="12">
        <v>20</v>
      </c>
      <c r="D384" s="17"/>
      <c r="E384" s="17">
        <v>8992</v>
      </c>
      <c r="F384" s="18"/>
      <c r="G384" s="18"/>
      <c r="H384" s="18"/>
      <c r="I384" s="18"/>
    </row>
    <row r="385" ht="20.35" customHeight="1">
      <c r="A385" s="10">
        <v>45446</v>
      </c>
      <c r="B385" t="s" s="11">
        <v>93</v>
      </c>
      <c r="C385" t="s" s="12">
        <v>20</v>
      </c>
      <c r="D385" s="13">
        <v>8992</v>
      </c>
      <c r="E385" s="13"/>
      <c r="F385" s="14"/>
      <c r="G385" s="14"/>
      <c r="H385" s="14"/>
      <c r="I385" s="14"/>
    </row>
    <row r="386" ht="20.7" customHeight="1">
      <c r="A386" s="10">
        <v>45446</v>
      </c>
      <c r="B386" t="s" s="11">
        <v>8</v>
      </c>
      <c r="C386" t="s" s="12">
        <v>8</v>
      </c>
      <c r="D386" s="15" cm="1">
        <f t="array" ref="D386">SUM(D384:D385)</f>
        <v>8992</v>
      </c>
      <c r="E386" s="15" cm="1">
        <f t="array" ref="E386">SUM(E384:E385)</f>
        <v>8992</v>
      </c>
      <c r="F386" s="16" cm="1">
        <f t="array" ref="F386">SUM(F384:F385)</f>
        <v>0</v>
      </c>
      <c r="G386" s="16" cm="1">
        <f t="array" ref="G386">SUM(G384:G385)</f>
        <v>0</v>
      </c>
      <c r="H386" s="16" cm="1">
        <f t="array" ref="H386">SUM(H384:H385)</f>
        <v>0</v>
      </c>
      <c r="I386" s="16" cm="1">
        <f t="array" ref="I386">SUM(I384:I385)</f>
        <v>0</v>
      </c>
    </row>
    <row r="387" ht="20.35" customHeight="1">
      <c r="A387" s="10">
        <v>45446</v>
      </c>
      <c r="B387" t="s" s="11">
        <v>93</v>
      </c>
      <c r="C387" t="s" s="12">
        <v>112</v>
      </c>
      <c r="D387" s="17"/>
      <c r="E387" s="17">
        <v>8992</v>
      </c>
      <c r="F387" s="18"/>
      <c r="G387" s="18"/>
      <c r="H387" s="18"/>
      <c r="I387" s="18"/>
    </row>
    <row r="388" ht="20.35" customHeight="1">
      <c r="A388" s="10">
        <v>45446</v>
      </c>
      <c r="B388" t="s" s="11">
        <v>5</v>
      </c>
      <c r="C388" t="s" s="12">
        <v>112</v>
      </c>
      <c r="D388" s="13">
        <v>8992</v>
      </c>
      <c r="E388" s="13"/>
      <c r="F388" s="14"/>
      <c r="G388" s="14"/>
      <c r="H388" s="14"/>
      <c r="I388" s="14"/>
    </row>
    <row r="389" ht="20.7" customHeight="1">
      <c r="A389" s="10">
        <v>45446</v>
      </c>
      <c r="B389" t="s" s="11">
        <v>8</v>
      </c>
      <c r="C389" t="s" s="12">
        <v>8</v>
      </c>
      <c r="D389" s="15" cm="1">
        <f t="array" ref="D389">SUM(D387:D388)</f>
        <v>8992</v>
      </c>
      <c r="E389" s="15" cm="1">
        <f t="array" ref="E389">SUM(E387:E388)</f>
        <v>8992</v>
      </c>
      <c r="F389" s="16" cm="1">
        <f t="array" ref="F389">SUM(F387:F388)</f>
        <v>0</v>
      </c>
      <c r="G389" s="16" cm="1">
        <f t="array" ref="G389">SUM(G387:G388)</f>
        <v>0</v>
      </c>
      <c r="H389" s="16" cm="1">
        <f t="array" ref="H389">SUM(H387:H388)</f>
        <v>0</v>
      </c>
      <c r="I389" s="16" cm="1">
        <f t="array" ref="I389">SUM(I387:I388)</f>
        <v>0</v>
      </c>
    </row>
    <row r="390" ht="20.35" customHeight="1">
      <c r="A390" s="10">
        <v>45446</v>
      </c>
      <c r="B390" t="s" s="11">
        <v>89</v>
      </c>
      <c r="C390" t="s" s="12">
        <v>135</v>
      </c>
      <c r="D390" s="17"/>
      <c r="E390" s="17">
        <v>5592</v>
      </c>
      <c r="F390" s="18"/>
      <c r="G390" s="18"/>
      <c r="H390" s="18"/>
      <c r="I390" s="18"/>
    </row>
    <row r="391" ht="20.35" customHeight="1">
      <c r="A391" s="10">
        <v>45446</v>
      </c>
      <c r="B391" t="s" s="11">
        <v>93</v>
      </c>
      <c r="C391" t="s" s="12">
        <v>135</v>
      </c>
      <c r="D391" s="13">
        <v>5592</v>
      </c>
      <c r="E391" s="13"/>
      <c r="F391" s="14"/>
      <c r="G391" s="14"/>
      <c r="H391" s="14"/>
      <c r="I391" s="14"/>
    </row>
    <row r="392" ht="20.7" customHeight="1">
      <c r="A392" s="10">
        <v>45446</v>
      </c>
      <c r="B392" t="s" s="11">
        <v>8</v>
      </c>
      <c r="C392" t="s" s="12">
        <v>8</v>
      </c>
      <c r="D392" s="15" cm="1">
        <f t="array" ref="D392">SUM(D390:D391)</f>
        <v>5592</v>
      </c>
      <c r="E392" s="15" cm="1">
        <f t="array" ref="E392">SUM(E390:E391)</f>
        <v>5592</v>
      </c>
      <c r="F392" s="16" cm="1">
        <f t="array" ref="F392">SUM(F390:F391)</f>
        <v>0</v>
      </c>
      <c r="G392" s="16" cm="1">
        <f t="array" ref="G392">SUM(G390:G391)</f>
        <v>0</v>
      </c>
      <c r="H392" s="16" cm="1">
        <f t="array" ref="H392">SUM(H390:H391)</f>
        <v>0</v>
      </c>
      <c r="I392" s="16" cm="1">
        <f t="array" ref="I392">SUM(I390:I391)</f>
        <v>0</v>
      </c>
    </row>
    <row r="393" ht="20.35" customHeight="1">
      <c r="A393" s="10">
        <v>45446</v>
      </c>
      <c r="B393" t="s" s="11">
        <v>93</v>
      </c>
      <c r="C393" t="s" s="12">
        <v>112</v>
      </c>
      <c r="D393" s="17"/>
      <c r="E393" s="17">
        <v>5592</v>
      </c>
      <c r="F393" s="18"/>
      <c r="G393" s="18"/>
      <c r="H393" s="18"/>
      <c r="I393" s="18"/>
    </row>
    <row r="394" ht="20.35" customHeight="1">
      <c r="A394" s="10">
        <v>45446</v>
      </c>
      <c r="B394" t="s" s="11">
        <v>5</v>
      </c>
      <c r="C394" t="s" s="12">
        <v>112</v>
      </c>
      <c r="D394" s="13">
        <v>5592</v>
      </c>
      <c r="E394" s="13"/>
      <c r="F394" s="14"/>
      <c r="G394" s="14"/>
      <c r="H394" s="14"/>
      <c r="I394" s="14"/>
    </row>
    <row r="395" ht="20.7" customHeight="1">
      <c r="A395" s="10">
        <v>45446</v>
      </c>
      <c r="B395" t="s" s="11">
        <v>8</v>
      </c>
      <c r="C395" t="s" s="12">
        <v>8</v>
      </c>
      <c r="D395" s="15" cm="1">
        <f t="array" ref="D395">SUM(D393:D394)</f>
        <v>5592</v>
      </c>
      <c r="E395" s="15" cm="1">
        <f t="array" ref="E395">SUM(E393:E394)</f>
        <v>5592</v>
      </c>
      <c r="F395" s="16" cm="1">
        <f t="array" ref="F395">SUM(F393:F394)</f>
        <v>0</v>
      </c>
      <c r="G395" s="16" cm="1">
        <f t="array" ref="G395">SUM(G393:G394)</f>
        <v>0</v>
      </c>
      <c r="H395" s="16" cm="1">
        <f t="array" ref="H395">SUM(H393:H394)</f>
        <v>0</v>
      </c>
      <c r="I395" s="16" cm="1">
        <f t="array" ref="I395">SUM(I393:I394)</f>
        <v>0</v>
      </c>
    </row>
    <row r="396" ht="20.35" customHeight="1">
      <c r="A396" s="10">
        <v>45446</v>
      </c>
      <c r="B396" t="s" s="11">
        <v>5</v>
      </c>
      <c r="C396" t="s" s="12">
        <v>110</v>
      </c>
      <c r="D396" s="17"/>
      <c r="E396" s="17">
        <v>10000</v>
      </c>
      <c r="F396" s="18"/>
      <c r="G396" s="18"/>
      <c r="H396" s="18"/>
      <c r="I396" s="18"/>
    </row>
    <row r="397" ht="20.35" customHeight="1">
      <c r="A397" s="10">
        <v>45446</v>
      </c>
      <c r="B397" t="s" s="11">
        <v>93</v>
      </c>
      <c r="C397" t="s" s="12">
        <v>110</v>
      </c>
      <c r="D397" s="13">
        <v>10000</v>
      </c>
      <c r="E397" s="13"/>
      <c r="F397" s="14"/>
      <c r="G397" s="14"/>
      <c r="H397" s="14"/>
      <c r="I397" s="14"/>
    </row>
    <row r="398" ht="20.7" customHeight="1">
      <c r="A398" s="10">
        <v>45446</v>
      </c>
      <c r="B398" t="s" s="11">
        <v>8</v>
      </c>
      <c r="C398" t="s" s="12">
        <v>8</v>
      </c>
      <c r="D398" s="15" cm="1">
        <f t="array" ref="D398">SUM(D396:D397)</f>
        <v>10000</v>
      </c>
      <c r="E398" s="15" cm="1">
        <f t="array" ref="E398">SUM(E396:E397)</f>
        <v>10000</v>
      </c>
      <c r="F398" s="16" cm="1">
        <f t="array" ref="F398">SUM(F396:F397)</f>
        <v>0</v>
      </c>
      <c r="G398" s="16" cm="1">
        <f t="array" ref="G398">SUM(G396:G397)</f>
        <v>0</v>
      </c>
      <c r="H398" s="16" cm="1">
        <f t="array" ref="H398">SUM(H396:H397)</f>
        <v>0</v>
      </c>
      <c r="I398" s="16" cm="1">
        <f t="array" ref="I398">SUM(I396:I397)</f>
        <v>0</v>
      </c>
    </row>
    <row r="399" ht="21.25" customHeight="1">
      <c r="A399" s="10">
        <v>45446</v>
      </c>
      <c r="B399" t="s" s="11">
        <v>93</v>
      </c>
      <c r="C399" t="s" s="12">
        <v>136</v>
      </c>
      <c r="D399" s="17"/>
      <c r="E399" s="17">
        <v>3889</v>
      </c>
      <c r="F399" s="18"/>
      <c r="G399" s="18"/>
      <c r="H399" s="18"/>
      <c r="I399" s="18"/>
    </row>
    <row r="400" ht="21.25" customHeight="1">
      <c r="A400" s="10">
        <v>45446</v>
      </c>
      <c r="B400" t="s" s="11">
        <v>12</v>
      </c>
      <c r="C400" t="s" s="12">
        <v>136</v>
      </c>
      <c r="D400" s="13">
        <v>3889</v>
      </c>
      <c r="E400" s="13"/>
      <c r="F400" s="14"/>
      <c r="G400" s="14"/>
      <c r="H400" s="14"/>
      <c r="I400" s="14"/>
    </row>
    <row r="401" ht="20.7" customHeight="1">
      <c r="A401" s="10">
        <v>45446</v>
      </c>
      <c r="B401" t="s" s="11">
        <v>8</v>
      </c>
      <c r="C401" t="s" s="12">
        <v>8</v>
      </c>
      <c r="D401" s="15" cm="1">
        <f t="array" ref="D401">SUM(D399:D400)</f>
        <v>3889</v>
      </c>
      <c r="E401" s="15" cm="1">
        <f t="array" ref="E401">SUM(E399:E400)</f>
        <v>3889</v>
      </c>
      <c r="F401" s="16" cm="1">
        <f t="array" ref="F401">SUM(F399:F400)</f>
        <v>0</v>
      </c>
      <c r="G401" s="16" cm="1">
        <f t="array" ref="G401">SUM(G399:G400)</f>
        <v>0</v>
      </c>
      <c r="H401" s="16" cm="1">
        <f t="array" ref="H401">SUM(H399:H400)</f>
        <v>0</v>
      </c>
      <c r="I401" s="16" cm="1">
        <f t="array" ref="I401">SUM(I399:I400)</f>
        <v>0</v>
      </c>
    </row>
    <row r="402" ht="20.35" customHeight="1">
      <c r="A402" s="10">
        <v>45447</v>
      </c>
      <c r="B402" t="s" s="11">
        <v>93</v>
      </c>
      <c r="C402" t="s" s="12">
        <v>112</v>
      </c>
      <c r="D402" s="17"/>
      <c r="E402" s="17">
        <v>6111</v>
      </c>
      <c r="F402" s="18"/>
      <c r="G402" s="18"/>
      <c r="H402" s="18"/>
      <c r="I402" s="18"/>
    </row>
    <row r="403" ht="20.35" customHeight="1">
      <c r="A403" s="10">
        <v>45447</v>
      </c>
      <c r="B403" t="s" s="11">
        <v>5</v>
      </c>
      <c r="C403" t="s" s="12">
        <v>112</v>
      </c>
      <c r="D403" s="13">
        <v>6111</v>
      </c>
      <c r="E403" s="13"/>
      <c r="F403" s="14"/>
      <c r="G403" s="14"/>
      <c r="H403" s="14"/>
      <c r="I403" s="14"/>
    </row>
    <row r="404" ht="20.7" customHeight="1">
      <c r="A404" s="10">
        <v>45447</v>
      </c>
      <c r="B404" t="s" s="11">
        <v>8</v>
      </c>
      <c r="C404" t="s" s="12">
        <v>8</v>
      </c>
      <c r="D404" s="15" cm="1">
        <f t="array" ref="D404">SUM(D402:D403)</f>
        <v>6111</v>
      </c>
      <c r="E404" s="15" cm="1">
        <f t="array" ref="E404">SUM(E402:E403)</f>
        <v>6111</v>
      </c>
      <c r="F404" s="16" cm="1">
        <f t="array" ref="F404">SUM(F402:F403)</f>
        <v>0</v>
      </c>
      <c r="G404" s="16" cm="1">
        <f t="array" ref="G404">SUM(G402:G403)</f>
        <v>0</v>
      </c>
      <c r="H404" s="16" cm="1">
        <f t="array" ref="H404">SUM(H402:H403)</f>
        <v>0</v>
      </c>
      <c r="I404" s="16" cm="1">
        <f t="array" ref="I404">SUM(I402:I403)</f>
        <v>0</v>
      </c>
    </row>
    <row r="405" ht="20.35" customHeight="1">
      <c r="A405" s="10">
        <v>45447</v>
      </c>
      <c r="B405" t="s" s="11">
        <v>61</v>
      </c>
      <c r="C405" t="s" s="12">
        <v>76</v>
      </c>
      <c r="D405" s="17"/>
      <c r="E405" s="17"/>
      <c r="F405" s="18"/>
      <c r="G405" s="18">
        <v>88.78</v>
      </c>
      <c r="H405" s="18"/>
      <c r="I405" s="18"/>
    </row>
    <row r="406" ht="20.05" customHeight="1">
      <c r="A406" s="10">
        <v>45447</v>
      </c>
      <c r="B406" t="s" s="11">
        <v>57</v>
      </c>
      <c r="C406" t="s" s="12">
        <v>137</v>
      </c>
      <c r="D406" s="19"/>
      <c r="E406" s="19"/>
      <c r="F406" s="20">
        <v>0.02</v>
      </c>
      <c r="G406" s="20"/>
      <c r="H406" s="20"/>
      <c r="I406" s="20"/>
    </row>
    <row r="407" ht="20.35" customHeight="1">
      <c r="A407" s="10">
        <v>45447</v>
      </c>
      <c r="B407" t="s" s="11">
        <v>39</v>
      </c>
      <c r="C407" t="s" s="12">
        <v>137</v>
      </c>
      <c r="D407" s="13"/>
      <c r="E407" s="13"/>
      <c r="F407" s="14">
        <v>88.76000000000001</v>
      </c>
      <c r="G407" s="14"/>
      <c r="H407" s="14"/>
      <c r="I407" s="14"/>
    </row>
    <row r="408" ht="20.7" customHeight="1">
      <c r="A408" s="10">
        <v>45447</v>
      </c>
      <c r="B408" t="s" s="11">
        <v>8</v>
      </c>
      <c r="C408" t="s" s="12">
        <v>8</v>
      </c>
      <c r="D408" s="15" cm="1">
        <f t="array" ref="D408">SUM(D405:D407)</f>
        <v>0</v>
      </c>
      <c r="E408" s="15" cm="1">
        <f t="array" ref="E408">SUM(E405:E407)</f>
        <v>0</v>
      </c>
      <c r="F408" s="16" cm="1">
        <f t="array" ref="F408">SUM(F405:F407)</f>
        <v>88.78</v>
      </c>
      <c r="G408" s="16" cm="1">
        <f t="array" ref="G408">SUM(G405:G407)</f>
        <v>88.78</v>
      </c>
      <c r="H408" s="16" cm="1">
        <f t="array" ref="H408">SUM(H405:H407)</f>
        <v>0</v>
      </c>
      <c r="I408" s="16" cm="1">
        <f t="array" ref="I408">SUM(I405:I407)</f>
        <v>0</v>
      </c>
    </row>
    <row r="409" ht="20.35" customHeight="1">
      <c r="A409" s="10">
        <v>45447</v>
      </c>
      <c r="B409" t="s" s="11">
        <v>60</v>
      </c>
      <c r="C409" t="s" s="12">
        <v>138</v>
      </c>
      <c r="D409" s="17"/>
      <c r="E409" s="17"/>
      <c r="F409" s="18"/>
      <c r="G409" s="18">
        <v>16.86</v>
      </c>
      <c r="H409" s="18"/>
      <c r="I409" s="18"/>
    </row>
    <row r="410" ht="20.35" customHeight="1">
      <c r="A410" s="10">
        <v>45447</v>
      </c>
      <c r="B410" t="s" s="11">
        <v>39</v>
      </c>
      <c r="C410" t="s" s="12">
        <v>138</v>
      </c>
      <c r="D410" s="13"/>
      <c r="E410" s="13"/>
      <c r="F410" s="14">
        <v>16.86</v>
      </c>
      <c r="G410" s="14"/>
      <c r="H410" s="14"/>
      <c r="I410" s="14"/>
    </row>
    <row r="411" ht="20.7" customHeight="1">
      <c r="A411" s="10">
        <v>45447</v>
      </c>
      <c r="B411" t="s" s="11">
        <v>8</v>
      </c>
      <c r="C411" t="s" s="12">
        <v>8</v>
      </c>
      <c r="D411" s="15" cm="1">
        <f t="array" ref="D411">SUM(D409:D410)</f>
        <v>0</v>
      </c>
      <c r="E411" s="15" cm="1">
        <f t="array" ref="E411">SUM(E409:E410)</f>
        <v>0</v>
      </c>
      <c r="F411" s="16" cm="1">
        <f t="array" ref="F411">SUM(F409:F410)</f>
        <v>16.86</v>
      </c>
      <c r="G411" s="16" cm="1">
        <f t="array" ref="G411">SUM(G409:G410)</f>
        <v>16.86</v>
      </c>
      <c r="H411" s="16" cm="1">
        <f t="array" ref="H411">SUM(H409:H410)</f>
        <v>0</v>
      </c>
      <c r="I411" s="16" cm="1">
        <f t="array" ref="I411">SUM(I409:I410)</f>
        <v>0</v>
      </c>
    </row>
    <row r="412" ht="20.35" customHeight="1">
      <c r="A412" s="10">
        <v>45447</v>
      </c>
      <c r="B412" t="s" s="11">
        <v>39</v>
      </c>
      <c r="C412" t="s" s="12">
        <v>139</v>
      </c>
      <c r="D412" s="17"/>
      <c r="E412" s="17"/>
      <c r="F412" s="18"/>
      <c r="G412" s="18">
        <v>105.72</v>
      </c>
      <c r="H412" s="18"/>
      <c r="I412" s="18"/>
    </row>
    <row r="413" ht="20.05" customHeight="1">
      <c r="A413" s="10">
        <v>45447</v>
      </c>
      <c r="B413" t="s" s="11">
        <v>43</v>
      </c>
      <c r="C413" t="s" s="12">
        <v>139</v>
      </c>
      <c r="D413" s="19"/>
      <c r="E413" s="19"/>
      <c r="F413" s="20">
        <v>97.23</v>
      </c>
      <c r="G413" s="20"/>
      <c r="H413" s="20"/>
      <c r="I413" s="20"/>
    </row>
    <row r="414" ht="20.05" customHeight="1">
      <c r="A414" s="10">
        <v>45447</v>
      </c>
      <c r="B414" t="s" s="11">
        <v>57</v>
      </c>
      <c r="C414" t="s" s="12">
        <v>45</v>
      </c>
      <c r="D414" s="19"/>
      <c r="E414" s="19"/>
      <c r="F414" s="20">
        <v>8.49</v>
      </c>
      <c r="G414" s="20"/>
      <c r="H414" s="20"/>
      <c r="I414" s="20"/>
    </row>
    <row r="415" ht="20.05" customHeight="1">
      <c r="A415" s="10">
        <v>45447</v>
      </c>
      <c r="B415" t="s" s="11">
        <v>5</v>
      </c>
      <c r="C415" t="s" s="12">
        <v>139</v>
      </c>
      <c r="D415" s="19">
        <v>28503</v>
      </c>
      <c r="E415" s="19"/>
      <c r="F415" s="20"/>
      <c r="G415" s="20"/>
      <c r="H415" s="20"/>
      <c r="I415" s="20"/>
    </row>
    <row r="416" ht="20.35" customHeight="1">
      <c r="A416" s="10">
        <v>45447</v>
      </c>
      <c r="B416" t="s" s="11">
        <v>46</v>
      </c>
      <c r="C416" t="s" s="12">
        <v>139</v>
      </c>
      <c r="D416" s="13"/>
      <c r="E416" s="13">
        <v>28503</v>
      </c>
      <c r="F416" s="14"/>
      <c r="G416" s="14"/>
      <c r="H416" s="14"/>
      <c r="I416" s="14"/>
    </row>
    <row r="417" ht="20.7" customHeight="1">
      <c r="A417" s="10">
        <v>45447</v>
      </c>
      <c r="B417" t="s" s="11">
        <v>8</v>
      </c>
      <c r="C417" t="s" s="12">
        <v>8</v>
      </c>
      <c r="D417" s="15" cm="1">
        <f t="array" ref="D417">SUM(D412:D416)</f>
        <v>28503</v>
      </c>
      <c r="E417" s="15" cm="1">
        <f t="array" ref="E417">SUM(E412:E416)</f>
        <v>28503</v>
      </c>
      <c r="F417" s="16" cm="1">
        <f t="array" ref="F417">SUM(F412:F416)</f>
        <v>105.72</v>
      </c>
      <c r="G417" s="16" cm="1">
        <f t="array" ref="G417">SUM(G412:G416)</f>
        <v>105.72</v>
      </c>
      <c r="H417" s="16" cm="1">
        <f t="array" ref="H417">SUM(H412:H416)</f>
        <v>0</v>
      </c>
      <c r="I417" s="16" cm="1">
        <f t="array" ref="I417">SUM(I412:I416)</f>
        <v>0</v>
      </c>
    </row>
    <row r="418" ht="20.35" customHeight="1">
      <c r="A418" s="10">
        <v>45447</v>
      </c>
      <c r="B418" t="s" s="11">
        <v>107</v>
      </c>
      <c r="C418" t="s" s="12">
        <v>112</v>
      </c>
      <c r="D418" s="17"/>
      <c r="E418" s="17">
        <v>1200</v>
      </c>
      <c r="F418" s="18"/>
      <c r="G418" s="18"/>
      <c r="H418" s="18"/>
      <c r="I418" s="18"/>
    </row>
    <row r="419" ht="20.35" customHeight="1">
      <c r="A419" s="10">
        <v>45447</v>
      </c>
      <c r="B419" t="s" s="11">
        <v>5</v>
      </c>
      <c r="C419" t="s" s="12">
        <v>112</v>
      </c>
      <c r="D419" s="13">
        <v>1200</v>
      </c>
      <c r="E419" s="13"/>
      <c r="F419" s="14"/>
      <c r="G419" s="14"/>
      <c r="H419" s="14"/>
      <c r="I419" s="14"/>
    </row>
    <row r="420" ht="20.7" customHeight="1">
      <c r="A420" s="10">
        <v>45447</v>
      </c>
      <c r="B420" t="s" s="11">
        <v>8</v>
      </c>
      <c r="C420" t="s" s="12">
        <v>8</v>
      </c>
      <c r="D420" s="15" cm="1">
        <f t="array" ref="D420">SUM(D418:D419)</f>
        <v>1200</v>
      </c>
      <c r="E420" s="15" cm="1">
        <f t="array" ref="E420">SUM(E418:E419)</f>
        <v>1200</v>
      </c>
      <c r="F420" s="16" cm="1">
        <f t="array" ref="F420">SUM(F418:F419)</f>
        <v>0</v>
      </c>
      <c r="G420" s="16" cm="1">
        <f t="array" ref="G420">SUM(G418:G419)</f>
        <v>0</v>
      </c>
      <c r="H420" s="16" cm="1">
        <f t="array" ref="H420">SUM(H418:H419)</f>
        <v>0</v>
      </c>
      <c r="I420" s="16" cm="1">
        <f t="array" ref="I420">SUM(I418:I419)</f>
        <v>0</v>
      </c>
    </row>
    <row r="421" ht="20.35" customHeight="1">
      <c r="A421" s="10">
        <v>45447</v>
      </c>
      <c r="B421" t="s" s="11">
        <v>5</v>
      </c>
      <c r="C421" t="s" s="12">
        <v>140</v>
      </c>
      <c r="D421" s="17"/>
      <c r="E421" s="17">
        <v>30000</v>
      </c>
      <c r="F421" s="18"/>
      <c r="G421" s="18"/>
      <c r="H421" s="18"/>
      <c r="I421" s="18"/>
    </row>
    <row r="422" ht="20.35" customHeight="1">
      <c r="A422" s="10">
        <v>45447</v>
      </c>
      <c r="B422" t="s" s="11">
        <v>72</v>
      </c>
      <c r="C422" t="s" s="12">
        <v>140</v>
      </c>
      <c r="D422" s="13">
        <v>30000</v>
      </c>
      <c r="E422" s="13"/>
      <c r="F422" s="14"/>
      <c r="G422" s="14"/>
      <c r="H422" s="14"/>
      <c r="I422" s="14"/>
    </row>
    <row r="423" ht="20.7" customHeight="1">
      <c r="A423" s="10">
        <v>45447</v>
      </c>
      <c r="B423" t="s" s="11">
        <v>8</v>
      </c>
      <c r="C423" t="s" s="12">
        <v>8</v>
      </c>
      <c r="D423" s="15" cm="1">
        <f t="array" ref="D423">SUM(D421:D422)</f>
        <v>30000</v>
      </c>
      <c r="E423" s="15" cm="1">
        <f t="array" ref="E423">SUM(E421:E422)</f>
        <v>30000</v>
      </c>
      <c r="F423" s="16" cm="1">
        <f t="array" ref="F423">SUM(F421:F422)</f>
        <v>0</v>
      </c>
      <c r="G423" s="16" cm="1">
        <f t="array" ref="G423">SUM(G421:G422)</f>
        <v>0</v>
      </c>
      <c r="H423" s="16" cm="1">
        <f t="array" ref="H423">SUM(H421:H422)</f>
        <v>0</v>
      </c>
      <c r="I423" s="16" cm="1">
        <f t="array" ref="I423">SUM(I421:I422)</f>
        <v>0</v>
      </c>
    </row>
    <row r="424" ht="20.35" customHeight="1">
      <c r="A424" s="10">
        <v>45447</v>
      </c>
      <c r="B424" t="s" s="11">
        <v>5</v>
      </c>
      <c r="C424" t="s" s="12">
        <v>110</v>
      </c>
      <c r="D424" s="17"/>
      <c r="E424" s="17">
        <v>15000</v>
      </c>
      <c r="F424" s="18"/>
      <c r="G424" s="18"/>
      <c r="H424" s="18"/>
      <c r="I424" s="18"/>
    </row>
    <row r="425" ht="20.35" customHeight="1">
      <c r="A425" s="10">
        <v>45447</v>
      </c>
      <c r="B425" t="s" s="11">
        <v>93</v>
      </c>
      <c r="C425" t="s" s="12">
        <v>110</v>
      </c>
      <c r="D425" s="13">
        <v>15000</v>
      </c>
      <c r="E425" s="13"/>
      <c r="F425" s="14"/>
      <c r="G425" s="14"/>
      <c r="H425" s="14"/>
      <c r="I425" s="14"/>
    </row>
    <row r="426" ht="20.7" customHeight="1">
      <c r="A426" s="10">
        <v>45447</v>
      </c>
      <c r="B426" t="s" s="11">
        <v>8</v>
      </c>
      <c r="C426" t="s" s="12">
        <v>8</v>
      </c>
      <c r="D426" s="15" cm="1">
        <f t="array" ref="D426">SUM(D424:D425)</f>
        <v>15000</v>
      </c>
      <c r="E426" s="15" cm="1">
        <f t="array" ref="E426">SUM(E424:E425)</f>
        <v>15000</v>
      </c>
      <c r="F426" s="16" cm="1">
        <f t="array" ref="F426">SUM(F424:F425)</f>
        <v>0</v>
      </c>
      <c r="G426" s="16" cm="1">
        <f t="array" ref="G426">SUM(G424:G425)</f>
        <v>0</v>
      </c>
      <c r="H426" s="16" cm="1">
        <f t="array" ref="H426">SUM(H424:H425)</f>
        <v>0</v>
      </c>
      <c r="I426" s="16" cm="1">
        <f t="array" ref="I426">SUM(I424:I425)</f>
        <v>0</v>
      </c>
    </row>
    <row r="427" ht="20.35" customHeight="1">
      <c r="A427" s="10">
        <v>45447</v>
      </c>
      <c r="B427" t="s" s="11">
        <v>93</v>
      </c>
      <c r="C427" t="s" s="12">
        <v>116</v>
      </c>
      <c r="D427" s="17"/>
      <c r="E427" s="17">
        <v>13588</v>
      </c>
      <c r="F427" s="18"/>
      <c r="G427" s="18"/>
      <c r="H427" s="18"/>
      <c r="I427" s="18"/>
    </row>
    <row r="428" ht="20.05" customHeight="1">
      <c r="A428" s="10">
        <v>45447</v>
      </c>
      <c r="B428" t="s" s="11">
        <v>10</v>
      </c>
      <c r="C428" t="s" s="12">
        <v>141</v>
      </c>
      <c r="D428" s="19">
        <v>7588</v>
      </c>
      <c r="E428" s="19"/>
      <c r="F428" s="20"/>
      <c r="G428" s="20"/>
      <c r="H428" s="20"/>
      <c r="I428" s="20"/>
    </row>
    <row r="429" ht="20.35" customHeight="1">
      <c r="A429" s="10">
        <v>45447</v>
      </c>
      <c r="B429" t="s" s="11">
        <v>12</v>
      </c>
      <c r="C429" t="s" s="12">
        <v>141</v>
      </c>
      <c r="D429" s="13" cm="1">
        <f t="array" ref="D429">2500+3500</f>
        <v>6000</v>
      </c>
      <c r="E429" s="13"/>
      <c r="F429" s="14"/>
      <c r="G429" s="14"/>
      <c r="H429" s="14"/>
      <c r="I429" s="14"/>
    </row>
    <row r="430" ht="20.7" customHeight="1">
      <c r="A430" s="10">
        <v>45447</v>
      </c>
      <c r="B430" t="s" s="11">
        <v>8</v>
      </c>
      <c r="C430" t="s" s="12">
        <v>8</v>
      </c>
      <c r="D430" s="15" cm="1">
        <f t="array" ref="D430">SUM(D427:D429)</f>
        <v>13588</v>
      </c>
      <c r="E430" s="15" cm="1">
        <f t="array" ref="E430">SUM(E427:E429)</f>
        <v>13588</v>
      </c>
      <c r="F430" s="16" cm="1">
        <f t="array" ref="F430">SUM(F427:F429)</f>
        <v>0</v>
      </c>
      <c r="G430" s="16" cm="1">
        <f t="array" ref="G430">SUM(G427:G429)</f>
        <v>0</v>
      </c>
      <c r="H430" s="16" cm="1">
        <f t="array" ref="H430">SUM(H427:H429)</f>
        <v>0</v>
      </c>
      <c r="I430" s="16" cm="1">
        <f t="array" ref="I430">SUM(I427:I429)</f>
        <v>0</v>
      </c>
    </row>
    <row r="431" ht="20.35" customHeight="1">
      <c r="A431" s="10">
        <v>45447</v>
      </c>
      <c r="B431" t="s" s="11">
        <v>93</v>
      </c>
      <c r="C431" t="s" s="12">
        <v>112</v>
      </c>
      <c r="D431" s="17"/>
      <c r="E431" s="17">
        <v>1412</v>
      </c>
      <c r="F431" s="18"/>
      <c r="G431" s="18"/>
      <c r="H431" s="18"/>
      <c r="I431" s="18"/>
    </row>
    <row r="432" ht="20.35" customHeight="1">
      <c r="A432" s="10">
        <v>45447</v>
      </c>
      <c r="B432" t="s" s="11">
        <v>5</v>
      </c>
      <c r="C432" t="s" s="12">
        <v>112</v>
      </c>
      <c r="D432" s="13">
        <v>1412</v>
      </c>
      <c r="E432" s="13"/>
      <c r="F432" s="14"/>
      <c r="G432" s="14"/>
      <c r="H432" s="14"/>
      <c r="I432" s="14"/>
    </row>
    <row r="433" ht="20.7" customHeight="1">
      <c r="A433" s="10">
        <v>45447</v>
      </c>
      <c r="B433" t="s" s="11">
        <v>8</v>
      </c>
      <c r="C433" t="s" s="12">
        <v>8</v>
      </c>
      <c r="D433" s="15" cm="1">
        <f t="array" ref="D433">SUM(D431:D432)</f>
        <v>1412</v>
      </c>
      <c r="E433" s="15" cm="1">
        <f t="array" ref="E433">SUM(E431:E432)</f>
        <v>1412</v>
      </c>
      <c r="F433" s="16" cm="1">
        <f t="array" ref="F433">SUM(F431:F432)</f>
        <v>0</v>
      </c>
      <c r="G433" s="16" cm="1">
        <f t="array" ref="G433">SUM(G431:G432)</f>
        <v>0</v>
      </c>
      <c r="H433" s="16" cm="1">
        <f t="array" ref="H433">SUM(H431:H432)</f>
        <v>0</v>
      </c>
      <c r="I433" s="16" cm="1">
        <f t="array" ref="I433">SUM(I431:I432)</f>
        <v>0</v>
      </c>
    </row>
    <row r="434" ht="20.35" customHeight="1">
      <c r="A434" s="10">
        <v>45449</v>
      </c>
      <c r="B434" t="s" s="11">
        <v>5</v>
      </c>
      <c r="C434" t="s" s="12">
        <v>25</v>
      </c>
      <c r="D434" s="17"/>
      <c r="E434" s="17">
        <v>4990</v>
      </c>
      <c r="F434" s="18"/>
      <c r="G434" s="18"/>
      <c r="H434" s="18"/>
      <c r="I434" s="18"/>
    </row>
    <row r="435" ht="20.35" customHeight="1">
      <c r="A435" s="10">
        <v>45449</v>
      </c>
      <c r="B435" t="s" s="11">
        <v>10</v>
      </c>
      <c r="C435" t="s" s="12">
        <v>25</v>
      </c>
      <c r="D435" s="13">
        <v>4990</v>
      </c>
      <c r="E435" s="13"/>
      <c r="F435" s="14"/>
      <c r="G435" s="14"/>
      <c r="H435" s="14"/>
      <c r="I435" s="14"/>
    </row>
    <row r="436" ht="20.7" customHeight="1">
      <c r="A436" s="10">
        <v>45449</v>
      </c>
      <c r="B436" t="s" s="11">
        <v>8</v>
      </c>
      <c r="C436" t="s" s="12">
        <v>8</v>
      </c>
      <c r="D436" s="15" cm="1">
        <f t="array" ref="D436">SUM(D434:D435)</f>
        <v>4990</v>
      </c>
      <c r="E436" s="15" cm="1">
        <f t="array" ref="E436">SUM(E434:E435)</f>
        <v>4990</v>
      </c>
      <c r="F436" s="16" cm="1">
        <f t="array" ref="F436">SUM(F434:F435)</f>
        <v>0</v>
      </c>
      <c r="G436" s="16" cm="1">
        <f t="array" ref="G436">SUM(G434:G435)</f>
        <v>0</v>
      </c>
      <c r="H436" s="16" cm="1">
        <f t="array" ref="H436">SUM(H434:H435)</f>
        <v>0</v>
      </c>
      <c r="I436" s="16" cm="1">
        <f t="array" ref="I436">SUM(I434:I435)</f>
        <v>0</v>
      </c>
    </row>
    <row r="437" ht="20.35" customHeight="1">
      <c r="A437" s="10">
        <v>45449</v>
      </c>
      <c r="B437" t="s" s="11">
        <v>107</v>
      </c>
      <c r="C437" t="s" s="12">
        <v>142</v>
      </c>
      <c r="D437" s="17">
        <v>1</v>
      </c>
      <c r="E437" s="17"/>
      <c r="F437" s="18"/>
      <c r="G437" s="18"/>
      <c r="H437" s="18"/>
      <c r="I437" s="18"/>
    </row>
    <row r="438" ht="20.35" customHeight="1">
      <c r="A438" s="10">
        <v>45449</v>
      </c>
      <c r="B438" t="s" s="11">
        <v>91</v>
      </c>
      <c r="C438" t="s" s="12">
        <v>142</v>
      </c>
      <c r="D438" s="13"/>
      <c r="E438" s="13">
        <v>1</v>
      </c>
      <c r="F438" s="14"/>
      <c r="G438" s="14"/>
      <c r="H438" s="14"/>
      <c r="I438" s="14"/>
    </row>
    <row r="439" ht="20.7" customHeight="1">
      <c r="A439" s="10">
        <v>45449</v>
      </c>
      <c r="B439" t="s" s="11">
        <v>8</v>
      </c>
      <c r="C439" t="s" s="12">
        <v>8</v>
      </c>
      <c r="D439" s="15" cm="1">
        <f t="array" ref="D439">SUM(D437:D438)</f>
        <v>1</v>
      </c>
      <c r="E439" s="15" cm="1">
        <f t="array" ref="E439">SUM(E437:E438)</f>
        <v>1</v>
      </c>
      <c r="F439" s="16" cm="1">
        <f t="array" ref="F439">SUM(F437:F438)</f>
        <v>0</v>
      </c>
      <c r="G439" s="16" cm="1">
        <f t="array" ref="G439">SUM(G437:G438)</f>
        <v>0</v>
      </c>
      <c r="H439" s="16" cm="1">
        <f t="array" ref="H439">SUM(H437:H438)</f>
        <v>0</v>
      </c>
      <c r="I439" s="16" cm="1">
        <f t="array" ref="I439">SUM(I437:I438)</f>
        <v>0</v>
      </c>
    </row>
    <row r="440" ht="20.65" customHeight="1">
      <c r="A440" s="10">
        <v>45449</v>
      </c>
      <c r="B440" t="s" s="11">
        <v>79</v>
      </c>
      <c r="C440" t="s" s="12">
        <v>143</v>
      </c>
      <c r="D440" s="17">
        <v>18</v>
      </c>
      <c r="E440" s="17"/>
      <c r="F440" s="18"/>
      <c r="G440" s="18"/>
      <c r="H440" s="18"/>
      <c r="I440" s="18"/>
    </row>
    <row r="441" ht="20.65" customHeight="1">
      <c r="A441" s="10">
        <v>45449</v>
      </c>
      <c r="B441" t="s" s="11">
        <v>7</v>
      </c>
      <c r="C441" t="s" s="12">
        <v>143</v>
      </c>
      <c r="D441" s="13"/>
      <c r="E441" s="13">
        <v>18</v>
      </c>
      <c r="F441" s="14"/>
      <c r="G441" s="14"/>
      <c r="H441" s="14"/>
      <c r="I441" s="14"/>
    </row>
    <row r="442" ht="20.7" customHeight="1">
      <c r="A442" s="10">
        <v>45449</v>
      </c>
      <c r="B442" t="s" s="11">
        <v>8</v>
      </c>
      <c r="C442" t="s" s="12">
        <v>8</v>
      </c>
      <c r="D442" s="15" cm="1">
        <f t="array" ref="D442">SUM(D440:D441)</f>
        <v>18</v>
      </c>
      <c r="E442" s="15" cm="1">
        <f t="array" ref="E442">SUM(E440:E441)</f>
        <v>18</v>
      </c>
      <c r="F442" s="16" cm="1">
        <f t="array" ref="F442">SUM(F440:F441)</f>
        <v>0</v>
      </c>
      <c r="G442" s="16" cm="1">
        <f t="array" ref="G442">SUM(G440:G441)</f>
        <v>0</v>
      </c>
      <c r="H442" s="16" cm="1">
        <f t="array" ref="H442">SUM(H440:H441)</f>
        <v>0</v>
      </c>
      <c r="I442" s="16" cm="1">
        <f t="array" ref="I442">SUM(I440:I441)</f>
        <v>0</v>
      </c>
    </row>
    <row r="443" ht="20.35" customHeight="1">
      <c r="A443" s="10">
        <v>45450</v>
      </c>
      <c r="B443" t="s" s="11">
        <v>5</v>
      </c>
      <c r="C443" t="s" s="12">
        <v>31</v>
      </c>
      <c r="D443" s="17">
        <v>50000</v>
      </c>
      <c r="E443" s="17"/>
      <c r="F443" s="18"/>
      <c r="G443" s="18"/>
      <c r="H443" s="18"/>
      <c r="I443" s="18"/>
    </row>
    <row r="444" ht="20.35" customHeight="1">
      <c r="A444" s="10">
        <v>45450</v>
      </c>
      <c r="B444" t="s" s="11">
        <v>32</v>
      </c>
      <c r="C444" t="s" s="12">
        <v>31</v>
      </c>
      <c r="D444" s="13"/>
      <c r="E444" s="13">
        <v>50000</v>
      </c>
      <c r="F444" s="14"/>
      <c r="G444" s="14"/>
      <c r="H444" s="14"/>
      <c r="I444" s="14"/>
    </row>
    <row r="445" ht="20.7" customHeight="1">
      <c r="A445" s="10">
        <v>45450</v>
      </c>
      <c r="B445" t="s" s="11">
        <v>8</v>
      </c>
      <c r="C445" t="s" s="12">
        <v>8</v>
      </c>
      <c r="D445" s="15" cm="1">
        <f t="array" ref="D445">SUM(D443:D444)</f>
        <v>50000</v>
      </c>
      <c r="E445" s="15" cm="1">
        <f t="array" ref="E445">SUM(E443:E444)</f>
        <v>50000</v>
      </c>
      <c r="F445" s="16" cm="1">
        <f t="array" ref="F445">SUM(F443:F444)</f>
        <v>0</v>
      </c>
      <c r="G445" s="16" cm="1">
        <f t="array" ref="G445">SUM(G443:G444)</f>
        <v>0</v>
      </c>
      <c r="H445" s="16" cm="1">
        <f t="array" ref="H445">SUM(H443:H444)</f>
        <v>0</v>
      </c>
      <c r="I445" s="16" cm="1">
        <f t="array" ref="I445">SUM(I443:I444)</f>
        <v>0</v>
      </c>
    </row>
    <row r="446" ht="20.35" customHeight="1">
      <c r="A446" s="10">
        <v>45450</v>
      </c>
      <c r="B446" t="s" s="11">
        <v>5</v>
      </c>
      <c r="C446" t="s" s="12">
        <v>140</v>
      </c>
      <c r="D446" s="17"/>
      <c r="E446" s="17">
        <v>30000</v>
      </c>
      <c r="F446" s="18"/>
      <c r="G446" s="18"/>
      <c r="H446" s="18"/>
      <c r="I446" s="18"/>
    </row>
    <row r="447" ht="20.35" customHeight="1">
      <c r="A447" s="10">
        <v>45450</v>
      </c>
      <c r="B447" t="s" s="11">
        <v>72</v>
      </c>
      <c r="C447" t="s" s="12">
        <v>140</v>
      </c>
      <c r="D447" s="13">
        <v>30000</v>
      </c>
      <c r="E447" s="13"/>
      <c r="F447" s="14"/>
      <c r="G447" s="14"/>
      <c r="H447" s="14"/>
      <c r="I447" s="14"/>
    </row>
    <row r="448" ht="20.7" customHeight="1">
      <c r="A448" s="10">
        <v>45450</v>
      </c>
      <c r="B448" t="s" s="11">
        <v>8</v>
      </c>
      <c r="C448" t="s" s="12">
        <v>8</v>
      </c>
      <c r="D448" s="15" cm="1">
        <f t="array" ref="D448">SUM(D446:D447)</f>
        <v>30000</v>
      </c>
      <c r="E448" s="15" cm="1">
        <f t="array" ref="E448">SUM(E446:E447)</f>
        <v>30000</v>
      </c>
      <c r="F448" s="16" cm="1">
        <f t="array" ref="F448">SUM(F446:F447)</f>
        <v>0</v>
      </c>
      <c r="G448" s="16" cm="1">
        <f t="array" ref="G448">SUM(G446:G447)</f>
        <v>0</v>
      </c>
      <c r="H448" s="16" cm="1">
        <f t="array" ref="H448">SUM(H446:H447)</f>
        <v>0</v>
      </c>
      <c r="I448" s="16" cm="1">
        <f t="array" ref="I448">SUM(I446:I447)</f>
        <v>0</v>
      </c>
    </row>
    <row r="449" ht="21.25" customHeight="1">
      <c r="A449" s="10">
        <v>45450</v>
      </c>
      <c r="B449" t="s" s="11">
        <v>28</v>
      </c>
      <c r="C449" t="s" s="12">
        <v>144</v>
      </c>
      <c r="D449" s="17">
        <v>50000</v>
      </c>
      <c r="E449" s="17"/>
      <c r="F449" s="18"/>
      <c r="G449" s="18"/>
      <c r="H449" s="18"/>
      <c r="I449" s="18"/>
    </row>
    <row r="450" ht="21.25" customHeight="1">
      <c r="A450" s="10">
        <v>45450</v>
      </c>
      <c r="B450" t="s" s="11">
        <v>21</v>
      </c>
      <c r="C450" t="s" s="12">
        <v>144</v>
      </c>
      <c r="D450" s="13"/>
      <c r="E450" s="13">
        <v>50000</v>
      </c>
      <c r="F450" s="14"/>
      <c r="G450" s="14"/>
      <c r="H450" s="14"/>
      <c r="I450" s="14"/>
    </row>
    <row r="451" ht="20.7" customHeight="1">
      <c r="A451" s="10">
        <v>45450</v>
      </c>
      <c r="B451" t="s" s="11">
        <v>8</v>
      </c>
      <c r="C451" t="s" s="12">
        <v>8</v>
      </c>
      <c r="D451" s="15" cm="1">
        <f t="array" ref="D451">SUM(D449:D450)</f>
        <v>50000</v>
      </c>
      <c r="E451" s="15" cm="1">
        <f t="array" ref="E451">SUM(E449:E450)</f>
        <v>50000</v>
      </c>
      <c r="F451" s="16" cm="1">
        <f t="array" ref="F451">SUM(F449:F450)</f>
        <v>0</v>
      </c>
      <c r="G451" s="16" cm="1">
        <f t="array" ref="G451">SUM(G449:G450)</f>
        <v>0</v>
      </c>
      <c r="H451" s="16" cm="1">
        <f t="array" ref="H451">SUM(H449:H450)</f>
        <v>0</v>
      </c>
      <c r="I451" s="16" cm="1">
        <f t="array" ref="I451">SUM(I449:I450)</f>
        <v>0</v>
      </c>
    </row>
    <row r="452" ht="20.35" customHeight="1">
      <c r="A452" s="10">
        <v>45450</v>
      </c>
      <c r="B452" t="s" s="11">
        <v>72</v>
      </c>
      <c r="C452" t="s" s="12">
        <v>124</v>
      </c>
      <c r="D452" s="17"/>
      <c r="E452" s="17">
        <v>50000</v>
      </c>
      <c r="F452" s="18"/>
      <c r="G452" s="18"/>
      <c r="H452" s="18"/>
      <c r="I452" s="18"/>
    </row>
    <row r="453" ht="20.35" customHeight="1">
      <c r="A453" s="10">
        <v>45450</v>
      </c>
      <c r="B453" t="s" s="11">
        <v>5</v>
      </c>
      <c r="C453" t="s" s="12">
        <v>124</v>
      </c>
      <c r="D453" s="13">
        <v>50000</v>
      </c>
      <c r="E453" s="13"/>
      <c r="F453" s="14"/>
      <c r="G453" s="14"/>
      <c r="H453" s="14"/>
      <c r="I453" s="14"/>
    </row>
    <row r="454" ht="20.7" customHeight="1">
      <c r="A454" s="10">
        <v>45450</v>
      </c>
      <c r="B454" t="s" s="11">
        <v>8</v>
      </c>
      <c r="C454" t="s" s="12">
        <v>8</v>
      </c>
      <c r="D454" s="15" cm="1">
        <f t="array" ref="D454">SUM(D452:D453)</f>
        <v>50000</v>
      </c>
      <c r="E454" s="15" cm="1">
        <f t="array" ref="E454">SUM(E452:E453)</f>
        <v>50000</v>
      </c>
      <c r="F454" s="16" cm="1">
        <f t="array" ref="F454">SUM(F452:F453)</f>
        <v>0</v>
      </c>
      <c r="G454" s="16" cm="1">
        <f t="array" ref="G454">SUM(G452:G453)</f>
        <v>0</v>
      </c>
      <c r="H454" s="16" cm="1">
        <f t="array" ref="H454">SUM(H452:H453)</f>
        <v>0</v>
      </c>
      <c r="I454" s="16" cm="1">
        <f t="array" ref="I454">SUM(I452:I453)</f>
        <v>0</v>
      </c>
    </row>
    <row r="455" ht="21.25" customHeight="1">
      <c r="A455" s="10">
        <v>45450</v>
      </c>
      <c r="B455" t="s" s="11">
        <v>5</v>
      </c>
      <c r="C455" t="s" s="12">
        <v>145</v>
      </c>
      <c r="D455" s="17"/>
      <c r="E455" s="17">
        <v>50000</v>
      </c>
      <c r="F455" s="18"/>
      <c r="G455" s="18"/>
      <c r="H455" s="18"/>
      <c r="I455" s="18"/>
    </row>
    <row r="456" ht="21.25" customHeight="1">
      <c r="A456" s="10">
        <v>45450</v>
      </c>
      <c r="B456" t="s" s="11">
        <v>21</v>
      </c>
      <c r="C456" t="s" s="12">
        <v>145</v>
      </c>
      <c r="D456" s="13">
        <v>50000</v>
      </c>
      <c r="E456" s="13"/>
      <c r="F456" s="14"/>
      <c r="G456" s="14"/>
      <c r="H456" s="14"/>
      <c r="I456" s="14"/>
    </row>
    <row r="457" ht="20.7" customHeight="1">
      <c r="A457" s="10">
        <v>45450</v>
      </c>
      <c r="B457" t="s" s="11">
        <v>8</v>
      </c>
      <c r="C457" t="s" s="12">
        <v>8</v>
      </c>
      <c r="D457" s="15" cm="1">
        <f t="array" ref="D457">SUM(D455:D456)</f>
        <v>50000</v>
      </c>
      <c r="E457" s="15" cm="1">
        <f t="array" ref="E457">SUM(E455:E456)</f>
        <v>50000</v>
      </c>
      <c r="F457" s="16" cm="1">
        <f t="array" ref="F457">SUM(F455:F456)</f>
        <v>0</v>
      </c>
      <c r="G457" s="16" cm="1">
        <f t="array" ref="G457">SUM(G455:G456)</f>
        <v>0</v>
      </c>
      <c r="H457" s="16" cm="1">
        <f t="array" ref="H457">SUM(H455:H456)</f>
        <v>0</v>
      </c>
      <c r="I457" s="16" cm="1">
        <f t="array" ref="I457">SUM(I455:I456)</f>
        <v>0</v>
      </c>
    </row>
    <row r="458" ht="20.35" customHeight="1">
      <c r="A458" s="10">
        <v>45450</v>
      </c>
      <c r="B458" t="s" s="11">
        <v>5</v>
      </c>
      <c r="C458" t="s" s="12">
        <v>110</v>
      </c>
      <c r="D458" s="17"/>
      <c r="E458" s="17">
        <v>10000</v>
      </c>
      <c r="F458" s="18"/>
      <c r="G458" s="18"/>
      <c r="H458" s="18"/>
      <c r="I458" s="18"/>
    </row>
    <row r="459" ht="20.35" customHeight="1">
      <c r="A459" s="10">
        <v>45450</v>
      </c>
      <c r="B459" t="s" s="11">
        <v>93</v>
      </c>
      <c r="C459" t="s" s="12">
        <v>110</v>
      </c>
      <c r="D459" s="13">
        <v>10000</v>
      </c>
      <c r="E459" s="13"/>
      <c r="F459" s="14"/>
      <c r="G459" s="14"/>
      <c r="H459" s="14"/>
      <c r="I459" s="14"/>
    </row>
    <row r="460" ht="20.7" customHeight="1">
      <c r="A460" s="10">
        <v>45450</v>
      </c>
      <c r="B460" t="s" s="11">
        <v>8</v>
      </c>
      <c r="C460" t="s" s="12">
        <v>8</v>
      </c>
      <c r="D460" s="15" cm="1">
        <f t="array" ref="D460">SUM(D458:D459)</f>
        <v>10000</v>
      </c>
      <c r="E460" s="15" cm="1">
        <f t="array" ref="E460">SUM(E458:E459)</f>
        <v>10000</v>
      </c>
      <c r="F460" s="16" cm="1">
        <f t="array" ref="F460">SUM(F458:F459)</f>
        <v>0</v>
      </c>
      <c r="G460" s="16" cm="1">
        <f t="array" ref="G460">SUM(G458:G459)</f>
        <v>0</v>
      </c>
      <c r="H460" s="16" cm="1">
        <f t="array" ref="H460">SUM(H458:H459)</f>
        <v>0</v>
      </c>
      <c r="I460" s="16" cm="1">
        <f t="array" ref="I460">SUM(I458:I459)</f>
        <v>0</v>
      </c>
    </row>
    <row r="461" ht="20.35" customHeight="1">
      <c r="A461" s="10">
        <v>45450</v>
      </c>
      <c r="B461" t="s" s="11">
        <v>93</v>
      </c>
      <c r="C461" t="s" s="12">
        <v>13</v>
      </c>
      <c r="D461" s="17"/>
      <c r="E461" s="17">
        <v>8900</v>
      </c>
      <c r="F461" s="18"/>
      <c r="G461" s="18"/>
      <c r="H461" s="18"/>
      <c r="I461" s="18"/>
    </row>
    <row r="462" ht="20.35" customHeight="1">
      <c r="A462" s="10">
        <v>45450</v>
      </c>
      <c r="B462" t="s" s="11">
        <v>10</v>
      </c>
      <c r="C462" t="s" s="12">
        <v>13</v>
      </c>
      <c r="D462" s="13">
        <v>8900</v>
      </c>
      <c r="E462" s="13"/>
      <c r="F462" s="14"/>
      <c r="G462" s="14"/>
      <c r="H462" s="14"/>
      <c r="I462" s="14"/>
    </row>
    <row r="463" ht="20.7" customHeight="1">
      <c r="A463" s="10">
        <v>45450</v>
      </c>
      <c r="B463" t="s" s="11">
        <v>8</v>
      </c>
      <c r="C463" t="s" s="12">
        <v>8</v>
      </c>
      <c r="D463" s="15" cm="1">
        <f t="array" ref="D463">SUM(D461:D462)</f>
        <v>8900</v>
      </c>
      <c r="E463" s="15" cm="1">
        <f t="array" ref="E463">SUM(E461:E462)</f>
        <v>8900</v>
      </c>
      <c r="F463" s="16" cm="1">
        <f t="array" ref="F463">SUM(F461:F462)</f>
        <v>0</v>
      </c>
      <c r="G463" s="16" cm="1">
        <f t="array" ref="G463">SUM(G461:G462)</f>
        <v>0</v>
      </c>
      <c r="H463" s="16" cm="1">
        <f t="array" ref="H463">SUM(H461:H462)</f>
        <v>0</v>
      </c>
      <c r="I463" s="16" cm="1">
        <f t="array" ref="I463">SUM(I461:I462)</f>
        <v>0</v>
      </c>
    </row>
    <row r="464" ht="20.35" customHeight="1">
      <c r="A464" s="10">
        <v>45450</v>
      </c>
      <c r="B464" t="s" s="11">
        <v>93</v>
      </c>
      <c r="C464" t="s" s="12">
        <v>112</v>
      </c>
      <c r="D464" s="17"/>
      <c r="E464" s="17">
        <v>1100</v>
      </c>
      <c r="F464" s="18"/>
      <c r="G464" s="18"/>
      <c r="H464" s="18"/>
      <c r="I464" s="18"/>
    </row>
    <row r="465" ht="20.35" customHeight="1">
      <c r="A465" s="10">
        <v>45450</v>
      </c>
      <c r="B465" t="s" s="11">
        <v>5</v>
      </c>
      <c r="C465" t="s" s="12">
        <v>112</v>
      </c>
      <c r="D465" s="13">
        <v>1100</v>
      </c>
      <c r="E465" s="13"/>
      <c r="F465" s="14"/>
      <c r="G465" s="14"/>
      <c r="H465" s="14"/>
      <c r="I465" s="14"/>
    </row>
    <row r="466" ht="20.7" customHeight="1">
      <c r="A466" s="10">
        <v>45450</v>
      </c>
      <c r="B466" t="s" s="11">
        <v>8</v>
      </c>
      <c r="C466" t="s" s="12">
        <v>8</v>
      </c>
      <c r="D466" s="15" cm="1">
        <f t="array" ref="D466">SUM(D464:D465)</f>
        <v>1100</v>
      </c>
      <c r="E466" s="15" cm="1">
        <f t="array" ref="E466">SUM(E464:E465)</f>
        <v>1100</v>
      </c>
      <c r="F466" s="16" cm="1">
        <f t="array" ref="F466">SUM(F464:F465)</f>
        <v>0</v>
      </c>
      <c r="G466" s="16" cm="1">
        <f t="array" ref="G466">SUM(G464:G465)</f>
        <v>0</v>
      </c>
      <c r="H466" s="16" cm="1">
        <f t="array" ref="H466">SUM(H464:H465)</f>
        <v>0</v>
      </c>
      <c r="I466" s="16" cm="1">
        <f t="array" ref="I466">SUM(I464:I465)</f>
        <v>0</v>
      </c>
    </row>
    <row r="467" ht="20.35" customHeight="1">
      <c r="A467" s="10">
        <v>45450</v>
      </c>
      <c r="B467" t="s" s="11">
        <v>28</v>
      </c>
      <c r="C467" t="s" s="12">
        <v>50</v>
      </c>
      <c r="D467" s="17">
        <v>100</v>
      </c>
      <c r="E467" s="17"/>
      <c r="F467" s="18"/>
      <c r="G467" s="18"/>
      <c r="H467" s="18"/>
      <c r="I467" s="18"/>
    </row>
    <row r="468" ht="20.35" customHeight="1">
      <c r="A468" s="10">
        <v>45450</v>
      </c>
      <c r="B468" t="s" s="11">
        <v>18</v>
      </c>
      <c r="C468" t="s" s="12">
        <v>50</v>
      </c>
      <c r="D468" s="13"/>
      <c r="E468" s="13">
        <v>100</v>
      </c>
      <c r="F468" s="14"/>
      <c r="G468" s="14"/>
      <c r="H468" s="14"/>
      <c r="I468" s="14"/>
    </row>
    <row r="469" ht="20.7" customHeight="1">
      <c r="A469" s="10">
        <v>45450</v>
      </c>
      <c r="B469" t="s" s="11">
        <v>8</v>
      </c>
      <c r="C469" t="s" s="12">
        <v>8</v>
      </c>
      <c r="D469" s="15" cm="1">
        <f t="array" ref="D469">SUM(D467:D468)</f>
        <v>100</v>
      </c>
      <c r="E469" s="15" cm="1">
        <f t="array" ref="E469">SUM(E467:E468)</f>
        <v>100</v>
      </c>
      <c r="F469" s="16" cm="1">
        <f t="array" ref="F469">SUM(F467:F468)</f>
        <v>0</v>
      </c>
      <c r="G469" s="16" cm="1">
        <f t="array" ref="G469">SUM(G467:G468)</f>
        <v>0</v>
      </c>
      <c r="H469" s="16" cm="1">
        <f t="array" ref="H469">SUM(H467:H468)</f>
        <v>0</v>
      </c>
      <c r="I469" s="16" cm="1">
        <f t="array" ref="I469">SUM(I467:I468)</f>
        <v>0</v>
      </c>
    </row>
    <row r="470" ht="20.35" customHeight="1">
      <c r="A470" s="10">
        <v>45451</v>
      </c>
      <c r="B470" t="s" s="11">
        <v>28</v>
      </c>
      <c r="C470" t="s" s="12">
        <v>146</v>
      </c>
      <c r="D470" s="17"/>
      <c r="E470" s="17">
        <v>50000</v>
      </c>
      <c r="F470" s="18"/>
      <c r="G470" s="18"/>
      <c r="H470" s="18"/>
      <c r="I470" s="18"/>
    </row>
    <row r="471" ht="20.35" customHeight="1">
      <c r="A471" s="10">
        <v>45451</v>
      </c>
      <c r="B471" t="s" s="11">
        <v>5</v>
      </c>
      <c r="C471" t="s" s="12">
        <v>146</v>
      </c>
      <c r="D471" s="13">
        <v>50000</v>
      </c>
      <c r="E471" s="13"/>
      <c r="F471" s="14"/>
      <c r="G471" s="14"/>
      <c r="H471" s="14"/>
      <c r="I471" s="14"/>
    </row>
    <row r="472" ht="20.7" customHeight="1">
      <c r="A472" s="10">
        <v>45451</v>
      </c>
      <c r="B472" t="s" s="11">
        <v>8</v>
      </c>
      <c r="C472" t="s" s="12">
        <v>8</v>
      </c>
      <c r="D472" s="15" cm="1">
        <f t="array" ref="D472">SUM(D470:D471)</f>
        <v>50000</v>
      </c>
      <c r="E472" s="15" cm="1">
        <f t="array" ref="E472">SUM(E470:E471)</f>
        <v>50000</v>
      </c>
      <c r="F472" s="16" cm="1">
        <f t="array" ref="F472">SUM(F470:F471)</f>
        <v>0</v>
      </c>
      <c r="G472" s="16" cm="1">
        <f t="array" ref="G472">SUM(G470:G471)</f>
        <v>0</v>
      </c>
      <c r="H472" s="16" cm="1">
        <f t="array" ref="H472">SUM(H470:H471)</f>
        <v>0</v>
      </c>
      <c r="I472" s="16" cm="1">
        <f t="array" ref="I472">SUM(I470:I471)</f>
        <v>0</v>
      </c>
    </row>
    <row r="473" ht="20.35" customHeight="1">
      <c r="A473" s="10">
        <v>45451</v>
      </c>
      <c r="B473" t="s" s="11">
        <v>28</v>
      </c>
      <c r="C473" t="s" s="12">
        <v>53</v>
      </c>
      <c r="D473" s="17"/>
      <c r="E473" s="17">
        <v>2300</v>
      </c>
      <c r="F473" s="18"/>
      <c r="G473" s="18"/>
      <c r="H473" s="18"/>
      <c r="I473" s="18"/>
    </row>
    <row r="474" ht="20.35" customHeight="1">
      <c r="A474" s="10">
        <v>45451</v>
      </c>
      <c r="B474" t="s" s="11">
        <v>12</v>
      </c>
      <c r="C474" t="s" s="12">
        <v>53</v>
      </c>
      <c r="D474" s="13">
        <v>2300</v>
      </c>
      <c r="E474" s="13"/>
      <c r="F474" s="14"/>
      <c r="G474" s="14"/>
      <c r="H474" s="14"/>
      <c r="I474" s="14"/>
    </row>
    <row r="475" ht="20.7" customHeight="1">
      <c r="A475" s="10">
        <v>45451</v>
      </c>
      <c r="B475" t="s" s="11">
        <v>8</v>
      </c>
      <c r="C475" t="s" s="12">
        <v>8</v>
      </c>
      <c r="D475" s="15" cm="1">
        <f t="array" ref="D475">SUM(D473:D474)</f>
        <v>2300</v>
      </c>
      <c r="E475" s="15" cm="1">
        <f t="array" ref="E475">SUM(E473:E474)</f>
        <v>2300</v>
      </c>
      <c r="F475" s="16" cm="1">
        <f t="array" ref="F475">SUM(F473:F474)</f>
        <v>0</v>
      </c>
      <c r="G475" s="16" cm="1">
        <f t="array" ref="G475">SUM(G473:G474)</f>
        <v>0</v>
      </c>
      <c r="H475" s="16" cm="1">
        <f t="array" ref="H475">SUM(H473:H474)</f>
        <v>0</v>
      </c>
      <c r="I475" s="16" cm="1">
        <f t="array" ref="I475">SUM(I473:I474)</f>
        <v>0</v>
      </c>
    </row>
    <row r="476" ht="21.25" customHeight="1">
      <c r="A476" s="10">
        <v>45451</v>
      </c>
      <c r="B476" t="s" s="11">
        <v>5</v>
      </c>
      <c r="C476" t="s" s="12">
        <v>147</v>
      </c>
      <c r="D476" s="17"/>
      <c r="E476" s="17">
        <v>27000</v>
      </c>
      <c r="F476" s="18"/>
      <c r="G476" s="18"/>
      <c r="H476" s="18"/>
      <c r="I476" s="18"/>
    </row>
    <row r="477" ht="20.9" customHeight="1">
      <c r="A477" s="10">
        <v>45451</v>
      </c>
      <c r="B477" t="s" s="11">
        <v>10</v>
      </c>
      <c r="C477" t="s" s="12">
        <v>147</v>
      </c>
      <c r="D477" s="19">
        <v>13500</v>
      </c>
      <c r="E477" s="19"/>
      <c r="F477" s="20"/>
      <c r="G477" s="20"/>
      <c r="H477" s="20"/>
      <c r="I477" s="20"/>
    </row>
    <row r="478" ht="21.25" customHeight="1">
      <c r="A478" s="10">
        <v>45451</v>
      </c>
      <c r="B478" t="s" s="11">
        <v>12</v>
      </c>
      <c r="C478" t="s" s="12">
        <v>147</v>
      </c>
      <c r="D478" s="13">
        <v>13500</v>
      </c>
      <c r="E478" s="13"/>
      <c r="F478" s="14"/>
      <c r="G478" s="14"/>
      <c r="H478" s="14"/>
      <c r="I478" s="14"/>
    </row>
    <row r="479" ht="20.7" customHeight="1">
      <c r="A479" s="10">
        <v>45451</v>
      </c>
      <c r="B479" t="s" s="11">
        <v>8</v>
      </c>
      <c r="C479" t="s" s="12">
        <v>8</v>
      </c>
      <c r="D479" s="15" cm="1">
        <f t="array" ref="D479">SUM(D476:D478)</f>
        <v>27000</v>
      </c>
      <c r="E479" s="15" cm="1">
        <f t="array" ref="E479">SUM(E476:E478)</f>
        <v>27000</v>
      </c>
      <c r="F479" s="16" cm="1">
        <f t="array" ref="F479">SUM(F476:F478)</f>
        <v>0</v>
      </c>
      <c r="G479" s="16" cm="1">
        <f t="array" ref="G479">SUM(G476:G478)</f>
        <v>0</v>
      </c>
      <c r="H479" s="16" cm="1">
        <f t="array" ref="H479">SUM(H476:H478)</f>
        <v>0</v>
      </c>
      <c r="I479" s="16" cm="1">
        <f t="array" ref="I479">SUM(I476:I478)</f>
        <v>0</v>
      </c>
    </row>
    <row r="480" ht="20.65" customHeight="1">
      <c r="A480" s="10">
        <v>45451</v>
      </c>
      <c r="B480" t="s" s="11">
        <v>5</v>
      </c>
      <c r="C480" t="s" s="12">
        <v>148</v>
      </c>
      <c r="D480" s="17"/>
      <c r="E480" s="17">
        <v>22430</v>
      </c>
      <c r="F480" s="18"/>
      <c r="G480" s="18"/>
      <c r="H480" s="18"/>
      <c r="I480" s="18"/>
    </row>
    <row r="481" ht="20.9" customHeight="1">
      <c r="A481" s="10">
        <v>45451</v>
      </c>
      <c r="B481" t="s" s="11">
        <v>10</v>
      </c>
      <c r="C481" t="s" s="12">
        <v>149</v>
      </c>
      <c r="D481" s="19">
        <v>430</v>
      </c>
      <c r="E481" s="19"/>
      <c r="F481" s="20"/>
      <c r="G481" s="20"/>
      <c r="H481" s="20"/>
      <c r="I481" s="20"/>
    </row>
    <row r="482" ht="21.25" customHeight="1">
      <c r="A482" s="10">
        <v>45451</v>
      </c>
      <c r="B482" t="s" s="11">
        <v>16</v>
      </c>
      <c r="C482" t="s" s="12">
        <v>149</v>
      </c>
      <c r="D482" s="13">
        <v>22000</v>
      </c>
      <c r="E482" s="13"/>
      <c r="F482" s="14"/>
      <c r="G482" s="14"/>
      <c r="H482" s="14"/>
      <c r="I482" s="14"/>
    </row>
    <row r="483" ht="20.7" customHeight="1">
      <c r="A483" s="10">
        <v>45451</v>
      </c>
      <c r="B483" t="s" s="11">
        <v>8</v>
      </c>
      <c r="C483" t="s" s="12">
        <v>8</v>
      </c>
      <c r="D483" s="15" cm="1">
        <f t="array" ref="D483">SUM(D480:D482)</f>
        <v>22430</v>
      </c>
      <c r="E483" s="15" cm="1">
        <f t="array" ref="E483">SUM(E480:E482)</f>
        <v>22430</v>
      </c>
      <c r="F483" s="16" cm="1">
        <f t="array" ref="F483">SUM(F480:F482)</f>
        <v>0</v>
      </c>
      <c r="G483" s="16" cm="1">
        <f t="array" ref="G483">SUM(G480:G482)</f>
        <v>0</v>
      </c>
      <c r="H483" s="16" cm="1">
        <f t="array" ref="H483">SUM(H480:H482)</f>
        <v>0</v>
      </c>
      <c r="I483" s="16" cm="1">
        <f t="array" ref="I483">SUM(I480:I482)</f>
        <v>0</v>
      </c>
    </row>
    <row r="484" ht="20.35" customHeight="1">
      <c r="A484" s="10">
        <v>45452</v>
      </c>
      <c r="B484" t="s" s="11">
        <v>5</v>
      </c>
      <c r="C484" t="s" s="12">
        <v>124</v>
      </c>
      <c r="D484" s="17">
        <v>103068</v>
      </c>
      <c r="E484" s="17"/>
      <c r="F484" s="18"/>
      <c r="G484" s="18"/>
      <c r="H484" s="18"/>
      <c r="I484" s="18"/>
    </row>
    <row r="485" ht="20.05" customHeight="1">
      <c r="A485" s="10">
        <v>45452</v>
      </c>
      <c r="B485" t="s" s="11">
        <v>7</v>
      </c>
      <c r="C485" t="s" s="12">
        <v>124</v>
      </c>
      <c r="D485" s="19"/>
      <c r="E485" s="19">
        <v>68</v>
      </c>
      <c r="F485" s="20"/>
      <c r="G485" s="20"/>
      <c r="H485" s="20"/>
      <c r="I485" s="20"/>
    </row>
    <row r="486" ht="20.35" customHeight="1">
      <c r="A486" s="10">
        <v>45452</v>
      </c>
      <c r="B486" t="s" s="11">
        <v>72</v>
      </c>
      <c r="C486" t="s" s="12">
        <v>124</v>
      </c>
      <c r="D486" s="13"/>
      <c r="E486" s="13">
        <v>103000</v>
      </c>
      <c r="F486" s="14"/>
      <c r="G486" s="14"/>
      <c r="H486" s="14"/>
      <c r="I486" s="14"/>
    </row>
    <row r="487" ht="20.7" customHeight="1">
      <c r="A487" s="10">
        <v>45452</v>
      </c>
      <c r="B487" t="s" s="11">
        <v>8</v>
      </c>
      <c r="C487" t="s" s="12">
        <v>8</v>
      </c>
      <c r="D487" s="15" cm="1">
        <f t="array" ref="D487">SUM(D484:D486)</f>
        <v>103068</v>
      </c>
      <c r="E487" s="15" cm="1">
        <f t="array" ref="E487">SUM(E484:E486)</f>
        <v>103068</v>
      </c>
      <c r="F487" s="16" cm="1">
        <f t="array" ref="F487">SUM(F484:F486)</f>
        <v>0</v>
      </c>
      <c r="G487" s="16" cm="1">
        <f t="array" ref="G487">SUM(G484:G486)</f>
        <v>0</v>
      </c>
      <c r="H487" s="16" cm="1">
        <f t="array" ref="H487">SUM(H484:H486)</f>
        <v>0</v>
      </c>
      <c r="I487" s="16" cm="1">
        <f t="array" ref="I487">SUM(I484:I486)</f>
        <v>0</v>
      </c>
    </row>
    <row r="488" ht="20.35" customHeight="1">
      <c r="A488" s="10">
        <v>45452</v>
      </c>
      <c r="B488" t="s" s="11">
        <v>5</v>
      </c>
      <c r="C488" t="s" s="12">
        <v>110</v>
      </c>
      <c r="D488" s="17"/>
      <c r="E488" s="17">
        <v>10000</v>
      </c>
      <c r="F488" s="18"/>
      <c r="G488" s="18"/>
      <c r="H488" s="18"/>
      <c r="I488" s="18"/>
    </row>
    <row r="489" ht="20.35" customHeight="1">
      <c r="A489" s="10">
        <v>45452</v>
      </c>
      <c r="B489" t="s" s="11">
        <v>93</v>
      </c>
      <c r="C489" t="s" s="12">
        <v>110</v>
      </c>
      <c r="D489" s="13">
        <v>10000</v>
      </c>
      <c r="E489" s="13"/>
      <c r="F489" s="14"/>
      <c r="G489" s="14"/>
      <c r="H489" s="14"/>
      <c r="I489" s="14"/>
    </row>
    <row r="490" ht="20.7" customHeight="1">
      <c r="A490" s="10">
        <v>45452</v>
      </c>
      <c r="B490" t="s" s="11">
        <v>8</v>
      </c>
      <c r="C490" t="s" s="12">
        <v>8</v>
      </c>
      <c r="D490" s="15" cm="1">
        <f t="array" ref="D490">SUM(D488:D489)</f>
        <v>10000</v>
      </c>
      <c r="E490" s="15" cm="1">
        <f t="array" ref="E490">SUM(E488:E489)</f>
        <v>10000</v>
      </c>
      <c r="F490" s="16" cm="1">
        <f t="array" ref="F490">SUM(F488:F489)</f>
        <v>0</v>
      </c>
      <c r="G490" s="16" cm="1">
        <f t="array" ref="G490">SUM(G488:G489)</f>
        <v>0</v>
      </c>
      <c r="H490" s="16" cm="1">
        <f t="array" ref="H490">SUM(H488:H489)</f>
        <v>0</v>
      </c>
      <c r="I490" s="16" cm="1">
        <f t="array" ref="I490">SUM(I488:I489)</f>
        <v>0</v>
      </c>
    </row>
    <row r="491" ht="20.35" customHeight="1">
      <c r="A491" s="10">
        <v>45452</v>
      </c>
      <c r="B491" t="s" s="11">
        <v>93</v>
      </c>
      <c r="C491" t="s" s="12">
        <v>150</v>
      </c>
      <c r="D491" s="17"/>
      <c r="E491" s="17">
        <v>5000</v>
      </c>
      <c r="F491" s="18"/>
      <c r="G491" s="18"/>
      <c r="H491" s="18"/>
      <c r="I491" s="18"/>
    </row>
    <row r="492" ht="20.35" customHeight="1">
      <c r="A492" s="10">
        <v>45452</v>
      </c>
      <c r="B492" t="s" s="11">
        <v>12</v>
      </c>
      <c r="C492" t="s" s="12">
        <v>150</v>
      </c>
      <c r="D492" s="13">
        <v>5000</v>
      </c>
      <c r="E492" s="13"/>
      <c r="F492" s="14"/>
      <c r="G492" s="14"/>
      <c r="H492" s="14"/>
      <c r="I492" s="14"/>
    </row>
    <row r="493" ht="20.7" customHeight="1">
      <c r="A493" s="10">
        <v>45452</v>
      </c>
      <c r="B493" t="s" s="11">
        <v>8</v>
      </c>
      <c r="C493" t="s" s="12">
        <v>8</v>
      </c>
      <c r="D493" s="15" cm="1">
        <f t="array" ref="D493">SUM(D491:D492)</f>
        <v>5000</v>
      </c>
      <c r="E493" s="15" cm="1">
        <f t="array" ref="E493">SUM(E491:E492)</f>
        <v>5000</v>
      </c>
      <c r="F493" s="16" cm="1">
        <f t="array" ref="F493">SUM(F491:F492)</f>
        <v>0</v>
      </c>
      <c r="G493" s="16" cm="1">
        <f t="array" ref="G493">SUM(G491:G492)</f>
        <v>0</v>
      </c>
      <c r="H493" s="16" cm="1">
        <f t="array" ref="H493">SUM(H491:H492)</f>
        <v>0</v>
      </c>
      <c r="I493" s="16" cm="1">
        <f t="array" ref="I493">SUM(I491:I492)</f>
        <v>0</v>
      </c>
    </row>
    <row r="494" ht="20.35" customHeight="1">
      <c r="A494" s="10">
        <v>45452</v>
      </c>
      <c r="B494" t="s" s="11">
        <v>93</v>
      </c>
      <c r="C494" t="s" s="12">
        <v>112</v>
      </c>
      <c r="D494" s="17"/>
      <c r="E494" s="17">
        <v>5000</v>
      </c>
      <c r="F494" s="18"/>
      <c r="G494" s="18"/>
      <c r="H494" s="18"/>
      <c r="I494" s="18"/>
    </row>
    <row r="495" ht="20.35" customHeight="1">
      <c r="A495" s="10">
        <v>45452</v>
      </c>
      <c r="B495" t="s" s="11">
        <v>5</v>
      </c>
      <c r="C495" t="s" s="12">
        <v>112</v>
      </c>
      <c r="D495" s="13">
        <v>5000</v>
      </c>
      <c r="E495" s="13"/>
      <c r="F495" s="14"/>
      <c r="G495" s="14"/>
      <c r="H495" s="14"/>
      <c r="I495" s="14"/>
    </row>
    <row r="496" ht="20.7" customHeight="1">
      <c r="A496" s="10">
        <v>45452</v>
      </c>
      <c r="B496" t="s" s="11">
        <v>8</v>
      </c>
      <c r="C496" t="s" s="12">
        <v>8</v>
      </c>
      <c r="D496" s="15" cm="1">
        <f t="array" ref="D496">SUM(D494:D495)</f>
        <v>5000</v>
      </c>
      <c r="E496" s="15" cm="1">
        <f t="array" ref="E496">SUM(E494:E495)</f>
        <v>5000</v>
      </c>
      <c r="F496" s="16" cm="1">
        <f t="array" ref="F496">SUM(F494:F495)</f>
        <v>0</v>
      </c>
      <c r="G496" s="16" cm="1">
        <f t="array" ref="G496">SUM(G494:G495)</f>
        <v>0</v>
      </c>
      <c r="H496" s="16" cm="1">
        <f t="array" ref="H496">SUM(H494:H495)</f>
        <v>0</v>
      </c>
      <c r="I496" s="16" cm="1">
        <f t="array" ref="I496">SUM(I494:I495)</f>
        <v>0</v>
      </c>
    </row>
    <row r="497" ht="21.25" customHeight="1">
      <c r="A497" s="10">
        <v>45452</v>
      </c>
      <c r="B497" t="s" s="11">
        <v>5</v>
      </c>
      <c r="C497" t="s" s="12">
        <v>151</v>
      </c>
      <c r="D497" s="17"/>
      <c r="E497" s="17">
        <v>27000</v>
      </c>
      <c r="F497" s="18"/>
      <c r="G497" s="18"/>
      <c r="H497" s="18"/>
      <c r="I497" s="18"/>
    </row>
    <row r="498" ht="21.25" customHeight="1">
      <c r="A498" s="10">
        <v>45452</v>
      </c>
      <c r="B498" t="s" s="11">
        <v>12</v>
      </c>
      <c r="C498" t="s" s="12">
        <v>151</v>
      </c>
      <c r="D498" s="13">
        <v>27000</v>
      </c>
      <c r="E498" s="13"/>
      <c r="F498" s="14"/>
      <c r="G498" s="14"/>
      <c r="H498" s="14"/>
      <c r="I498" s="14"/>
    </row>
    <row r="499" ht="20.7" customHeight="1">
      <c r="A499" s="10">
        <v>45452</v>
      </c>
      <c r="B499" t="s" s="11">
        <v>8</v>
      </c>
      <c r="C499" t="s" s="12">
        <v>8</v>
      </c>
      <c r="D499" s="15" cm="1">
        <f t="array" ref="D499">SUM(D497:D498)</f>
        <v>27000</v>
      </c>
      <c r="E499" s="15" cm="1">
        <f t="array" ref="E499">SUM(E497:E498)</f>
        <v>27000</v>
      </c>
      <c r="F499" s="16" cm="1">
        <f t="array" ref="F499">SUM(F497:F498)</f>
        <v>0</v>
      </c>
      <c r="G499" s="16" cm="1">
        <f t="array" ref="G499">SUM(G497:G498)</f>
        <v>0</v>
      </c>
      <c r="H499" s="16" cm="1">
        <f t="array" ref="H499">SUM(H497:H498)</f>
        <v>0</v>
      </c>
      <c r="I499" s="16" cm="1">
        <f t="array" ref="I499">SUM(I497:I498)</f>
        <v>0</v>
      </c>
    </row>
    <row r="500" ht="20.35" customHeight="1">
      <c r="A500" s="10">
        <v>45453</v>
      </c>
      <c r="B500" t="s" s="11">
        <v>5</v>
      </c>
      <c r="C500" t="s" s="12">
        <v>152</v>
      </c>
      <c r="D500" s="17"/>
      <c r="E500" s="17">
        <v>46000</v>
      </c>
      <c r="F500" s="18"/>
      <c r="G500" s="18"/>
      <c r="H500" s="18"/>
      <c r="I500" s="18"/>
    </row>
    <row r="501" ht="20.05" customHeight="1">
      <c r="A501" s="10">
        <v>45453</v>
      </c>
      <c r="B501" t="s" s="11">
        <v>89</v>
      </c>
      <c r="C501" t="s" s="12">
        <v>152</v>
      </c>
      <c r="D501" s="19">
        <v>23000</v>
      </c>
      <c r="E501" s="19"/>
      <c r="F501" s="20"/>
      <c r="G501" s="20"/>
      <c r="H501" s="20"/>
      <c r="I501" s="20"/>
    </row>
    <row r="502" ht="20.35" customHeight="1">
      <c r="A502" s="10">
        <v>45453</v>
      </c>
      <c r="B502" t="s" s="11">
        <v>12</v>
      </c>
      <c r="C502" t="s" s="12">
        <v>152</v>
      </c>
      <c r="D502" s="13">
        <v>23000</v>
      </c>
      <c r="E502" s="13"/>
      <c r="F502" s="14"/>
      <c r="G502" s="14"/>
      <c r="H502" s="14"/>
      <c r="I502" s="14"/>
    </row>
    <row r="503" ht="20.7" customHeight="1">
      <c r="A503" s="10">
        <v>45453</v>
      </c>
      <c r="B503" t="s" s="11">
        <v>8</v>
      </c>
      <c r="C503" t="s" s="12">
        <v>8</v>
      </c>
      <c r="D503" s="15" cm="1">
        <f t="array" ref="D503">SUM(D500:D502)</f>
        <v>46000</v>
      </c>
      <c r="E503" s="15" cm="1">
        <f t="array" ref="E503">SUM(E500:E502)</f>
        <v>46000</v>
      </c>
      <c r="F503" s="16" cm="1">
        <f t="array" ref="F503">SUM(F500:F502)</f>
        <v>0</v>
      </c>
      <c r="G503" s="16" cm="1">
        <f t="array" ref="G503">SUM(G500:G502)</f>
        <v>0</v>
      </c>
      <c r="H503" s="16" cm="1">
        <f t="array" ref="H503">SUM(H500:H502)</f>
        <v>0</v>
      </c>
      <c r="I503" s="16" cm="1">
        <f t="array" ref="I503">SUM(I500:I502)</f>
        <v>0</v>
      </c>
    </row>
    <row r="504" ht="21.25" customHeight="1">
      <c r="A504" s="10">
        <v>45453</v>
      </c>
      <c r="B504" t="s" s="11">
        <v>89</v>
      </c>
      <c r="C504" t="s" s="12">
        <v>153</v>
      </c>
      <c r="D504" s="17"/>
      <c r="E504" s="17">
        <v>23000</v>
      </c>
      <c r="F504" s="18"/>
      <c r="G504" s="18"/>
      <c r="H504" s="18"/>
      <c r="I504" s="18"/>
    </row>
    <row r="505" ht="21.25" customHeight="1">
      <c r="A505" s="10">
        <v>45453</v>
      </c>
      <c r="B505" t="s" s="11">
        <v>93</v>
      </c>
      <c r="C505" t="s" s="12">
        <v>153</v>
      </c>
      <c r="D505" s="13">
        <v>23000</v>
      </c>
      <c r="E505" s="13"/>
      <c r="F505" s="14"/>
      <c r="G505" s="14"/>
      <c r="H505" s="14"/>
      <c r="I505" s="14"/>
    </row>
    <row r="506" ht="20.7" customHeight="1">
      <c r="A506" s="10">
        <v>45453</v>
      </c>
      <c r="B506" t="s" s="11">
        <v>8</v>
      </c>
      <c r="C506" t="s" s="12">
        <v>8</v>
      </c>
      <c r="D506" s="15" cm="1">
        <f t="array" ref="D506">SUM(D504:D505)</f>
        <v>23000</v>
      </c>
      <c r="E506" s="15" cm="1">
        <f t="array" ref="E506">SUM(E504:E505)</f>
        <v>23000</v>
      </c>
      <c r="F506" s="16" cm="1">
        <f t="array" ref="F506">SUM(F504:F505)</f>
        <v>0</v>
      </c>
      <c r="G506" s="16" cm="1">
        <f t="array" ref="G506">SUM(G504:G505)</f>
        <v>0</v>
      </c>
      <c r="H506" s="16" cm="1">
        <f t="array" ref="H506">SUM(H504:H505)</f>
        <v>0</v>
      </c>
      <c r="I506" s="16" cm="1">
        <f t="array" ref="I506">SUM(I504:I505)</f>
        <v>0</v>
      </c>
    </row>
    <row r="507" ht="20.35" customHeight="1">
      <c r="A507" s="10">
        <v>45453</v>
      </c>
      <c r="B507" t="s" s="11">
        <v>93</v>
      </c>
      <c r="C507" t="s" s="12">
        <v>112</v>
      </c>
      <c r="D507" s="17"/>
      <c r="E507" s="17">
        <v>23000</v>
      </c>
      <c r="F507" s="18"/>
      <c r="G507" s="18"/>
      <c r="H507" s="18"/>
      <c r="I507" s="18"/>
    </row>
    <row r="508" ht="20.35" customHeight="1">
      <c r="A508" s="10">
        <v>45453</v>
      </c>
      <c r="B508" t="s" s="11">
        <v>5</v>
      </c>
      <c r="C508" t="s" s="12">
        <v>112</v>
      </c>
      <c r="D508" s="13">
        <v>23000</v>
      </c>
      <c r="E508" s="13"/>
      <c r="F508" s="14"/>
      <c r="G508" s="14"/>
      <c r="H508" s="14"/>
      <c r="I508" s="14"/>
    </row>
    <row r="509" ht="20.7" customHeight="1">
      <c r="A509" s="10">
        <v>45453</v>
      </c>
      <c r="B509" t="s" s="11">
        <v>8</v>
      </c>
      <c r="C509" t="s" s="12">
        <v>8</v>
      </c>
      <c r="D509" s="15" cm="1">
        <f t="array" ref="D509">SUM(D507:D508)</f>
        <v>23000</v>
      </c>
      <c r="E509" s="15" cm="1">
        <f t="array" ref="E509">SUM(E507:E508)</f>
        <v>23000</v>
      </c>
      <c r="F509" s="16" cm="1">
        <f t="array" ref="F509">SUM(F507:F508)</f>
        <v>0</v>
      </c>
      <c r="G509" s="16" cm="1">
        <f t="array" ref="G509">SUM(G507:G508)</f>
        <v>0</v>
      </c>
      <c r="H509" s="16" cm="1">
        <f t="array" ref="H509">SUM(H507:H508)</f>
        <v>0</v>
      </c>
      <c r="I509" s="16" cm="1">
        <f t="array" ref="I509">SUM(I507:I508)</f>
        <v>0</v>
      </c>
    </row>
    <row r="510" ht="20.35" customHeight="1">
      <c r="A510" s="10">
        <v>45454</v>
      </c>
      <c r="B510" t="s" s="11">
        <v>5</v>
      </c>
      <c r="C510" t="s" s="12">
        <v>154</v>
      </c>
      <c r="D510" s="17"/>
      <c r="E510" s="17">
        <v>1500</v>
      </c>
      <c r="F510" s="18"/>
      <c r="G510" s="18"/>
      <c r="H510" s="18"/>
      <c r="I510" s="18"/>
    </row>
    <row r="511" ht="20.35" customHeight="1">
      <c r="A511" s="10">
        <v>45454</v>
      </c>
      <c r="B511" t="s" s="11">
        <v>10</v>
      </c>
      <c r="C511" t="s" s="12">
        <v>154</v>
      </c>
      <c r="D511" s="13">
        <v>1500</v>
      </c>
      <c r="E511" s="13"/>
      <c r="F511" s="14"/>
      <c r="G511" s="14"/>
      <c r="H511" s="14"/>
      <c r="I511" s="14"/>
    </row>
    <row r="512" ht="20.7" customHeight="1">
      <c r="A512" s="10">
        <v>45454</v>
      </c>
      <c r="B512" t="s" s="11">
        <v>8</v>
      </c>
      <c r="C512" t="s" s="12">
        <v>8</v>
      </c>
      <c r="D512" s="15" cm="1">
        <f t="array" ref="D512">SUM(D510:D511)</f>
        <v>1500</v>
      </c>
      <c r="E512" s="15" cm="1">
        <f t="array" ref="E512">SUM(E510:E511)</f>
        <v>1500</v>
      </c>
      <c r="F512" s="16" cm="1">
        <f t="array" ref="F512">SUM(F510:F511)</f>
        <v>0</v>
      </c>
      <c r="G512" s="16" cm="1">
        <f t="array" ref="G512">SUM(G510:G511)</f>
        <v>0</v>
      </c>
      <c r="H512" s="16" cm="1">
        <f t="array" ref="H512">SUM(H510:H511)</f>
        <v>0</v>
      </c>
      <c r="I512" s="16" cm="1">
        <f t="array" ref="I512">SUM(I510:I511)</f>
        <v>0</v>
      </c>
    </row>
    <row r="513" ht="21.25" customHeight="1">
      <c r="A513" s="10">
        <v>45456</v>
      </c>
      <c r="B513" t="s" s="11">
        <v>32</v>
      </c>
      <c r="C513" t="s" s="12">
        <v>155</v>
      </c>
      <c r="D513" s="17"/>
      <c r="E513" s="17">
        <v>150000</v>
      </c>
      <c r="F513" s="18"/>
      <c r="G513" s="18"/>
      <c r="H513" s="18"/>
      <c r="I513" s="18"/>
    </row>
    <row r="514" ht="21.25" customHeight="1">
      <c r="A514" s="10">
        <v>45456</v>
      </c>
      <c r="B514" t="s" s="11">
        <v>101</v>
      </c>
      <c r="C514" t="s" s="12">
        <v>155</v>
      </c>
      <c r="D514" s="13">
        <v>150000</v>
      </c>
      <c r="E514" s="13"/>
      <c r="F514" s="14"/>
      <c r="G514" s="14"/>
      <c r="H514" s="14"/>
      <c r="I514" s="14"/>
    </row>
    <row r="515" ht="20.7" customHeight="1">
      <c r="A515" s="10">
        <v>45456</v>
      </c>
      <c r="B515" t="s" s="11">
        <v>8</v>
      </c>
      <c r="C515" t="s" s="12">
        <v>8</v>
      </c>
      <c r="D515" s="15" cm="1">
        <f t="array" ref="D515">SUM(D513:D514)</f>
        <v>150000</v>
      </c>
      <c r="E515" s="15" cm="1">
        <f t="array" ref="E515">SUM(E513:E514)</f>
        <v>150000</v>
      </c>
      <c r="F515" s="16" cm="1">
        <f t="array" ref="F515">SUM(F513:F514)</f>
        <v>0</v>
      </c>
      <c r="G515" s="16" cm="1">
        <f t="array" ref="G515">SUM(G513:G514)</f>
        <v>0</v>
      </c>
      <c r="H515" s="16" cm="1">
        <f t="array" ref="H515">SUM(H513:H514)</f>
        <v>0</v>
      </c>
      <c r="I515" s="16" cm="1">
        <f t="array" ref="I515">SUM(I513:I514)</f>
        <v>0</v>
      </c>
    </row>
    <row r="516" ht="20.35" customHeight="1">
      <c r="A516" s="10">
        <v>45456</v>
      </c>
      <c r="B516" t="s" s="11">
        <v>5</v>
      </c>
      <c r="C516" t="s" s="12">
        <v>156</v>
      </c>
      <c r="D516" s="17">
        <v>600000</v>
      </c>
      <c r="E516" s="17"/>
      <c r="F516" s="18"/>
      <c r="G516" s="18"/>
      <c r="H516" s="18"/>
      <c r="I516" s="18"/>
    </row>
    <row r="517" ht="20.35" customHeight="1">
      <c r="A517" s="10">
        <v>45456</v>
      </c>
      <c r="B517" t="s" s="11">
        <v>101</v>
      </c>
      <c r="C517" t="s" s="12">
        <v>156</v>
      </c>
      <c r="D517" s="13"/>
      <c r="E517" s="13">
        <v>600000</v>
      </c>
      <c r="F517" s="14"/>
      <c r="G517" s="14"/>
      <c r="H517" s="14"/>
      <c r="I517" s="14"/>
    </row>
    <row r="518" ht="20.7" customHeight="1">
      <c r="A518" s="10">
        <v>45456</v>
      </c>
      <c r="B518" t="s" s="11">
        <v>8</v>
      </c>
      <c r="C518" t="s" s="12">
        <v>8</v>
      </c>
      <c r="D518" s="15" cm="1">
        <f t="array" ref="D518">SUM(D516:D517)</f>
        <v>600000</v>
      </c>
      <c r="E518" s="15" cm="1">
        <f t="array" ref="E518">SUM(E516:E517)</f>
        <v>600000</v>
      </c>
      <c r="F518" s="16" cm="1">
        <f t="array" ref="F518">SUM(F516:F517)</f>
        <v>0</v>
      </c>
      <c r="G518" s="16" cm="1">
        <f t="array" ref="G518">SUM(G516:G517)</f>
        <v>0</v>
      </c>
      <c r="H518" s="16" cm="1">
        <f t="array" ref="H518">SUM(H516:H517)</f>
        <v>0</v>
      </c>
      <c r="I518" s="16" cm="1">
        <f t="array" ref="I518">SUM(I516:I517)</f>
        <v>0</v>
      </c>
    </row>
    <row r="519" ht="21.25" customHeight="1">
      <c r="A519" s="10">
        <v>45456</v>
      </c>
      <c r="B519" t="s" s="11">
        <v>97</v>
      </c>
      <c r="C519" t="s" s="12">
        <v>157</v>
      </c>
      <c r="D519" s="17"/>
      <c r="E519" s="17">
        <v>557143</v>
      </c>
      <c r="F519" s="18"/>
      <c r="G519" s="18"/>
      <c r="H519" s="18"/>
      <c r="I519" s="18"/>
    </row>
    <row r="520" ht="21.25" customHeight="1">
      <c r="A520" s="10">
        <v>45456</v>
      </c>
      <c r="B520" t="s" s="11">
        <v>99</v>
      </c>
      <c r="C520" t="s" s="12">
        <v>157</v>
      </c>
      <c r="D520" s="13">
        <v>557143</v>
      </c>
      <c r="E520" s="13"/>
      <c r="F520" s="14"/>
      <c r="G520" s="14"/>
      <c r="H520" s="14"/>
      <c r="I520" s="14"/>
    </row>
    <row r="521" ht="20.7" customHeight="1">
      <c r="A521" s="10">
        <v>45456</v>
      </c>
      <c r="B521" t="s" s="11">
        <v>8</v>
      </c>
      <c r="C521" t="s" s="12">
        <v>8</v>
      </c>
      <c r="D521" s="15" cm="1">
        <f t="array" ref="D521">SUM(D519:D520)</f>
        <v>557143</v>
      </c>
      <c r="E521" s="15" cm="1">
        <f t="array" ref="E521">SUM(E519:E520)</f>
        <v>557143</v>
      </c>
      <c r="F521" s="16" cm="1">
        <f t="array" ref="F521">SUM(F519:F520)</f>
        <v>0</v>
      </c>
      <c r="G521" s="16" cm="1">
        <f t="array" ref="G521">SUM(G519:G520)</f>
        <v>0</v>
      </c>
      <c r="H521" s="16" cm="1">
        <f t="array" ref="H521">SUM(H519:H520)</f>
        <v>0</v>
      </c>
      <c r="I521" s="16" cm="1">
        <f t="array" ref="I521">SUM(I519:I520)</f>
        <v>0</v>
      </c>
    </row>
    <row r="522" ht="20.35" customHeight="1">
      <c r="A522" s="10">
        <v>45456</v>
      </c>
      <c r="B522" t="s" s="11">
        <v>5</v>
      </c>
      <c r="C522" t="s" s="12">
        <v>158</v>
      </c>
      <c r="D522" s="17">
        <v>19</v>
      </c>
      <c r="E522" s="17"/>
      <c r="F522" s="18"/>
      <c r="G522" s="18"/>
      <c r="H522" s="18"/>
      <c r="I522" s="18"/>
    </row>
    <row r="523" ht="20.35" customHeight="1">
      <c r="A523" s="10">
        <v>45456</v>
      </c>
      <c r="B523" t="s" s="11">
        <v>18</v>
      </c>
      <c r="C523" t="s" s="12">
        <v>158</v>
      </c>
      <c r="D523" s="13"/>
      <c r="E523" s="13">
        <v>19</v>
      </c>
      <c r="F523" s="14"/>
      <c r="G523" s="14"/>
      <c r="H523" s="14"/>
      <c r="I523" s="14"/>
    </row>
    <row r="524" ht="20.7" customHeight="1">
      <c r="A524" s="10">
        <v>45456</v>
      </c>
      <c r="B524" t="s" s="11">
        <v>8</v>
      </c>
      <c r="C524" t="s" s="12">
        <v>8</v>
      </c>
      <c r="D524" s="15" cm="1">
        <f t="array" ref="D524">SUM(D522:D523)</f>
        <v>19</v>
      </c>
      <c r="E524" s="15" cm="1">
        <f t="array" ref="E524">SUM(E522:E523)</f>
        <v>19</v>
      </c>
      <c r="F524" s="16" cm="1">
        <f t="array" ref="F524">SUM(F522:F523)</f>
        <v>0</v>
      </c>
      <c r="G524" s="16" cm="1">
        <f t="array" ref="G524">SUM(G522:G523)</f>
        <v>0</v>
      </c>
      <c r="H524" s="16" cm="1">
        <f t="array" ref="H524">SUM(H522:H523)</f>
        <v>0</v>
      </c>
      <c r="I524" s="16" cm="1">
        <f t="array" ref="I524">SUM(I522:I523)</f>
        <v>0</v>
      </c>
    </row>
    <row r="525" ht="20.35" customHeight="1">
      <c r="A525" s="10">
        <v>45456</v>
      </c>
      <c r="B525" t="s" s="11">
        <v>5</v>
      </c>
      <c r="C525" t="s" s="12">
        <v>140</v>
      </c>
      <c r="D525" s="17"/>
      <c r="E525" s="17">
        <v>203000</v>
      </c>
      <c r="F525" s="18"/>
      <c r="G525" s="18"/>
      <c r="H525" s="18"/>
      <c r="I525" s="18"/>
    </row>
    <row r="526" ht="20.35" customHeight="1">
      <c r="A526" s="10">
        <v>45456</v>
      </c>
      <c r="B526" t="s" s="11">
        <v>72</v>
      </c>
      <c r="C526" t="s" s="12">
        <v>140</v>
      </c>
      <c r="D526" s="13">
        <v>203000</v>
      </c>
      <c r="E526" s="13"/>
      <c r="F526" s="14"/>
      <c r="G526" s="14"/>
      <c r="H526" s="14"/>
      <c r="I526" s="14"/>
    </row>
    <row r="527" ht="20.7" customHeight="1">
      <c r="A527" s="10">
        <v>45456</v>
      </c>
      <c r="B527" t="s" s="11">
        <v>8</v>
      </c>
      <c r="C527" t="s" s="12">
        <v>8</v>
      </c>
      <c r="D527" s="15" cm="1">
        <f t="array" ref="D527">SUM(D525:D526)</f>
        <v>203000</v>
      </c>
      <c r="E527" s="15" cm="1">
        <f t="array" ref="E527">SUM(E525:E526)</f>
        <v>203000</v>
      </c>
      <c r="F527" s="16" cm="1">
        <f t="array" ref="F527">SUM(F525:F526)</f>
        <v>0</v>
      </c>
      <c r="G527" s="16" cm="1">
        <f t="array" ref="G527">SUM(G525:G526)</f>
        <v>0</v>
      </c>
      <c r="H527" s="16" cm="1">
        <f t="array" ref="H527">SUM(H525:H526)</f>
        <v>0</v>
      </c>
      <c r="I527" s="16" cm="1">
        <f t="array" ref="I527">SUM(I525:I526)</f>
        <v>0</v>
      </c>
    </row>
    <row r="528" ht="21.25" customHeight="1">
      <c r="A528" s="10">
        <v>45456</v>
      </c>
      <c r="B528" t="s" s="11">
        <v>5</v>
      </c>
      <c r="C528" t="s" s="12">
        <v>151</v>
      </c>
      <c r="D528" s="17"/>
      <c r="E528" s="17">
        <v>44780</v>
      </c>
      <c r="F528" s="18"/>
      <c r="G528" s="18"/>
      <c r="H528" s="18"/>
      <c r="I528" s="18"/>
    </row>
    <row r="529" ht="20.9" customHeight="1">
      <c r="A529" s="10">
        <v>45456</v>
      </c>
      <c r="B529" t="s" s="11">
        <v>10</v>
      </c>
      <c r="C529" t="s" s="12">
        <v>151</v>
      </c>
      <c r="D529" s="19">
        <v>22390</v>
      </c>
      <c r="E529" s="19"/>
      <c r="F529" s="20"/>
      <c r="G529" s="20"/>
      <c r="H529" s="20"/>
      <c r="I529" s="20"/>
    </row>
    <row r="530" ht="21.25" customHeight="1">
      <c r="A530" s="10">
        <v>45456</v>
      </c>
      <c r="B530" t="s" s="11">
        <v>12</v>
      </c>
      <c r="C530" t="s" s="12">
        <v>151</v>
      </c>
      <c r="D530" s="13">
        <v>22390</v>
      </c>
      <c r="E530" s="13"/>
      <c r="F530" s="14"/>
      <c r="G530" s="14"/>
      <c r="H530" s="14"/>
      <c r="I530" s="14"/>
    </row>
    <row r="531" ht="20.7" customHeight="1">
      <c r="A531" s="10">
        <v>45456</v>
      </c>
      <c r="B531" t="s" s="11">
        <v>8</v>
      </c>
      <c r="C531" t="s" s="12">
        <v>8</v>
      </c>
      <c r="D531" s="15" cm="1">
        <f t="array" ref="D531">SUM(D528:D530)</f>
        <v>44780</v>
      </c>
      <c r="E531" s="15" cm="1">
        <f t="array" ref="E531">SUM(E528:E530)</f>
        <v>44780</v>
      </c>
      <c r="F531" s="16" cm="1">
        <f t="array" ref="F531">SUM(F528:F530)</f>
        <v>0</v>
      </c>
      <c r="G531" s="16" cm="1">
        <f t="array" ref="G531">SUM(G528:G530)</f>
        <v>0</v>
      </c>
      <c r="H531" s="16" cm="1">
        <f t="array" ref="H531">SUM(H528:H530)</f>
        <v>0</v>
      </c>
      <c r="I531" s="16" cm="1">
        <f t="array" ref="I531">SUM(I528:I530)</f>
        <v>0</v>
      </c>
    </row>
    <row r="532" ht="21.25" customHeight="1">
      <c r="A532" s="10">
        <v>45457</v>
      </c>
      <c r="B532" t="s" s="11">
        <v>5</v>
      </c>
      <c r="C532" t="s" s="12">
        <v>159</v>
      </c>
      <c r="D532" s="17"/>
      <c r="E532" s="17">
        <v>24000</v>
      </c>
      <c r="F532" s="18"/>
      <c r="G532" s="18"/>
      <c r="H532" s="18"/>
      <c r="I532" s="18"/>
    </row>
    <row r="533" ht="20.9" customHeight="1">
      <c r="A533" s="10">
        <v>45457</v>
      </c>
      <c r="B533" t="s" s="11">
        <v>10</v>
      </c>
      <c r="C533" t="s" s="12">
        <v>159</v>
      </c>
      <c r="D533" s="19">
        <v>14000</v>
      </c>
      <c r="E533" s="19"/>
      <c r="F533" s="20"/>
      <c r="G533" s="20"/>
      <c r="H533" s="20"/>
      <c r="I533" s="20"/>
    </row>
    <row r="534" ht="21.25" customHeight="1">
      <c r="A534" s="10">
        <v>45457</v>
      </c>
      <c r="B534" t="s" s="11">
        <v>12</v>
      </c>
      <c r="C534" t="s" s="12">
        <v>159</v>
      </c>
      <c r="D534" s="13">
        <v>10000</v>
      </c>
      <c r="E534" s="13"/>
      <c r="F534" s="14"/>
      <c r="G534" s="14"/>
      <c r="H534" s="14"/>
      <c r="I534" s="14"/>
    </row>
    <row r="535" ht="20.7" customHeight="1">
      <c r="A535" s="10">
        <v>45457</v>
      </c>
      <c r="B535" t="s" s="11">
        <v>8</v>
      </c>
      <c r="C535" t="s" s="12">
        <v>8</v>
      </c>
      <c r="D535" s="15" cm="1">
        <f t="array" ref="D535">SUM(D532:D534)</f>
        <v>24000</v>
      </c>
      <c r="E535" s="15" cm="1">
        <f t="array" ref="E535">SUM(E532:E534)</f>
        <v>24000</v>
      </c>
      <c r="F535" s="16" cm="1">
        <f t="array" ref="F535">SUM(F532:F534)</f>
        <v>0</v>
      </c>
      <c r="G535" s="16" cm="1">
        <f t="array" ref="G535">SUM(G532:G534)</f>
        <v>0</v>
      </c>
      <c r="H535" s="16" cm="1">
        <f t="array" ref="H535">SUM(H532:H534)</f>
        <v>0</v>
      </c>
      <c r="I535" s="16" cm="1">
        <f t="array" ref="I535">SUM(I532:I534)</f>
        <v>0</v>
      </c>
    </row>
    <row r="536" ht="21.25" customHeight="1">
      <c r="A536" s="10">
        <v>45457</v>
      </c>
      <c r="B536" t="s" s="11">
        <v>5</v>
      </c>
      <c r="C536" t="s" s="12">
        <v>160</v>
      </c>
      <c r="D536" s="17"/>
      <c r="E536" s="17">
        <v>45000</v>
      </c>
      <c r="F536" s="18"/>
      <c r="G536" s="18"/>
      <c r="H536" s="18"/>
      <c r="I536" s="18"/>
    </row>
    <row r="537" ht="20.9" customHeight="1">
      <c r="A537" s="10">
        <v>45457</v>
      </c>
      <c r="B537" t="s" s="11">
        <v>10</v>
      </c>
      <c r="C537" t="s" s="12">
        <v>160</v>
      </c>
      <c r="D537" s="19">
        <v>22500</v>
      </c>
      <c r="E537" s="19"/>
      <c r="F537" s="20"/>
      <c r="G537" s="20"/>
      <c r="H537" s="20"/>
      <c r="I537" s="20"/>
    </row>
    <row r="538" ht="21.25" customHeight="1">
      <c r="A538" s="10">
        <v>45457</v>
      </c>
      <c r="B538" t="s" s="11">
        <v>12</v>
      </c>
      <c r="C538" t="s" s="12">
        <v>160</v>
      </c>
      <c r="D538" s="13">
        <v>22500</v>
      </c>
      <c r="E538" s="13"/>
      <c r="F538" s="14"/>
      <c r="G538" s="14"/>
      <c r="H538" s="14"/>
      <c r="I538" s="14"/>
    </row>
    <row r="539" ht="20.7" customHeight="1">
      <c r="A539" s="10">
        <v>45457</v>
      </c>
      <c r="B539" t="s" s="11">
        <v>8</v>
      </c>
      <c r="C539" t="s" s="12">
        <v>8</v>
      </c>
      <c r="D539" s="15" cm="1">
        <f t="array" ref="D539">SUM(D536:D538)</f>
        <v>45000</v>
      </c>
      <c r="E539" s="15" cm="1">
        <f t="array" ref="E539">SUM(E536:E538)</f>
        <v>45000</v>
      </c>
      <c r="F539" s="16" cm="1">
        <f t="array" ref="F539">SUM(F536:F538)</f>
        <v>0</v>
      </c>
      <c r="G539" s="16" cm="1">
        <f t="array" ref="G539">SUM(G536:G538)</f>
        <v>0</v>
      </c>
      <c r="H539" s="16" cm="1">
        <f t="array" ref="H539">SUM(H536:H538)</f>
        <v>0</v>
      </c>
      <c r="I539" s="16" cm="1">
        <f t="array" ref="I539">SUM(I536:I538)</f>
        <v>0</v>
      </c>
    </row>
    <row r="540" ht="20.35" customHeight="1">
      <c r="A540" s="10">
        <v>45458</v>
      </c>
      <c r="B540" t="s" s="11">
        <v>5</v>
      </c>
      <c r="C540" t="s" s="12">
        <v>161</v>
      </c>
      <c r="D540" s="17"/>
      <c r="E540" s="17">
        <v>39300</v>
      </c>
      <c r="F540" s="18"/>
      <c r="G540" s="18"/>
      <c r="H540" s="18"/>
      <c r="I540" s="18"/>
    </row>
    <row r="541" ht="20.35" customHeight="1">
      <c r="A541" s="10">
        <v>45458</v>
      </c>
      <c r="B541" t="s" s="11">
        <v>10</v>
      </c>
      <c r="C541" t="s" s="12">
        <v>161</v>
      </c>
      <c r="D541" s="13">
        <v>39300</v>
      </c>
      <c r="E541" s="13"/>
      <c r="F541" s="14"/>
      <c r="G541" s="14"/>
      <c r="H541" s="14"/>
      <c r="I541" s="14"/>
    </row>
    <row r="542" ht="20.7" customHeight="1">
      <c r="A542" s="10">
        <v>45458</v>
      </c>
      <c r="B542" t="s" s="11">
        <v>8</v>
      </c>
      <c r="C542" t="s" s="12">
        <v>8</v>
      </c>
      <c r="D542" s="15" cm="1">
        <f t="array" ref="D542">SUM(D540:D541)</f>
        <v>39300</v>
      </c>
      <c r="E542" s="15" cm="1">
        <f t="array" ref="E542">SUM(E540:E541)</f>
        <v>39300</v>
      </c>
      <c r="F542" s="16" cm="1">
        <f t="array" ref="F542">SUM(F540:F541)</f>
        <v>0</v>
      </c>
      <c r="G542" s="16" cm="1">
        <f t="array" ref="G542">SUM(G540:G541)</f>
        <v>0</v>
      </c>
      <c r="H542" s="16" cm="1">
        <f t="array" ref="H542">SUM(H540:H541)</f>
        <v>0</v>
      </c>
      <c r="I542" s="16" cm="1">
        <f t="array" ref="I542">SUM(I540:I541)</f>
        <v>0</v>
      </c>
    </row>
    <row r="543" ht="20.35" customHeight="1">
      <c r="A543" s="10">
        <v>45458</v>
      </c>
      <c r="B543" t="s" s="11">
        <v>5</v>
      </c>
      <c r="C543" t="s" s="12">
        <v>162</v>
      </c>
      <c r="D543" s="17"/>
      <c r="E543" s="17">
        <v>154000</v>
      </c>
      <c r="F543" s="18"/>
      <c r="G543" s="18"/>
      <c r="H543" s="18"/>
      <c r="I543" s="18"/>
    </row>
    <row r="544" ht="20.05" customHeight="1">
      <c r="A544" s="10">
        <v>45458</v>
      </c>
      <c r="B544" t="s" s="11">
        <v>10</v>
      </c>
      <c r="C544" t="s" s="12">
        <v>162</v>
      </c>
      <c r="D544" s="19" cm="1">
        <f t="array" ref="D544">154000*0.8</f>
        <v>123200</v>
      </c>
      <c r="E544" s="19"/>
      <c r="F544" s="20"/>
      <c r="G544" s="20"/>
      <c r="H544" s="20"/>
      <c r="I544" s="20"/>
    </row>
    <row r="545" ht="20.35" customHeight="1">
      <c r="A545" s="10">
        <v>45458</v>
      </c>
      <c r="B545" t="s" s="11">
        <v>12</v>
      </c>
      <c r="C545" t="s" s="12">
        <v>162</v>
      </c>
      <c r="D545" s="13" cm="1">
        <f t="array" ref="D545">154000/5</f>
        <v>30800</v>
      </c>
      <c r="E545" s="13"/>
      <c r="F545" s="14"/>
      <c r="G545" s="14"/>
      <c r="H545" s="14"/>
      <c r="I545" s="14"/>
    </row>
    <row r="546" ht="20.7" customHeight="1">
      <c r="A546" s="10">
        <v>45458</v>
      </c>
      <c r="B546" t="s" s="11">
        <v>8</v>
      </c>
      <c r="C546" t="s" s="12">
        <v>8</v>
      </c>
      <c r="D546" s="15" cm="1">
        <f t="array" ref="D546">SUM(D543:D545)</f>
        <v>154000</v>
      </c>
      <c r="E546" s="15" cm="1">
        <f t="array" ref="E546">SUM(E543:E545)</f>
        <v>154000</v>
      </c>
      <c r="F546" s="16" cm="1">
        <f t="array" ref="F546">SUM(F543:F545)</f>
        <v>0</v>
      </c>
      <c r="G546" s="16" cm="1">
        <f t="array" ref="G546">SUM(G543:G545)</f>
        <v>0</v>
      </c>
      <c r="H546" s="16" cm="1">
        <f t="array" ref="H546">SUM(H543:H545)</f>
        <v>0</v>
      </c>
      <c r="I546" s="16" cm="1">
        <f t="array" ref="I546">SUM(I543:I545)</f>
        <v>0</v>
      </c>
    </row>
    <row r="547" ht="20.35" customHeight="1">
      <c r="A547" s="10">
        <v>45458</v>
      </c>
      <c r="B547" t="s" s="11">
        <v>5</v>
      </c>
      <c r="C547" t="s" s="12">
        <v>163</v>
      </c>
      <c r="D547" s="17"/>
      <c r="E547" s="17">
        <v>2000</v>
      </c>
      <c r="F547" s="18"/>
      <c r="G547" s="18"/>
      <c r="H547" s="18"/>
      <c r="I547" s="18"/>
    </row>
    <row r="548" ht="20.05" customHeight="1">
      <c r="A548" s="10">
        <v>45458</v>
      </c>
      <c r="B548" t="s" s="11">
        <v>10</v>
      </c>
      <c r="C548" t="s" s="12">
        <v>163</v>
      </c>
      <c r="D548" s="19">
        <v>1000</v>
      </c>
      <c r="E548" s="19"/>
      <c r="F548" s="20"/>
      <c r="G548" s="20"/>
      <c r="H548" s="20"/>
      <c r="I548" s="20"/>
    </row>
    <row r="549" ht="20.35" customHeight="1">
      <c r="A549" s="10">
        <v>45458</v>
      </c>
      <c r="B549" t="s" s="11">
        <v>12</v>
      </c>
      <c r="C549" t="s" s="12">
        <v>163</v>
      </c>
      <c r="D549" s="13">
        <v>1000</v>
      </c>
      <c r="E549" s="13"/>
      <c r="F549" s="14"/>
      <c r="G549" s="14"/>
      <c r="H549" s="14"/>
      <c r="I549" s="14"/>
    </row>
    <row r="550" ht="20.7" customHeight="1">
      <c r="A550" s="10">
        <v>45458</v>
      </c>
      <c r="B550" t="s" s="11">
        <v>8</v>
      </c>
      <c r="C550" t="s" s="12">
        <v>8</v>
      </c>
      <c r="D550" s="15" cm="1">
        <f t="array" ref="D550">SUM(D547:D549)</f>
        <v>2000</v>
      </c>
      <c r="E550" s="15" cm="1">
        <f t="array" ref="E550">SUM(E547:E549)</f>
        <v>2000</v>
      </c>
      <c r="F550" s="16" cm="1">
        <f t="array" ref="F550">SUM(F547:F549)</f>
        <v>0</v>
      </c>
      <c r="G550" s="16" cm="1">
        <f t="array" ref="G550">SUM(G547:G549)</f>
        <v>0</v>
      </c>
      <c r="H550" s="16" cm="1">
        <f t="array" ref="H550">SUM(H547:H549)</f>
        <v>0</v>
      </c>
      <c r="I550" s="16" cm="1">
        <f t="array" ref="I550">SUM(I547:I549)</f>
        <v>0</v>
      </c>
    </row>
    <row r="551" ht="21.25" customHeight="1">
      <c r="A551" s="10">
        <v>45459</v>
      </c>
      <c r="B551" t="s" s="11">
        <v>5</v>
      </c>
      <c r="C551" t="s" s="12">
        <v>164</v>
      </c>
      <c r="D551" s="17"/>
      <c r="E551" s="17">
        <v>30000</v>
      </c>
      <c r="F551" s="18"/>
      <c r="G551" s="18"/>
      <c r="H551" s="18"/>
      <c r="I551" s="18"/>
    </row>
    <row r="552" ht="20.9" customHeight="1">
      <c r="A552" s="10">
        <v>45459</v>
      </c>
      <c r="B552" t="s" s="11">
        <v>10</v>
      </c>
      <c r="C552" t="s" s="12">
        <v>164</v>
      </c>
      <c r="D552" s="19">
        <v>15000</v>
      </c>
      <c r="E552" s="19"/>
      <c r="F552" s="20"/>
      <c r="G552" s="20"/>
      <c r="H552" s="20"/>
      <c r="I552" s="20"/>
    </row>
    <row r="553" ht="21.25" customHeight="1">
      <c r="A553" s="10">
        <v>45459</v>
      </c>
      <c r="B553" t="s" s="11">
        <v>12</v>
      </c>
      <c r="C553" t="s" s="12">
        <v>164</v>
      </c>
      <c r="D553" s="13">
        <v>15000</v>
      </c>
      <c r="E553" s="13"/>
      <c r="F553" s="14"/>
      <c r="G553" s="14"/>
      <c r="H553" s="14"/>
      <c r="I553" s="14"/>
    </row>
    <row r="554" ht="20.7" customHeight="1">
      <c r="A554" s="10">
        <v>45459</v>
      </c>
      <c r="B554" t="s" s="11">
        <v>8</v>
      </c>
      <c r="C554" t="s" s="12">
        <v>8</v>
      </c>
      <c r="D554" s="15" cm="1">
        <f t="array" ref="D554">SUM(D551:D553)</f>
        <v>30000</v>
      </c>
      <c r="E554" s="15" cm="1">
        <f t="array" ref="E554">SUM(E551:E553)</f>
        <v>30000</v>
      </c>
      <c r="F554" s="16" cm="1">
        <f t="array" ref="F554">SUM(F551:F553)</f>
        <v>0</v>
      </c>
      <c r="G554" s="16" cm="1">
        <f t="array" ref="G554">SUM(G551:G553)</f>
        <v>0</v>
      </c>
      <c r="H554" s="16" cm="1">
        <f t="array" ref="H554">SUM(H551:H553)</f>
        <v>0</v>
      </c>
      <c r="I554" s="16" cm="1">
        <f t="array" ref="I554">SUM(I551:I553)</f>
        <v>0</v>
      </c>
    </row>
    <row r="555" ht="20.35" customHeight="1">
      <c r="A555" s="10">
        <v>45461</v>
      </c>
      <c r="B555" t="s" s="11">
        <v>5</v>
      </c>
      <c r="C555" t="s" s="12">
        <v>165</v>
      </c>
      <c r="D555" s="17"/>
      <c r="E555" s="17">
        <v>49000</v>
      </c>
      <c r="F555" s="18"/>
      <c r="G555" s="18"/>
      <c r="H555" s="18"/>
      <c r="I555" s="18"/>
    </row>
    <row r="556" ht="20.05" customHeight="1">
      <c r="A556" s="10">
        <v>45461</v>
      </c>
      <c r="B556" t="s" s="11">
        <v>10</v>
      </c>
      <c r="C556" t="s" s="12">
        <v>165</v>
      </c>
      <c r="D556" s="19">
        <v>24500</v>
      </c>
      <c r="E556" s="19"/>
      <c r="F556" s="20"/>
      <c r="G556" s="20"/>
      <c r="H556" s="20"/>
      <c r="I556" s="20"/>
    </row>
    <row r="557" ht="20.35" customHeight="1">
      <c r="A557" s="10">
        <v>45461</v>
      </c>
      <c r="B557" t="s" s="11">
        <v>12</v>
      </c>
      <c r="C557" t="s" s="12">
        <v>165</v>
      </c>
      <c r="D557" s="13">
        <v>24500</v>
      </c>
      <c r="E557" s="13"/>
      <c r="F557" s="14"/>
      <c r="G557" s="14"/>
      <c r="H557" s="14"/>
      <c r="I557" s="14"/>
    </row>
    <row r="558" ht="20.7" customHeight="1">
      <c r="A558" s="10">
        <v>45461</v>
      </c>
      <c r="B558" t="s" s="11">
        <v>8</v>
      </c>
      <c r="C558" t="s" s="12">
        <v>8</v>
      </c>
      <c r="D558" s="15" cm="1">
        <f t="array" ref="D558">SUM(D555:D557)</f>
        <v>49000</v>
      </c>
      <c r="E558" s="15" cm="1">
        <f t="array" ref="E558">SUM(E555:E557)</f>
        <v>49000</v>
      </c>
      <c r="F558" s="16" cm="1">
        <f t="array" ref="F558">SUM(F555:F557)</f>
        <v>0</v>
      </c>
      <c r="G558" s="16" cm="1">
        <f t="array" ref="G558">SUM(G555:G557)</f>
        <v>0</v>
      </c>
      <c r="H558" s="16" cm="1">
        <f t="array" ref="H558">SUM(H555:H557)</f>
        <v>0</v>
      </c>
      <c r="I558" s="16" cm="1">
        <f t="array" ref="I558">SUM(I555:I557)</f>
        <v>0</v>
      </c>
    </row>
    <row r="559" ht="20.35" customHeight="1">
      <c r="A559" s="10">
        <v>45461</v>
      </c>
      <c r="B559" t="s" s="11">
        <v>5</v>
      </c>
      <c r="C559" t="s" s="12">
        <v>166</v>
      </c>
      <c r="D559" s="17"/>
      <c r="E559" s="17">
        <v>1200</v>
      </c>
      <c r="F559" s="18"/>
      <c r="G559" s="18"/>
      <c r="H559" s="18"/>
      <c r="I559" s="18"/>
    </row>
    <row r="560" ht="20.35" customHeight="1">
      <c r="A560" s="10">
        <v>45461</v>
      </c>
      <c r="B560" t="s" s="11">
        <v>12</v>
      </c>
      <c r="C560" t="s" s="12">
        <v>166</v>
      </c>
      <c r="D560" s="13">
        <v>1200</v>
      </c>
      <c r="E560" s="13"/>
      <c r="F560" s="14"/>
      <c r="G560" s="14"/>
      <c r="H560" s="14"/>
      <c r="I560" s="14"/>
    </row>
    <row r="561" ht="20.7" customHeight="1">
      <c r="A561" s="10">
        <v>45461</v>
      </c>
      <c r="B561" t="s" s="11">
        <v>8</v>
      </c>
      <c r="C561" t="s" s="12">
        <v>8</v>
      </c>
      <c r="D561" s="15" cm="1">
        <f t="array" ref="D561">SUM(D559:D560)</f>
        <v>1200</v>
      </c>
      <c r="E561" s="15" cm="1">
        <f t="array" ref="E561">SUM(E559:E560)</f>
        <v>1200</v>
      </c>
      <c r="F561" s="16" cm="1">
        <f t="array" ref="F561">SUM(F559:F560)</f>
        <v>0</v>
      </c>
      <c r="G561" s="16" cm="1">
        <f t="array" ref="G561">SUM(G559:G560)</f>
        <v>0</v>
      </c>
      <c r="H561" s="16" cm="1">
        <f t="array" ref="H561">SUM(H559:H560)</f>
        <v>0</v>
      </c>
      <c r="I561" s="16" cm="1">
        <f t="array" ref="I561">SUM(I559:I560)</f>
        <v>0</v>
      </c>
    </row>
    <row r="562" ht="21.25" customHeight="1">
      <c r="A562" s="10">
        <v>45461</v>
      </c>
      <c r="B562" t="s" s="11">
        <v>5</v>
      </c>
      <c r="C562" t="s" s="12">
        <v>167</v>
      </c>
      <c r="D562" s="17"/>
      <c r="E562" s="17">
        <v>20000</v>
      </c>
      <c r="F562" s="18"/>
      <c r="G562" s="18"/>
      <c r="H562" s="18"/>
      <c r="I562" s="18"/>
    </row>
    <row r="563" ht="20.9" customHeight="1">
      <c r="A563" s="10">
        <v>45461</v>
      </c>
      <c r="B563" t="s" s="11">
        <v>10</v>
      </c>
      <c r="C563" t="s" s="12">
        <v>167</v>
      </c>
      <c r="D563" s="19">
        <v>10000</v>
      </c>
      <c r="E563" s="19"/>
      <c r="F563" s="20"/>
      <c r="G563" s="20"/>
      <c r="H563" s="20"/>
      <c r="I563" s="20"/>
    </row>
    <row r="564" ht="21.25" customHeight="1">
      <c r="A564" s="10">
        <v>45461</v>
      </c>
      <c r="B564" t="s" s="11">
        <v>12</v>
      </c>
      <c r="C564" t="s" s="12">
        <v>167</v>
      </c>
      <c r="D564" s="13">
        <v>10000</v>
      </c>
      <c r="E564" s="13"/>
      <c r="F564" s="14"/>
      <c r="G564" s="14"/>
      <c r="H564" s="14"/>
      <c r="I564" s="14"/>
    </row>
    <row r="565" ht="20.7" customHeight="1">
      <c r="A565" s="10">
        <v>45461</v>
      </c>
      <c r="B565" t="s" s="11">
        <v>8</v>
      </c>
      <c r="C565" t="s" s="12">
        <v>8</v>
      </c>
      <c r="D565" s="15" cm="1">
        <f t="array" ref="D565">SUM(D562:D564)</f>
        <v>20000</v>
      </c>
      <c r="E565" s="15" cm="1">
        <f t="array" ref="E565">SUM(E562:E564)</f>
        <v>20000</v>
      </c>
      <c r="F565" s="16" cm="1">
        <f t="array" ref="F565">SUM(F562:F564)</f>
        <v>0</v>
      </c>
      <c r="G565" s="16" cm="1">
        <f t="array" ref="G565">SUM(G562:G564)</f>
        <v>0</v>
      </c>
      <c r="H565" s="16" cm="1">
        <f t="array" ref="H565">SUM(H562:H564)</f>
        <v>0</v>
      </c>
      <c r="I565" s="16" cm="1">
        <f t="array" ref="I565">SUM(I562:I564)</f>
        <v>0</v>
      </c>
    </row>
    <row r="566" ht="20.65" customHeight="1">
      <c r="A566" s="10">
        <v>45461</v>
      </c>
      <c r="B566" t="s" s="11">
        <v>5</v>
      </c>
      <c r="C566" t="s" s="12">
        <v>168</v>
      </c>
      <c r="D566" s="17"/>
      <c r="E566" s="17">
        <v>3200</v>
      </c>
      <c r="F566" s="18"/>
      <c r="G566" s="18"/>
      <c r="H566" s="18"/>
      <c r="I566" s="18"/>
    </row>
    <row r="567" ht="20.65" customHeight="1">
      <c r="A567" s="10">
        <v>45461</v>
      </c>
      <c r="B567" t="s" s="11">
        <v>12</v>
      </c>
      <c r="C567" t="s" s="12">
        <v>168</v>
      </c>
      <c r="D567" s="13">
        <v>3200</v>
      </c>
      <c r="E567" s="13"/>
      <c r="F567" s="14"/>
      <c r="G567" s="14"/>
      <c r="H567" s="14"/>
      <c r="I567" s="14"/>
    </row>
    <row r="568" ht="20.7" customHeight="1">
      <c r="A568" s="10">
        <v>45461</v>
      </c>
      <c r="B568" t="s" s="11">
        <v>8</v>
      </c>
      <c r="C568" t="s" s="12">
        <v>8</v>
      </c>
      <c r="D568" s="15" cm="1">
        <f t="array" ref="D568">SUM(D566:D567)</f>
        <v>3200</v>
      </c>
      <c r="E568" s="15" cm="1">
        <f t="array" ref="E568">SUM(E566:E567)</f>
        <v>3200</v>
      </c>
      <c r="F568" s="16" cm="1">
        <f t="array" ref="F568">SUM(F566:F567)</f>
        <v>0</v>
      </c>
      <c r="G568" s="16" cm="1">
        <f t="array" ref="G568">SUM(G566:G567)</f>
        <v>0</v>
      </c>
      <c r="H568" s="16" cm="1">
        <f t="array" ref="H568">SUM(H566:H567)</f>
        <v>0</v>
      </c>
      <c r="I568" s="16" cm="1">
        <f t="array" ref="I568">SUM(I566:I567)</f>
        <v>0</v>
      </c>
    </row>
    <row r="569" ht="20.35" customHeight="1">
      <c r="A569" s="10">
        <v>45462</v>
      </c>
      <c r="B569" t="s" s="11">
        <v>5</v>
      </c>
      <c r="C569" t="s" s="12">
        <v>169</v>
      </c>
      <c r="D569" s="17"/>
      <c r="E569" s="17">
        <v>5800</v>
      </c>
      <c r="F569" s="18"/>
      <c r="G569" s="18"/>
      <c r="H569" s="18"/>
      <c r="I569" s="18"/>
    </row>
    <row r="570" ht="20.35" customHeight="1">
      <c r="A570" s="10">
        <v>45462</v>
      </c>
      <c r="B570" t="s" s="11">
        <v>12</v>
      </c>
      <c r="C570" t="s" s="12">
        <v>169</v>
      </c>
      <c r="D570" s="13">
        <v>5800</v>
      </c>
      <c r="E570" s="13"/>
      <c r="F570" s="14"/>
      <c r="G570" s="14"/>
      <c r="H570" s="14"/>
      <c r="I570" s="14"/>
    </row>
    <row r="571" ht="20.7" customHeight="1">
      <c r="A571" s="10">
        <v>45462</v>
      </c>
      <c r="B571" t="s" s="11">
        <v>8</v>
      </c>
      <c r="C571" t="s" s="12">
        <v>8</v>
      </c>
      <c r="D571" s="15" cm="1">
        <f t="array" ref="D571">SUM(D569:D570)</f>
        <v>5800</v>
      </c>
      <c r="E571" s="15" cm="1">
        <f t="array" ref="E571">SUM(E569:E570)</f>
        <v>5800</v>
      </c>
      <c r="F571" s="16" cm="1">
        <f t="array" ref="F571">SUM(F569:F570)</f>
        <v>0</v>
      </c>
      <c r="G571" s="16" cm="1">
        <f t="array" ref="G571">SUM(G569:G570)</f>
        <v>0</v>
      </c>
      <c r="H571" s="16" cm="1">
        <f t="array" ref="H571">SUM(H569:H570)</f>
        <v>0</v>
      </c>
      <c r="I571" s="16" cm="1">
        <f t="array" ref="I571">SUM(I569:I570)</f>
        <v>0</v>
      </c>
    </row>
    <row r="572" ht="20.35" customHeight="1">
      <c r="A572" s="10">
        <v>45462</v>
      </c>
      <c r="B572" t="s" s="11">
        <v>5</v>
      </c>
      <c r="C572" t="s" s="12">
        <v>124</v>
      </c>
      <c r="D572" s="17">
        <v>61090</v>
      </c>
      <c r="E572" s="17"/>
      <c r="F572" s="18"/>
      <c r="G572" s="18"/>
      <c r="H572" s="18"/>
      <c r="I572" s="18"/>
    </row>
    <row r="573" ht="20.05" customHeight="1">
      <c r="A573" s="10">
        <v>45462</v>
      </c>
      <c r="B573" t="s" s="11">
        <v>7</v>
      </c>
      <c r="C573" t="s" s="12">
        <v>124</v>
      </c>
      <c r="D573" s="19"/>
      <c r="E573" s="19">
        <v>1</v>
      </c>
      <c r="F573" s="20"/>
      <c r="G573" s="20"/>
      <c r="H573" s="20"/>
      <c r="I573" s="20"/>
    </row>
    <row r="574" ht="20.35" customHeight="1">
      <c r="A574" s="10">
        <v>45462</v>
      </c>
      <c r="B574" t="s" s="11">
        <v>72</v>
      </c>
      <c r="C574" t="s" s="12">
        <v>124</v>
      </c>
      <c r="D574" s="13"/>
      <c r="E574" s="13">
        <v>61089</v>
      </c>
      <c r="F574" s="14"/>
      <c r="G574" s="14"/>
      <c r="H574" s="14"/>
      <c r="I574" s="14"/>
    </row>
    <row r="575" ht="20.7" customHeight="1">
      <c r="A575" s="10">
        <v>45462</v>
      </c>
      <c r="B575" t="s" s="11">
        <v>8</v>
      </c>
      <c r="C575" t="s" s="12">
        <v>8</v>
      </c>
      <c r="D575" s="15" cm="1">
        <f t="array" ref="D575">SUM(D572:D574)</f>
        <v>61090</v>
      </c>
      <c r="E575" s="15" cm="1">
        <f t="array" ref="E575">SUM(E572:E574)</f>
        <v>61090</v>
      </c>
      <c r="F575" s="16" cm="1">
        <f t="array" ref="F575">SUM(F572:F574)</f>
        <v>0</v>
      </c>
      <c r="G575" s="16" cm="1">
        <f t="array" ref="G575">SUM(G572:G574)</f>
        <v>0</v>
      </c>
      <c r="H575" s="16" cm="1">
        <f t="array" ref="H575">SUM(H572:H574)</f>
        <v>0</v>
      </c>
      <c r="I575" s="16" cm="1">
        <f t="array" ref="I575">SUM(I572:I574)</f>
        <v>0</v>
      </c>
    </row>
    <row r="576" ht="20.35" customHeight="1">
      <c r="A576" s="10">
        <v>45462</v>
      </c>
      <c r="B576" t="s" s="11">
        <v>5</v>
      </c>
      <c r="C576" t="s" s="12">
        <v>170</v>
      </c>
      <c r="D576" s="17"/>
      <c r="E576" s="17">
        <v>69890</v>
      </c>
      <c r="F576" s="18"/>
      <c r="G576" s="18"/>
      <c r="H576" s="18"/>
      <c r="I576" s="18"/>
    </row>
    <row r="577" ht="20.05" customHeight="1">
      <c r="A577" s="10">
        <v>45462</v>
      </c>
      <c r="B577" t="s" s="11">
        <v>12</v>
      </c>
      <c r="C577" t="s" s="12">
        <v>171</v>
      </c>
      <c r="D577" s="19">
        <v>17472</v>
      </c>
      <c r="E577" s="19"/>
      <c r="F577" s="20"/>
      <c r="G577" s="20"/>
      <c r="H577" s="20"/>
      <c r="I577" s="20"/>
    </row>
    <row r="578" ht="20.35" customHeight="1">
      <c r="A578" s="10">
        <v>45462</v>
      </c>
      <c r="B578" t="s" s="11">
        <v>10</v>
      </c>
      <c r="C578" t="s" s="12">
        <v>171</v>
      </c>
      <c r="D578" s="13" cm="1">
        <f t="array" ref="D578">69890-17472</f>
        <v>52418</v>
      </c>
      <c r="E578" s="13"/>
      <c r="F578" s="14"/>
      <c r="G578" s="14"/>
      <c r="H578" s="14"/>
      <c r="I578" s="14"/>
    </row>
    <row r="579" ht="20.7" customHeight="1">
      <c r="A579" s="10">
        <v>45462</v>
      </c>
      <c r="B579" t="s" s="11">
        <v>8</v>
      </c>
      <c r="C579" t="s" s="12">
        <v>8</v>
      </c>
      <c r="D579" s="15" cm="1">
        <f t="array" ref="D579">SUM(D576:D578)</f>
        <v>69890</v>
      </c>
      <c r="E579" s="15" cm="1">
        <f t="array" ref="E579">SUM(E576:E578)</f>
        <v>69890</v>
      </c>
      <c r="F579" s="16" cm="1">
        <f t="array" ref="F579">SUM(F576:F578)</f>
        <v>0</v>
      </c>
      <c r="G579" s="16" cm="1">
        <f t="array" ref="G579">SUM(G576:G578)</f>
        <v>0</v>
      </c>
      <c r="H579" s="16" cm="1">
        <f t="array" ref="H579">SUM(H576:H578)</f>
        <v>0</v>
      </c>
      <c r="I579" s="16" cm="1">
        <f t="array" ref="I579">SUM(I576:I578)</f>
        <v>0</v>
      </c>
    </row>
    <row r="580" ht="20.35" customHeight="1">
      <c r="A580" s="10">
        <v>45462</v>
      </c>
      <c r="B580" t="s" s="11">
        <v>5</v>
      </c>
      <c r="C580" t="s" s="12">
        <v>158</v>
      </c>
      <c r="D580" s="17">
        <v>3</v>
      </c>
      <c r="E580" s="17"/>
      <c r="F580" s="18"/>
      <c r="G580" s="18"/>
      <c r="H580" s="18"/>
      <c r="I580" s="18"/>
    </row>
    <row r="581" ht="20.35" customHeight="1">
      <c r="A581" s="10">
        <v>45462</v>
      </c>
      <c r="B581" t="s" s="11">
        <v>18</v>
      </c>
      <c r="C581" t="s" s="12">
        <v>158</v>
      </c>
      <c r="D581" s="13"/>
      <c r="E581" s="13">
        <v>3</v>
      </c>
      <c r="F581" s="14"/>
      <c r="G581" s="14"/>
      <c r="H581" s="14"/>
      <c r="I581" s="14"/>
    </row>
    <row r="582" ht="20.7" customHeight="1">
      <c r="A582" s="10">
        <v>45462</v>
      </c>
      <c r="B582" t="s" s="11">
        <v>8</v>
      </c>
      <c r="C582" t="s" s="12">
        <v>8</v>
      </c>
      <c r="D582" s="15" cm="1">
        <f t="array" ref="D582">SUM(D580:D581)</f>
        <v>3</v>
      </c>
      <c r="E582" s="15" cm="1">
        <f t="array" ref="E582">SUM(E580:E581)</f>
        <v>3</v>
      </c>
      <c r="F582" s="16" cm="1">
        <f t="array" ref="F582">SUM(F580:F581)</f>
        <v>0</v>
      </c>
      <c r="G582" s="16" cm="1">
        <f t="array" ref="G582">SUM(G580:G581)</f>
        <v>0</v>
      </c>
      <c r="H582" s="16" cm="1">
        <f t="array" ref="H582">SUM(H580:H581)</f>
        <v>0</v>
      </c>
      <c r="I582" s="16" cm="1">
        <f t="array" ref="I582">SUM(I580:I581)</f>
        <v>0</v>
      </c>
    </row>
    <row r="583" ht="20.35" customHeight="1">
      <c r="A583" s="10">
        <v>45462</v>
      </c>
      <c r="B583" t="s" s="11">
        <v>5</v>
      </c>
      <c r="C583" t="s" s="12">
        <v>124</v>
      </c>
      <c r="D583" s="17">
        <v>50000</v>
      </c>
      <c r="E583" s="17"/>
      <c r="F583" s="18"/>
      <c r="G583" s="18"/>
      <c r="H583" s="18"/>
      <c r="I583" s="18"/>
    </row>
    <row r="584" ht="20.05" customHeight="1">
      <c r="A584" s="10">
        <v>45462</v>
      </c>
      <c r="B584" t="s" s="11">
        <v>7</v>
      </c>
      <c r="C584" t="s" s="12">
        <v>124</v>
      </c>
      <c r="D584" s="19"/>
      <c r="E584" s="19">
        <v>0</v>
      </c>
      <c r="F584" s="20"/>
      <c r="G584" s="20"/>
      <c r="H584" s="20"/>
      <c r="I584" s="20"/>
    </row>
    <row r="585" ht="20.35" customHeight="1">
      <c r="A585" s="10">
        <v>45462</v>
      </c>
      <c r="B585" t="s" s="11">
        <v>72</v>
      </c>
      <c r="C585" t="s" s="12">
        <v>124</v>
      </c>
      <c r="D585" s="13"/>
      <c r="E585" s="13">
        <v>50000</v>
      </c>
      <c r="F585" s="14"/>
      <c r="G585" s="14"/>
      <c r="H585" s="14"/>
      <c r="I585" s="14"/>
    </row>
    <row r="586" ht="20.7" customHeight="1">
      <c r="A586" s="10">
        <v>45462</v>
      </c>
      <c r="B586" t="s" s="11">
        <v>8</v>
      </c>
      <c r="C586" t="s" s="12">
        <v>8</v>
      </c>
      <c r="D586" s="15" cm="1">
        <f t="array" ref="D586">SUM(D583:D585)</f>
        <v>50000</v>
      </c>
      <c r="E586" s="15" cm="1">
        <f t="array" ref="E586">SUM(E583:E585)</f>
        <v>50000</v>
      </c>
      <c r="F586" s="16" cm="1">
        <f t="array" ref="F586">SUM(F583:F585)</f>
        <v>0</v>
      </c>
      <c r="G586" s="16" cm="1">
        <f t="array" ref="G586">SUM(G583:G585)</f>
        <v>0</v>
      </c>
      <c r="H586" s="16" cm="1">
        <f t="array" ref="H586">SUM(H583:H585)</f>
        <v>0</v>
      </c>
      <c r="I586" s="16" cm="1">
        <f t="array" ref="I586">SUM(I583:I585)</f>
        <v>0</v>
      </c>
    </row>
    <row r="587" ht="20.35" customHeight="1">
      <c r="A587" s="10">
        <v>45462</v>
      </c>
      <c r="B587" t="s" s="11">
        <v>5</v>
      </c>
      <c r="C587" t="s" s="12">
        <v>172</v>
      </c>
      <c r="D587" s="17"/>
      <c r="E587" s="17">
        <v>29000</v>
      </c>
      <c r="F587" s="18"/>
      <c r="G587" s="18"/>
      <c r="H587" s="18"/>
      <c r="I587" s="18"/>
    </row>
    <row r="588" ht="20.05" customHeight="1">
      <c r="A588" s="10">
        <v>45462</v>
      </c>
      <c r="B588" t="s" s="11">
        <v>12</v>
      </c>
      <c r="C588" t="s" s="12">
        <v>171</v>
      </c>
      <c r="D588" s="19">
        <v>14500</v>
      </c>
      <c r="E588" s="19"/>
      <c r="F588" s="20"/>
      <c r="G588" s="20"/>
      <c r="H588" s="20"/>
      <c r="I588" s="20"/>
    </row>
    <row r="589" ht="20.35" customHeight="1">
      <c r="A589" s="10">
        <v>45462</v>
      </c>
      <c r="B589" t="s" s="11">
        <v>10</v>
      </c>
      <c r="C589" t="s" s="12">
        <v>171</v>
      </c>
      <c r="D589" s="13">
        <v>14500</v>
      </c>
      <c r="E589" s="13"/>
      <c r="F589" s="14"/>
      <c r="G589" s="14"/>
      <c r="H589" s="14"/>
      <c r="I589" s="14"/>
    </row>
    <row r="590" ht="20.7" customHeight="1">
      <c r="A590" s="10">
        <v>45462</v>
      </c>
      <c r="B590" t="s" s="11">
        <v>8</v>
      </c>
      <c r="C590" t="s" s="12">
        <v>8</v>
      </c>
      <c r="D590" s="15" cm="1">
        <f t="array" ref="D590">SUM(D587:D589)</f>
        <v>29000</v>
      </c>
      <c r="E590" s="15" cm="1">
        <f t="array" ref="E590">SUM(E587:E589)</f>
        <v>29000</v>
      </c>
      <c r="F590" s="16" cm="1">
        <f t="array" ref="F590">SUM(F587:F589)</f>
        <v>0</v>
      </c>
      <c r="G590" s="16" cm="1">
        <f t="array" ref="G590">SUM(G587:G589)</f>
        <v>0</v>
      </c>
      <c r="H590" s="16" cm="1">
        <f t="array" ref="H590">SUM(H587:H589)</f>
        <v>0</v>
      </c>
      <c r="I590" s="16" cm="1">
        <f t="array" ref="I590">SUM(I587:I589)</f>
        <v>0</v>
      </c>
    </row>
    <row r="591" ht="20.35" customHeight="1">
      <c r="A591" s="10">
        <v>45463</v>
      </c>
      <c r="B591" t="s" s="11">
        <v>5</v>
      </c>
      <c r="C591" t="s" s="12">
        <v>173</v>
      </c>
      <c r="D591" s="17"/>
      <c r="E591" s="17">
        <v>7000</v>
      </c>
      <c r="F591" s="18"/>
      <c r="G591" s="18"/>
      <c r="H591" s="18"/>
      <c r="I591" s="18"/>
    </row>
    <row r="592" ht="20.35" customHeight="1">
      <c r="A592" s="10">
        <v>45463</v>
      </c>
      <c r="B592" t="s" s="11">
        <v>10</v>
      </c>
      <c r="C592" t="s" s="12">
        <v>173</v>
      </c>
      <c r="D592" s="13">
        <v>7000</v>
      </c>
      <c r="E592" s="13"/>
      <c r="F592" s="14"/>
      <c r="G592" s="14"/>
      <c r="H592" s="14"/>
      <c r="I592" s="14"/>
    </row>
    <row r="593" ht="20.7" customHeight="1">
      <c r="A593" s="10">
        <v>45463</v>
      </c>
      <c r="B593" t="s" s="11">
        <v>8</v>
      </c>
      <c r="C593" t="s" s="12">
        <v>8</v>
      </c>
      <c r="D593" s="15" cm="1">
        <f t="array" ref="D593">SUM(D591:D592)</f>
        <v>7000</v>
      </c>
      <c r="E593" s="15" cm="1">
        <f t="array" ref="E593">SUM(E591:E592)</f>
        <v>7000</v>
      </c>
      <c r="F593" s="16" cm="1">
        <f t="array" ref="F593">SUM(F591:F592)</f>
        <v>0</v>
      </c>
      <c r="G593" s="16" cm="1">
        <f t="array" ref="G593">SUM(G591:G592)</f>
        <v>0</v>
      </c>
      <c r="H593" s="16" cm="1">
        <f t="array" ref="H593">SUM(H591:H592)</f>
        <v>0</v>
      </c>
      <c r="I593" s="16" cm="1">
        <f t="array" ref="I593">SUM(I591:I592)</f>
        <v>0</v>
      </c>
    </row>
    <row r="594" ht="20.35" customHeight="1">
      <c r="A594" s="10">
        <v>45463</v>
      </c>
      <c r="B594" t="s" s="11">
        <v>5</v>
      </c>
      <c r="C594" t="s" s="12">
        <v>17</v>
      </c>
      <c r="D594" s="17">
        <v>100</v>
      </c>
      <c r="E594" s="17"/>
      <c r="F594" s="18"/>
      <c r="G594" s="18"/>
      <c r="H594" s="18"/>
      <c r="I594" s="18"/>
    </row>
    <row r="595" ht="20.35" customHeight="1">
      <c r="A595" s="10">
        <v>45463</v>
      </c>
      <c r="B595" t="s" s="11">
        <v>18</v>
      </c>
      <c r="C595" t="s" s="12">
        <v>17</v>
      </c>
      <c r="D595" s="13"/>
      <c r="E595" s="13">
        <v>100</v>
      </c>
      <c r="F595" s="14"/>
      <c r="G595" s="14"/>
      <c r="H595" s="14"/>
      <c r="I595" s="14"/>
    </row>
    <row r="596" ht="20.7" customHeight="1">
      <c r="A596" s="10">
        <v>45463</v>
      </c>
      <c r="B596" t="s" s="11">
        <v>8</v>
      </c>
      <c r="C596" t="s" s="12">
        <v>8</v>
      </c>
      <c r="D596" s="15" cm="1">
        <f t="array" ref="D596">SUM(D594:D595)</f>
        <v>100</v>
      </c>
      <c r="E596" s="15" cm="1">
        <f t="array" ref="E596">SUM(E594:E595)</f>
        <v>100</v>
      </c>
      <c r="F596" s="16" cm="1">
        <f t="array" ref="F596">SUM(F594:F595)</f>
        <v>0</v>
      </c>
      <c r="G596" s="16" cm="1">
        <f t="array" ref="G596">SUM(G594:G595)</f>
        <v>0</v>
      </c>
      <c r="H596" s="16" cm="1">
        <f t="array" ref="H596">SUM(H594:H595)</f>
        <v>0</v>
      </c>
      <c r="I596" s="16" cm="1">
        <f t="array" ref="I596">SUM(I594:I595)</f>
        <v>0</v>
      </c>
    </row>
    <row r="597" ht="20.35" customHeight="1">
      <c r="A597" s="10">
        <v>45463</v>
      </c>
      <c r="B597" t="s" s="11">
        <v>5</v>
      </c>
      <c r="C597" t="s" s="12">
        <v>110</v>
      </c>
      <c r="D597" s="17"/>
      <c r="E597" s="17">
        <v>10000</v>
      </c>
      <c r="F597" s="18"/>
      <c r="G597" s="18"/>
      <c r="H597" s="18"/>
      <c r="I597" s="18"/>
    </row>
    <row r="598" ht="20.35" customHeight="1">
      <c r="A598" s="10">
        <v>45463</v>
      </c>
      <c r="B598" t="s" s="11">
        <v>93</v>
      </c>
      <c r="C598" t="s" s="12">
        <v>110</v>
      </c>
      <c r="D598" s="13">
        <v>10000</v>
      </c>
      <c r="E598" s="13"/>
      <c r="F598" s="14"/>
      <c r="G598" s="14"/>
      <c r="H598" s="14"/>
      <c r="I598" s="14"/>
    </row>
    <row r="599" ht="20.7" customHeight="1">
      <c r="A599" s="10">
        <v>45463</v>
      </c>
      <c r="B599" t="s" s="11">
        <v>8</v>
      </c>
      <c r="C599" t="s" s="12">
        <v>8</v>
      </c>
      <c r="D599" s="15" cm="1">
        <f t="array" ref="D599">SUM(D597:D598)</f>
        <v>10000</v>
      </c>
      <c r="E599" s="15" cm="1">
        <f t="array" ref="E599">SUM(E597:E598)</f>
        <v>10000</v>
      </c>
      <c r="F599" s="16" cm="1">
        <f t="array" ref="F599">SUM(F597:F598)</f>
        <v>0</v>
      </c>
      <c r="G599" s="16" cm="1">
        <f t="array" ref="G599">SUM(G597:G598)</f>
        <v>0</v>
      </c>
      <c r="H599" s="16" cm="1">
        <f t="array" ref="H599">SUM(H597:H598)</f>
        <v>0</v>
      </c>
      <c r="I599" s="16" cm="1">
        <f t="array" ref="I599">SUM(I597:I598)</f>
        <v>0</v>
      </c>
    </row>
    <row r="600" ht="20.35" customHeight="1">
      <c r="A600" s="10">
        <v>45463</v>
      </c>
      <c r="B600" t="s" s="11">
        <v>93</v>
      </c>
      <c r="C600" t="s" s="12">
        <v>54</v>
      </c>
      <c r="D600" s="17"/>
      <c r="E600" s="17">
        <v>3300</v>
      </c>
      <c r="F600" s="18"/>
      <c r="G600" s="18"/>
      <c r="H600" s="18"/>
      <c r="I600" s="18"/>
    </row>
    <row r="601" ht="20.35" customHeight="1">
      <c r="A601" s="10">
        <v>45463</v>
      </c>
      <c r="B601" t="s" s="11">
        <v>10</v>
      </c>
      <c r="C601" t="s" s="12">
        <v>54</v>
      </c>
      <c r="D601" s="13">
        <v>3300</v>
      </c>
      <c r="E601" s="13"/>
      <c r="F601" s="14"/>
      <c r="G601" s="14"/>
      <c r="H601" s="14"/>
      <c r="I601" s="14"/>
    </row>
    <row r="602" ht="20.7" customHeight="1">
      <c r="A602" s="10">
        <v>45463</v>
      </c>
      <c r="B602" t="s" s="11">
        <v>8</v>
      </c>
      <c r="C602" t="s" s="12">
        <v>8</v>
      </c>
      <c r="D602" s="15" cm="1">
        <f t="array" ref="D602">SUM(D600:D601)</f>
        <v>3300</v>
      </c>
      <c r="E602" s="15" cm="1">
        <f t="array" ref="E602">SUM(E600:E601)</f>
        <v>3300</v>
      </c>
      <c r="F602" s="16" cm="1">
        <f t="array" ref="F602">SUM(F600:F601)</f>
        <v>0</v>
      </c>
      <c r="G602" s="16" cm="1">
        <f t="array" ref="G602">SUM(G600:G601)</f>
        <v>0</v>
      </c>
      <c r="H602" s="16" cm="1">
        <f t="array" ref="H602">SUM(H600:H601)</f>
        <v>0</v>
      </c>
      <c r="I602" s="16" cm="1">
        <f t="array" ref="I602">SUM(I600:I601)</f>
        <v>0</v>
      </c>
    </row>
    <row r="603" ht="20.35" customHeight="1">
      <c r="A603" s="10">
        <v>45463</v>
      </c>
      <c r="B603" t="s" s="11">
        <v>5</v>
      </c>
      <c r="C603" t="s" s="12">
        <v>112</v>
      </c>
      <c r="D603" s="17">
        <v>6700</v>
      </c>
      <c r="E603" s="17"/>
      <c r="F603" s="18"/>
      <c r="G603" s="18"/>
      <c r="H603" s="18"/>
      <c r="I603" s="18"/>
    </row>
    <row r="604" ht="20.35" customHeight="1">
      <c r="A604" s="10">
        <v>45463</v>
      </c>
      <c r="B604" t="s" s="11">
        <v>93</v>
      </c>
      <c r="C604" t="s" s="12">
        <v>112</v>
      </c>
      <c r="D604" s="13"/>
      <c r="E604" s="13">
        <v>6700</v>
      </c>
      <c r="F604" s="14"/>
      <c r="G604" s="14"/>
      <c r="H604" s="14"/>
      <c r="I604" s="14"/>
    </row>
    <row r="605" ht="20.7" customHeight="1">
      <c r="A605" s="10">
        <v>45463</v>
      </c>
      <c r="B605" t="s" s="11">
        <v>8</v>
      </c>
      <c r="C605" t="s" s="12">
        <v>8</v>
      </c>
      <c r="D605" s="15" cm="1">
        <f t="array" ref="D605">SUM(D603:D604)</f>
        <v>6700</v>
      </c>
      <c r="E605" s="15" cm="1">
        <f t="array" ref="E605">SUM(E603:E604)</f>
        <v>6700</v>
      </c>
      <c r="F605" s="16" cm="1">
        <f t="array" ref="F605">SUM(F603:F604)</f>
        <v>0</v>
      </c>
      <c r="G605" s="16" cm="1">
        <f t="array" ref="G605">SUM(G603:G604)</f>
        <v>0</v>
      </c>
      <c r="H605" s="16" cm="1">
        <f t="array" ref="H605">SUM(H603:H604)</f>
        <v>0</v>
      </c>
      <c r="I605" s="16" cm="1">
        <f t="array" ref="I605">SUM(I603:I604)</f>
        <v>0</v>
      </c>
    </row>
    <row r="606" ht="20.35" customHeight="1">
      <c r="A606" s="10">
        <v>45464</v>
      </c>
      <c r="B606" t="s" s="11">
        <v>5</v>
      </c>
      <c r="C606" t="s" s="12">
        <v>110</v>
      </c>
      <c r="D606" s="17"/>
      <c r="E606" s="17">
        <v>10000</v>
      </c>
      <c r="F606" s="18"/>
      <c r="G606" s="18"/>
      <c r="H606" s="18"/>
      <c r="I606" s="18"/>
    </row>
    <row r="607" ht="20.35" customHeight="1">
      <c r="A607" s="10">
        <v>45464</v>
      </c>
      <c r="B607" t="s" s="11">
        <v>93</v>
      </c>
      <c r="C607" t="s" s="12">
        <v>110</v>
      </c>
      <c r="D607" s="13">
        <v>10000</v>
      </c>
      <c r="E607" s="13"/>
      <c r="F607" s="14"/>
      <c r="G607" s="14"/>
      <c r="H607" s="14"/>
      <c r="I607" s="14"/>
    </row>
    <row r="608" ht="20.7" customHeight="1">
      <c r="A608" s="10">
        <v>45464</v>
      </c>
      <c r="B608" t="s" s="11">
        <v>8</v>
      </c>
      <c r="C608" t="s" s="12">
        <v>8</v>
      </c>
      <c r="D608" s="15" cm="1">
        <f t="array" ref="D608">SUM(D606:D607)</f>
        <v>10000</v>
      </c>
      <c r="E608" s="15" cm="1">
        <f t="array" ref="E608">SUM(E606:E607)</f>
        <v>10000</v>
      </c>
      <c r="F608" s="16" cm="1">
        <f t="array" ref="F608">SUM(F606:F607)</f>
        <v>0</v>
      </c>
      <c r="G608" s="16" cm="1">
        <f t="array" ref="G608">SUM(G606:G607)</f>
        <v>0</v>
      </c>
      <c r="H608" s="16" cm="1">
        <f t="array" ref="H608">SUM(H606:H607)</f>
        <v>0</v>
      </c>
      <c r="I608" s="16" cm="1">
        <f t="array" ref="I608">SUM(I606:I607)</f>
        <v>0</v>
      </c>
    </row>
    <row r="609" ht="21.25" customHeight="1">
      <c r="A609" s="10">
        <v>45464</v>
      </c>
      <c r="B609" t="s" s="11">
        <v>10</v>
      </c>
      <c r="C609" t="s" s="12">
        <v>174</v>
      </c>
      <c r="D609" s="17"/>
      <c r="E609" s="17">
        <v>9907</v>
      </c>
      <c r="F609" s="18"/>
      <c r="G609" s="18"/>
      <c r="H609" s="18"/>
      <c r="I609" s="18"/>
    </row>
    <row r="610" ht="21.25" customHeight="1">
      <c r="A610" s="10">
        <v>45464</v>
      </c>
      <c r="B610" t="s" s="11">
        <v>93</v>
      </c>
      <c r="C610" t="s" s="12">
        <v>174</v>
      </c>
      <c r="D610" s="13">
        <v>9907</v>
      </c>
      <c r="E610" s="13"/>
      <c r="F610" s="14"/>
      <c r="G610" s="14"/>
      <c r="H610" s="14"/>
      <c r="I610" s="14"/>
    </row>
    <row r="611" ht="20.7" customHeight="1">
      <c r="A611" s="10">
        <v>45464</v>
      </c>
      <c r="B611" t="s" s="11">
        <v>8</v>
      </c>
      <c r="C611" t="s" s="12">
        <v>8</v>
      </c>
      <c r="D611" s="15" cm="1">
        <f t="array" ref="D611">SUM(D609:D610)</f>
        <v>9907</v>
      </c>
      <c r="E611" s="15" cm="1">
        <f t="array" ref="E611">SUM(E609:E610)</f>
        <v>9907</v>
      </c>
      <c r="F611" s="16" cm="1">
        <f t="array" ref="F611">SUM(F609:F610)</f>
        <v>0</v>
      </c>
      <c r="G611" s="16" cm="1">
        <f t="array" ref="G611">SUM(G609:G610)</f>
        <v>0</v>
      </c>
      <c r="H611" s="16" cm="1">
        <f t="array" ref="H611">SUM(H609:H610)</f>
        <v>0</v>
      </c>
      <c r="I611" s="16" cm="1">
        <f t="array" ref="I611">SUM(I609:I610)</f>
        <v>0</v>
      </c>
    </row>
    <row r="612" ht="21.25" customHeight="1">
      <c r="A612" s="10">
        <v>45464</v>
      </c>
      <c r="B612" t="s" s="11">
        <v>93</v>
      </c>
      <c r="C612" t="s" s="12">
        <v>175</v>
      </c>
      <c r="D612" s="17"/>
      <c r="E612" s="17">
        <v>9907</v>
      </c>
      <c r="F612" s="18"/>
      <c r="G612" s="18"/>
      <c r="H612" s="18"/>
      <c r="I612" s="18"/>
    </row>
    <row r="613" ht="21.25" customHeight="1">
      <c r="A613" s="10">
        <v>45464</v>
      </c>
      <c r="B613" t="s" s="11">
        <v>10</v>
      </c>
      <c r="C613" t="s" s="12">
        <v>175</v>
      </c>
      <c r="D613" s="13">
        <v>9907</v>
      </c>
      <c r="E613" s="13"/>
      <c r="F613" s="14"/>
      <c r="G613" s="14"/>
      <c r="H613" s="14"/>
      <c r="I613" s="14"/>
    </row>
    <row r="614" ht="20.7" customHeight="1">
      <c r="A614" s="10">
        <v>45464</v>
      </c>
      <c r="B614" t="s" s="11">
        <v>8</v>
      </c>
      <c r="C614" t="s" s="12">
        <v>8</v>
      </c>
      <c r="D614" s="15" cm="1">
        <f t="array" ref="D614">SUM(D612:D613)</f>
        <v>9907</v>
      </c>
      <c r="E614" s="15" cm="1">
        <f t="array" ref="E614">SUM(E612:E613)</f>
        <v>9907</v>
      </c>
      <c r="F614" s="16" cm="1">
        <f t="array" ref="F614">SUM(F612:F613)</f>
        <v>0</v>
      </c>
      <c r="G614" s="16" cm="1">
        <f t="array" ref="G614">SUM(G612:G613)</f>
        <v>0</v>
      </c>
      <c r="H614" s="16" cm="1">
        <f t="array" ref="H614">SUM(H612:H613)</f>
        <v>0</v>
      </c>
      <c r="I614" s="16" cm="1">
        <f t="array" ref="I614">SUM(I612:I613)</f>
        <v>0</v>
      </c>
    </row>
    <row r="615" ht="20.35" customHeight="1">
      <c r="A615" s="10">
        <v>45464</v>
      </c>
      <c r="B615" t="s" s="11">
        <v>5</v>
      </c>
      <c r="C615" t="s" s="12">
        <v>53</v>
      </c>
      <c r="D615" s="17"/>
      <c r="E615" s="17">
        <v>3200</v>
      </c>
      <c r="F615" s="18"/>
      <c r="G615" s="18"/>
      <c r="H615" s="18"/>
      <c r="I615" s="18"/>
    </row>
    <row r="616" ht="20.35" customHeight="1">
      <c r="A616" s="10">
        <v>45464</v>
      </c>
      <c r="B616" t="s" s="11">
        <v>12</v>
      </c>
      <c r="C616" t="s" s="12">
        <v>53</v>
      </c>
      <c r="D616" s="13">
        <v>3200</v>
      </c>
      <c r="E616" s="13"/>
      <c r="F616" s="14"/>
      <c r="G616" s="14"/>
      <c r="H616" s="14"/>
      <c r="I616" s="14"/>
    </row>
    <row r="617" ht="20.7" customHeight="1">
      <c r="A617" s="10">
        <v>45464</v>
      </c>
      <c r="B617" t="s" s="11">
        <v>8</v>
      </c>
      <c r="C617" t="s" s="12">
        <v>8</v>
      </c>
      <c r="D617" s="15" cm="1">
        <f t="array" ref="D617">SUM(D615:D616)</f>
        <v>3200</v>
      </c>
      <c r="E617" s="15" cm="1">
        <f t="array" ref="E617">SUM(E615:E616)</f>
        <v>3200</v>
      </c>
      <c r="F617" s="16" cm="1">
        <f t="array" ref="F617">SUM(F615:F616)</f>
        <v>0</v>
      </c>
      <c r="G617" s="16" cm="1">
        <f t="array" ref="G617">SUM(G615:G616)</f>
        <v>0</v>
      </c>
      <c r="H617" s="16" cm="1">
        <f t="array" ref="H617">SUM(H615:H616)</f>
        <v>0</v>
      </c>
      <c r="I617" s="16" cm="1">
        <f t="array" ref="I617">SUM(I615:I616)</f>
        <v>0</v>
      </c>
    </row>
    <row r="618" ht="20.35" customHeight="1">
      <c r="A618" s="10">
        <v>45464</v>
      </c>
      <c r="B618" t="s" s="11">
        <v>5</v>
      </c>
      <c r="C618" t="s" s="12">
        <v>17</v>
      </c>
      <c r="D618" s="17">
        <v>100</v>
      </c>
      <c r="E618" s="17"/>
      <c r="F618" s="18"/>
      <c r="G618" s="18"/>
      <c r="H618" s="18"/>
      <c r="I618" s="18"/>
    </row>
    <row r="619" ht="20.35" customHeight="1">
      <c r="A619" s="10">
        <v>45464</v>
      </c>
      <c r="B619" t="s" s="11">
        <v>18</v>
      </c>
      <c r="C619" t="s" s="12">
        <v>17</v>
      </c>
      <c r="D619" s="13"/>
      <c r="E619" s="13">
        <v>100</v>
      </c>
      <c r="F619" s="14"/>
      <c r="G619" s="14"/>
      <c r="H619" s="14"/>
      <c r="I619" s="14"/>
    </row>
    <row r="620" ht="20.7" customHeight="1">
      <c r="A620" s="10">
        <v>45464</v>
      </c>
      <c r="B620" t="s" s="11">
        <v>8</v>
      </c>
      <c r="C620" t="s" s="12">
        <v>8</v>
      </c>
      <c r="D620" s="15" cm="1">
        <f t="array" ref="D620">SUM(D618:D619)</f>
        <v>100</v>
      </c>
      <c r="E620" s="15" cm="1">
        <f t="array" ref="E620">SUM(E618:E619)</f>
        <v>100</v>
      </c>
      <c r="F620" s="16" cm="1">
        <f t="array" ref="F620">SUM(F618:F619)</f>
        <v>0</v>
      </c>
      <c r="G620" s="16" cm="1">
        <f t="array" ref="G620">SUM(G618:G619)</f>
        <v>0</v>
      </c>
      <c r="H620" s="16" cm="1">
        <f t="array" ref="H620">SUM(H618:H619)</f>
        <v>0</v>
      </c>
      <c r="I620" s="16" cm="1">
        <f t="array" ref="I620">SUM(I618:I619)</f>
        <v>0</v>
      </c>
    </row>
    <row r="621" ht="20.35" customHeight="1">
      <c r="A621" s="10">
        <v>45464</v>
      </c>
      <c r="B621" t="s" s="11">
        <v>5</v>
      </c>
      <c r="C621" t="s" s="12">
        <v>176</v>
      </c>
      <c r="D621" s="17"/>
      <c r="E621" s="17">
        <v>7300</v>
      </c>
      <c r="F621" s="18"/>
      <c r="G621" s="18"/>
      <c r="H621" s="18"/>
      <c r="I621" s="18"/>
    </row>
    <row r="622" ht="20.35" customHeight="1">
      <c r="A622" s="10">
        <v>45464</v>
      </c>
      <c r="B622" t="s" s="11">
        <v>12</v>
      </c>
      <c r="C622" t="s" s="12">
        <v>176</v>
      </c>
      <c r="D622" s="13">
        <v>7300</v>
      </c>
      <c r="E622" s="13"/>
      <c r="F622" s="14"/>
      <c r="G622" s="14"/>
      <c r="H622" s="14"/>
      <c r="I622" s="14"/>
    </row>
    <row r="623" ht="20.7" customHeight="1">
      <c r="A623" s="10">
        <v>45464</v>
      </c>
      <c r="B623" t="s" s="11">
        <v>8</v>
      </c>
      <c r="C623" t="s" s="12">
        <v>8</v>
      </c>
      <c r="D623" s="15" cm="1">
        <f t="array" ref="D623">SUM(D621:D622)</f>
        <v>7300</v>
      </c>
      <c r="E623" s="15" cm="1">
        <f t="array" ref="E623">SUM(E621:E622)</f>
        <v>7300</v>
      </c>
      <c r="F623" s="16" cm="1">
        <f t="array" ref="F623">SUM(F621:F622)</f>
        <v>0</v>
      </c>
      <c r="G623" s="16" cm="1">
        <f t="array" ref="G623">SUM(G621:G622)</f>
        <v>0</v>
      </c>
      <c r="H623" s="16" cm="1">
        <f t="array" ref="H623">SUM(H621:H622)</f>
        <v>0</v>
      </c>
      <c r="I623" s="16" cm="1">
        <f t="array" ref="I623">SUM(I621:I622)</f>
        <v>0</v>
      </c>
    </row>
    <row r="624" ht="20.35" customHeight="1">
      <c r="A624" s="10">
        <v>45465</v>
      </c>
      <c r="B624" t="s" s="11">
        <v>5</v>
      </c>
      <c r="C624" t="s" s="12">
        <v>169</v>
      </c>
      <c r="D624" s="17"/>
      <c r="E624" s="17">
        <v>5000</v>
      </c>
      <c r="F624" s="18"/>
      <c r="G624" s="18"/>
      <c r="H624" s="18"/>
      <c r="I624" s="18"/>
    </row>
    <row r="625" ht="20.35" customHeight="1">
      <c r="A625" s="10">
        <v>45465</v>
      </c>
      <c r="B625" t="s" s="11">
        <v>12</v>
      </c>
      <c r="C625" t="s" s="12">
        <v>169</v>
      </c>
      <c r="D625" s="13">
        <v>5000</v>
      </c>
      <c r="E625" s="13"/>
      <c r="F625" s="14"/>
      <c r="G625" s="14"/>
      <c r="H625" s="14"/>
      <c r="I625" s="14"/>
    </row>
    <row r="626" ht="20.7" customHeight="1">
      <c r="A626" s="10">
        <v>45465</v>
      </c>
      <c r="B626" t="s" s="11">
        <v>8</v>
      </c>
      <c r="C626" t="s" s="12">
        <v>8</v>
      </c>
      <c r="D626" s="15" cm="1">
        <f t="array" ref="D626">SUM(D624:D625)</f>
        <v>5000</v>
      </c>
      <c r="E626" s="15" cm="1">
        <f t="array" ref="E626">SUM(E624:E625)</f>
        <v>5000</v>
      </c>
      <c r="F626" s="16" cm="1">
        <f t="array" ref="F626">SUM(F624:F625)</f>
        <v>0</v>
      </c>
      <c r="G626" s="16" cm="1">
        <f t="array" ref="G626">SUM(G624:G625)</f>
        <v>0</v>
      </c>
      <c r="H626" s="16" cm="1">
        <f t="array" ref="H626">SUM(H624:H625)</f>
        <v>0</v>
      </c>
      <c r="I626" s="16" cm="1">
        <f t="array" ref="I626">SUM(I624:I625)</f>
        <v>0</v>
      </c>
    </row>
    <row r="627" ht="20.35" customHeight="1">
      <c r="A627" s="10">
        <v>45465</v>
      </c>
      <c r="B627" t="s" s="11">
        <v>93</v>
      </c>
      <c r="C627" t="s" s="12">
        <v>53</v>
      </c>
      <c r="D627" s="17"/>
      <c r="E627" s="17">
        <v>6384</v>
      </c>
      <c r="F627" s="18"/>
      <c r="G627" s="18"/>
      <c r="H627" s="18"/>
      <c r="I627" s="18"/>
    </row>
    <row r="628" ht="20.35" customHeight="1">
      <c r="A628" s="10">
        <v>45465</v>
      </c>
      <c r="B628" t="s" s="11">
        <v>12</v>
      </c>
      <c r="C628" t="s" s="12">
        <v>53</v>
      </c>
      <c r="D628" s="13">
        <v>6384</v>
      </c>
      <c r="E628" s="13"/>
      <c r="F628" s="14"/>
      <c r="G628" s="14"/>
      <c r="H628" s="14"/>
      <c r="I628" s="14"/>
    </row>
    <row r="629" ht="20.7" customHeight="1">
      <c r="A629" s="10">
        <v>45465</v>
      </c>
      <c r="B629" t="s" s="11">
        <v>8</v>
      </c>
      <c r="C629" t="s" s="12">
        <v>8</v>
      </c>
      <c r="D629" s="15" cm="1">
        <f t="array" ref="D629">SUM(D627:D628)</f>
        <v>6384</v>
      </c>
      <c r="E629" s="15" cm="1">
        <f t="array" ref="E629">SUM(E627:E628)</f>
        <v>6384</v>
      </c>
      <c r="F629" s="16" cm="1">
        <f t="array" ref="F629">SUM(F627:F628)</f>
        <v>0</v>
      </c>
      <c r="G629" s="16" cm="1">
        <f t="array" ref="G629">SUM(G627:G628)</f>
        <v>0</v>
      </c>
      <c r="H629" s="16" cm="1">
        <f t="array" ref="H629">SUM(H627:H628)</f>
        <v>0</v>
      </c>
      <c r="I629" s="16" cm="1">
        <f t="array" ref="I629">SUM(I627:I628)</f>
        <v>0</v>
      </c>
    </row>
    <row r="630" ht="20.35" customHeight="1">
      <c r="A630" s="10">
        <v>45465</v>
      </c>
      <c r="B630" t="s" s="11">
        <v>93</v>
      </c>
      <c r="C630" t="s" s="12">
        <v>177</v>
      </c>
      <c r="D630" s="17"/>
      <c r="E630" s="17">
        <v>2800</v>
      </c>
      <c r="F630" s="18"/>
      <c r="G630" s="18"/>
      <c r="H630" s="18"/>
      <c r="I630" s="18"/>
    </row>
    <row r="631" ht="20.35" customHeight="1">
      <c r="A631" s="10">
        <v>45465</v>
      </c>
      <c r="B631" t="s" s="11">
        <v>10</v>
      </c>
      <c r="C631" t="s" s="12">
        <v>177</v>
      </c>
      <c r="D631" s="13">
        <v>2800</v>
      </c>
      <c r="E631" s="13"/>
      <c r="F631" s="14"/>
      <c r="G631" s="14"/>
      <c r="H631" s="14"/>
      <c r="I631" s="14"/>
    </row>
    <row r="632" ht="20.7" customHeight="1">
      <c r="A632" s="10">
        <v>45465</v>
      </c>
      <c r="B632" t="s" s="11">
        <v>8</v>
      </c>
      <c r="C632" t="s" s="12">
        <v>8</v>
      </c>
      <c r="D632" s="15" cm="1">
        <f t="array" ref="D632">SUM(D630:D631)</f>
        <v>2800</v>
      </c>
      <c r="E632" s="15" cm="1">
        <f t="array" ref="E632">SUM(E630:E631)</f>
        <v>2800</v>
      </c>
      <c r="F632" s="16" cm="1">
        <f t="array" ref="F632">SUM(F630:F631)</f>
        <v>0</v>
      </c>
      <c r="G632" s="16" cm="1">
        <f t="array" ref="G632">SUM(G630:G631)</f>
        <v>0</v>
      </c>
      <c r="H632" s="16" cm="1">
        <f t="array" ref="H632">SUM(H630:H631)</f>
        <v>0</v>
      </c>
      <c r="I632" s="16" cm="1">
        <f t="array" ref="I632">SUM(I630:I631)</f>
        <v>0</v>
      </c>
    </row>
    <row r="633" ht="20.35" customHeight="1">
      <c r="A633" s="10">
        <v>45465</v>
      </c>
      <c r="B633" t="s" s="11">
        <v>5</v>
      </c>
      <c r="C633" t="s" s="12">
        <v>124</v>
      </c>
      <c r="D633" s="17">
        <v>91913</v>
      </c>
      <c r="E633" s="17"/>
      <c r="F633" s="18"/>
      <c r="G633" s="18"/>
      <c r="H633" s="18"/>
      <c r="I633" s="18"/>
    </row>
    <row r="634" ht="20.05" customHeight="1">
      <c r="A634" s="10">
        <v>45465</v>
      </c>
      <c r="B634" t="s" s="11">
        <v>7</v>
      </c>
      <c r="C634" t="s" s="12">
        <v>124</v>
      </c>
      <c r="D634" s="19"/>
      <c r="E634" s="19">
        <v>2</v>
      </c>
      <c r="F634" s="20"/>
      <c r="G634" s="20"/>
      <c r="H634" s="20"/>
      <c r="I634" s="20"/>
    </row>
    <row r="635" ht="20.35" customHeight="1">
      <c r="A635" s="10">
        <v>45465</v>
      </c>
      <c r="B635" t="s" s="11">
        <v>72</v>
      </c>
      <c r="C635" t="s" s="12">
        <v>124</v>
      </c>
      <c r="D635" s="13"/>
      <c r="E635" s="13">
        <v>91911</v>
      </c>
      <c r="F635" s="14"/>
      <c r="G635" s="14"/>
      <c r="H635" s="14"/>
      <c r="I635" s="14"/>
    </row>
    <row r="636" ht="20.7" customHeight="1">
      <c r="A636" s="10">
        <v>45465</v>
      </c>
      <c r="B636" t="s" s="11">
        <v>8</v>
      </c>
      <c r="C636" t="s" s="12">
        <v>8</v>
      </c>
      <c r="D636" s="15" cm="1">
        <f t="array" ref="D636">SUM(D633:D635)</f>
        <v>91913</v>
      </c>
      <c r="E636" s="15" cm="1">
        <f t="array" ref="E636">SUM(E633:E635)</f>
        <v>91913</v>
      </c>
      <c r="F636" s="16" cm="1">
        <f t="array" ref="F636">SUM(F633:F635)</f>
        <v>0</v>
      </c>
      <c r="G636" s="16" cm="1">
        <f t="array" ref="G636">SUM(G633:G635)</f>
        <v>0</v>
      </c>
      <c r="H636" s="16" cm="1">
        <f t="array" ref="H636">SUM(H633:H635)</f>
        <v>0</v>
      </c>
      <c r="I636" s="16" cm="1">
        <f t="array" ref="I636">SUM(I633:I635)</f>
        <v>0</v>
      </c>
    </row>
    <row r="637" ht="20.35" customHeight="1">
      <c r="A637" s="10">
        <v>45465</v>
      </c>
      <c r="B637" t="s" s="11">
        <v>5</v>
      </c>
      <c r="C637" t="s" s="12">
        <v>161</v>
      </c>
      <c r="D637" s="17"/>
      <c r="E637" s="17">
        <v>33600</v>
      </c>
      <c r="F637" s="18"/>
      <c r="G637" s="18"/>
      <c r="H637" s="18"/>
      <c r="I637" s="18"/>
    </row>
    <row r="638" ht="20.05" customHeight="1">
      <c r="A638" s="10">
        <v>45465</v>
      </c>
      <c r="B638" t="s" s="11">
        <v>12</v>
      </c>
      <c r="C638" t="s" s="12">
        <v>161</v>
      </c>
      <c r="D638" s="19" cm="1">
        <f t="array" ref="D638">33600*14/15</f>
        <v>31360</v>
      </c>
      <c r="E638" s="19"/>
      <c r="F638" s="20"/>
      <c r="G638" s="20"/>
      <c r="H638" s="20"/>
      <c r="I638" s="20"/>
    </row>
    <row r="639" ht="20.35" customHeight="1">
      <c r="A639" s="10">
        <v>45465</v>
      </c>
      <c r="B639" t="s" s="11">
        <v>10</v>
      </c>
      <c r="C639" t="s" s="12">
        <v>161</v>
      </c>
      <c r="D639" s="13">
        <v>2240</v>
      </c>
      <c r="E639" s="13"/>
      <c r="F639" s="14"/>
      <c r="G639" s="14"/>
      <c r="H639" s="14"/>
      <c r="I639" s="14"/>
    </row>
    <row r="640" ht="20.7" customHeight="1">
      <c r="A640" s="10">
        <v>45465</v>
      </c>
      <c r="B640" t="s" s="11">
        <v>8</v>
      </c>
      <c r="C640" t="s" s="12">
        <v>8</v>
      </c>
      <c r="D640" s="15" cm="1">
        <f t="array" ref="D640">SUM(D637:D639)</f>
        <v>33600</v>
      </c>
      <c r="E640" s="15" cm="1">
        <f t="array" ref="E640">SUM(E637:E639)</f>
        <v>33600</v>
      </c>
      <c r="F640" s="16" cm="1">
        <f t="array" ref="F640">SUM(F637:F639)</f>
        <v>0</v>
      </c>
      <c r="G640" s="16" cm="1">
        <f t="array" ref="G640">SUM(G637:G639)</f>
        <v>0</v>
      </c>
      <c r="H640" s="16" cm="1">
        <f t="array" ref="H640">SUM(H637:H639)</f>
        <v>0</v>
      </c>
      <c r="I640" s="16" cm="1">
        <f t="array" ref="I640">SUM(I637:I639)</f>
        <v>0</v>
      </c>
    </row>
    <row r="641" ht="20.35" customHeight="1">
      <c r="A641" s="10">
        <v>45465</v>
      </c>
      <c r="B641" t="s" s="11">
        <v>5</v>
      </c>
      <c r="C641" t="s" s="12">
        <v>166</v>
      </c>
      <c r="D641" s="17"/>
      <c r="E641" s="17">
        <v>3400</v>
      </c>
      <c r="F641" s="18"/>
      <c r="G641" s="18"/>
      <c r="H641" s="18"/>
      <c r="I641" s="18"/>
    </row>
    <row r="642" ht="20.35" customHeight="1">
      <c r="A642" s="10">
        <v>45465</v>
      </c>
      <c r="B642" t="s" s="11">
        <v>12</v>
      </c>
      <c r="C642" t="s" s="12">
        <v>166</v>
      </c>
      <c r="D642" s="13">
        <v>3400</v>
      </c>
      <c r="E642" s="13"/>
      <c r="F642" s="14"/>
      <c r="G642" s="14"/>
      <c r="H642" s="14"/>
      <c r="I642" s="14"/>
    </row>
    <row r="643" ht="20.7" customHeight="1">
      <c r="A643" s="10">
        <v>45465</v>
      </c>
      <c r="B643" t="s" s="11">
        <v>8</v>
      </c>
      <c r="C643" t="s" s="12">
        <v>8</v>
      </c>
      <c r="D643" s="15" cm="1">
        <f t="array" ref="D643">SUM(D641:D642)</f>
        <v>3400</v>
      </c>
      <c r="E643" s="15" cm="1">
        <f t="array" ref="E643">SUM(E641:E642)</f>
        <v>3400</v>
      </c>
      <c r="F643" s="16" cm="1">
        <f t="array" ref="F643">SUM(F641:F642)</f>
        <v>0</v>
      </c>
      <c r="G643" s="16" cm="1">
        <f t="array" ref="G643">SUM(G641:G642)</f>
        <v>0</v>
      </c>
      <c r="H643" s="16" cm="1">
        <f t="array" ref="H643">SUM(H641:H642)</f>
        <v>0</v>
      </c>
      <c r="I643" s="16" cm="1">
        <f t="array" ref="I643">SUM(I641:I642)</f>
        <v>0</v>
      </c>
    </row>
    <row r="644" ht="20.35" customHeight="1">
      <c r="A644" s="10">
        <v>45465</v>
      </c>
      <c r="B644" t="s" s="11">
        <v>5</v>
      </c>
      <c r="C644" t="s" s="12">
        <v>25</v>
      </c>
      <c r="D644" s="17"/>
      <c r="E644" s="17">
        <v>31630</v>
      </c>
      <c r="F644" s="18"/>
      <c r="G644" s="18"/>
      <c r="H644" s="18"/>
      <c r="I644" s="18"/>
    </row>
    <row r="645" ht="20.35" customHeight="1">
      <c r="A645" s="10">
        <v>45465</v>
      </c>
      <c r="B645" t="s" s="11">
        <v>12</v>
      </c>
      <c r="C645" t="s" s="12">
        <v>25</v>
      </c>
      <c r="D645" s="13">
        <v>31630</v>
      </c>
      <c r="E645" s="13"/>
      <c r="F645" s="14"/>
      <c r="G645" s="14"/>
      <c r="H645" s="14"/>
      <c r="I645" s="14"/>
    </row>
    <row r="646" ht="20.7" customHeight="1">
      <c r="A646" s="10">
        <v>45465</v>
      </c>
      <c r="B646" t="s" s="11">
        <v>8</v>
      </c>
      <c r="C646" t="s" s="12">
        <v>8</v>
      </c>
      <c r="D646" s="15" cm="1">
        <f t="array" ref="D646">SUM(D644:D645)</f>
        <v>31630</v>
      </c>
      <c r="E646" s="15" cm="1">
        <f t="array" ref="E646">SUM(E644:E645)</f>
        <v>31630</v>
      </c>
      <c r="F646" s="16" cm="1">
        <f t="array" ref="F646">SUM(F644:F645)</f>
        <v>0</v>
      </c>
      <c r="G646" s="16" cm="1">
        <f t="array" ref="G646">SUM(G644:G645)</f>
        <v>0</v>
      </c>
      <c r="H646" s="16" cm="1">
        <f t="array" ref="H646">SUM(H644:H645)</f>
        <v>0</v>
      </c>
      <c r="I646" s="16" cm="1">
        <f t="array" ref="I646">SUM(I644:I645)</f>
        <v>0</v>
      </c>
    </row>
    <row r="647" ht="20.35" customHeight="1">
      <c r="A647" s="10">
        <v>45466</v>
      </c>
      <c r="B647" t="s" s="11">
        <v>5</v>
      </c>
      <c r="C647" t="s" s="12">
        <v>178</v>
      </c>
      <c r="D647" s="17"/>
      <c r="E647" s="17">
        <v>17804</v>
      </c>
      <c r="F647" s="18"/>
      <c r="G647" s="18"/>
      <c r="H647" s="18"/>
      <c r="I647" s="18"/>
    </row>
    <row r="648" ht="20.35" customHeight="1">
      <c r="A648" s="10">
        <v>45466</v>
      </c>
      <c r="B648" t="s" s="11">
        <v>12</v>
      </c>
      <c r="C648" t="s" s="12">
        <v>178</v>
      </c>
      <c r="D648" s="13">
        <v>17804</v>
      </c>
      <c r="E648" s="13"/>
      <c r="F648" s="14"/>
      <c r="G648" s="14"/>
      <c r="H648" s="14"/>
      <c r="I648" s="14"/>
    </row>
    <row r="649" ht="20.7" customHeight="1">
      <c r="A649" s="10">
        <v>45466</v>
      </c>
      <c r="B649" t="s" s="11">
        <v>8</v>
      </c>
      <c r="C649" t="s" s="12">
        <v>8</v>
      </c>
      <c r="D649" s="15" cm="1">
        <f t="array" ref="D649">SUM(D647:D648)</f>
        <v>17804</v>
      </c>
      <c r="E649" s="15" cm="1">
        <f t="array" ref="E649">SUM(E647:E648)</f>
        <v>17804</v>
      </c>
      <c r="F649" s="16" cm="1">
        <f t="array" ref="F649">SUM(F647:F648)</f>
        <v>0</v>
      </c>
      <c r="G649" s="16" cm="1">
        <f t="array" ref="G649">SUM(G647:G648)</f>
        <v>0</v>
      </c>
      <c r="H649" s="16" cm="1">
        <f t="array" ref="H649">SUM(H647:H648)</f>
        <v>0</v>
      </c>
      <c r="I649" s="16" cm="1">
        <f t="array" ref="I649">SUM(I647:I648)</f>
        <v>0</v>
      </c>
    </row>
    <row r="650" ht="20.35" customHeight="1">
      <c r="A650" s="10">
        <v>45466</v>
      </c>
      <c r="B650" t="s" s="11">
        <v>5</v>
      </c>
      <c r="C650" t="s" s="12">
        <v>179</v>
      </c>
      <c r="D650" s="17"/>
      <c r="E650" s="17">
        <v>10400</v>
      </c>
      <c r="F650" s="18"/>
      <c r="G650" s="18"/>
      <c r="H650" s="18"/>
      <c r="I650" s="18"/>
    </row>
    <row r="651" ht="20.35" customHeight="1">
      <c r="A651" s="10">
        <v>45466</v>
      </c>
      <c r="B651" t="s" s="11">
        <v>12</v>
      </c>
      <c r="C651" t="s" s="12">
        <v>179</v>
      </c>
      <c r="D651" s="13">
        <v>10400</v>
      </c>
      <c r="E651" s="13"/>
      <c r="F651" s="14"/>
      <c r="G651" s="14"/>
      <c r="H651" s="14"/>
      <c r="I651" s="14"/>
    </row>
    <row r="652" ht="20.7" customHeight="1">
      <c r="A652" s="10">
        <v>45466</v>
      </c>
      <c r="B652" t="s" s="11">
        <v>8</v>
      </c>
      <c r="C652" t="s" s="12">
        <v>8</v>
      </c>
      <c r="D652" s="15" cm="1">
        <f t="array" ref="D652">SUM(D650:D651)</f>
        <v>10400</v>
      </c>
      <c r="E652" s="15" cm="1">
        <f t="array" ref="E652">SUM(E650:E651)</f>
        <v>10400</v>
      </c>
      <c r="F652" s="16" cm="1">
        <f t="array" ref="F652">SUM(F650:F651)</f>
        <v>0</v>
      </c>
      <c r="G652" s="16" cm="1">
        <f t="array" ref="G652">SUM(G650:G651)</f>
        <v>0</v>
      </c>
      <c r="H652" s="16" cm="1">
        <f t="array" ref="H652">SUM(H650:H651)</f>
        <v>0</v>
      </c>
      <c r="I652" s="16" cm="1">
        <f t="array" ref="I652">SUM(I650:I651)</f>
        <v>0</v>
      </c>
    </row>
    <row r="653" ht="20.35" customHeight="1">
      <c r="A653" s="10">
        <v>45466</v>
      </c>
      <c r="B653" t="s" s="11">
        <v>39</v>
      </c>
      <c r="C653" t="s" s="12">
        <v>64</v>
      </c>
      <c r="D653" s="17"/>
      <c r="E653" s="17"/>
      <c r="F653" s="18">
        <v>50</v>
      </c>
      <c r="G653" s="18"/>
      <c r="H653" s="18"/>
      <c r="I653" s="18"/>
    </row>
    <row r="654" ht="20.35" customHeight="1">
      <c r="A654" s="10">
        <v>45466</v>
      </c>
      <c r="B654" t="s" s="11">
        <v>41</v>
      </c>
      <c r="C654" t="s" s="12">
        <v>64</v>
      </c>
      <c r="D654" s="13"/>
      <c r="E654" s="13"/>
      <c r="F654" s="14"/>
      <c r="G654" s="14">
        <v>50</v>
      </c>
      <c r="H654" s="14"/>
      <c r="I654" s="14"/>
    </row>
    <row r="655" ht="20.7" customHeight="1">
      <c r="A655" s="10">
        <v>45466</v>
      </c>
      <c r="B655" t="s" s="11">
        <v>8</v>
      </c>
      <c r="C655" t="s" s="12">
        <v>8</v>
      </c>
      <c r="D655" s="15" cm="1">
        <f t="array" ref="D655">SUM(D653:D654)</f>
        <v>0</v>
      </c>
      <c r="E655" s="15" cm="1">
        <f t="array" ref="E655">SUM(E653:E654)</f>
        <v>0</v>
      </c>
      <c r="F655" s="16" cm="1">
        <f t="array" ref="F655">SUM(F653:F654)</f>
        <v>50</v>
      </c>
      <c r="G655" s="16" cm="1">
        <f t="array" ref="G655">SUM(G653:G654)</f>
        <v>50</v>
      </c>
      <c r="H655" s="16" cm="1">
        <f t="array" ref="H655">SUM(H653:H654)</f>
        <v>0</v>
      </c>
      <c r="I655" s="16" cm="1">
        <f t="array" ref="I655">SUM(I653:I654)</f>
        <v>0</v>
      </c>
    </row>
    <row r="656" ht="20.35" customHeight="1">
      <c r="A656" s="10">
        <v>45466</v>
      </c>
      <c r="B656" t="s" s="11">
        <v>39</v>
      </c>
      <c r="C656" t="s" s="12">
        <v>68</v>
      </c>
      <c r="D656" s="17"/>
      <c r="E656" s="17"/>
      <c r="F656" s="18"/>
      <c r="G656" s="18">
        <v>8.49</v>
      </c>
      <c r="H656" s="18"/>
      <c r="I656" s="18"/>
    </row>
    <row r="657" ht="20.35" customHeight="1">
      <c r="A657" s="10">
        <v>45466</v>
      </c>
      <c r="B657" t="s" s="11">
        <v>44</v>
      </c>
      <c r="C657" t="s" s="12">
        <v>68</v>
      </c>
      <c r="D657" s="13"/>
      <c r="E657" s="13"/>
      <c r="F657" s="14">
        <v>8.49</v>
      </c>
      <c r="G657" s="14"/>
      <c r="H657" s="14"/>
      <c r="I657" s="14"/>
    </row>
    <row r="658" ht="20.7" customHeight="1">
      <c r="A658" s="10">
        <v>45466</v>
      </c>
      <c r="B658" t="s" s="11">
        <v>8</v>
      </c>
      <c r="C658" t="s" s="12">
        <v>8</v>
      </c>
      <c r="D658" s="15" cm="1">
        <f t="array" ref="D658">SUM(D656:D657)</f>
        <v>0</v>
      </c>
      <c r="E658" s="15" cm="1">
        <f t="array" ref="E658">SUM(E656:E657)</f>
        <v>0</v>
      </c>
      <c r="F658" s="16" cm="1">
        <f t="array" ref="F658">SUM(F656:F657)</f>
        <v>8.49</v>
      </c>
      <c r="G658" s="16" cm="1">
        <f t="array" ref="G658">SUM(G656:G657)</f>
        <v>8.49</v>
      </c>
      <c r="H658" s="16" cm="1">
        <f t="array" ref="H658">SUM(H656:H657)</f>
        <v>0</v>
      </c>
      <c r="I658" s="16" cm="1">
        <f t="array" ref="I658">SUM(I656:I657)</f>
        <v>0</v>
      </c>
    </row>
    <row r="659" ht="20.35" customHeight="1">
      <c r="A659" s="10">
        <v>45468</v>
      </c>
      <c r="B659" t="s" s="11">
        <v>39</v>
      </c>
      <c r="C659" t="s" s="12">
        <v>64</v>
      </c>
      <c r="D659" s="17"/>
      <c r="E659" s="17"/>
      <c r="F659" s="18">
        <v>2500</v>
      </c>
      <c r="G659" s="18"/>
      <c r="H659" s="18"/>
      <c r="I659" s="18"/>
    </row>
    <row r="660" ht="20.35" customHeight="1">
      <c r="A660" s="10">
        <v>45468</v>
      </c>
      <c r="B660" t="s" s="11">
        <v>41</v>
      </c>
      <c r="C660" t="s" s="12">
        <v>64</v>
      </c>
      <c r="D660" s="13"/>
      <c r="E660" s="13"/>
      <c r="F660" s="14"/>
      <c r="G660" s="14">
        <v>2500</v>
      </c>
      <c r="H660" s="14"/>
      <c r="I660" s="14"/>
    </row>
    <row r="661" ht="20.7" customHeight="1">
      <c r="A661" s="10">
        <v>45468</v>
      </c>
      <c r="B661" t="s" s="11">
        <v>8</v>
      </c>
      <c r="C661" t="s" s="12">
        <v>8</v>
      </c>
      <c r="D661" s="15" cm="1">
        <f t="array" ref="D661">SUM(D659:D660)</f>
        <v>0</v>
      </c>
      <c r="E661" s="15" cm="1">
        <f t="array" ref="E661">SUM(E659:E660)</f>
        <v>0</v>
      </c>
      <c r="F661" s="16" cm="1">
        <f t="array" ref="F661">SUM(F659:F660)</f>
        <v>2500</v>
      </c>
      <c r="G661" s="16" cm="1">
        <f t="array" ref="G661">SUM(G659:G660)</f>
        <v>2500</v>
      </c>
      <c r="H661" s="16" cm="1">
        <f t="array" ref="H661">SUM(H659:H660)</f>
        <v>0</v>
      </c>
      <c r="I661" s="16" cm="1">
        <f t="array" ref="I661">SUM(I659:I660)</f>
        <v>0</v>
      </c>
    </row>
    <row r="662" ht="20.35" customHeight="1">
      <c r="A662" s="10">
        <v>45468</v>
      </c>
      <c r="B662" t="s" s="11">
        <v>39</v>
      </c>
      <c r="C662" t="s" s="12">
        <v>180</v>
      </c>
      <c r="D662" s="17"/>
      <c r="E662" s="17"/>
      <c r="F662" s="18"/>
      <c r="G662" s="18">
        <v>2541.51</v>
      </c>
      <c r="H662" s="18"/>
      <c r="I662" s="18"/>
    </row>
    <row r="663" ht="20.05" customHeight="1">
      <c r="A663" s="10">
        <v>45468</v>
      </c>
      <c r="B663" t="s" s="11">
        <v>44</v>
      </c>
      <c r="C663" t="s" s="12">
        <v>180</v>
      </c>
      <c r="D663" s="19"/>
      <c r="E663" s="19"/>
      <c r="F663" s="20" cm="1">
        <f t="array" ref="F663">2541.51-28.04</f>
        <v>2513.47</v>
      </c>
      <c r="G663" s="20"/>
      <c r="H663" s="20"/>
      <c r="I663" s="20"/>
    </row>
    <row r="664" ht="20.05" customHeight="1">
      <c r="A664" s="10">
        <v>45468</v>
      </c>
      <c r="B664" t="s" s="11">
        <v>43</v>
      </c>
      <c r="C664" t="s" s="12">
        <v>180</v>
      </c>
      <c r="D664" s="19"/>
      <c r="E664" s="19"/>
      <c r="F664" s="20">
        <v>28.04</v>
      </c>
      <c r="G664" s="20"/>
      <c r="H664" s="20"/>
      <c r="I664" s="20"/>
    </row>
    <row r="665" ht="20.05" customHeight="1">
      <c r="A665" s="10">
        <v>45468</v>
      </c>
      <c r="B665" t="s" s="11">
        <v>5</v>
      </c>
      <c r="C665" t="s" s="12">
        <v>180</v>
      </c>
      <c r="D665" s="19">
        <v>741584</v>
      </c>
      <c r="E665" s="19"/>
      <c r="F665" s="20"/>
      <c r="G665" s="20"/>
      <c r="H665" s="20"/>
      <c r="I665" s="20"/>
    </row>
    <row r="666" ht="20.35" customHeight="1">
      <c r="A666" s="10">
        <v>45468</v>
      </c>
      <c r="B666" t="s" s="11">
        <v>46</v>
      </c>
      <c r="C666" t="s" s="12">
        <v>180</v>
      </c>
      <c r="D666" s="13"/>
      <c r="E666" s="13">
        <v>741584</v>
      </c>
      <c r="F666" s="14"/>
      <c r="G666" s="14"/>
      <c r="H666" s="14"/>
      <c r="I666" s="14"/>
    </row>
    <row r="667" ht="20.7" customHeight="1">
      <c r="A667" s="10">
        <v>45468</v>
      </c>
      <c r="B667" t="s" s="11">
        <v>8</v>
      </c>
      <c r="C667" t="s" s="12">
        <v>8</v>
      </c>
      <c r="D667" s="15" cm="1">
        <f t="array" ref="D667">SUM(D662:D666)</f>
        <v>741584</v>
      </c>
      <c r="E667" s="15" cm="1">
        <f t="array" ref="E667">SUM(E662:E666)</f>
        <v>741584</v>
      </c>
      <c r="F667" s="16" cm="1">
        <f t="array" ref="F667">SUM(F662:F666)</f>
        <v>2541.51</v>
      </c>
      <c r="G667" s="16" cm="1">
        <f t="array" ref="G667">SUM(G662:G666)</f>
        <v>2541.51</v>
      </c>
      <c r="H667" s="16" cm="1">
        <f t="array" ref="H667">SUM(H662:H666)</f>
        <v>0</v>
      </c>
      <c r="I667" s="16" cm="1">
        <f t="array" ref="I667">SUM(I662:I666)</f>
        <v>0</v>
      </c>
    </row>
    <row r="668" ht="20.35" customHeight="1">
      <c r="A668" s="10">
        <v>45468</v>
      </c>
      <c r="B668" t="s" s="11">
        <v>5</v>
      </c>
      <c r="C668" t="s" s="12">
        <v>110</v>
      </c>
      <c r="D668" s="17"/>
      <c r="E668" s="17">
        <v>74674</v>
      </c>
      <c r="F668" s="18"/>
      <c r="G668" s="18"/>
      <c r="H668" s="18"/>
      <c r="I668" s="18"/>
    </row>
    <row r="669" ht="20.35" customHeight="1">
      <c r="A669" s="10">
        <v>45468</v>
      </c>
      <c r="B669" t="s" s="11">
        <v>93</v>
      </c>
      <c r="C669" t="s" s="12">
        <v>110</v>
      </c>
      <c r="D669" s="13">
        <v>74674</v>
      </c>
      <c r="E669" s="13"/>
      <c r="F669" s="14"/>
      <c r="G669" s="14"/>
      <c r="H669" s="14"/>
      <c r="I669" s="14"/>
    </row>
    <row r="670" ht="20.7" customHeight="1">
      <c r="A670" s="10">
        <v>45468</v>
      </c>
      <c r="B670" t="s" s="11">
        <v>8</v>
      </c>
      <c r="C670" t="s" s="12">
        <v>8</v>
      </c>
      <c r="D670" s="15" cm="1">
        <f t="array" ref="D670">SUM(D668:D669)</f>
        <v>74674</v>
      </c>
      <c r="E670" s="15" cm="1">
        <f t="array" ref="E670">SUM(E668:E669)</f>
        <v>74674</v>
      </c>
      <c r="F670" s="16" cm="1">
        <f t="array" ref="F670">SUM(F668:F669)</f>
        <v>0</v>
      </c>
      <c r="G670" s="16" cm="1">
        <f t="array" ref="G670">SUM(G668:G669)</f>
        <v>0</v>
      </c>
      <c r="H670" s="16" cm="1">
        <f t="array" ref="H670">SUM(H668:H669)</f>
        <v>0</v>
      </c>
      <c r="I670" s="16" cm="1">
        <f t="array" ref="I670">SUM(I668:I669)</f>
        <v>0</v>
      </c>
    </row>
    <row r="671" ht="21.25" customHeight="1">
      <c r="A671" s="10">
        <v>45468</v>
      </c>
      <c r="B671" t="s" s="11">
        <v>86</v>
      </c>
      <c r="C671" t="s" s="12">
        <v>181</v>
      </c>
      <c r="D671" s="17">
        <v>75490</v>
      </c>
      <c r="E671" s="17"/>
      <c r="F671" s="18"/>
      <c r="G671" s="18"/>
      <c r="H671" s="18"/>
      <c r="I671" s="18"/>
    </row>
    <row r="672" ht="21.25" customHeight="1">
      <c r="A672" s="10">
        <v>45468</v>
      </c>
      <c r="B672" t="s" s="11">
        <v>93</v>
      </c>
      <c r="C672" t="s" s="12">
        <v>181</v>
      </c>
      <c r="D672" s="13"/>
      <c r="E672" s="13">
        <v>75490</v>
      </c>
      <c r="F672" s="14"/>
      <c r="G672" s="14"/>
      <c r="H672" s="14"/>
      <c r="I672" s="14"/>
    </row>
    <row r="673" ht="20.7" customHeight="1">
      <c r="A673" s="10">
        <v>45468</v>
      </c>
      <c r="B673" t="s" s="11">
        <v>8</v>
      </c>
      <c r="C673" t="s" s="12">
        <v>8</v>
      </c>
      <c r="D673" s="15" cm="1">
        <f t="array" ref="D673">SUM(D671:D672)</f>
        <v>75490</v>
      </c>
      <c r="E673" s="15" cm="1">
        <f t="array" ref="E673">SUM(E671:E672)</f>
        <v>75490</v>
      </c>
      <c r="F673" s="16" cm="1">
        <f t="array" ref="F673">SUM(F671:F672)</f>
        <v>0</v>
      </c>
      <c r="G673" s="16" cm="1">
        <f t="array" ref="G673">SUM(G671:G672)</f>
        <v>0</v>
      </c>
      <c r="H673" s="16" cm="1">
        <f t="array" ref="H673">SUM(H671:H672)</f>
        <v>0</v>
      </c>
      <c r="I673" s="16" cm="1">
        <f t="array" ref="I673">SUM(I671:I672)</f>
        <v>0</v>
      </c>
    </row>
    <row r="674" ht="20.35" customHeight="1">
      <c r="A674" s="10">
        <v>45468</v>
      </c>
      <c r="B674" t="s" s="11">
        <v>74</v>
      </c>
      <c r="C674" t="s" s="12">
        <v>75</v>
      </c>
      <c r="D674" s="17">
        <v>410000</v>
      </c>
      <c r="E674" s="17"/>
      <c r="F674" s="18"/>
      <c r="G674" s="18"/>
      <c r="H674" s="18"/>
      <c r="I674" s="18"/>
    </row>
    <row r="675" ht="20.35" customHeight="1">
      <c r="A675" s="10">
        <v>45468</v>
      </c>
      <c r="B675" t="s" s="11">
        <v>5</v>
      </c>
      <c r="C675" t="s" s="12">
        <v>75</v>
      </c>
      <c r="D675" s="13"/>
      <c r="E675" s="13">
        <v>410000</v>
      </c>
      <c r="F675" s="14"/>
      <c r="G675" s="14"/>
      <c r="H675" s="14"/>
      <c r="I675" s="14"/>
    </row>
    <row r="676" ht="20.7" customHeight="1">
      <c r="A676" s="10">
        <v>45468</v>
      </c>
      <c r="B676" t="s" s="11">
        <v>8</v>
      </c>
      <c r="C676" t="s" s="12">
        <v>8</v>
      </c>
      <c r="D676" s="15" cm="1">
        <f t="array" ref="D676">SUM(D674:D675)</f>
        <v>410000</v>
      </c>
      <c r="E676" s="15" cm="1">
        <f t="array" ref="E676">SUM(E674:E675)</f>
        <v>410000</v>
      </c>
      <c r="F676" s="16" cm="1">
        <f t="array" ref="F676">SUM(F674:F675)</f>
        <v>0</v>
      </c>
      <c r="G676" s="16" cm="1">
        <f t="array" ref="G676">SUM(G674:G675)</f>
        <v>0</v>
      </c>
      <c r="H676" s="16" cm="1">
        <f t="array" ref="H676">SUM(H674:H675)</f>
        <v>0</v>
      </c>
      <c r="I676" s="16" cm="1">
        <f t="array" ref="I676">SUM(I674:I675)</f>
        <v>0</v>
      </c>
    </row>
    <row r="677" ht="20.35" customHeight="1">
      <c r="A677" s="10">
        <v>45468</v>
      </c>
      <c r="B677" t="s" s="11">
        <v>5</v>
      </c>
      <c r="C677" t="s" s="12">
        <v>17</v>
      </c>
      <c r="D677" s="17">
        <v>100</v>
      </c>
      <c r="E677" s="17"/>
      <c r="F677" s="18"/>
      <c r="G677" s="18"/>
      <c r="H677" s="18"/>
      <c r="I677" s="18"/>
    </row>
    <row r="678" ht="20.35" customHeight="1">
      <c r="A678" s="10">
        <v>45468</v>
      </c>
      <c r="B678" t="s" s="11">
        <v>18</v>
      </c>
      <c r="C678" t="s" s="12">
        <v>17</v>
      </c>
      <c r="D678" s="13"/>
      <c r="E678" s="13">
        <v>100</v>
      </c>
      <c r="F678" s="14"/>
      <c r="G678" s="14"/>
      <c r="H678" s="14"/>
      <c r="I678" s="14"/>
    </row>
    <row r="679" ht="20.7" customHeight="1">
      <c r="A679" s="10">
        <v>45468</v>
      </c>
      <c r="B679" t="s" s="11">
        <v>8</v>
      </c>
      <c r="C679" t="s" s="12">
        <v>8</v>
      </c>
      <c r="D679" s="15" cm="1">
        <f t="array" ref="D679">SUM(D677:D678)</f>
        <v>100</v>
      </c>
      <c r="E679" s="15" cm="1">
        <f t="array" ref="E679">SUM(E677:E678)</f>
        <v>100</v>
      </c>
      <c r="F679" s="16" cm="1">
        <f t="array" ref="F679">SUM(F677:F678)</f>
        <v>0</v>
      </c>
      <c r="G679" s="16" cm="1">
        <f t="array" ref="G679">SUM(G677:G678)</f>
        <v>0</v>
      </c>
      <c r="H679" s="16" cm="1">
        <f t="array" ref="H679">SUM(H677:H678)</f>
        <v>0</v>
      </c>
      <c r="I679" s="16" cm="1">
        <f t="array" ref="I679">SUM(I677:I678)</f>
        <v>0</v>
      </c>
    </row>
    <row r="680" ht="20.35" customHeight="1">
      <c r="A680" s="10">
        <v>45469</v>
      </c>
      <c r="B680" t="s" s="11">
        <v>5</v>
      </c>
      <c r="C680" t="s" s="12">
        <v>82</v>
      </c>
      <c r="D680" s="17"/>
      <c r="E680" s="17">
        <v>25000</v>
      </c>
      <c r="F680" s="18"/>
      <c r="G680" s="18"/>
      <c r="H680" s="18"/>
      <c r="I680" s="18"/>
    </row>
    <row r="681" ht="20.35" customHeight="1">
      <c r="A681" s="10">
        <v>45469</v>
      </c>
      <c r="B681" t="s" s="11">
        <v>79</v>
      </c>
      <c r="C681" t="s" s="12">
        <v>82</v>
      </c>
      <c r="D681" s="13">
        <v>25000</v>
      </c>
      <c r="E681" s="13"/>
      <c r="F681" s="14"/>
      <c r="G681" s="14"/>
      <c r="H681" s="14"/>
      <c r="I681" s="14"/>
    </row>
    <row r="682" ht="20.7" customHeight="1">
      <c r="A682" s="10">
        <v>45469</v>
      </c>
      <c r="B682" t="s" s="11">
        <v>8</v>
      </c>
      <c r="C682" t="s" s="12">
        <v>8</v>
      </c>
      <c r="D682" s="15" cm="1">
        <f t="array" ref="D682">SUM(D680:D681)</f>
        <v>25000</v>
      </c>
      <c r="E682" s="15" cm="1">
        <f t="array" ref="E682">SUM(E680:E681)</f>
        <v>25000</v>
      </c>
      <c r="F682" s="16" cm="1">
        <f t="array" ref="F682">SUM(F680:F681)</f>
        <v>0</v>
      </c>
      <c r="G682" s="16" cm="1">
        <f t="array" ref="G682">SUM(G680:G681)</f>
        <v>0</v>
      </c>
      <c r="H682" s="16" cm="1">
        <f t="array" ref="H682">SUM(H680:H681)</f>
        <v>0</v>
      </c>
      <c r="I682" s="16" cm="1">
        <f t="array" ref="I682">SUM(I680:I681)</f>
        <v>0</v>
      </c>
    </row>
    <row r="683" ht="20.35" customHeight="1">
      <c r="A683" s="10">
        <v>45469</v>
      </c>
      <c r="B683" t="s" s="11">
        <v>5</v>
      </c>
      <c r="C683" t="s" s="12">
        <v>182</v>
      </c>
      <c r="D683" s="17"/>
      <c r="E683" s="17">
        <v>20000</v>
      </c>
      <c r="F683" s="18"/>
      <c r="G683" s="18"/>
      <c r="H683" s="18"/>
      <c r="I683" s="18"/>
    </row>
    <row r="684" ht="20.35" customHeight="1">
      <c r="A684" s="10">
        <v>45469</v>
      </c>
      <c r="B684" t="s" s="11">
        <v>10</v>
      </c>
      <c r="C684" t="s" s="12">
        <v>182</v>
      </c>
      <c r="D684" s="13">
        <v>20000</v>
      </c>
      <c r="E684" s="13"/>
      <c r="F684" s="14"/>
      <c r="G684" s="14"/>
      <c r="H684" s="14"/>
      <c r="I684" s="14"/>
    </row>
    <row r="685" ht="20.7" customHeight="1">
      <c r="A685" s="10">
        <v>45469</v>
      </c>
      <c r="B685" t="s" s="11">
        <v>8</v>
      </c>
      <c r="C685" t="s" s="12">
        <v>8</v>
      </c>
      <c r="D685" s="15" cm="1">
        <f t="array" ref="D685">SUM(D683:D684)</f>
        <v>20000</v>
      </c>
      <c r="E685" s="15" cm="1">
        <f t="array" ref="E685">SUM(E683:E684)</f>
        <v>20000</v>
      </c>
      <c r="F685" s="16" cm="1">
        <f t="array" ref="F685">SUM(F683:F684)</f>
        <v>0</v>
      </c>
      <c r="G685" s="16" cm="1">
        <f t="array" ref="G685">SUM(G683:G684)</f>
        <v>0</v>
      </c>
      <c r="H685" s="16" cm="1">
        <f t="array" ref="H685">SUM(H683:H684)</f>
        <v>0</v>
      </c>
      <c r="I685" s="16" cm="1">
        <f t="array" ref="I685">SUM(I683:I684)</f>
        <v>0</v>
      </c>
    </row>
    <row r="686" ht="20.35" customHeight="1">
      <c r="A686" s="10">
        <v>45469</v>
      </c>
      <c r="B686" t="s" s="11">
        <v>10</v>
      </c>
      <c r="C686" t="s" s="12">
        <v>105</v>
      </c>
      <c r="D686" s="17">
        <v>20000</v>
      </c>
      <c r="E686" s="17"/>
      <c r="F686" s="18"/>
      <c r="G686" s="18"/>
      <c r="H686" s="18"/>
      <c r="I686" s="18"/>
    </row>
    <row r="687" ht="20.35" customHeight="1">
      <c r="A687" s="10">
        <v>45469</v>
      </c>
      <c r="B687" t="s" s="11">
        <v>106</v>
      </c>
      <c r="C687" t="s" s="12">
        <v>105</v>
      </c>
      <c r="D687" s="13"/>
      <c r="E687" s="13">
        <v>20000</v>
      </c>
      <c r="F687" s="14"/>
      <c r="G687" s="14"/>
      <c r="H687" s="14"/>
      <c r="I687" s="14"/>
    </row>
    <row r="688" ht="20.7" customHeight="1">
      <c r="A688" s="10">
        <v>45469</v>
      </c>
      <c r="B688" t="s" s="11">
        <v>8</v>
      </c>
      <c r="C688" t="s" s="12">
        <v>8</v>
      </c>
      <c r="D688" s="15" cm="1">
        <f t="array" ref="D688">SUM(D686:D687)</f>
        <v>20000</v>
      </c>
      <c r="E688" s="15" cm="1">
        <f t="array" ref="E688">SUM(E686:E687)</f>
        <v>20000</v>
      </c>
      <c r="F688" s="16" cm="1">
        <f t="array" ref="F688">SUM(F686:F687)</f>
        <v>0</v>
      </c>
      <c r="G688" s="16" cm="1">
        <f t="array" ref="G688">SUM(G686:G687)</f>
        <v>0</v>
      </c>
      <c r="H688" s="16" cm="1">
        <f t="array" ref="H688">SUM(H686:H687)</f>
        <v>0</v>
      </c>
      <c r="I688" s="16" cm="1">
        <f t="array" ref="I688">SUM(I686:I687)</f>
        <v>0</v>
      </c>
    </row>
    <row r="689" ht="20.35" customHeight="1">
      <c r="A689" s="10">
        <v>45469</v>
      </c>
      <c r="B689" t="s" s="11">
        <v>79</v>
      </c>
      <c r="C689" t="s" s="12">
        <v>183</v>
      </c>
      <c r="D689" s="17"/>
      <c r="E689" s="17">
        <v>24989</v>
      </c>
      <c r="F689" s="18"/>
      <c r="G689" s="18"/>
      <c r="H689" s="18"/>
      <c r="I689" s="18"/>
    </row>
    <row r="690" ht="20.05" customHeight="1">
      <c r="A690" s="10">
        <v>45469</v>
      </c>
      <c r="B690" t="s" s="11">
        <v>10</v>
      </c>
      <c r="C690" t="s" s="12">
        <v>45</v>
      </c>
      <c r="D690" s="19">
        <v>30</v>
      </c>
      <c r="E690" s="19"/>
      <c r="F690" s="20"/>
      <c r="G690" s="20"/>
      <c r="H690" s="20"/>
      <c r="I690" s="20"/>
    </row>
    <row r="691" ht="20.35" customHeight="1">
      <c r="A691" s="10">
        <v>45469</v>
      </c>
      <c r="B691" t="s" s="11">
        <v>81</v>
      </c>
      <c r="C691" t="s" s="12">
        <v>45</v>
      </c>
      <c r="D691" s="13">
        <v>24959</v>
      </c>
      <c r="E691" s="13"/>
      <c r="F691" s="14"/>
      <c r="G691" s="14"/>
      <c r="H691" s="14"/>
      <c r="I691" s="14"/>
    </row>
    <row r="692" ht="20.7" customHeight="1">
      <c r="A692" s="10">
        <v>45469</v>
      </c>
      <c r="B692" t="s" s="11">
        <v>8</v>
      </c>
      <c r="C692" t="s" s="12">
        <v>8</v>
      </c>
      <c r="D692" s="15" cm="1">
        <f t="array" ref="D692">SUM(D689:D691)</f>
        <v>24989</v>
      </c>
      <c r="E692" s="15" cm="1">
        <f t="array" ref="E692">SUM(E689:E691)</f>
        <v>24989</v>
      </c>
      <c r="F692" s="16" cm="1">
        <f t="array" ref="F692">SUM(F689:F691)</f>
        <v>0</v>
      </c>
      <c r="G692" s="16" cm="1">
        <f t="array" ref="G692">SUM(G689:G691)</f>
        <v>0</v>
      </c>
      <c r="H692" s="16" cm="1">
        <f t="array" ref="H692">SUM(H689:H691)</f>
        <v>0</v>
      </c>
      <c r="I692" s="16" cm="1">
        <f t="array" ref="I692">SUM(I689:I691)</f>
        <v>0</v>
      </c>
    </row>
    <row r="693" ht="20.35" customHeight="1">
      <c r="A693" s="10">
        <v>45469</v>
      </c>
      <c r="B693" t="s" s="11">
        <v>81</v>
      </c>
      <c r="C693" t="s" s="12">
        <v>183</v>
      </c>
      <c r="D693" s="17"/>
      <c r="E693" s="17">
        <v>24959</v>
      </c>
      <c r="F693" s="18"/>
      <c r="G693" s="18"/>
      <c r="H693" s="18"/>
      <c r="I693" s="18"/>
    </row>
    <row r="694" ht="20.35" customHeight="1">
      <c r="A694" s="10">
        <v>45469</v>
      </c>
      <c r="B694" t="s" s="11">
        <v>85</v>
      </c>
      <c r="C694" t="s" s="12">
        <v>183</v>
      </c>
      <c r="D694" s="13">
        <v>24959</v>
      </c>
      <c r="E694" s="13"/>
      <c r="F694" s="14"/>
      <c r="G694" s="14"/>
      <c r="H694" s="14"/>
      <c r="I694" s="14"/>
    </row>
    <row r="695" ht="20.7" customHeight="1">
      <c r="A695" s="10">
        <v>45469</v>
      </c>
      <c r="B695" t="s" s="11">
        <v>8</v>
      </c>
      <c r="C695" t="s" s="12">
        <v>8</v>
      </c>
      <c r="D695" s="15" cm="1">
        <f t="array" ref="D695">SUM(D693:D694)</f>
        <v>24959</v>
      </c>
      <c r="E695" s="15" cm="1">
        <f t="array" ref="E695">SUM(E693:E694)</f>
        <v>24959</v>
      </c>
      <c r="F695" s="16" cm="1">
        <f t="array" ref="F695">SUM(F693:F694)</f>
        <v>0</v>
      </c>
      <c r="G695" s="16" cm="1">
        <f t="array" ref="G695">SUM(G693:G694)</f>
        <v>0</v>
      </c>
      <c r="H695" s="16" cm="1">
        <f t="array" ref="H695">SUM(H693:H694)</f>
        <v>0</v>
      </c>
      <c r="I695" s="16" cm="1">
        <f t="array" ref="I695">SUM(I693:I694)</f>
        <v>0</v>
      </c>
    </row>
    <row r="696" ht="20.35" customHeight="1">
      <c r="A696" s="10">
        <v>45469</v>
      </c>
      <c r="B696" t="s" s="11">
        <v>60</v>
      </c>
      <c r="C696" t="s" s="12">
        <v>184</v>
      </c>
      <c r="D696" s="17"/>
      <c r="E696" s="17"/>
      <c r="F696" s="18"/>
      <c r="G696" s="18">
        <v>10</v>
      </c>
      <c r="H696" s="18"/>
      <c r="I696" s="18"/>
    </row>
    <row r="697" ht="20.35" customHeight="1">
      <c r="A697" s="10">
        <v>45469</v>
      </c>
      <c r="B697" t="s" s="11">
        <v>44</v>
      </c>
      <c r="C697" t="s" s="12">
        <v>184</v>
      </c>
      <c r="D697" s="13"/>
      <c r="E697" s="13"/>
      <c r="F697" s="14">
        <v>10</v>
      </c>
      <c r="G697" s="14"/>
      <c r="H697" s="14"/>
      <c r="I697" s="14"/>
    </row>
    <row r="698" ht="20.7" customHeight="1">
      <c r="A698" s="10">
        <v>45469</v>
      </c>
      <c r="B698" t="s" s="11">
        <v>8</v>
      </c>
      <c r="C698" t="s" s="12">
        <v>8</v>
      </c>
      <c r="D698" s="15" cm="1">
        <f t="array" ref="D698">SUM(D696:D697)</f>
        <v>0</v>
      </c>
      <c r="E698" s="15" cm="1">
        <f t="array" ref="E698">SUM(E696:E697)</f>
        <v>0</v>
      </c>
      <c r="F698" s="16" cm="1">
        <f t="array" ref="F698">SUM(F696:F697)</f>
        <v>10</v>
      </c>
      <c r="G698" s="16" cm="1">
        <f t="array" ref="G698">SUM(G696:G697)</f>
        <v>10</v>
      </c>
      <c r="H698" s="16" cm="1">
        <f t="array" ref="H698">SUM(H696:H697)</f>
        <v>0</v>
      </c>
      <c r="I698" s="16" cm="1">
        <f t="array" ref="I698">SUM(I696:I697)</f>
        <v>0</v>
      </c>
    </row>
    <row r="699" ht="20.35" customHeight="1">
      <c r="A699" s="10">
        <v>45469</v>
      </c>
      <c r="B699" t="s" s="11">
        <v>21</v>
      </c>
      <c r="C699" t="s" s="12">
        <v>185</v>
      </c>
      <c r="D699" s="17"/>
      <c r="E699" s="17">
        <v>2000</v>
      </c>
      <c r="F699" s="18"/>
      <c r="G699" s="18"/>
      <c r="H699" s="18"/>
      <c r="I699" s="18"/>
    </row>
    <row r="700" ht="20.35" customHeight="1">
      <c r="A700" s="10">
        <v>45469</v>
      </c>
      <c r="B700" t="s" s="11">
        <v>16</v>
      </c>
      <c r="C700" t="s" s="12">
        <v>185</v>
      </c>
      <c r="D700" s="13">
        <v>2000</v>
      </c>
      <c r="E700" s="13"/>
      <c r="F700" s="14"/>
      <c r="G700" s="14"/>
      <c r="H700" s="14"/>
      <c r="I700" s="14"/>
    </row>
    <row r="701" ht="20.7" customHeight="1">
      <c r="A701" s="10">
        <v>45469</v>
      </c>
      <c r="B701" t="s" s="11">
        <v>8</v>
      </c>
      <c r="C701" t="s" s="12">
        <v>8</v>
      </c>
      <c r="D701" s="15" cm="1">
        <f t="array" ref="D701">SUM(D699:D700)</f>
        <v>2000</v>
      </c>
      <c r="E701" s="15" cm="1">
        <f t="array" ref="E701">SUM(E699:E700)</f>
        <v>2000</v>
      </c>
      <c r="F701" s="16" cm="1">
        <f t="array" ref="F701">SUM(F699:F700)</f>
        <v>0</v>
      </c>
      <c r="G701" s="16" cm="1">
        <f t="array" ref="G701">SUM(G699:G700)</f>
        <v>0</v>
      </c>
      <c r="H701" s="16" cm="1">
        <f t="array" ref="H701">SUM(H699:H700)</f>
        <v>0</v>
      </c>
      <c r="I701" s="16" cm="1">
        <f t="array" ref="I701">SUM(I699:I700)</f>
        <v>0</v>
      </c>
    </row>
    <row r="702" ht="20.35" customHeight="1">
      <c r="A702" s="10">
        <v>45469</v>
      </c>
      <c r="B702" t="s" s="11">
        <v>21</v>
      </c>
      <c r="C702" t="s" s="12">
        <v>186</v>
      </c>
      <c r="D702" s="17"/>
      <c r="E702" s="17">
        <v>3800</v>
      </c>
      <c r="F702" s="18"/>
      <c r="G702" s="18"/>
      <c r="H702" s="18"/>
      <c r="I702" s="18"/>
    </row>
    <row r="703" ht="20.35" customHeight="1">
      <c r="A703" s="10">
        <v>45469</v>
      </c>
      <c r="B703" t="s" s="11">
        <v>16</v>
      </c>
      <c r="C703" t="s" s="12">
        <v>186</v>
      </c>
      <c r="D703" s="13">
        <v>3800</v>
      </c>
      <c r="E703" s="13"/>
      <c r="F703" s="14"/>
      <c r="G703" s="14"/>
      <c r="H703" s="14"/>
      <c r="I703" s="14"/>
    </row>
    <row r="704" ht="20.7" customHeight="1">
      <c r="A704" s="10">
        <v>45469</v>
      </c>
      <c r="B704" t="s" s="11">
        <v>8</v>
      </c>
      <c r="C704" t="s" s="12">
        <v>8</v>
      </c>
      <c r="D704" s="15" cm="1">
        <f t="array" ref="D704">SUM(D702:D703)</f>
        <v>3800</v>
      </c>
      <c r="E704" s="15" cm="1">
        <f t="array" ref="E704">SUM(E702:E703)</f>
        <v>3800</v>
      </c>
      <c r="F704" s="16" cm="1">
        <f t="array" ref="F704">SUM(F702:F703)</f>
        <v>0</v>
      </c>
      <c r="G704" s="16" cm="1">
        <f t="array" ref="G704">SUM(G702:G703)</f>
        <v>0</v>
      </c>
      <c r="H704" s="16" cm="1">
        <f t="array" ref="H704">SUM(H702:H703)</f>
        <v>0</v>
      </c>
      <c r="I704" s="16" cm="1">
        <f t="array" ref="I704">SUM(I702:I703)</f>
        <v>0</v>
      </c>
    </row>
    <row r="705" ht="20.65" customHeight="1">
      <c r="A705" s="10">
        <v>45470</v>
      </c>
      <c r="B705" t="s" s="11">
        <v>5</v>
      </c>
      <c r="C705" t="s" s="12">
        <v>148</v>
      </c>
      <c r="D705" s="17"/>
      <c r="E705" s="17">
        <v>45100</v>
      </c>
      <c r="F705" s="18"/>
      <c r="G705" s="18"/>
      <c r="H705" s="18"/>
      <c r="I705" s="18"/>
    </row>
    <row r="706" ht="20.35" customHeight="1">
      <c r="A706" s="10">
        <v>45470</v>
      </c>
      <c r="B706" t="s" s="11">
        <v>10</v>
      </c>
      <c r="C706" t="s" s="12">
        <v>187</v>
      </c>
      <c r="D706" s="19">
        <v>1100</v>
      </c>
      <c r="E706" s="19"/>
      <c r="F706" s="20"/>
      <c r="G706" s="20"/>
      <c r="H706" s="20"/>
      <c r="I706" s="20"/>
    </row>
    <row r="707" ht="20.65" customHeight="1">
      <c r="A707" s="10">
        <v>45470</v>
      </c>
      <c r="B707" t="s" s="11">
        <v>16</v>
      </c>
      <c r="C707" t="s" s="12">
        <v>187</v>
      </c>
      <c r="D707" s="13">
        <v>44000</v>
      </c>
      <c r="E707" s="13"/>
      <c r="F707" s="14"/>
      <c r="G707" s="14"/>
      <c r="H707" s="14"/>
      <c r="I707" s="14"/>
    </row>
    <row r="708" ht="20.7" customHeight="1">
      <c r="A708" s="10">
        <v>45470</v>
      </c>
      <c r="B708" t="s" s="11">
        <v>8</v>
      </c>
      <c r="C708" t="s" s="12">
        <v>8</v>
      </c>
      <c r="D708" s="15" cm="1">
        <f t="array" ref="D708">SUM(D705:D707)</f>
        <v>45100</v>
      </c>
      <c r="E708" s="15" cm="1">
        <f t="array" ref="E708">SUM(E705:E707)</f>
        <v>45100</v>
      </c>
      <c r="F708" s="16" cm="1">
        <f t="array" ref="F708">SUM(F705:F707)</f>
        <v>0</v>
      </c>
      <c r="G708" s="16" cm="1">
        <f t="array" ref="G708">SUM(G705:G707)</f>
        <v>0</v>
      </c>
      <c r="H708" s="16" cm="1">
        <f t="array" ref="H708">SUM(H705:H707)</f>
        <v>0</v>
      </c>
      <c r="I708" s="16" cm="1">
        <f t="array" ref="I708">SUM(I705:I707)</f>
        <v>0</v>
      </c>
    </row>
    <row r="709" ht="20.35" customHeight="1">
      <c r="A709" s="10">
        <v>45470</v>
      </c>
      <c r="B709" t="s" s="11">
        <v>5</v>
      </c>
      <c r="C709" t="s" s="12">
        <v>17</v>
      </c>
      <c r="D709" s="17">
        <v>100</v>
      </c>
      <c r="E709" s="17"/>
      <c r="F709" s="18"/>
      <c r="G709" s="18"/>
      <c r="H709" s="18"/>
      <c r="I709" s="18"/>
    </row>
    <row r="710" ht="20.35" customHeight="1">
      <c r="A710" s="10">
        <v>45470</v>
      </c>
      <c r="B710" t="s" s="11">
        <v>18</v>
      </c>
      <c r="C710" t="s" s="12">
        <v>17</v>
      </c>
      <c r="D710" s="13"/>
      <c r="E710" s="13">
        <v>100</v>
      </c>
      <c r="F710" s="14"/>
      <c r="G710" s="14"/>
      <c r="H710" s="14"/>
      <c r="I710" s="14"/>
    </row>
    <row r="711" ht="20.7" customHeight="1">
      <c r="A711" s="10">
        <v>45470</v>
      </c>
      <c r="B711" t="s" s="11">
        <v>8</v>
      </c>
      <c r="C711" t="s" s="12">
        <v>8</v>
      </c>
      <c r="D711" s="15" cm="1">
        <f t="array" ref="D711">SUM(D709:D710)</f>
        <v>100</v>
      </c>
      <c r="E711" s="15" cm="1">
        <f t="array" ref="E711">SUM(E709:E710)</f>
        <v>100</v>
      </c>
      <c r="F711" s="16" cm="1">
        <f t="array" ref="F711">SUM(F709:F710)</f>
        <v>0</v>
      </c>
      <c r="G711" s="16" cm="1">
        <f t="array" ref="G711">SUM(G709:G710)</f>
        <v>0</v>
      </c>
      <c r="H711" s="16" cm="1">
        <f t="array" ref="H711">SUM(H709:H710)</f>
        <v>0</v>
      </c>
      <c r="I711" s="16" cm="1">
        <f t="array" ref="I711">SUM(I709:I710)</f>
        <v>0</v>
      </c>
    </row>
    <row r="712" ht="21.25" customHeight="1">
      <c r="A712" s="10">
        <v>45470</v>
      </c>
      <c r="B712" t="s" s="11">
        <v>5</v>
      </c>
      <c r="C712" t="s" s="12">
        <v>188</v>
      </c>
      <c r="D712" s="17"/>
      <c r="E712" s="17">
        <v>25900</v>
      </c>
      <c r="F712" s="18"/>
      <c r="G712" s="18"/>
      <c r="H712" s="18"/>
      <c r="I712" s="18"/>
    </row>
    <row r="713" ht="21.25" customHeight="1">
      <c r="A713" s="10">
        <v>45470</v>
      </c>
      <c r="B713" t="s" s="11">
        <v>12</v>
      </c>
      <c r="C713" t="s" s="12">
        <v>188</v>
      </c>
      <c r="D713" s="13">
        <v>25900</v>
      </c>
      <c r="E713" s="13"/>
      <c r="F713" s="14"/>
      <c r="G713" s="14"/>
      <c r="H713" s="14"/>
      <c r="I713" s="14"/>
    </row>
    <row r="714" ht="20.7" customHeight="1">
      <c r="A714" s="10">
        <v>45470</v>
      </c>
      <c r="B714" t="s" s="11">
        <v>8</v>
      </c>
      <c r="C714" t="s" s="12">
        <v>8</v>
      </c>
      <c r="D714" s="15" cm="1">
        <f t="array" ref="D714">SUM(D712:D713)</f>
        <v>25900</v>
      </c>
      <c r="E714" s="15" cm="1">
        <f t="array" ref="E714">SUM(E712:E713)</f>
        <v>25900</v>
      </c>
      <c r="F714" s="16" cm="1">
        <f t="array" ref="F714">SUM(F712:F713)</f>
        <v>0</v>
      </c>
      <c r="G714" s="16" cm="1">
        <f t="array" ref="G714">SUM(G712:G713)</f>
        <v>0</v>
      </c>
      <c r="H714" s="16" cm="1">
        <f t="array" ref="H714">SUM(H712:H713)</f>
        <v>0</v>
      </c>
      <c r="I714" s="16" cm="1">
        <f t="array" ref="I714">SUM(I712:I713)</f>
        <v>0</v>
      </c>
    </row>
    <row r="715" ht="21.25" customHeight="1">
      <c r="A715" s="10">
        <v>45471</v>
      </c>
      <c r="B715" t="s" s="11">
        <v>5</v>
      </c>
      <c r="C715" t="s" s="12">
        <v>189</v>
      </c>
      <c r="D715" s="17">
        <v>8400</v>
      </c>
      <c r="E715" s="17"/>
      <c r="F715" s="18"/>
      <c r="G715" s="18"/>
      <c r="H715" s="18"/>
      <c r="I715" s="18"/>
    </row>
    <row r="716" ht="21.25" customHeight="1">
      <c r="A716" s="10">
        <v>45471</v>
      </c>
      <c r="B716" t="s" s="11">
        <v>97</v>
      </c>
      <c r="C716" t="s" s="12">
        <v>189</v>
      </c>
      <c r="D716" s="13"/>
      <c r="E716" s="13">
        <v>8400</v>
      </c>
      <c r="F716" s="14"/>
      <c r="G716" s="14"/>
      <c r="H716" s="14"/>
      <c r="I716" s="14"/>
    </row>
    <row r="717" ht="20.7" customHeight="1">
      <c r="A717" s="10">
        <v>45471</v>
      </c>
      <c r="B717" t="s" s="11">
        <v>8</v>
      </c>
      <c r="C717" t="s" s="12">
        <v>8</v>
      </c>
      <c r="D717" s="15" cm="1">
        <f t="array" ref="D717">SUM(D715:D716)</f>
        <v>8400</v>
      </c>
      <c r="E717" s="15" cm="1">
        <f t="array" ref="E717">SUM(E715:E716)</f>
        <v>8400</v>
      </c>
      <c r="F717" s="16" cm="1">
        <f t="array" ref="F717">SUM(F715:F716)</f>
        <v>0</v>
      </c>
      <c r="G717" s="16" cm="1">
        <f t="array" ref="G717">SUM(G715:G716)</f>
        <v>0</v>
      </c>
      <c r="H717" s="16" cm="1">
        <f t="array" ref="H717">SUM(H715:H716)</f>
        <v>0</v>
      </c>
      <c r="I717" s="16" cm="1">
        <f t="array" ref="I717">SUM(I715:I716)</f>
        <v>0</v>
      </c>
    </row>
    <row r="718" ht="20.35" customHeight="1">
      <c r="A718" s="10">
        <v>45471</v>
      </c>
      <c r="B718" t="s" s="11">
        <v>89</v>
      </c>
      <c r="C718" t="s" s="12">
        <v>90</v>
      </c>
      <c r="D718" s="17">
        <v>25050</v>
      </c>
      <c r="E718" s="17"/>
      <c r="F718" s="18"/>
      <c r="G718" s="18"/>
      <c r="H718" s="18"/>
      <c r="I718" s="18"/>
    </row>
    <row r="719" ht="20.35" customHeight="1">
      <c r="A719" s="10">
        <v>45471</v>
      </c>
      <c r="B719" t="s" s="11">
        <v>91</v>
      </c>
      <c r="C719" t="s" s="12">
        <v>90</v>
      </c>
      <c r="D719" s="13"/>
      <c r="E719" s="13">
        <v>25050</v>
      </c>
      <c r="F719" s="14"/>
      <c r="G719" s="14"/>
      <c r="H719" s="14"/>
      <c r="I719" s="14"/>
    </row>
    <row r="720" ht="20.7" customHeight="1">
      <c r="A720" s="10">
        <v>45471</v>
      </c>
      <c r="B720" t="s" s="11">
        <v>8</v>
      </c>
      <c r="C720" t="s" s="12">
        <v>8</v>
      </c>
      <c r="D720" s="15" cm="1">
        <f t="array" ref="D720">SUM(D718:D719)</f>
        <v>25050</v>
      </c>
      <c r="E720" s="15" cm="1">
        <f t="array" ref="E720">SUM(E718:E719)</f>
        <v>25050</v>
      </c>
      <c r="F720" s="16" cm="1">
        <f t="array" ref="F720">SUM(F718:F719)</f>
        <v>0</v>
      </c>
      <c r="G720" s="16" cm="1">
        <f t="array" ref="G720">SUM(G718:G719)</f>
        <v>0</v>
      </c>
      <c r="H720" s="16" cm="1">
        <f t="array" ref="H720">SUM(H718:H719)</f>
        <v>0</v>
      </c>
      <c r="I720" s="16" cm="1">
        <f t="array" ref="I720">SUM(I718:I719)</f>
        <v>0</v>
      </c>
    </row>
    <row r="721" ht="20.35" customHeight="1">
      <c r="A721" s="10">
        <v>45471</v>
      </c>
      <c r="B721" t="s" s="11">
        <v>107</v>
      </c>
      <c r="C721" t="s" s="12">
        <v>190</v>
      </c>
      <c r="D721" s="17">
        <v>145050</v>
      </c>
      <c r="E721" s="17"/>
      <c r="F721" s="18"/>
      <c r="G721" s="18"/>
      <c r="H721" s="18"/>
      <c r="I721" s="18"/>
    </row>
    <row r="722" ht="20.35" customHeight="1">
      <c r="A722" s="10">
        <v>45471</v>
      </c>
      <c r="B722" t="s" s="11">
        <v>89</v>
      </c>
      <c r="C722" t="s" s="12">
        <v>190</v>
      </c>
      <c r="D722" s="13"/>
      <c r="E722" s="13">
        <v>145050</v>
      </c>
      <c r="F722" s="14"/>
      <c r="G722" s="14"/>
      <c r="H722" s="14"/>
      <c r="I722" s="14"/>
    </row>
    <row r="723" ht="20.7" customHeight="1">
      <c r="A723" s="10">
        <v>45471</v>
      </c>
      <c r="B723" t="s" s="11">
        <v>8</v>
      </c>
      <c r="C723" t="s" s="12">
        <v>8</v>
      </c>
      <c r="D723" s="15" cm="1">
        <f t="array" ref="D723">SUM(D721:D722)</f>
        <v>145050</v>
      </c>
      <c r="E723" s="15" cm="1">
        <f t="array" ref="E723">SUM(E721:E722)</f>
        <v>145050</v>
      </c>
      <c r="F723" s="16" cm="1">
        <f t="array" ref="F723">SUM(F721:F722)</f>
        <v>0</v>
      </c>
      <c r="G723" s="16" cm="1">
        <f t="array" ref="G723">SUM(G721:G722)</f>
        <v>0</v>
      </c>
      <c r="H723" s="16" cm="1">
        <f t="array" ref="H723">SUM(H721:H722)</f>
        <v>0</v>
      </c>
      <c r="I723" s="16" cm="1">
        <f t="array" ref="I723">SUM(I721:I722)</f>
        <v>0</v>
      </c>
    </row>
    <row r="724" ht="20.35" customHeight="1">
      <c r="A724" s="10">
        <v>45471</v>
      </c>
      <c r="B724" t="s" s="11">
        <v>5</v>
      </c>
      <c r="C724" t="s" s="12">
        <v>112</v>
      </c>
      <c r="D724" s="17">
        <v>145051</v>
      </c>
      <c r="E724" s="17"/>
      <c r="F724" s="18"/>
      <c r="G724" s="18"/>
      <c r="H724" s="18"/>
      <c r="I724" s="18"/>
    </row>
    <row r="725" ht="20.35" customHeight="1">
      <c r="A725" s="10">
        <v>45471</v>
      </c>
      <c r="B725" t="s" s="11">
        <v>107</v>
      </c>
      <c r="C725" t="s" s="12">
        <v>112</v>
      </c>
      <c r="D725" s="13"/>
      <c r="E725" s="13">
        <v>145051</v>
      </c>
      <c r="F725" s="14"/>
      <c r="G725" s="14"/>
      <c r="H725" s="14"/>
      <c r="I725" s="14"/>
    </row>
    <row r="726" ht="20.7" customHeight="1">
      <c r="A726" s="10">
        <v>45471</v>
      </c>
      <c r="B726" t="s" s="11">
        <v>8</v>
      </c>
      <c r="C726" t="s" s="12">
        <v>8</v>
      </c>
      <c r="D726" s="15" cm="1">
        <f t="array" ref="D726">SUM(D724:D725)</f>
        <v>145051</v>
      </c>
      <c r="E726" s="15" cm="1">
        <f t="array" ref="E726">SUM(E724:E725)</f>
        <v>145051</v>
      </c>
      <c r="F726" s="16" cm="1">
        <f t="array" ref="F726">SUM(F724:F725)</f>
        <v>0</v>
      </c>
      <c r="G726" s="16" cm="1">
        <f t="array" ref="G726">SUM(G724:G725)</f>
        <v>0</v>
      </c>
      <c r="H726" s="16" cm="1">
        <f t="array" ref="H726">SUM(H724:H725)</f>
        <v>0</v>
      </c>
      <c r="I726" s="16" cm="1">
        <f t="array" ref="I726">SUM(I724:I725)</f>
        <v>0</v>
      </c>
    </row>
    <row r="727" ht="20.35" customHeight="1">
      <c r="A727" s="10">
        <v>45471</v>
      </c>
      <c r="B727" t="s" s="11">
        <v>5</v>
      </c>
      <c r="C727" t="s" s="12">
        <v>191</v>
      </c>
      <c r="D727" s="17"/>
      <c r="E727" s="17">
        <v>10561</v>
      </c>
      <c r="F727" s="18"/>
      <c r="G727" s="18"/>
      <c r="H727" s="18"/>
      <c r="I727" s="18"/>
    </row>
    <row r="728" ht="20.35" customHeight="1">
      <c r="A728" s="10">
        <v>45471</v>
      </c>
      <c r="B728" t="s" s="11">
        <v>10</v>
      </c>
      <c r="C728" t="s" s="12">
        <v>191</v>
      </c>
      <c r="D728" s="13">
        <v>10561</v>
      </c>
      <c r="E728" s="13"/>
      <c r="F728" s="14"/>
      <c r="G728" s="14"/>
      <c r="H728" s="14"/>
      <c r="I728" s="14"/>
    </row>
    <row r="729" ht="20.7" customHeight="1">
      <c r="A729" s="10">
        <v>45471</v>
      </c>
      <c r="B729" t="s" s="11">
        <v>8</v>
      </c>
      <c r="C729" t="s" s="12">
        <v>8</v>
      </c>
      <c r="D729" s="15" cm="1">
        <f t="array" ref="D729">SUM(D727:D728)</f>
        <v>10561</v>
      </c>
      <c r="E729" s="15" cm="1">
        <f t="array" ref="E729">SUM(E727:E728)</f>
        <v>10561</v>
      </c>
      <c r="F729" s="16" cm="1">
        <f t="array" ref="F729">SUM(F727:F728)</f>
        <v>0</v>
      </c>
      <c r="G729" s="16" cm="1">
        <f t="array" ref="G729">SUM(G727:G728)</f>
        <v>0</v>
      </c>
      <c r="H729" s="16" cm="1">
        <f t="array" ref="H729">SUM(H727:H728)</f>
        <v>0</v>
      </c>
      <c r="I729" s="16" cm="1">
        <f t="array" ref="I729">SUM(I727:I728)</f>
        <v>0</v>
      </c>
    </row>
    <row r="730" ht="20.35" customHeight="1">
      <c r="A730" s="10">
        <v>45471</v>
      </c>
      <c r="B730" t="s" s="11">
        <v>5</v>
      </c>
      <c r="C730" t="s" s="12">
        <v>192</v>
      </c>
      <c r="D730" s="17"/>
      <c r="E730" s="17">
        <v>9200</v>
      </c>
      <c r="F730" s="18"/>
      <c r="G730" s="18"/>
      <c r="H730" s="18"/>
      <c r="I730" s="18"/>
    </row>
    <row r="731" ht="20.35" customHeight="1">
      <c r="A731" s="10">
        <v>45471</v>
      </c>
      <c r="B731" t="s" s="11">
        <v>10</v>
      </c>
      <c r="C731" t="s" s="12">
        <v>192</v>
      </c>
      <c r="D731" s="13">
        <v>9200</v>
      </c>
      <c r="E731" s="13"/>
      <c r="F731" s="14"/>
      <c r="G731" s="14"/>
      <c r="H731" s="14"/>
      <c r="I731" s="14"/>
    </row>
    <row r="732" ht="20.7" customHeight="1">
      <c r="A732" s="10">
        <v>45471</v>
      </c>
      <c r="B732" t="s" s="11">
        <v>8</v>
      </c>
      <c r="C732" t="s" s="12">
        <v>8</v>
      </c>
      <c r="D732" s="15" cm="1">
        <f t="array" ref="D732">SUM(D730:D731)</f>
        <v>9200</v>
      </c>
      <c r="E732" s="15" cm="1">
        <f t="array" ref="E732">SUM(E730:E731)</f>
        <v>9200</v>
      </c>
      <c r="F732" s="16" cm="1">
        <f t="array" ref="F732">SUM(F730:F731)</f>
        <v>0</v>
      </c>
      <c r="G732" s="16" cm="1">
        <f t="array" ref="G732">SUM(G730:G731)</f>
        <v>0</v>
      </c>
      <c r="H732" s="16" cm="1">
        <f t="array" ref="H732">SUM(H730:H731)</f>
        <v>0</v>
      </c>
      <c r="I732" s="16" cm="1">
        <f t="array" ref="I732">SUM(I730:I731)</f>
        <v>0</v>
      </c>
    </row>
    <row r="733" ht="20.35" customHeight="1">
      <c r="A733" s="10">
        <v>45471</v>
      </c>
      <c r="B733" t="s" s="11">
        <v>28</v>
      </c>
      <c r="C733" t="s" s="12">
        <v>193</v>
      </c>
      <c r="D733" s="17">
        <v>50000</v>
      </c>
      <c r="E733" s="17"/>
      <c r="F733" s="18"/>
      <c r="G733" s="18"/>
      <c r="H733" s="18"/>
      <c r="I733" s="18"/>
    </row>
    <row r="734" ht="20.35" customHeight="1">
      <c r="A734" s="10">
        <v>45471</v>
      </c>
      <c r="B734" t="s" s="11">
        <v>5</v>
      </c>
      <c r="C734" t="s" s="12">
        <v>193</v>
      </c>
      <c r="D734" s="13"/>
      <c r="E734" s="13">
        <v>50000</v>
      </c>
      <c r="F734" s="14"/>
      <c r="G734" s="14"/>
      <c r="H734" s="14"/>
      <c r="I734" s="14"/>
    </row>
    <row r="735" ht="20.7" customHeight="1">
      <c r="A735" s="10">
        <v>45471</v>
      </c>
      <c r="B735" t="s" s="11">
        <v>8</v>
      </c>
      <c r="C735" t="s" s="12">
        <v>8</v>
      </c>
      <c r="D735" s="15" cm="1">
        <f t="array" ref="D735">SUM(D733:D734)</f>
        <v>50000</v>
      </c>
      <c r="E735" s="15" cm="1">
        <f t="array" ref="E735">SUM(E733:E734)</f>
        <v>50000</v>
      </c>
      <c r="F735" s="16" cm="1">
        <f t="array" ref="F735">SUM(F733:F734)</f>
        <v>0</v>
      </c>
      <c r="G735" s="16" cm="1">
        <f t="array" ref="G735">SUM(G733:G734)</f>
        <v>0</v>
      </c>
      <c r="H735" s="16" cm="1">
        <f t="array" ref="H735">SUM(H733:H734)</f>
        <v>0</v>
      </c>
      <c r="I735" s="16" cm="1">
        <f t="array" ref="I735">SUM(I733:I734)</f>
        <v>0</v>
      </c>
    </row>
    <row r="736" ht="20.35" customHeight="1">
      <c r="A736" s="10">
        <v>45472</v>
      </c>
      <c r="B736" t="s" s="11">
        <v>5</v>
      </c>
      <c r="C736" t="s" s="12">
        <v>194</v>
      </c>
      <c r="D736" s="17"/>
      <c r="E736" s="17">
        <v>7500</v>
      </c>
      <c r="F736" s="18"/>
      <c r="G736" s="18"/>
      <c r="H736" s="18"/>
      <c r="I736" s="18"/>
    </row>
    <row r="737" ht="20.35" customHeight="1">
      <c r="A737" s="10">
        <v>45472</v>
      </c>
      <c r="B737" t="s" s="11">
        <v>10</v>
      </c>
      <c r="C737" t="s" s="12">
        <v>194</v>
      </c>
      <c r="D737" s="13">
        <v>7500</v>
      </c>
      <c r="E737" s="13"/>
      <c r="F737" s="14"/>
      <c r="G737" s="14"/>
      <c r="H737" s="14"/>
      <c r="I737" s="14"/>
    </row>
    <row r="738" ht="20.7" customHeight="1">
      <c r="A738" s="10">
        <v>45472</v>
      </c>
      <c r="B738" t="s" s="11">
        <v>8</v>
      </c>
      <c r="C738" t="s" s="12">
        <v>8</v>
      </c>
      <c r="D738" s="15" cm="1">
        <f t="array" ref="D738">SUM(D736:D737)</f>
        <v>7500</v>
      </c>
      <c r="E738" s="15" cm="1">
        <f t="array" ref="E738">SUM(E736:E737)</f>
        <v>7500</v>
      </c>
      <c r="F738" s="16" cm="1">
        <f t="array" ref="F738">SUM(F736:F737)</f>
        <v>0</v>
      </c>
      <c r="G738" s="16" cm="1">
        <f t="array" ref="G738">SUM(G736:G737)</f>
        <v>0</v>
      </c>
      <c r="H738" s="16" cm="1">
        <f t="array" ref="H738">SUM(H736:H737)</f>
        <v>0</v>
      </c>
      <c r="I738" s="16" cm="1">
        <f t="array" ref="I738">SUM(I736:I737)</f>
        <v>0</v>
      </c>
    </row>
    <row r="739" ht="20.35" customHeight="1">
      <c r="A739" s="10">
        <v>45472</v>
      </c>
      <c r="B739" t="s" s="11">
        <v>5</v>
      </c>
      <c r="C739" t="s" s="12">
        <v>17</v>
      </c>
      <c r="D739" s="17">
        <v>100</v>
      </c>
      <c r="E739" s="17"/>
      <c r="F739" s="18"/>
      <c r="G739" s="18"/>
      <c r="H739" s="18"/>
      <c r="I739" s="18"/>
    </row>
    <row r="740" ht="20.35" customHeight="1">
      <c r="A740" s="10">
        <v>45472</v>
      </c>
      <c r="B740" t="s" s="11">
        <v>18</v>
      </c>
      <c r="C740" t="s" s="12">
        <v>17</v>
      </c>
      <c r="D740" s="13"/>
      <c r="E740" s="13">
        <v>100</v>
      </c>
      <c r="F740" s="14"/>
      <c r="G740" s="14"/>
      <c r="H740" s="14"/>
      <c r="I740" s="14"/>
    </row>
    <row r="741" ht="20.7" customHeight="1">
      <c r="A741" s="10">
        <v>45472</v>
      </c>
      <c r="B741" t="s" s="11">
        <v>8</v>
      </c>
      <c r="C741" t="s" s="12">
        <v>8</v>
      </c>
      <c r="D741" s="15" cm="1">
        <f t="array" ref="D741">SUM(D739:D740)</f>
        <v>100</v>
      </c>
      <c r="E741" s="15" cm="1">
        <f t="array" ref="E741">SUM(E739:E740)</f>
        <v>100</v>
      </c>
      <c r="F741" s="16" cm="1">
        <f t="array" ref="F741">SUM(F739:F740)</f>
        <v>0</v>
      </c>
      <c r="G741" s="16" cm="1">
        <f t="array" ref="G741">SUM(G739:G740)</f>
        <v>0</v>
      </c>
      <c r="H741" s="16" cm="1">
        <f t="array" ref="H741">SUM(H739:H740)</f>
        <v>0</v>
      </c>
      <c r="I741" s="16" cm="1">
        <f t="array" ref="I741">SUM(I739:I740)</f>
        <v>0</v>
      </c>
    </row>
    <row r="742" ht="20.65" customHeight="1">
      <c r="A742" s="10">
        <v>45472</v>
      </c>
      <c r="B742" t="s" s="11">
        <v>28</v>
      </c>
      <c r="C742" t="s" s="12">
        <v>195</v>
      </c>
      <c r="D742" s="17"/>
      <c r="E742" s="17">
        <v>30000</v>
      </c>
      <c r="F742" s="18"/>
      <c r="G742" s="18"/>
      <c r="H742" s="18"/>
      <c r="I742" s="18"/>
    </row>
    <row r="743" ht="20.65" customHeight="1">
      <c r="A743" s="10">
        <v>45472</v>
      </c>
      <c r="B743" t="s" s="11">
        <v>10</v>
      </c>
      <c r="C743" t="s" s="12">
        <v>195</v>
      </c>
      <c r="D743" s="13">
        <v>30000</v>
      </c>
      <c r="E743" s="13"/>
      <c r="F743" s="14"/>
      <c r="G743" s="14"/>
      <c r="H743" s="14"/>
      <c r="I743" s="14"/>
    </row>
    <row r="744" ht="20.7" customHeight="1">
      <c r="A744" s="10">
        <v>45472</v>
      </c>
      <c r="B744" t="s" s="11">
        <v>8</v>
      </c>
      <c r="C744" t="s" s="12">
        <v>8</v>
      </c>
      <c r="D744" s="15" cm="1">
        <f t="array" ref="D744">SUM(D742:D743)</f>
        <v>30000</v>
      </c>
      <c r="E744" s="15" cm="1">
        <f t="array" ref="E744">SUM(E742:E743)</f>
        <v>30000</v>
      </c>
      <c r="F744" s="16" cm="1">
        <f t="array" ref="F744">SUM(F742:F743)</f>
        <v>0</v>
      </c>
      <c r="G744" s="16" cm="1">
        <f t="array" ref="G744">SUM(G742:G743)</f>
        <v>0</v>
      </c>
      <c r="H744" s="16" cm="1">
        <f t="array" ref="H744">SUM(H742:H743)</f>
        <v>0</v>
      </c>
      <c r="I744" s="16" cm="1">
        <f t="array" ref="I744">SUM(I742:I743)</f>
        <v>0</v>
      </c>
    </row>
    <row r="745" ht="20.35" customHeight="1">
      <c r="A745" s="10">
        <v>45472</v>
      </c>
      <c r="B745" t="s" s="11">
        <v>5</v>
      </c>
      <c r="C745" t="s" s="12">
        <v>161</v>
      </c>
      <c r="D745" s="17"/>
      <c r="E745" s="17">
        <v>64400</v>
      </c>
      <c r="F745" s="18"/>
      <c r="G745" s="18"/>
      <c r="H745" s="18"/>
      <c r="I745" s="18"/>
    </row>
    <row r="746" ht="20.35" customHeight="1">
      <c r="A746" s="10">
        <v>45472</v>
      </c>
      <c r="B746" t="s" s="11">
        <v>10</v>
      </c>
      <c r="C746" t="s" s="12">
        <v>161</v>
      </c>
      <c r="D746" s="13">
        <v>64400</v>
      </c>
      <c r="E746" s="13"/>
      <c r="F746" s="14"/>
      <c r="G746" s="14"/>
      <c r="H746" s="14"/>
      <c r="I746" s="14"/>
    </row>
    <row r="747" ht="20.7" customHeight="1">
      <c r="A747" s="10">
        <v>45472</v>
      </c>
      <c r="B747" t="s" s="11">
        <v>8</v>
      </c>
      <c r="C747" t="s" s="12">
        <v>8</v>
      </c>
      <c r="D747" s="15" cm="1">
        <f t="array" ref="D747">SUM(D745:D746)</f>
        <v>64400</v>
      </c>
      <c r="E747" s="15" cm="1">
        <f t="array" ref="E747">SUM(E745:E746)</f>
        <v>64400</v>
      </c>
      <c r="F747" s="16" cm="1">
        <f t="array" ref="F747">SUM(F745:F746)</f>
        <v>0</v>
      </c>
      <c r="G747" s="16" cm="1">
        <f t="array" ref="G747">SUM(G745:G746)</f>
        <v>0</v>
      </c>
      <c r="H747" s="16" cm="1">
        <f t="array" ref="H747">SUM(H745:H746)</f>
        <v>0</v>
      </c>
      <c r="I747" s="16" cm="1">
        <f t="array" ref="I747">SUM(I745:I746)</f>
        <v>0</v>
      </c>
    </row>
    <row r="748" ht="21.25" customHeight="1">
      <c r="A748" s="10">
        <v>45472</v>
      </c>
      <c r="B748" t="s" s="11">
        <v>5</v>
      </c>
      <c r="C748" t="s" s="12">
        <v>196</v>
      </c>
      <c r="D748" s="17"/>
      <c r="E748" s="17">
        <v>39000</v>
      </c>
      <c r="F748" s="18"/>
      <c r="G748" s="18"/>
      <c r="H748" s="18"/>
      <c r="I748" s="18"/>
    </row>
    <row r="749" ht="20.9" customHeight="1">
      <c r="A749" s="10">
        <v>45472</v>
      </c>
      <c r="B749" t="s" s="11">
        <v>10</v>
      </c>
      <c r="C749" t="s" s="12">
        <v>196</v>
      </c>
      <c r="D749" s="19">
        <v>19500</v>
      </c>
      <c r="E749" s="19"/>
      <c r="F749" s="20"/>
      <c r="G749" s="20"/>
      <c r="H749" s="20"/>
      <c r="I749" s="20"/>
    </row>
    <row r="750" ht="21.25" customHeight="1">
      <c r="A750" s="10">
        <v>45472</v>
      </c>
      <c r="B750" t="s" s="11">
        <v>12</v>
      </c>
      <c r="C750" t="s" s="12">
        <v>196</v>
      </c>
      <c r="D750" s="13">
        <v>19500</v>
      </c>
      <c r="E750" s="13"/>
      <c r="F750" s="14"/>
      <c r="G750" s="14"/>
      <c r="H750" s="14"/>
      <c r="I750" s="14"/>
    </row>
    <row r="751" ht="20.7" customHeight="1">
      <c r="A751" s="10">
        <v>45472</v>
      </c>
      <c r="B751" t="s" s="11">
        <v>8</v>
      </c>
      <c r="C751" t="s" s="12">
        <v>8</v>
      </c>
      <c r="D751" s="15" cm="1">
        <f t="array" ref="D751">SUM(D748:D750)</f>
        <v>39000</v>
      </c>
      <c r="E751" s="15" cm="1">
        <f t="array" ref="E751">SUM(E748:E750)</f>
        <v>39000</v>
      </c>
      <c r="F751" s="16" cm="1">
        <f t="array" ref="F751">SUM(F748:F750)</f>
        <v>0</v>
      </c>
      <c r="G751" s="16" cm="1">
        <f t="array" ref="G751">SUM(G748:G750)</f>
        <v>0</v>
      </c>
      <c r="H751" s="16" cm="1">
        <f t="array" ref="H751">SUM(H748:H750)</f>
        <v>0</v>
      </c>
      <c r="I751" s="16" cm="1">
        <f t="array" ref="I751">SUM(I748:I750)</f>
        <v>0</v>
      </c>
    </row>
    <row r="752" ht="21.25" customHeight="1">
      <c r="A752" s="10">
        <v>45473</v>
      </c>
      <c r="B752" t="s" s="11">
        <v>28</v>
      </c>
      <c r="C752" t="s" s="12">
        <v>197</v>
      </c>
      <c r="D752" s="17"/>
      <c r="E752" s="17">
        <v>10000</v>
      </c>
      <c r="F752" s="18"/>
      <c r="G752" s="18"/>
      <c r="H752" s="18"/>
      <c r="I752" s="18"/>
    </row>
    <row r="753" ht="21.25" customHeight="1">
      <c r="A753" s="10">
        <v>45473</v>
      </c>
      <c r="B753" t="s" s="11">
        <v>12</v>
      </c>
      <c r="C753" t="s" s="12">
        <v>197</v>
      </c>
      <c r="D753" s="13">
        <v>10000</v>
      </c>
      <c r="E753" s="13"/>
      <c r="F753" s="14"/>
      <c r="G753" s="14"/>
      <c r="H753" s="14"/>
      <c r="I753" s="14"/>
    </row>
    <row r="754" ht="20.7" customHeight="1">
      <c r="A754" s="10">
        <v>45473</v>
      </c>
      <c r="B754" t="s" s="11">
        <v>8</v>
      </c>
      <c r="C754" t="s" s="12">
        <v>8</v>
      </c>
      <c r="D754" s="15" cm="1">
        <f t="array" ref="D754">SUM(D752:D753)</f>
        <v>10000</v>
      </c>
      <c r="E754" s="15" cm="1">
        <f t="array" ref="E754">SUM(E752:E753)</f>
        <v>10000</v>
      </c>
      <c r="F754" s="16" cm="1">
        <f t="array" ref="F754">SUM(F752:F753)</f>
        <v>0</v>
      </c>
      <c r="G754" s="16" cm="1">
        <f t="array" ref="G754">SUM(G752:G753)</f>
        <v>0</v>
      </c>
      <c r="H754" s="16" cm="1">
        <f t="array" ref="H754">SUM(H752:H753)</f>
        <v>0</v>
      </c>
      <c r="I754" s="16" cm="1">
        <f t="array" ref="I754">SUM(I752:I753)</f>
        <v>0</v>
      </c>
    </row>
    <row r="755" ht="21.25" customHeight="1">
      <c r="A755" s="10">
        <v>45473</v>
      </c>
      <c r="B755" t="s" s="11">
        <v>39</v>
      </c>
      <c r="C755" t="s" s="12">
        <v>198</v>
      </c>
      <c r="D755" s="17"/>
      <c r="E755" s="17"/>
      <c r="F755" s="18">
        <v>0.08</v>
      </c>
      <c r="G755" s="18"/>
      <c r="H755" s="18"/>
      <c r="I755" s="18"/>
    </row>
    <row r="756" ht="21.25" customHeight="1">
      <c r="A756" s="10">
        <v>45473</v>
      </c>
      <c r="B756" t="s" s="11">
        <v>104</v>
      </c>
      <c r="C756" t="s" s="12">
        <v>198</v>
      </c>
      <c r="D756" s="13"/>
      <c r="E756" s="13"/>
      <c r="F756" s="14"/>
      <c r="G756" s="14">
        <v>0.08</v>
      </c>
      <c r="H756" s="14"/>
      <c r="I756" s="14"/>
    </row>
    <row r="757" ht="20.7" customHeight="1">
      <c r="A757" s="10">
        <v>45473</v>
      </c>
      <c r="B757" t="s" s="11">
        <v>8</v>
      </c>
      <c r="C757" t="s" s="12">
        <v>8</v>
      </c>
      <c r="D757" s="15" cm="1">
        <f t="array" ref="D757">SUM(D755:D756)</f>
        <v>0</v>
      </c>
      <c r="E757" s="15" cm="1">
        <f t="array" ref="E757">SUM(E755:E756)</f>
        <v>0</v>
      </c>
      <c r="F757" s="16" cm="1">
        <f t="array" ref="F757">SUM(F755:F756)</f>
        <v>0.08</v>
      </c>
      <c r="G757" s="16" cm="1">
        <f t="array" ref="G757">SUM(G755:G756)</f>
        <v>0.08</v>
      </c>
      <c r="H757" s="16" cm="1">
        <f t="array" ref="H757">SUM(H755:H756)</f>
        <v>0</v>
      </c>
      <c r="I757" s="16" cm="1">
        <f t="array" ref="I757">SUM(I755:I756)</f>
        <v>0</v>
      </c>
    </row>
    <row r="758" ht="20.35" customHeight="1">
      <c r="A758" s="10">
        <v>45473</v>
      </c>
      <c r="B758" t="s" s="11">
        <v>60</v>
      </c>
      <c r="C758" t="s" s="12">
        <v>199</v>
      </c>
      <c r="D758" s="17"/>
      <c r="E758" s="17"/>
      <c r="F758" s="18"/>
      <c r="G758" s="18">
        <v>0.01</v>
      </c>
      <c r="H758" s="18"/>
      <c r="I758" s="18"/>
    </row>
    <row r="759" ht="20.35" customHeight="1">
      <c r="A759" s="10">
        <v>45473</v>
      </c>
      <c r="B759" t="s" s="11">
        <v>44</v>
      </c>
      <c r="C759" t="s" s="12">
        <v>199</v>
      </c>
      <c r="D759" s="13"/>
      <c r="E759" s="13"/>
      <c r="F759" s="14">
        <v>0.01</v>
      </c>
      <c r="G759" s="14"/>
      <c r="H759" s="14"/>
      <c r="I759" s="14"/>
    </row>
    <row r="760" ht="20.7" customHeight="1">
      <c r="A760" s="10">
        <v>45473</v>
      </c>
      <c r="B760" t="s" s="11">
        <v>8</v>
      </c>
      <c r="C760" t="s" s="12">
        <v>8</v>
      </c>
      <c r="D760" s="15" cm="1">
        <f t="array" ref="D760">SUM(D758:D759)</f>
        <v>0</v>
      </c>
      <c r="E760" s="15" cm="1">
        <f t="array" ref="E760">SUM(E758:E759)</f>
        <v>0</v>
      </c>
      <c r="F760" s="16" cm="1">
        <f t="array" ref="F760">SUM(F758:F759)</f>
        <v>0.01</v>
      </c>
      <c r="G760" s="16" cm="1">
        <f t="array" ref="G760">SUM(G758:G759)</f>
        <v>0.01</v>
      </c>
      <c r="H760" s="16" cm="1">
        <f t="array" ref="H760">SUM(H758:H759)</f>
        <v>0</v>
      </c>
      <c r="I760" s="16" cm="1">
        <f t="array" ref="I760">SUM(I758:I759)</f>
        <v>0</v>
      </c>
    </row>
    <row r="761" ht="21.25" customHeight="1">
      <c r="A761" s="10">
        <v>45474</v>
      </c>
      <c r="B761" t="s" s="11">
        <v>5</v>
      </c>
      <c r="C761" t="s" s="12">
        <v>198</v>
      </c>
      <c r="D761" s="17">
        <v>127</v>
      </c>
      <c r="E761" s="17"/>
      <c r="F761" s="18"/>
      <c r="G761" s="18"/>
      <c r="H761" s="18"/>
      <c r="I761" s="18"/>
    </row>
    <row r="762" ht="21.25" customHeight="1">
      <c r="A762" s="10">
        <v>45474</v>
      </c>
      <c r="B762" t="s" s="11">
        <v>7</v>
      </c>
      <c r="C762" t="s" s="12">
        <v>198</v>
      </c>
      <c r="D762" s="13"/>
      <c r="E762" s="13">
        <v>127</v>
      </c>
      <c r="F762" s="14"/>
      <c r="G762" s="14"/>
      <c r="H762" s="14"/>
      <c r="I762" s="14"/>
    </row>
    <row r="763" ht="20.7" customHeight="1">
      <c r="A763" s="10">
        <v>45474</v>
      </c>
      <c r="B763" t="s" s="11">
        <v>8</v>
      </c>
      <c r="C763" t="s" s="12">
        <v>8</v>
      </c>
      <c r="D763" s="15" cm="1">
        <f t="array" ref="D763">SUM(D761:D762)</f>
        <v>127</v>
      </c>
      <c r="E763" s="15" cm="1">
        <f t="array" ref="E763">SUM(E761:E762)</f>
        <v>127</v>
      </c>
      <c r="F763" s="16" cm="1">
        <f t="array" ref="F763">SUM(F761:F762)</f>
        <v>0</v>
      </c>
      <c r="G763" s="16" cm="1">
        <f t="array" ref="G763">SUM(G761:G762)</f>
        <v>0</v>
      </c>
      <c r="H763" s="16" cm="1">
        <f t="array" ref="H763">SUM(H761:H762)</f>
        <v>0</v>
      </c>
      <c r="I763" s="16" cm="1">
        <f t="array" ref="I763">SUM(I761:I762)</f>
        <v>0</v>
      </c>
    </row>
    <row r="764" ht="20.35" customHeight="1">
      <c r="A764" s="10">
        <v>45475</v>
      </c>
      <c r="B764" t="s" s="11">
        <v>21</v>
      </c>
      <c r="C764" t="s" s="12">
        <v>200</v>
      </c>
      <c r="D764" s="17"/>
      <c r="E764" s="17">
        <v>100000</v>
      </c>
      <c r="F764" s="18"/>
      <c r="G764" s="18"/>
      <c r="H764" s="18"/>
      <c r="I764" s="18"/>
    </row>
    <row r="765" ht="20.35" customHeight="1">
      <c r="A765" s="10">
        <v>45475</v>
      </c>
      <c r="B765" t="s" s="11">
        <v>23</v>
      </c>
      <c r="C765" t="s" s="12">
        <v>200</v>
      </c>
      <c r="D765" s="13">
        <v>100000</v>
      </c>
      <c r="E765" s="13"/>
      <c r="F765" s="14"/>
      <c r="G765" s="14"/>
      <c r="H765" s="14"/>
      <c r="I765" s="14"/>
    </row>
    <row r="766" ht="20.7" customHeight="1">
      <c r="A766" s="10">
        <v>45475</v>
      </c>
      <c r="B766" t="s" s="11">
        <v>8</v>
      </c>
      <c r="C766" t="s" s="12">
        <v>8</v>
      </c>
      <c r="D766" s="15" cm="1">
        <f t="array" ref="D766">SUM(D764:D765)</f>
        <v>100000</v>
      </c>
      <c r="E766" s="15" cm="1">
        <f t="array" ref="E766">SUM(E764:E765)</f>
        <v>100000</v>
      </c>
      <c r="F766" s="16" cm="1">
        <f t="array" ref="F766">SUM(F764:F765)</f>
        <v>0</v>
      </c>
      <c r="G766" s="16" cm="1">
        <f t="array" ref="G766">SUM(G764:G765)</f>
        <v>0</v>
      </c>
      <c r="H766" s="16" cm="1">
        <f t="array" ref="H766">SUM(H764:H765)</f>
        <v>0</v>
      </c>
      <c r="I766" s="16" cm="1">
        <f t="array" ref="I766">SUM(I764:I765)</f>
        <v>0</v>
      </c>
    </row>
    <row r="767" ht="20.35" customHeight="1">
      <c r="A767" s="10">
        <v>45475</v>
      </c>
      <c r="B767" t="s" s="11">
        <v>60</v>
      </c>
      <c r="C767" t="s" s="12">
        <v>201</v>
      </c>
      <c r="D767" s="17"/>
      <c r="E767" s="17"/>
      <c r="F767" s="18">
        <v>10</v>
      </c>
      <c r="G767" s="18"/>
      <c r="H767" s="18"/>
      <c r="I767" s="18"/>
    </row>
    <row r="768" ht="20.35" customHeight="1">
      <c r="A768" s="10">
        <v>45475</v>
      </c>
      <c r="B768" t="s" s="11">
        <v>44</v>
      </c>
      <c r="C768" t="s" s="12">
        <v>201</v>
      </c>
      <c r="D768" s="13"/>
      <c r="E768" s="13"/>
      <c r="F768" s="14"/>
      <c r="G768" s="14">
        <v>10</v>
      </c>
      <c r="H768" s="14"/>
      <c r="I768" s="14"/>
    </row>
    <row r="769" ht="20.7" customHeight="1">
      <c r="A769" s="10">
        <v>45475</v>
      </c>
      <c r="B769" t="s" s="11">
        <v>8</v>
      </c>
      <c r="C769" t="s" s="12">
        <v>8</v>
      </c>
      <c r="D769" s="15" cm="1">
        <f t="array" ref="D769">SUM(D767:D768)</f>
        <v>0</v>
      </c>
      <c r="E769" s="15" cm="1">
        <f t="array" ref="E769">SUM(E767:E768)</f>
        <v>0</v>
      </c>
      <c r="F769" s="16" cm="1">
        <f t="array" ref="F769">SUM(F767:F768)</f>
        <v>10</v>
      </c>
      <c r="G769" s="16" cm="1">
        <f t="array" ref="G769">SUM(G767:G768)</f>
        <v>10</v>
      </c>
      <c r="H769" s="16" cm="1">
        <f t="array" ref="H769">SUM(H767:H768)</f>
        <v>0</v>
      </c>
      <c r="I769" s="16" cm="1">
        <f t="array" ref="I769">SUM(I767:I768)</f>
        <v>0</v>
      </c>
    </row>
    <row r="770" ht="20.35" customHeight="1">
      <c r="A770" s="10">
        <v>45476</v>
      </c>
      <c r="B770" t="s" s="11">
        <v>5</v>
      </c>
      <c r="C770" t="s" s="12">
        <v>202</v>
      </c>
      <c r="D770" s="17"/>
      <c r="E770" s="17">
        <v>10000</v>
      </c>
      <c r="F770" s="18"/>
      <c r="G770" s="18"/>
      <c r="H770" s="18"/>
      <c r="I770" s="18"/>
    </row>
    <row r="771" ht="20.35" customHeight="1">
      <c r="A771" s="10">
        <v>45476</v>
      </c>
      <c r="B771" t="s" s="11">
        <v>93</v>
      </c>
      <c r="C771" t="s" s="12">
        <v>202</v>
      </c>
      <c r="D771" s="13">
        <v>10000</v>
      </c>
      <c r="E771" s="13"/>
      <c r="F771" s="14"/>
      <c r="G771" s="14"/>
      <c r="H771" s="14"/>
      <c r="I771" s="14"/>
    </row>
    <row r="772" ht="20.7" customHeight="1">
      <c r="A772" s="10">
        <v>45476</v>
      </c>
      <c r="B772" t="s" s="11">
        <v>8</v>
      </c>
      <c r="C772" t="s" s="12">
        <v>8</v>
      </c>
      <c r="D772" s="15" cm="1">
        <f t="array" ref="D772">SUM(D770:D771)</f>
        <v>10000</v>
      </c>
      <c r="E772" s="15" cm="1">
        <f t="array" ref="E772">SUM(E770:E771)</f>
        <v>10000</v>
      </c>
      <c r="F772" s="16" cm="1">
        <f t="array" ref="F772">SUM(F770:F771)</f>
        <v>0</v>
      </c>
      <c r="G772" s="16" cm="1">
        <f t="array" ref="G772">SUM(G770:G771)</f>
        <v>0</v>
      </c>
      <c r="H772" s="16" cm="1">
        <f t="array" ref="H772">SUM(H770:H771)</f>
        <v>0</v>
      </c>
      <c r="I772" s="16" cm="1">
        <f t="array" ref="I772">SUM(I770:I771)</f>
        <v>0</v>
      </c>
    </row>
    <row r="773" ht="20.35" customHeight="1">
      <c r="A773" s="10">
        <v>45476</v>
      </c>
      <c r="B773" t="s" s="11">
        <v>93</v>
      </c>
      <c r="C773" t="s" s="12">
        <v>13</v>
      </c>
      <c r="D773" s="17"/>
      <c r="E773" s="17">
        <v>8900</v>
      </c>
      <c r="F773" s="18"/>
      <c r="G773" s="18"/>
      <c r="H773" s="18"/>
      <c r="I773" s="18"/>
    </row>
    <row r="774" ht="20.35" customHeight="1">
      <c r="A774" s="10">
        <v>45476</v>
      </c>
      <c r="B774" t="s" s="11">
        <v>10</v>
      </c>
      <c r="C774" t="s" s="12">
        <v>13</v>
      </c>
      <c r="D774" s="13">
        <v>8900</v>
      </c>
      <c r="E774" s="13"/>
      <c r="F774" s="14"/>
      <c r="G774" s="14"/>
      <c r="H774" s="14"/>
      <c r="I774" s="14"/>
    </row>
    <row r="775" ht="20.7" customHeight="1">
      <c r="A775" s="10">
        <v>45476</v>
      </c>
      <c r="B775" t="s" s="11">
        <v>8</v>
      </c>
      <c r="C775" t="s" s="12">
        <v>8</v>
      </c>
      <c r="D775" s="15" cm="1">
        <f t="array" ref="D775">SUM(D773:D774)</f>
        <v>8900</v>
      </c>
      <c r="E775" s="15" cm="1">
        <f t="array" ref="E775">SUM(E773:E774)</f>
        <v>8900</v>
      </c>
      <c r="F775" s="16" cm="1">
        <f t="array" ref="F775">SUM(F773:F774)</f>
        <v>0</v>
      </c>
      <c r="G775" s="16" cm="1">
        <f t="array" ref="G775">SUM(G773:G774)</f>
        <v>0</v>
      </c>
      <c r="H775" s="16" cm="1">
        <f t="array" ref="H775">SUM(H773:H774)</f>
        <v>0</v>
      </c>
      <c r="I775" s="16" cm="1">
        <f t="array" ref="I775">SUM(I773:I774)</f>
        <v>0</v>
      </c>
    </row>
    <row r="776" ht="20.35" customHeight="1">
      <c r="A776" s="10">
        <v>45476</v>
      </c>
      <c r="B776" t="s" s="11">
        <v>5</v>
      </c>
      <c r="C776" t="s" s="12">
        <v>96</v>
      </c>
      <c r="D776" s="17">
        <v>1100</v>
      </c>
      <c r="E776" s="17"/>
      <c r="F776" s="18"/>
      <c r="G776" s="18"/>
      <c r="H776" s="18"/>
      <c r="I776" s="18"/>
    </row>
    <row r="777" ht="20.35" customHeight="1">
      <c r="A777" s="10">
        <v>45476</v>
      </c>
      <c r="B777" t="s" s="11">
        <v>93</v>
      </c>
      <c r="C777" t="s" s="12">
        <v>96</v>
      </c>
      <c r="D777" s="13"/>
      <c r="E777" s="13">
        <v>1100</v>
      </c>
      <c r="F777" s="14"/>
      <c r="G777" s="14"/>
      <c r="H777" s="14"/>
      <c r="I777" s="14"/>
    </row>
    <row r="778" ht="20.7" customHeight="1">
      <c r="A778" s="10">
        <v>45476</v>
      </c>
      <c r="B778" t="s" s="11">
        <v>8</v>
      </c>
      <c r="C778" t="s" s="12">
        <v>8</v>
      </c>
      <c r="D778" s="15" cm="1">
        <f t="array" ref="D778">SUM(D776:D777)</f>
        <v>1100</v>
      </c>
      <c r="E778" s="15" cm="1">
        <f t="array" ref="E778">SUM(E776:E777)</f>
        <v>1100</v>
      </c>
      <c r="F778" s="16" cm="1">
        <f t="array" ref="F778">SUM(F776:F777)</f>
        <v>0</v>
      </c>
      <c r="G778" s="16" cm="1">
        <f t="array" ref="G778">SUM(G776:G777)</f>
        <v>0</v>
      </c>
      <c r="H778" s="16" cm="1">
        <f t="array" ref="H778">SUM(H776:H777)</f>
        <v>0</v>
      </c>
      <c r="I778" s="16" cm="1">
        <f t="array" ref="I778">SUM(I776:I777)</f>
        <v>0</v>
      </c>
    </row>
    <row r="779" ht="20.35" customHeight="1">
      <c r="A779" s="10">
        <v>45476</v>
      </c>
      <c r="B779" t="s" s="11">
        <v>5</v>
      </c>
      <c r="C779" t="s" s="12">
        <v>203</v>
      </c>
      <c r="D779" s="17"/>
      <c r="E779" s="17">
        <v>18000</v>
      </c>
      <c r="F779" s="18"/>
      <c r="G779" s="18"/>
      <c r="H779" s="18"/>
      <c r="I779" s="18"/>
    </row>
    <row r="780" ht="20.35" customHeight="1">
      <c r="A780" s="10">
        <v>45476</v>
      </c>
      <c r="B780" t="s" s="11">
        <v>10</v>
      </c>
      <c r="C780" t="s" s="12">
        <v>203</v>
      </c>
      <c r="D780" s="13">
        <v>18000</v>
      </c>
      <c r="E780" s="13"/>
      <c r="F780" s="14"/>
      <c r="G780" s="14"/>
      <c r="H780" s="14"/>
      <c r="I780" s="14"/>
    </row>
    <row r="781" ht="20.7" customHeight="1">
      <c r="A781" s="10">
        <v>45476</v>
      </c>
      <c r="B781" t="s" s="11">
        <v>8</v>
      </c>
      <c r="C781" t="s" s="12">
        <v>8</v>
      </c>
      <c r="D781" s="15" cm="1">
        <f t="array" ref="D781">SUM(D779:D780)</f>
        <v>18000</v>
      </c>
      <c r="E781" s="15" cm="1">
        <f t="array" ref="E781">SUM(E779:E780)</f>
        <v>18000</v>
      </c>
      <c r="F781" s="16" cm="1">
        <f t="array" ref="F781">SUM(F779:F780)</f>
        <v>0</v>
      </c>
      <c r="G781" s="16" cm="1">
        <f t="array" ref="G781">SUM(G779:G780)</f>
        <v>0</v>
      </c>
      <c r="H781" s="16" cm="1">
        <f t="array" ref="H781">SUM(H779:H780)</f>
        <v>0</v>
      </c>
      <c r="I781" s="16" cm="1">
        <f t="array" ref="I781">SUM(I779:I780)</f>
        <v>0</v>
      </c>
    </row>
    <row r="782" ht="20.35" customHeight="1">
      <c r="A782" s="10">
        <v>45476</v>
      </c>
      <c r="B782" t="s" s="11">
        <v>5</v>
      </c>
      <c r="C782" t="s" s="12">
        <v>204</v>
      </c>
      <c r="D782" s="17"/>
      <c r="E782" s="17">
        <v>80000</v>
      </c>
      <c r="F782" s="18"/>
      <c r="G782" s="18"/>
      <c r="H782" s="18"/>
      <c r="I782" s="18"/>
    </row>
    <row r="783" ht="20.05" customHeight="1">
      <c r="A783" s="10">
        <v>45476</v>
      </c>
      <c r="B783" t="s" s="11">
        <v>106</v>
      </c>
      <c r="C783" t="s" s="12">
        <v>204</v>
      </c>
      <c r="D783" s="19">
        <v>60000</v>
      </c>
      <c r="E783" s="19"/>
      <c r="F783" s="20"/>
      <c r="G783" s="20"/>
      <c r="H783" s="20"/>
      <c r="I783" s="20"/>
    </row>
    <row r="784" ht="20.35" customHeight="1">
      <c r="A784" s="10">
        <v>45476</v>
      </c>
      <c r="B784" t="s" s="11">
        <v>10</v>
      </c>
      <c r="C784" t="s" s="12">
        <v>204</v>
      </c>
      <c r="D784" s="13">
        <v>20000</v>
      </c>
      <c r="E784" s="13"/>
      <c r="F784" s="14"/>
      <c r="G784" s="14"/>
      <c r="H784" s="14"/>
      <c r="I784" s="14"/>
    </row>
    <row r="785" ht="20.7" customHeight="1">
      <c r="A785" s="10">
        <v>45476</v>
      </c>
      <c r="B785" t="s" s="11">
        <v>8</v>
      </c>
      <c r="C785" t="s" s="12">
        <v>8</v>
      </c>
      <c r="D785" s="15" cm="1">
        <f t="array" ref="D785">SUM(D782:D784)</f>
        <v>80000</v>
      </c>
      <c r="E785" s="15" cm="1">
        <f t="array" ref="E785">SUM(E782:E784)</f>
        <v>80000</v>
      </c>
      <c r="F785" s="16" cm="1">
        <f t="array" ref="F785">SUM(F782:F784)</f>
        <v>0</v>
      </c>
      <c r="G785" s="16" cm="1">
        <f t="array" ref="G785">SUM(G782:G784)</f>
        <v>0</v>
      </c>
      <c r="H785" s="16" cm="1">
        <f t="array" ref="H785">SUM(H782:H784)</f>
        <v>0</v>
      </c>
      <c r="I785" s="16" cm="1">
        <f t="array" ref="I785">SUM(I782:I784)</f>
        <v>0</v>
      </c>
    </row>
    <row r="786" ht="20.35" customHeight="1">
      <c r="A786" s="10">
        <v>45479</v>
      </c>
      <c r="B786" t="s" s="11">
        <v>5</v>
      </c>
      <c r="C786" t="s" s="12">
        <v>205</v>
      </c>
      <c r="D786" s="17"/>
      <c r="E786" s="17">
        <v>4990</v>
      </c>
      <c r="F786" s="18"/>
      <c r="G786" s="18"/>
      <c r="H786" s="18"/>
      <c r="I786" s="18"/>
    </row>
    <row r="787" ht="20.35" customHeight="1">
      <c r="A787" s="10">
        <v>45479</v>
      </c>
      <c r="B787" t="s" s="11">
        <v>10</v>
      </c>
      <c r="C787" t="s" s="12">
        <v>205</v>
      </c>
      <c r="D787" s="13">
        <v>4990</v>
      </c>
      <c r="E787" s="13"/>
      <c r="F787" s="14"/>
      <c r="G787" s="14"/>
      <c r="H787" s="14"/>
      <c r="I787" s="14"/>
    </row>
    <row r="788" ht="20.7" customHeight="1">
      <c r="A788" s="10">
        <v>45479</v>
      </c>
      <c r="B788" t="s" s="11">
        <v>8</v>
      </c>
      <c r="C788" t="s" s="12">
        <v>8</v>
      </c>
      <c r="D788" s="15" cm="1">
        <f t="array" ref="D788">SUM(D786:D787)</f>
        <v>4990</v>
      </c>
      <c r="E788" s="15" cm="1">
        <f t="array" ref="E788">SUM(E786:E787)</f>
        <v>4990</v>
      </c>
      <c r="F788" s="16" cm="1">
        <f t="array" ref="F788">SUM(F786:F787)</f>
        <v>0</v>
      </c>
      <c r="G788" s="16" cm="1">
        <f t="array" ref="G788">SUM(G786:G787)</f>
        <v>0</v>
      </c>
      <c r="H788" s="16" cm="1">
        <f t="array" ref="H788">SUM(H786:H787)</f>
        <v>0</v>
      </c>
      <c r="I788" s="16" cm="1">
        <f t="array" ref="I788">SUM(I786:I787)</f>
        <v>0</v>
      </c>
    </row>
    <row r="789" ht="20.35" customHeight="1">
      <c r="A789" s="10">
        <v>45482</v>
      </c>
      <c r="B789" t="s" s="11">
        <v>5</v>
      </c>
      <c r="C789" t="s" s="12">
        <v>206</v>
      </c>
      <c r="D789" s="17"/>
      <c r="E789" s="17">
        <v>4000</v>
      </c>
      <c r="F789" s="18"/>
      <c r="G789" s="18"/>
      <c r="H789" s="18"/>
      <c r="I789" s="18"/>
    </row>
    <row r="790" ht="20.35" customHeight="1">
      <c r="A790" s="10">
        <v>45482</v>
      </c>
      <c r="B790" t="s" s="11">
        <v>10</v>
      </c>
      <c r="C790" t="s" s="12">
        <v>206</v>
      </c>
      <c r="D790" s="13">
        <v>4000</v>
      </c>
      <c r="E790" s="13"/>
      <c r="F790" s="14"/>
      <c r="G790" s="14"/>
      <c r="H790" s="14"/>
      <c r="I790" s="14"/>
    </row>
    <row r="791" ht="20.7" customHeight="1">
      <c r="A791" s="10">
        <v>45482</v>
      </c>
      <c r="B791" t="s" s="11">
        <v>8</v>
      </c>
      <c r="C791" t="s" s="12">
        <v>8</v>
      </c>
      <c r="D791" s="15" cm="1">
        <f t="array" ref="D791">SUM(D789:D790)</f>
        <v>4000</v>
      </c>
      <c r="E791" s="15" cm="1">
        <f t="array" ref="E791">SUM(E789:E790)</f>
        <v>4000</v>
      </c>
      <c r="F791" s="16" cm="1">
        <f t="array" ref="F791">SUM(F789:F790)</f>
        <v>0</v>
      </c>
      <c r="G791" s="16" cm="1">
        <f t="array" ref="G791">SUM(G789:G790)</f>
        <v>0</v>
      </c>
      <c r="H791" s="16" cm="1">
        <f t="array" ref="H791">SUM(H789:H790)</f>
        <v>0</v>
      </c>
      <c r="I791" s="16" cm="1">
        <f t="array" ref="I791">SUM(I789:I790)</f>
        <v>0</v>
      </c>
    </row>
    <row r="792" ht="21.25" customHeight="1">
      <c r="A792" s="10">
        <v>45483</v>
      </c>
      <c r="B792" t="s" s="11">
        <v>5</v>
      </c>
      <c r="C792" t="s" s="12">
        <v>207</v>
      </c>
      <c r="D792" s="17"/>
      <c r="E792" s="17">
        <v>3800</v>
      </c>
      <c r="F792" s="18"/>
      <c r="G792" s="18"/>
      <c r="H792" s="18"/>
      <c r="I792" s="18"/>
    </row>
    <row r="793" ht="21.25" customHeight="1">
      <c r="A793" s="10">
        <v>45483</v>
      </c>
      <c r="B793" t="s" s="11">
        <v>21</v>
      </c>
      <c r="C793" t="s" s="12">
        <v>207</v>
      </c>
      <c r="D793" s="13">
        <v>3800</v>
      </c>
      <c r="E793" s="13"/>
      <c r="F793" s="14"/>
      <c r="G793" s="14"/>
      <c r="H793" s="14"/>
      <c r="I793" s="14"/>
    </row>
    <row r="794" ht="20.7" customHeight="1">
      <c r="A794" s="10">
        <v>45483</v>
      </c>
      <c r="B794" t="s" s="11">
        <v>8</v>
      </c>
      <c r="C794" t="s" s="12">
        <v>8</v>
      </c>
      <c r="D794" s="15" cm="1">
        <f t="array" ref="D794">SUM(D792:D793)</f>
        <v>3800</v>
      </c>
      <c r="E794" s="15" cm="1">
        <f t="array" ref="E794">SUM(E792:E793)</f>
        <v>3800</v>
      </c>
      <c r="F794" s="16" cm="1">
        <f t="array" ref="F794">SUM(F792:F793)</f>
        <v>0</v>
      </c>
      <c r="G794" s="16" cm="1">
        <f t="array" ref="G794">SUM(G792:G793)</f>
        <v>0</v>
      </c>
      <c r="H794" s="16" cm="1">
        <f t="array" ref="H794">SUM(H792:H793)</f>
        <v>0</v>
      </c>
      <c r="I794" s="16" cm="1">
        <f t="array" ref="I794">SUM(I792:I793)</f>
        <v>0</v>
      </c>
    </row>
    <row r="795" ht="20.35" customHeight="1">
      <c r="A795" s="10">
        <v>45484</v>
      </c>
      <c r="B795" t="s" s="11">
        <v>60</v>
      </c>
      <c r="C795" t="s" s="12">
        <v>208</v>
      </c>
      <c r="D795" s="17"/>
      <c r="E795" s="17"/>
      <c r="F795" s="18">
        <v>25.61</v>
      </c>
      <c r="G795" s="18"/>
      <c r="H795" s="18"/>
      <c r="I795" s="18"/>
    </row>
    <row r="796" ht="20.05" customHeight="1">
      <c r="A796" s="10">
        <v>45484</v>
      </c>
      <c r="B796" t="s" s="11">
        <v>63</v>
      </c>
      <c r="C796" t="s" s="12">
        <v>208</v>
      </c>
      <c r="D796" s="19"/>
      <c r="E796" s="19"/>
      <c r="F796" s="20"/>
      <c r="G796" s="20">
        <v>14.61</v>
      </c>
      <c r="H796" s="20"/>
      <c r="I796" s="20"/>
    </row>
    <row r="797" ht="20.35" customHeight="1">
      <c r="A797" s="10">
        <v>45484</v>
      </c>
      <c r="B797" t="s" s="11">
        <v>66</v>
      </c>
      <c r="C797" t="s" s="12">
        <v>208</v>
      </c>
      <c r="D797" s="13"/>
      <c r="E797" s="13"/>
      <c r="F797" s="14"/>
      <c r="G797" s="14">
        <v>11</v>
      </c>
      <c r="H797" s="14"/>
      <c r="I797" s="14"/>
    </row>
    <row r="798" ht="20.7" customHeight="1">
      <c r="A798" s="10">
        <v>45484</v>
      </c>
      <c r="B798" t="s" s="11">
        <v>8</v>
      </c>
      <c r="C798" t="s" s="12">
        <v>8</v>
      </c>
      <c r="D798" s="15" cm="1">
        <f t="array" ref="D798">SUM(D795:D797)</f>
        <v>0</v>
      </c>
      <c r="E798" s="15" cm="1">
        <f t="array" ref="E798">SUM(E795:E797)</f>
        <v>0</v>
      </c>
      <c r="F798" s="16" cm="1">
        <f t="array" ref="F798">SUM(F795:F797)</f>
        <v>25.61</v>
      </c>
      <c r="G798" s="16" cm="1">
        <f t="array" ref="G798">SUM(G795:G797)</f>
        <v>25.61</v>
      </c>
      <c r="H798" s="16" cm="1">
        <f t="array" ref="H798">SUM(H795:H797)</f>
        <v>0</v>
      </c>
      <c r="I798" s="16" cm="1">
        <f t="array" ref="I798">SUM(I795:I797)</f>
        <v>0</v>
      </c>
    </row>
    <row r="799" ht="20.35" customHeight="1">
      <c r="A799" s="10">
        <v>45487</v>
      </c>
      <c r="B799" t="s" s="11">
        <v>5</v>
      </c>
      <c r="C799" t="s" s="12">
        <v>209</v>
      </c>
      <c r="D799" s="17"/>
      <c r="E799" s="17">
        <v>2000</v>
      </c>
      <c r="F799" s="18"/>
      <c r="G799" s="18"/>
      <c r="H799" s="18"/>
      <c r="I799" s="18"/>
    </row>
    <row r="800" ht="20.35" customHeight="1">
      <c r="A800" s="10">
        <v>45487</v>
      </c>
      <c r="B800" t="s" s="11">
        <v>107</v>
      </c>
      <c r="C800" t="s" s="12">
        <v>209</v>
      </c>
      <c r="D800" s="13">
        <v>2000</v>
      </c>
      <c r="E800" s="13"/>
      <c r="F800" s="14"/>
      <c r="G800" s="14"/>
      <c r="H800" s="14"/>
      <c r="I800" s="14"/>
    </row>
    <row r="801" ht="20.7" customHeight="1">
      <c r="A801" s="10">
        <v>45487</v>
      </c>
      <c r="B801" t="s" s="11">
        <v>8</v>
      </c>
      <c r="C801" t="s" s="12">
        <v>8</v>
      </c>
      <c r="D801" s="15" cm="1">
        <f t="array" ref="D801">SUM(D799:D800)</f>
        <v>2000</v>
      </c>
      <c r="E801" s="15" cm="1">
        <f t="array" ref="E801">SUM(E799:E800)</f>
        <v>2000</v>
      </c>
      <c r="F801" s="16" cm="1">
        <f t="array" ref="F801">SUM(F799:F800)</f>
        <v>0</v>
      </c>
      <c r="G801" s="16" cm="1">
        <f t="array" ref="G801">SUM(G799:G800)</f>
        <v>0</v>
      </c>
      <c r="H801" s="16" cm="1">
        <f t="array" ref="H801">SUM(H799:H800)</f>
        <v>0</v>
      </c>
      <c r="I801" s="16" cm="1">
        <f t="array" ref="I801">SUM(I799:I800)</f>
        <v>0</v>
      </c>
    </row>
    <row r="802" ht="21.25" customHeight="1">
      <c r="A802" s="10">
        <v>45488</v>
      </c>
      <c r="B802" t="s" s="11">
        <v>21</v>
      </c>
      <c r="C802" t="s" s="12">
        <v>210</v>
      </c>
      <c r="D802" s="17"/>
      <c r="E802" s="17">
        <v>30000</v>
      </c>
      <c r="F802" s="18"/>
      <c r="G802" s="18"/>
      <c r="H802" s="18"/>
      <c r="I802" s="18"/>
    </row>
    <row r="803" ht="21.25" customHeight="1">
      <c r="A803" s="10">
        <v>45488</v>
      </c>
      <c r="B803" t="s" s="11">
        <v>93</v>
      </c>
      <c r="C803" t="s" s="12">
        <v>210</v>
      </c>
      <c r="D803" s="13">
        <v>30000</v>
      </c>
      <c r="E803" s="13"/>
      <c r="F803" s="14"/>
      <c r="G803" s="14"/>
      <c r="H803" s="14"/>
      <c r="I803" s="14"/>
    </row>
    <row r="804" ht="20.7" customHeight="1">
      <c r="A804" s="10">
        <v>45488</v>
      </c>
      <c r="B804" t="s" s="11">
        <v>8</v>
      </c>
      <c r="C804" t="s" s="12">
        <v>8</v>
      </c>
      <c r="D804" s="15" cm="1">
        <f t="array" ref="D804">SUM(D802:D803)</f>
        <v>30000</v>
      </c>
      <c r="E804" s="15" cm="1">
        <f t="array" ref="E804">SUM(E802:E803)</f>
        <v>30000</v>
      </c>
      <c r="F804" s="16" cm="1">
        <f t="array" ref="F804">SUM(F802:F803)</f>
        <v>0</v>
      </c>
      <c r="G804" s="16" cm="1">
        <f t="array" ref="G804">SUM(G802:G803)</f>
        <v>0</v>
      </c>
      <c r="H804" s="16" cm="1">
        <f t="array" ref="H804">SUM(H802:H803)</f>
        <v>0</v>
      </c>
      <c r="I804" s="16" cm="1">
        <f t="array" ref="I804">SUM(I802:I803)</f>
        <v>0</v>
      </c>
    </row>
    <row r="805" ht="20.35" customHeight="1">
      <c r="A805" s="10">
        <v>45488</v>
      </c>
      <c r="B805" t="s" s="11">
        <v>93</v>
      </c>
      <c r="C805" t="s" s="12">
        <v>96</v>
      </c>
      <c r="D805" s="17"/>
      <c r="E805" s="17">
        <v>30000</v>
      </c>
      <c r="F805" s="18"/>
      <c r="G805" s="18"/>
      <c r="H805" s="18"/>
      <c r="I805" s="18"/>
    </row>
    <row r="806" ht="20.35" customHeight="1">
      <c r="A806" s="10">
        <v>45488</v>
      </c>
      <c r="B806" t="s" s="11">
        <v>5</v>
      </c>
      <c r="C806" t="s" s="12">
        <v>96</v>
      </c>
      <c r="D806" s="13">
        <v>30000</v>
      </c>
      <c r="E806" s="13"/>
      <c r="F806" s="14"/>
      <c r="G806" s="14"/>
      <c r="H806" s="14"/>
      <c r="I806" s="14"/>
    </row>
    <row r="807" ht="20.7" customHeight="1">
      <c r="A807" s="10">
        <v>45488</v>
      </c>
      <c r="B807" t="s" s="11">
        <v>8</v>
      </c>
      <c r="C807" t="s" s="12">
        <v>8</v>
      </c>
      <c r="D807" s="15" cm="1">
        <f t="array" ref="D807">SUM(D805:D806)</f>
        <v>30000</v>
      </c>
      <c r="E807" s="15" cm="1">
        <f t="array" ref="E807">SUM(E805:E806)</f>
        <v>30000</v>
      </c>
      <c r="F807" s="16" cm="1">
        <f t="array" ref="F807">SUM(F805:F806)</f>
        <v>0</v>
      </c>
      <c r="G807" s="16" cm="1">
        <f t="array" ref="G807">SUM(G805:G806)</f>
        <v>0</v>
      </c>
      <c r="H807" s="16" cm="1">
        <f t="array" ref="H807">SUM(H805:H806)</f>
        <v>0</v>
      </c>
      <c r="I807" s="16" cm="1">
        <f t="array" ref="I807">SUM(I805:I806)</f>
        <v>0</v>
      </c>
    </row>
    <row r="808" ht="21.25" customHeight="1">
      <c r="A808" s="10">
        <v>45488</v>
      </c>
      <c r="B808" t="s" s="11">
        <v>107</v>
      </c>
      <c r="C808" t="s" s="12">
        <v>207</v>
      </c>
      <c r="D808" s="17"/>
      <c r="E808" s="17">
        <v>2000</v>
      </c>
      <c r="F808" s="18"/>
      <c r="G808" s="18"/>
      <c r="H808" s="18"/>
      <c r="I808" s="18"/>
    </row>
    <row r="809" ht="21.25" customHeight="1">
      <c r="A809" s="10">
        <v>45488</v>
      </c>
      <c r="B809" t="s" s="11">
        <v>21</v>
      </c>
      <c r="C809" t="s" s="12">
        <v>207</v>
      </c>
      <c r="D809" s="13">
        <v>2000</v>
      </c>
      <c r="E809" s="13"/>
      <c r="F809" s="14"/>
      <c r="G809" s="14"/>
      <c r="H809" s="14"/>
      <c r="I809" s="14"/>
    </row>
    <row r="810" ht="20.7" customHeight="1">
      <c r="A810" s="10">
        <v>45488</v>
      </c>
      <c r="B810" t="s" s="11">
        <v>8</v>
      </c>
      <c r="C810" t="s" s="12">
        <v>8</v>
      </c>
      <c r="D810" s="15" cm="1">
        <f t="array" ref="D810">SUM(D808:D809)</f>
        <v>2000</v>
      </c>
      <c r="E810" s="15" cm="1">
        <f t="array" ref="E810">SUM(E808:E809)</f>
        <v>2000</v>
      </c>
      <c r="F810" s="16" cm="1">
        <f t="array" ref="F810">SUM(F808:F809)</f>
        <v>0</v>
      </c>
      <c r="G810" s="16" cm="1">
        <f t="array" ref="G810">SUM(G808:G809)</f>
        <v>0</v>
      </c>
      <c r="H810" s="16" cm="1">
        <f t="array" ref="H810">SUM(H808:H809)</f>
        <v>0</v>
      </c>
      <c r="I810" s="16" cm="1">
        <f t="array" ref="I810">SUM(I808:I809)</f>
        <v>0</v>
      </c>
    </row>
    <row r="811" ht="21.25" customHeight="1">
      <c r="A811" s="10">
        <v>45488</v>
      </c>
      <c r="B811" t="s" s="11">
        <v>5</v>
      </c>
      <c r="C811" t="s" s="12">
        <v>211</v>
      </c>
      <c r="D811" s="17"/>
      <c r="E811" s="17">
        <v>5000</v>
      </c>
      <c r="F811" s="18"/>
      <c r="G811" s="18"/>
      <c r="H811" s="18"/>
      <c r="I811" s="18"/>
    </row>
    <row r="812" ht="20.9" customHeight="1">
      <c r="A812" s="10">
        <v>45488</v>
      </c>
      <c r="B812" t="s" s="11">
        <v>10</v>
      </c>
      <c r="C812" t="s" s="12">
        <v>211</v>
      </c>
      <c r="D812" s="19">
        <v>2500</v>
      </c>
      <c r="E812" s="19"/>
      <c r="F812" s="20"/>
      <c r="G812" s="20"/>
      <c r="H812" s="20"/>
      <c r="I812" s="20"/>
    </row>
    <row r="813" ht="21.25" customHeight="1">
      <c r="A813" s="10">
        <v>45488</v>
      </c>
      <c r="B813" t="s" s="11">
        <v>12</v>
      </c>
      <c r="C813" t="s" s="12">
        <v>211</v>
      </c>
      <c r="D813" s="13">
        <v>2500</v>
      </c>
      <c r="E813" s="13"/>
      <c r="F813" s="14"/>
      <c r="G813" s="14"/>
      <c r="H813" s="14"/>
      <c r="I813" s="14"/>
    </row>
    <row r="814" ht="20.7" customHeight="1">
      <c r="A814" s="10">
        <v>45488</v>
      </c>
      <c r="B814" t="s" s="11">
        <v>8</v>
      </c>
      <c r="C814" t="s" s="12">
        <v>8</v>
      </c>
      <c r="D814" s="15" cm="1">
        <f t="array" ref="D814">SUM(D811:D813)</f>
        <v>5000</v>
      </c>
      <c r="E814" s="15" cm="1">
        <f t="array" ref="E814">SUM(E811:E813)</f>
        <v>5000</v>
      </c>
      <c r="F814" s="16" cm="1">
        <f t="array" ref="F814">SUM(F811:F813)</f>
        <v>0</v>
      </c>
      <c r="G814" s="16" cm="1">
        <f t="array" ref="G814">SUM(G811:G813)</f>
        <v>0</v>
      </c>
      <c r="H814" s="16" cm="1">
        <f t="array" ref="H814">SUM(H811:H813)</f>
        <v>0</v>
      </c>
      <c r="I814" s="16" cm="1">
        <f t="array" ref="I814">SUM(I811:I813)</f>
        <v>0</v>
      </c>
    </row>
    <row r="815" ht="20.35" customHeight="1">
      <c r="A815" s="10">
        <v>45489</v>
      </c>
      <c r="B815" t="s" s="11">
        <v>107</v>
      </c>
      <c r="C815" t="s" s="12">
        <v>36</v>
      </c>
      <c r="D815" s="17">
        <v>20000</v>
      </c>
      <c r="E815" s="17"/>
      <c r="F815" s="18"/>
      <c r="G815" s="18"/>
      <c r="H815" s="18"/>
      <c r="I815" s="18"/>
    </row>
    <row r="816" ht="20.35" customHeight="1">
      <c r="A816" s="10">
        <v>45489</v>
      </c>
      <c r="B816" t="s" s="11">
        <v>21</v>
      </c>
      <c r="C816" t="s" s="12">
        <v>36</v>
      </c>
      <c r="D816" s="13"/>
      <c r="E816" s="13">
        <v>20000</v>
      </c>
      <c r="F816" s="14"/>
      <c r="G816" s="14"/>
      <c r="H816" s="14"/>
      <c r="I816" s="14"/>
    </row>
    <row r="817" ht="20.7" customHeight="1">
      <c r="A817" s="10">
        <v>45489</v>
      </c>
      <c r="B817" t="s" s="11">
        <v>8</v>
      </c>
      <c r="C817" t="s" s="12">
        <v>8</v>
      </c>
      <c r="D817" s="15" cm="1">
        <f t="array" ref="D817">SUM(D815:D816)</f>
        <v>20000</v>
      </c>
      <c r="E817" s="15" cm="1">
        <f t="array" ref="E817">SUM(E815:E816)</f>
        <v>20000</v>
      </c>
      <c r="F817" s="16" cm="1">
        <f t="array" ref="F817">SUM(F815:F816)</f>
        <v>0</v>
      </c>
      <c r="G817" s="16" cm="1">
        <f t="array" ref="G817">SUM(G815:G816)</f>
        <v>0</v>
      </c>
      <c r="H817" s="16" cm="1">
        <f t="array" ref="H817">SUM(H815:H816)</f>
        <v>0</v>
      </c>
      <c r="I817" s="16" cm="1">
        <f t="array" ref="I817">SUM(I815:I816)</f>
        <v>0</v>
      </c>
    </row>
    <row r="818" ht="20.35" customHeight="1">
      <c r="A818" s="10">
        <v>45489</v>
      </c>
      <c r="B818" t="s" s="11">
        <v>5</v>
      </c>
      <c r="C818" t="s" s="12">
        <v>202</v>
      </c>
      <c r="D818" s="17"/>
      <c r="E818" s="17">
        <v>10000</v>
      </c>
      <c r="F818" s="18"/>
      <c r="G818" s="18"/>
      <c r="H818" s="18"/>
      <c r="I818" s="18"/>
    </row>
    <row r="819" ht="20.35" customHeight="1">
      <c r="A819" s="10">
        <v>45489</v>
      </c>
      <c r="B819" t="s" s="11">
        <v>93</v>
      </c>
      <c r="C819" t="s" s="12">
        <v>202</v>
      </c>
      <c r="D819" s="13">
        <v>10000</v>
      </c>
      <c r="E819" s="13"/>
      <c r="F819" s="14"/>
      <c r="G819" s="14"/>
      <c r="H819" s="14"/>
      <c r="I819" s="14"/>
    </row>
    <row r="820" ht="20.7" customHeight="1">
      <c r="A820" s="10">
        <v>45489</v>
      </c>
      <c r="B820" t="s" s="11">
        <v>8</v>
      </c>
      <c r="C820" t="s" s="12">
        <v>8</v>
      </c>
      <c r="D820" s="15" cm="1">
        <f t="array" ref="D820">SUM(D818:D819)</f>
        <v>10000</v>
      </c>
      <c r="E820" s="15" cm="1">
        <f t="array" ref="E820">SUM(E818:E819)</f>
        <v>10000</v>
      </c>
      <c r="F820" s="16" cm="1">
        <f t="array" ref="F820">SUM(F818:F819)</f>
        <v>0</v>
      </c>
      <c r="G820" s="16" cm="1">
        <f t="array" ref="G820">SUM(G818:G819)</f>
        <v>0</v>
      </c>
      <c r="H820" s="16" cm="1">
        <f t="array" ref="H820">SUM(H818:H819)</f>
        <v>0</v>
      </c>
      <c r="I820" s="16" cm="1">
        <f t="array" ref="I820">SUM(I818:I819)</f>
        <v>0</v>
      </c>
    </row>
    <row r="821" ht="20.35" customHeight="1">
      <c r="A821" s="10">
        <v>45490</v>
      </c>
      <c r="B821" t="s" s="11">
        <v>93</v>
      </c>
      <c r="C821" t="s" s="12">
        <v>212</v>
      </c>
      <c r="D821" s="17"/>
      <c r="E821" s="17">
        <v>4591</v>
      </c>
      <c r="F821" s="18"/>
      <c r="G821" s="18"/>
      <c r="H821" s="18"/>
      <c r="I821" s="18"/>
    </row>
    <row r="822" ht="20.35" customHeight="1">
      <c r="A822" s="10">
        <v>45490</v>
      </c>
      <c r="B822" t="s" s="11">
        <v>12</v>
      </c>
      <c r="C822" t="s" s="12">
        <v>212</v>
      </c>
      <c r="D822" s="13">
        <v>4591</v>
      </c>
      <c r="E822" s="13"/>
      <c r="F822" s="14"/>
      <c r="G822" s="14"/>
      <c r="H822" s="14"/>
      <c r="I822" s="14"/>
    </row>
    <row r="823" ht="20.7" customHeight="1">
      <c r="A823" s="10">
        <v>45490</v>
      </c>
      <c r="B823" t="s" s="11">
        <v>8</v>
      </c>
      <c r="C823" t="s" s="12">
        <v>8</v>
      </c>
      <c r="D823" s="15" cm="1">
        <f t="array" ref="D823">SUM(D821:D822)</f>
        <v>4591</v>
      </c>
      <c r="E823" s="15" cm="1">
        <f t="array" ref="E823">SUM(E821:E822)</f>
        <v>4591</v>
      </c>
      <c r="F823" s="16" cm="1">
        <f t="array" ref="F823">SUM(F821:F822)</f>
        <v>0</v>
      </c>
      <c r="G823" s="16" cm="1">
        <f t="array" ref="G823">SUM(G821:G822)</f>
        <v>0</v>
      </c>
      <c r="H823" s="16" cm="1">
        <f t="array" ref="H823">SUM(H821:H822)</f>
        <v>0</v>
      </c>
      <c r="I823" s="16" cm="1">
        <f t="array" ref="I823">SUM(I821:I822)</f>
        <v>0</v>
      </c>
    </row>
    <row r="824" ht="20.35" customHeight="1">
      <c r="A824" s="10">
        <v>45490</v>
      </c>
      <c r="B824" t="s" s="11">
        <v>5</v>
      </c>
      <c r="C824" t="s" s="12">
        <v>96</v>
      </c>
      <c r="D824" s="17">
        <v>5409</v>
      </c>
      <c r="E824" s="17"/>
      <c r="F824" s="18"/>
      <c r="G824" s="18"/>
      <c r="H824" s="18"/>
      <c r="I824" s="18"/>
    </row>
    <row r="825" ht="20.35" customHeight="1">
      <c r="A825" s="10">
        <v>45490</v>
      </c>
      <c r="B825" t="s" s="11">
        <v>93</v>
      </c>
      <c r="C825" t="s" s="12">
        <v>96</v>
      </c>
      <c r="D825" s="13"/>
      <c r="E825" s="13">
        <v>5409</v>
      </c>
      <c r="F825" s="14"/>
      <c r="G825" s="14"/>
      <c r="H825" s="14"/>
      <c r="I825" s="14"/>
    </row>
    <row r="826" ht="20.7" customHeight="1">
      <c r="A826" s="10">
        <v>45490</v>
      </c>
      <c r="B826" t="s" s="11">
        <v>8</v>
      </c>
      <c r="C826" t="s" s="12">
        <v>8</v>
      </c>
      <c r="D826" s="15" cm="1">
        <f t="array" ref="D826">SUM(D824:D825)</f>
        <v>5409</v>
      </c>
      <c r="E826" s="15" cm="1">
        <f t="array" ref="E826">SUM(E824:E825)</f>
        <v>5409</v>
      </c>
      <c r="F826" s="16" cm="1">
        <f t="array" ref="F826">SUM(F824:F825)</f>
        <v>0</v>
      </c>
      <c r="G826" s="16" cm="1">
        <f t="array" ref="G826">SUM(G824:G825)</f>
        <v>0</v>
      </c>
      <c r="H826" s="16" cm="1">
        <f t="array" ref="H826">SUM(H824:H825)</f>
        <v>0</v>
      </c>
      <c r="I826" s="16" cm="1">
        <f t="array" ref="I826">SUM(I824:I825)</f>
        <v>0</v>
      </c>
    </row>
    <row r="827" ht="20.35" customHeight="1">
      <c r="A827" s="10">
        <v>45490</v>
      </c>
      <c r="B827" t="s" s="11">
        <v>5</v>
      </c>
      <c r="C827" t="s" s="12">
        <v>96</v>
      </c>
      <c r="D827" s="17">
        <v>20000</v>
      </c>
      <c r="E827" s="17"/>
      <c r="F827" s="18"/>
      <c r="G827" s="18"/>
      <c r="H827" s="18"/>
      <c r="I827" s="18"/>
    </row>
    <row r="828" ht="20.35" customHeight="1">
      <c r="A828" s="10">
        <v>45490</v>
      </c>
      <c r="B828" t="s" s="11">
        <v>107</v>
      </c>
      <c r="C828" t="s" s="12">
        <v>96</v>
      </c>
      <c r="D828" s="21"/>
      <c r="E828" s="13">
        <v>20000</v>
      </c>
      <c r="F828" s="14"/>
      <c r="G828" s="14"/>
      <c r="H828" s="14"/>
      <c r="I828" s="14"/>
    </row>
    <row r="829" ht="20.7" customHeight="1">
      <c r="A829" s="10">
        <v>45490</v>
      </c>
      <c r="B829" t="s" s="11">
        <v>8</v>
      </c>
      <c r="C829" t="s" s="12">
        <v>8</v>
      </c>
      <c r="D829" s="15" cm="1">
        <f t="array" ref="D829">SUM(D827:D828)</f>
        <v>20000</v>
      </c>
      <c r="E829" s="15" cm="1">
        <f t="array" ref="E829">SUM(E827:E828)</f>
        <v>20000</v>
      </c>
      <c r="F829" s="16" cm="1">
        <f t="array" ref="F829">SUM(F827:F828)</f>
        <v>0</v>
      </c>
      <c r="G829" s="16" cm="1">
        <f t="array" ref="G829">SUM(G827:G828)</f>
        <v>0</v>
      </c>
      <c r="H829" s="16" cm="1">
        <f t="array" ref="H829">SUM(H827:H828)</f>
        <v>0</v>
      </c>
      <c r="I829" s="16" cm="1">
        <f t="array" ref="I829">SUM(I827:I828)</f>
        <v>0</v>
      </c>
    </row>
    <row r="830" ht="20.35" customHeight="1">
      <c r="A830" s="10">
        <v>45490</v>
      </c>
      <c r="B830" t="s" s="11">
        <v>5</v>
      </c>
      <c r="C830" t="s" s="12">
        <v>213</v>
      </c>
      <c r="D830" s="17"/>
      <c r="E830" s="17">
        <v>13900</v>
      </c>
      <c r="F830" s="18"/>
      <c r="G830" s="18"/>
      <c r="H830" s="18"/>
      <c r="I830" s="18"/>
    </row>
    <row r="831" ht="20.35" customHeight="1">
      <c r="A831" s="10">
        <v>45490</v>
      </c>
      <c r="B831" t="s" s="11">
        <v>12</v>
      </c>
      <c r="C831" t="s" s="12">
        <v>213</v>
      </c>
      <c r="D831" s="13">
        <v>13900</v>
      </c>
      <c r="E831" s="13"/>
      <c r="F831" s="14"/>
      <c r="G831" s="14"/>
      <c r="H831" s="14"/>
      <c r="I831" s="14"/>
    </row>
    <row r="832" ht="20.7" customHeight="1">
      <c r="A832" s="10">
        <v>45490</v>
      </c>
      <c r="B832" t="s" s="11">
        <v>8</v>
      </c>
      <c r="C832" t="s" s="12">
        <v>8</v>
      </c>
      <c r="D832" s="15" cm="1">
        <f t="array" ref="D832">SUM(D830:D831)</f>
        <v>13900</v>
      </c>
      <c r="E832" s="15" cm="1">
        <f t="array" ref="E832">SUM(E830:E831)</f>
        <v>13900</v>
      </c>
      <c r="F832" s="16" cm="1">
        <f t="array" ref="F832">SUM(F830:F831)</f>
        <v>0</v>
      </c>
      <c r="G832" s="16" cm="1">
        <f t="array" ref="G832">SUM(G830:G831)</f>
        <v>0</v>
      </c>
      <c r="H832" s="16" cm="1">
        <f t="array" ref="H832">SUM(H830:H831)</f>
        <v>0</v>
      </c>
      <c r="I832" s="16" cm="1">
        <f t="array" ref="I832">SUM(I830:I831)</f>
        <v>0</v>
      </c>
    </row>
    <row r="833" ht="20.35" customHeight="1">
      <c r="A833" s="10">
        <v>45491</v>
      </c>
      <c r="B833" t="s" s="11">
        <v>5</v>
      </c>
      <c r="C833" t="s" s="12">
        <v>214</v>
      </c>
      <c r="D833" s="17"/>
      <c r="E833" s="17">
        <v>6100</v>
      </c>
      <c r="F833" s="18"/>
      <c r="G833" s="18"/>
      <c r="H833" s="18"/>
      <c r="I833" s="18"/>
    </row>
    <row r="834" ht="20.35" customHeight="1">
      <c r="A834" s="10">
        <v>45491</v>
      </c>
      <c r="B834" t="s" s="11">
        <v>12</v>
      </c>
      <c r="C834" t="s" s="12">
        <v>214</v>
      </c>
      <c r="D834" s="13">
        <v>6100</v>
      </c>
      <c r="E834" s="13"/>
      <c r="F834" s="14"/>
      <c r="G834" s="14"/>
      <c r="H834" s="14"/>
      <c r="I834" s="14"/>
    </row>
    <row r="835" ht="20.7" customHeight="1">
      <c r="A835" s="10">
        <v>45491</v>
      </c>
      <c r="B835" t="s" s="11">
        <v>8</v>
      </c>
      <c r="C835" t="s" s="12">
        <v>8</v>
      </c>
      <c r="D835" s="15" cm="1">
        <f t="array" ref="D835">SUM(D833:D834)</f>
        <v>6100</v>
      </c>
      <c r="E835" s="15" cm="1">
        <f t="array" ref="E835">SUM(E833:E834)</f>
        <v>6100</v>
      </c>
      <c r="F835" s="16" cm="1">
        <f t="array" ref="F835">SUM(F833:F834)</f>
        <v>0</v>
      </c>
      <c r="G835" s="16" cm="1">
        <f t="array" ref="G835">SUM(G833:G834)</f>
        <v>0</v>
      </c>
      <c r="H835" s="16" cm="1">
        <f t="array" ref="H835">SUM(H833:H834)</f>
        <v>0</v>
      </c>
      <c r="I835" s="16" cm="1">
        <f t="array" ref="I835">SUM(I833:I834)</f>
        <v>0</v>
      </c>
    </row>
    <row r="836" ht="20.35" customHeight="1">
      <c r="A836" s="10">
        <v>45491</v>
      </c>
      <c r="B836" t="s" s="11">
        <v>5</v>
      </c>
      <c r="C836" t="s" s="12">
        <v>215</v>
      </c>
      <c r="D836" s="17"/>
      <c r="E836" s="17">
        <v>3200</v>
      </c>
      <c r="F836" s="18"/>
      <c r="G836" s="18"/>
      <c r="H836" s="18"/>
      <c r="I836" s="18"/>
    </row>
    <row r="837" ht="20.35" customHeight="1">
      <c r="A837" s="10">
        <v>45491</v>
      </c>
      <c r="B837" t="s" s="11">
        <v>12</v>
      </c>
      <c r="C837" t="s" s="12">
        <v>215</v>
      </c>
      <c r="D837" s="13">
        <v>3200</v>
      </c>
      <c r="E837" s="13"/>
      <c r="F837" s="14"/>
      <c r="G837" s="14"/>
      <c r="H837" s="14"/>
      <c r="I837" s="14"/>
    </row>
    <row r="838" ht="20.7" customHeight="1">
      <c r="A838" s="10">
        <v>45491</v>
      </c>
      <c r="B838" t="s" s="11">
        <v>8</v>
      </c>
      <c r="C838" t="s" s="12">
        <v>8</v>
      </c>
      <c r="D838" s="15" cm="1">
        <f t="array" ref="D838">SUM(D836:D837)</f>
        <v>3200</v>
      </c>
      <c r="E838" s="15" cm="1">
        <f t="array" ref="E838">SUM(E836:E837)</f>
        <v>3200</v>
      </c>
      <c r="F838" s="16" cm="1">
        <f t="array" ref="F838">SUM(F836:F837)</f>
        <v>0</v>
      </c>
      <c r="G838" s="16" cm="1">
        <f t="array" ref="G838">SUM(G836:G837)</f>
        <v>0</v>
      </c>
      <c r="H838" s="16" cm="1">
        <f t="array" ref="H838">SUM(H836:H837)</f>
        <v>0</v>
      </c>
      <c r="I838" s="16" cm="1">
        <f t="array" ref="I838">SUM(I836:I837)</f>
        <v>0</v>
      </c>
    </row>
    <row r="839" ht="20.35" customHeight="1">
      <c r="A839" s="10">
        <v>45491</v>
      </c>
      <c r="B839" t="s" s="11">
        <v>5</v>
      </c>
      <c r="C839" t="s" s="12">
        <v>17</v>
      </c>
      <c r="D839" s="17">
        <v>100</v>
      </c>
      <c r="E839" s="17"/>
      <c r="F839" s="18"/>
      <c r="G839" s="18"/>
      <c r="H839" s="18"/>
      <c r="I839" s="18"/>
    </row>
    <row r="840" ht="20.35" customHeight="1">
      <c r="A840" s="10">
        <v>45491</v>
      </c>
      <c r="B840" t="s" s="11">
        <v>18</v>
      </c>
      <c r="C840" t="s" s="12">
        <v>17</v>
      </c>
      <c r="D840" s="13"/>
      <c r="E840" s="13">
        <v>100</v>
      </c>
      <c r="F840" s="14"/>
      <c r="G840" s="14"/>
      <c r="H840" s="14"/>
      <c r="I840" s="14"/>
    </row>
    <row r="841" ht="20.7" customHeight="1">
      <c r="A841" s="10">
        <v>45491</v>
      </c>
      <c r="B841" t="s" s="11">
        <v>8</v>
      </c>
      <c r="C841" t="s" s="12">
        <v>8</v>
      </c>
      <c r="D841" s="15" cm="1">
        <f t="array" ref="D841">SUM(D839:D840)</f>
        <v>100</v>
      </c>
      <c r="E841" s="15" cm="1">
        <f t="array" ref="E841">SUM(E839:E840)</f>
        <v>100</v>
      </c>
      <c r="F841" s="16" cm="1">
        <f t="array" ref="F841">SUM(F839:F840)</f>
        <v>0</v>
      </c>
      <c r="G841" s="16" cm="1">
        <f t="array" ref="G841">SUM(G839:G840)</f>
        <v>0</v>
      </c>
      <c r="H841" s="16" cm="1">
        <f t="array" ref="H841">SUM(H839:H840)</f>
        <v>0</v>
      </c>
      <c r="I841" s="16" cm="1">
        <f t="array" ref="I841">SUM(I839:I840)</f>
        <v>0</v>
      </c>
    </row>
    <row r="842" ht="20.65" customHeight="1">
      <c r="A842" s="10">
        <v>45491</v>
      </c>
      <c r="B842" t="s" s="11">
        <v>5</v>
      </c>
      <c r="C842" t="s" s="12">
        <v>216</v>
      </c>
      <c r="D842" s="17"/>
      <c r="E842" s="17">
        <v>10000</v>
      </c>
      <c r="F842" s="18"/>
      <c r="G842" s="18"/>
      <c r="H842" s="18"/>
      <c r="I842" s="18"/>
    </row>
    <row r="843" ht="20.65" customHeight="1">
      <c r="A843" s="10">
        <v>45491</v>
      </c>
      <c r="B843" t="s" s="11">
        <v>12</v>
      </c>
      <c r="C843" t="s" s="12">
        <v>216</v>
      </c>
      <c r="D843" s="13">
        <v>10000</v>
      </c>
      <c r="E843" s="13"/>
      <c r="F843" s="14"/>
      <c r="G843" s="14"/>
      <c r="H843" s="14"/>
      <c r="I843" s="14"/>
    </row>
    <row r="844" ht="20.7" customHeight="1">
      <c r="A844" s="10">
        <v>45491</v>
      </c>
      <c r="B844" t="s" s="11">
        <v>8</v>
      </c>
      <c r="C844" t="s" s="12">
        <v>8</v>
      </c>
      <c r="D844" s="15" cm="1">
        <f t="array" ref="D844">SUM(D842:D843)</f>
        <v>10000</v>
      </c>
      <c r="E844" s="15" cm="1">
        <f t="array" ref="E844">SUM(E842:E843)</f>
        <v>10000</v>
      </c>
      <c r="F844" s="16" cm="1">
        <f t="array" ref="F844">SUM(F842:F843)</f>
        <v>0</v>
      </c>
      <c r="G844" s="16" cm="1">
        <f t="array" ref="G844">SUM(G842:G843)</f>
        <v>0</v>
      </c>
      <c r="H844" s="16" cm="1">
        <f t="array" ref="H844">SUM(H842:H843)</f>
        <v>0</v>
      </c>
      <c r="I844" s="16" cm="1">
        <f t="array" ref="I844">SUM(I842:I843)</f>
        <v>0</v>
      </c>
    </row>
    <row r="845" ht="20.35" customHeight="1">
      <c r="A845" s="10">
        <v>45492</v>
      </c>
      <c r="B845" t="s" s="11">
        <v>5</v>
      </c>
      <c r="C845" t="s" s="12">
        <v>214</v>
      </c>
      <c r="D845" s="17"/>
      <c r="E845" s="17">
        <v>6100</v>
      </c>
      <c r="F845" s="18"/>
      <c r="G845" s="18"/>
      <c r="H845" s="18"/>
      <c r="I845" s="18"/>
    </row>
    <row r="846" ht="20.35" customHeight="1">
      <c r="A846" s="10">
        <v>45492</v>
      </c>
      <c r="B846" t="s" s="11">
        <v>12</v>
      </c>
      <c r="C846" t="s" s="12">
        <v>214</v>
      </c>
      <c r="D846" s="13">
        <v>6100</v>
      </c>
      <c r="E846" s="13"/>
      <c r="F846" s="14"/>
      <c r="G846" s="14"/>
      <c r="H846" s="14"/>
      <c r="I846" s="14"/>
    </row>
    <row r="847" ht="20.7" customHeight="1">
      <c r="A847" s="10">
        <v>45492</v>
      </c>
      <c r="B847" t="s" s="11">
        <v>8</v>
      </c>
      <c r="C847" t="s" s="12">
        <v>8</v>
      </c>
      <c r="D847" s="15" cm="1">
        <f t="array" ref="D847">SUM(D845:D846)</f>
        <v>6100</v>
      </c>
      <c r="E847" s="15" cm="1">
        <f t="array" ref="E847">SUM(E845:E846)</f>
        <v>6100</v>
      </c>
      <c r="F847" s="16" cm="1">
        <f t="array" ref="F847">SUM(F845:F846)</f>
        <v>0</v>
      </c>
      <c r="G847" s="16" cm="1">
        <f t="array" ref="G847">SUM(G845:G846)</f>
        <v>0</v>
      </c>
      <c r="H847" s="16" cm="1">
        <f t="array" ref="H847">SUM(H845:H846)</f>
        <v>0</v>
      </c>
      <c r="I847" s="16" cm="1">
        <f t="array" ref="I847">SUM(I845:I846)</f>
        <v>0</v>
      </c>
    </row>
    <row r="848" ht="20.65" customHeight="1">
      <c r="A848" s="10">
        <v>45493</v>
      </c>
      <c r="B848" t="s" s="11">
        <v>28</v>
      </c>
      <c r="C848" t="s" s="12">
        <v>217</v>
      </c>
      <c r="D848" s="17"/>
      <c r="E848" s="17">
        <v>5000</v>
      </c>
      <c r="F848" s="18"/>
      <c r="G848" s="18"/>
      <c r="H848" s="18"/>
      <c r="I848" s="18"/>
    </row>
    <row r="849" ht="20.65" customHeight="1">
      <c r="A849" s="10">
        <v>45493</v>
      </c>
      <c r="B849" t="s" s="11">
        <v>10</v>
      </c>
      <c r="C849" t="s" s="12">
        <v>217</v>
      </c>
      <c r="D849" s="13">
        <v>5000</v>
      </c>
      <c r="E849" s="13"/>
      <c r="F849" s="14"/>
      <c r="G849" s="14"/>
      <c r="H849" s="14"/>
      <c r="I849" s="14"/>
    </row>
    <row r="850" ht="20.7" customHeight="1">
      <c r="A850" s="10">
        <v>45493</v>
      </c>
      <c r="B850" t="s" s="11">
        <v>8</v>
      </c>
      <c r="C850" t="s" s="12">
        <v>8</v>
      </c>
      <c r="D850" s="15" cm="1">
        <f t="array" ref="D850">SUM(D848:D849)</f>
        <v>5000</v>
      </c>
      <c r="E850" s="15" cm="1">
        <f t="array" ref="E850">SUM(E848:E849)</f>
        <v>5000</v>
      </c>
      <c r="F850" s="16" cm="1">
        <f t="array" ref="F850">SUM(F848:F849)</f>
        <v>0</v>
      </c>
      <c r="G850" s="16" cm="1">
        <f t="array" ref="G850">SUM(G848:G849)</f>
        <v>0</v>
      </c>
      <c r="H850" s="16" cm="1">
        <f t="array" ref="H850">SUM(H848:H849)</f>
        <v>0</v>
      </c>
      <c r="I850" s="16" cm="1">
        <f t="array" ref="I850">SUM(I848:I849)</f>
        <v>0</v>
      </c>
    </row>
    <row r="851" ht="20.65" customHeight="1">
      <c r="A851" s="10">
        <v>45493</v>
      </c>
      <c r="B851" t="s" s="11">
        <v>28</v>
      </c>
      <c r="C851" t="s" s="12">
        <v>218</v>
      </c>
      <c r="D851" s="17"/>
      <c r="E851" s="17">
        <v>5000</v>
      </c>
      <c r="F851" s="18"/>
      <c r="G851" s="18"/>
      <c r="H851" s="18"/>
      <c r="I851" s="18"/>
    </row>
    <row r="852" ht="20.65" customHeight="1">
      <c r="A852" s="10">
        <v>45493</v>
      </c>
      <c r="B852" t="s" s="11">
        <v>12</v>
      </c>
      <c r="C852" t="s" s="12">
        <v>218</v>
      </c>
      <c r="D852" s="13">
        <v>5000</v>
      </c>
      <c r="E852" s="13"/>
      <c r="F852" s="14"/>
      <c r="G852" s="14"/>
      <c r="H852" s="14"/>
      <c r="I852" s="14"/>
    </row>
    <row r="853" ht="20.7" customHeight="1">
      <c r="A853" s="10">
        <v>45493</v>
      </c>
      <c r="B853" t="s" s="11">
        <v>8</v>
      </c>
      <c r="C853" t="s" s="12">
        <v>8</v>
      </c>
      <c r="D853" s="15" cm="1">
        <f t="array" ref="D853">SUM(D851:D852)</f>
        <v>5000</v>
      </c>
      <c r="E853" s="15" cm="1">
        <f t="array" ref="E853">SUM(E851:E852)</f>
        <v>5000</v>
      </c>
      <c r="F853" s="16" cm="1">
        <f t="array" ref="F853">SUM(F851:F852)</f>
        <v>0</v>
      </c>
      <c r="G853" s="16" cm="1">
        <f t="array" ref="G853">SUM(G851:G852)</f>
        <v>0</v>
      </c>
      <c r="H853" s="16" cm="1">
        <f t="array" ref="H853">SUM(H851:H852)</f>
        <v>0</v>
      </c>
      <c r="I853" s="16" cm="1">
        <f t="array" ref="I853">SUM(I851:I852)</f>
        <v>0</v>
      </c>
    </row>
    <row r="854" ht="20.35" customHeight="1">
      <c r="A854" s="10">
        <v>45494</v>
      </c>
      <c r="B854" t="s" s="11">
        <v>107</v>
      </c>
      <c r="C854" t="s" s="12">
        <v>36</v>
      </c>
      <c r="D854" s="17">
        <v>20000</v>
      </c>
      <c r="E854" s="17"/>
      <c r="F854" s="18"/>
      <c r="G854" s="18"/>
      <c r="H854" s="18"/>
      <c r="I854" s="18"/>
    </row>
    <row r="855" ht="20.35" customHeight="1">
      <c r="A855" s="10">
        <v>45494</v>
      </c>
      <c r="B855" t="s" s="11">
        <v>21</v>
      </c>
      <c r="C855" t="s" s="12">
        <v>36</v>
      </c>
      <c r="D855" s="13"/>
      <c r="E855" s="13">
        <v>20000</v>
      </c>
      <c r="F855" s="14"/>
      <c r="G855" s="14"/>
      <c r="H855" s="14"/>
      <c r="I855" s="14"/>
    </row>
    <row r="856" ht="20.7" customHeight="1">
      <c r="A856" s="10">
        <v>45494</v>
      </c>
      <c r="B856" t="s" s="11">
        <v>8</v>
      </c>
      <c r="C856" t="s" s="12">
        <v>8</v>
      </c>
      <c r="D856" s="15" cm="1">
        <f t="array" ref="D856">SUM(D854:D855)</f>
        <v>20000</v>
      </c>
      <c r="E856" s="15" cm="1">
        <f t="array" ref="E856">SUM(E854:E855)</f>
        <v>20000</v>
      </c>
      <c r="F856" s="16" cm="1">
        <f t="array" ref="F856">SUM(F854:F855)</f>
        <v>0</v>
      </c>
      <c r="G856" s="16" cm="1">
        <f t="array" ref="G856">SUM(G854:G855)</f>
        <v>0</v>
      </c>
      <c r="H856" s="16" cm="1">
        <f t="array" ref="H856">SUM(H854:H855)</f>
        <v>0</v>
      </c>
      <c r="I856" s="16" cm="1">
        <f t="array" ref="I856">SUM(I854:I855)</f>
        <v>0</v>
      </c>
    </row>
    <row r="857" ht="21.25" customHeight="1">
      <c r="A857" s="10">
        <v>45494</v>
      </c>
      <c r="B857" t="s" s="11">
        <v>107</v>
      </c>
      <c r="C857" t="s" s="12">
        <v>219</v>
      </c>
      <c r="D857" s="17"/>
      <c r="E857" s="17">
        <v>11100</v>
      </c>
      <c r="F857" s="18"/>
      <c r="G857" s="18"/>
      <c r="H857" s="18"/>
      <c r="I857" s="18"/>
    </row>
    <row r="858" ht="21.25" customHeight="1">
      <c r="A858" s="10">
        <v>45494</v>
      </c>
      <c r="B858" t="s" s="11">
        <v>12</v>
      </c>
      <c r="C858" t="s" s="12">
        <v>219</v>
      </c>
      <c r="D858" s="13">
        <v>11100</v>
      </c>
      <c r="E858" s="13"/>
      <c r="F858" s="14"/>
      <c r="G858" s="14"/>
      <c r="H858" s="14"/>
      <c r="I858" s="14"/>
    </row>
    <row r="859" ht="20.7" customHeight="1">
      <c r="A859" s="10">
        <v>45494</v>
      </c>
      <c r="B859" t="s" s="11">
        <v>8</v>
      </c>
      <c r="C859" t="s" s="12">
        <v>8</v>
      </c>
      <c r="D859" s="15" cm="1">
        <f t="array" ref="D859">SUM(D857:D858)</f>
        <v>11100</v>
      </c>
      <c r="E859" s="15" cm="1">
        <f t="array" ref="E859">SUM(E857:E858)</f>
        <v>11100</v>
      </c>
      <c r="F859" s="16" cm="1">
        <f t="array" ref="F859">SUM(F857:F858)</f>
        <v>0</v>
      </c>
      <c r="G859" s="16" cm="1">
        <f t="array" ref="G859">SUM(G857:G858)</f>
        <v>0</v>
      </c>
      <c r="H859" s="16" cm="1">
        <f t="array" ref="H859">SUM(H857:H858)</f>
        <v>0</v>
      </c>
      <c r="I859" s="16" cm="1">
        <f t="array" ref="I859">SUM(I857:I858)</f>
        <v>0</v>
      </c>
    </row>
    <row r="860" ht="20.35" customHeight="1">
      <c r="A860" s="10">
        <v>45494</v>
      </c>
      <c r="B860" t="s" s="11">
        <v>107</v>
      </c>
      <c r="C860" t="s" s="12">
        <v>96</v>
      </c>
      <c r="D860" s="17"/>
      <c r="E860" s="17">
        <v>8900</v>
      </c>
      <c r="F860" s="18"/>
      <c r="G860" s="18"/>
      <c r="H860" s="18"/>
      <c r="I860" s="18"/>
    </row>
    <row r="861" ht="20.35" customHeight="1">
      <c r="A861" s="10">
        <v>45494</v>
      </c>
      <c r="B861" t="s" s="11">
        <v>5</v>
      </c>
      <c r="C861" t="s" s="12">
        <v>96</v>
      </c>
      <c r="D861" s="13">
        <v>8900</v>
      </c>
      <c r="E861" s="13"/>
      <c r="F861" s="14"/>
      <c r="G861" s="14"/>
      <c r="H861" s="14"/>
      <c r="I861" s="14"/>
    </row>
    <row r="862" ht="20.7" customHeight="1">
      <c r="A862" s="10">
        <v>45494</v>
      </c>
      <c r="B862" t="s" s="11">
        <v>8</v>
      </c>
      <c r="C862" t="s" s="12">
        <v>8</v>
      </c>
      <c r="D862" s="15" cm="1">
        <f t="array" ref="D862">SUM(D860:D861)</f>
        <v>8900</v>
      </c>
      <c r="E862" s="15" cm="1">
        <f t="array" ref="E862">SUM(E860:E861)</f>
        <v>8900</v>
      </c>
      <c r="F862" s="16" cm="1">
        <f t="array" ref="F862">SUM(F860:F861)</f>
        <v>0</v>
      </c>
      <c r="G862" s="16" cm="1">
        <f t="array" ref="G862">SUM(G860:G861)</f>
        <v>0</v>
      </c>
      <c r="H862" s="16" cm="1">
        <f t="array" ref="H862">SUM(H860:H861)</f>
        <v>0</v>
      </c>
      <c r="I862" s="16" cm="1">
        <f t="array" ref="I862">SUM(I860:I861)</f>
        <v>0</v>
      </c>
    </row>
    <row r="863" ht="21.25" customHeight="1">
      <c r="A863" s="10">
        <v>45494</v>
      </c>
      <c r="B863" t="s" s="11">
        <v>5</v>
      </c>
      <c r="C863" t="s" s="12">
        <v>220</v>
      </c>
      <c r="D863" s="17"/>
      <c r="E863" s="17">
        <v>900</v>
      </c>
      <c r="F863" s="18"/>
      <c r="G863" s="18"/>
      <c r="H863" s="18"/>
      <c r="I863" s="18"/>
    </row>
    <row r="864" ht="20.9" customHeight="1">
      <c r="A864" s="10">
        <v>45494</v>
      </c>
      <c r="B864" t="s" s="11">
        <v>10</v>
      </c>
      <c r="C864" t="s" s="12">
        <v>220</v>
      </c>
      <c r="D864" s="19">
        <v>450</v>
      </c>
      <c r="E864" s="19"/>
      <c r="F864" s="20"/>
      <c r="G864" s="20"/>
      <c r="H864" s="20"/>
      <c r="I864" s="20"/>
    </row>
    <row r="865" ht="21.25" customHeight="1">
      <c r="A865" s="10">
        <v>45494</v>
      </c>
      <c r="B865" t="s" s="11">
        <v>12</v>
      </c>
      <c r="C865" t="s" s="12">
        <v>220</v>
      </c>
      <c r="D865" s="13">
        <v>450</v>
      </c>
      <c r="E865" s="13"/>
      <c r="F865" s="14"/>
      <c r="G865" s="14"/>
      <c r="H865" s="14"/>
      <c r="I865" s="14"/>
    </row>
    <row r="866" ht="20.7" customHeight="1">
      <c r="A866" s="10">
        <v>45494</v>
      </c>
      <c r="B866" t="s" s="11">
        <v>8</v>
      </c>
      <c r="C866" t="s" s="12">
        <v>8</v>
      </c>
      <c r="D866" s="15" cm="1">
        <f t="array" ref="D866">SUM(D863:D865)</f>
        <v>900</v>
      </c>
      <c r="E866" s="15" cm="1">
        <f t="array" ref="E866">SUM(E863:E865)</f>
        <v>900</v>
      </c>
      <c r="F866" s="16" cm="1">
        <f t="array" ref="F866">SUM(F863:F865)</f>
        <v>0</v>
      </c>
      <c r="G866" s="16" cm="1">
        <f t="array" ref="G866">SUM(G863:G865)</f>
        <v>0</v>
      </c>
      <c r="H866" s="16" cm="1">
        <f t="array" ref="H866">SUM(H863:H865)</f>
        <v>0</v>
      </c>
      <c r="I866" s="16" cm="1">
        <f t="array" ref="I866">SUM(I863:I865)</f>
        <v>0</v>
      </c>
    </row>
    <row r="867" ht="20.35" customHeight="1">
      <c r="A867" s="10">
        <v>45494</v>
      </c>
      <c r="B867" t="s" s="11">
        <v>5</v>
      </c>
      <c r="C867" t="s" s="12">
        <v>17</v>
      </c>
      <c r="D867" s="17">
        <v>100</v>
      </c>
      <c r="E867" s="17"/>
      <c r="F867" s="18"/>
      <c r="G867" s="18"/>
      <c r="H867" s="18"/>
      <c r="I867" s="18"/>
    </row>
    <row r="868" ht="20.35" customHeight="1">
      <c r="A868" s="10">
        <v>45494</v>
      </c>
      <c r="B868" t="s" s="11">
        <v>18</v>
      </c>
      <c r="C868" t="s" s="12">
        <v>17</v>
      </c>
      <c r="D868" s="13"/>
      <c r="E868" s="13">
        <v>100</v>
      </c>
      <c r="F868" s="14"/>
      <c r="G868" s="14"/>
      <c r="H868" s="14"/>
      <c r="I868" s="14"/>
    </row>
    <row r="869" ht="20.7" customHeight="1">
      <c r="A869" s="10">
        <v>45494</v>
      </c>
      <c r="B869" t="s" s="11">
        <v>8</v>
      </c>
      <c r="C869" t="s" s="12">
        <v>8</v>
      </c>
      <c r="D869" s="15" cm="1">
        <f t="array" ref="D869">SUM(D867:D868)</f>
        <v>100</v>
      </c>
      <c r="E869" s="15" cm="1">
        <f t="array" ref="E869">SUM(E867:E868)</f>
        <v>100</v>
      </c>
      <c r="F869" s="16" cm="1">
        <f t="array" ref="F869">SUM(F867:F868)</f>
        <v>0</v>
      </c>
      <c r="G869" s="16" cm="1">
        <f t="array" ref="G869">SUM(G867:G868)</f>
        <v>0</v>
      </c>
      <c r="H869" s="16" cm="1">
        <f t="array" ref="H869">SUM(H867:H868)</f>
        <v>0</v>
      </c>
      <c r="I869" s="16" cm="1">
        <f t="array" ref="I869">SUM(I867:I868)</f>
        <v>0</v>
      </c>
    </row>
    <row r="870" ht="21.25" customHeight="1">
      <c r="A870" s="10">
        <v>45494</v>
      </c>
      <c r="B870" t="s" s="11">
        <v>5</v>
      </c>
      <c r="C870" t="s" s="12">
        <v>221</v>
      </c>
      <c r="D870" s="17"/>
      <c r="E870" s="17">
        <v>5000</v>
      </c>
      <c r="F870" s="18"/>
      <c r="G870" s="18"/>
      <c r="H870" s="18"/>
      <c r="I870" s="18"/>
    </row>
    <row r="871" ht="20.9" customHeight="1">
      <c r="A871" s="10">
        <v>45494</v>
      </c>
      <c r="B871" t="s" s="11">
        <v>10</v>
      </c>
      <c r="C871" t="s" s="12">
        <v>221</v>
      </c>
      <c r="D871" s="19">
        <v>2500</v>
      </c>
      <c r="E871" s="19"/>
      <c r="F871" s="20"/>
      <c r="G871" s="20"/>
      <c r="H871" s="20"/>
      <c r="I871" s="20"/>
    </row>
    <row r="872" ht="21.25" customHeight="1">
      <c r="A872" s="10">
        <v>45494</v>
      </c>
      <c r="B872" t="s" s="11">
        <v>12</v>
      </c>
      <c r="C872" t="s" s="12">
        <v>221</v>
      </c>
      <c r="D872" s="13">
        <v>2500</v>
      </c>
      <c r="E872" s="13"/>
      <c r="F872" s="14"/>
      <c r="G872" s="14"/>
      <c r="H872" s="14"/>
      <c r="I872" s="14"/>
    </row>
    <row r="873" ht="20.7" customHeight="1">
      <c r="A873" s="10">
        <v>45494</v>
      </c>
      <c r="B873" t="s" s="11">
        <v>8</v>
      </c>
      <c r="C873" t="s" s="12">
        <v>8</v>
      </c>
      <c r="D873" s="15" cm="1">
        <f t="array" ref="D873">SUM(D870:D872)</f>
        <v>5000</v>
      </c>
      <c r="E873" s="15" cm="1">
        <f t="array" ref="E873">SUM(E870:E872)</f>
        <v>5000</v>
      </c>
      <c r="F873" s="16" cm="1">
        <f t="array" ref="F873">SUM(F870:F872)</f>
        <v>0</v>
      </c>
      <c r="G873" s="16" cm="1">
        <f t="array" ref="G873">SUM(G870:G872)</f>
        <v>0</v>
      </c>
      <c r="H873" s="16" cm="1">
        <f t="array" ref="H873">SUM(H870:H872)</f>
        <v>0</v>
      </c>
      <c r="I873" s="16" cm="1">
        <f t="array" ref="I873">SUM(I870:I872)</f>
        <v>0</v>
      </c>
    </row>
    <row r="874" ht="20.35" customHeight="1">
      <c r="A874" s="10">
        <v>45494</v>
      </c>
      <c r="B874" t="s" s="11">
        <v>5</v>
      </c>
      <c r="C874" t="s" s="12">
        <v>212</v>
      </c>
      <c r="D874" s="17"/>
      <c r="E874" s="17">
        <v>5300</v>
      </c>
      <c r="F874" s="18"/>
      <c r="G874" s="18"/>
      <c r="H874" s="18"/>
      <c r="I874" s="18"/>
    </row>
    <row r="875" ht="20.35" customHeight="1">
      <c r="A875" s="10">
        <v>45494</v>
      </c>
      <c r="B875" t="s" s="11">
        <v>12</v>
      </c>
      <c r="C875" t="s" s="12">
        <v>212</v>
      </c>
      <c r="D875" s="13">
        <v>5300</v>
      </c>
      <c r="E875" s="13"/>
      <c r="F875" s="14"/>
      <c r="G875" s="14"/>
      <c r="H875" s="14"/>
      <c r="I875" s="14"/>
    </row>
    <row r="876" ht="20.7" customHeight="1">
      <c r="A876" s="10">
        <v>45494</v>
      </c>
      <c r="B876" t="s" s="11">
        <v>8</v>
      </c>
      <c r="C876" t="s" s="12">
        <v>8</v>
      </c>
      <c r="D876" s="15" cm="1">
        <f t="array" ref="D876">SUM(D874:D875)</f>
        <v>5300</v>
      </c>
      <c r="E876" s="15" cm="1">
        <f t="array" ref="E876">SUM(E874:E875)</f>
        <v>5300</v>
      </c>
      <c r="F876" s="16" cm="1">
        <f t="array" ref="F876">SUM(F874:F875)</f>
        <v>0</v>
      </c>
      <c r="G876" s="16" cm="1">
        <f t="array" ref="G876">SUM(G874:G875)</f>
        <v>0</v>
      </c>
      <c r="H876" s="16" cm="1">
        <f t="array" ref="H876">SUM(H874:H875)</f>
        <v>0</v>
      </c>
      <c r="I876" s="16" cm="1">
        <f t="array" ref="I876">SUM(I874:I875)</f>
        <v>0</v>
      </c>
    </row>
    <row r="877" ht="20.35" customHeight="1">
      <c r="A877" s="10">
        <v>45495</v>
      </c>
      <c r="B877" t="s" s="11">
        <v>39</v>
      </c>
      <c r="C877" t="s" s="12">
        <v>64</v>
      </c>
      <c r="D877" s="17"/>
      <c r="E877" s="17"/>
      <c r="F877" s="18">
        <v>300</v>
      </c>
      <c r="G877" s="18"/>
      <c r="H877" s="18"/>
      <c r="I877" s="18"/>
    </row>
    <row r="878" ht="20.35" customHeight="1">
      <c r="A878" s="10">
        <v>45495</v>
      </c>
      <c r="B878" t="s" s="11">
        <v>41</v>
      </c>
      <c r="C878" t="s" s="12">
        <v>64</v>
      </c>
      <c r="D878" s="13"/>
      <c r="E878" s="13"/>
      <c r="F878" s="14"/>
      <c r="G878" s="14">
        <v>300</v>
      </c>
      <c r="H878" s="14"/>
      <c r="I878" s="14"/>
    </row>
    <row r="879" ht="20.7" customHeight="1">
      <c r="A879" s="10">
        <v>45495</v>
      </c>
      <c r="B879" t="s" s="11">
        <v>8</v>
      </c>
      <c r="C879" t="s" s="12">
        <v>8</v>
      </c>
      <c r="D879" s="15" cm="1">
        <f t="array" ref="D879">SUM(D877:D878)</f>
        <v>0</v>
      </c>
      <c r="E879" s="15" cm="1">
        <f t="array" ref="E879">SUM(E877:E878)</f>
        <v>0</v>
      </c>
      <c r="F879" s="16" cm="1">
        <f t="array" ref="F879">SUM(F877:F878)</f>
        <v>300</v>
      </c>
      <c r="G879" s="16" cm="1">
        <f t="array" ref="G879">SUM(G877:G878)</f>
        <v>300</v>
      </c>
      <c r="H879" s="16" cm="1">
        <f t="array" ref="H879">SUM(H877:H878)</f>
        <v>0</v>
      </c>
      <c r="I879" s="16" cm="1">
        <f t="array" ref="I879">SUM(I877:I878)</f>
        <v>0</v>
      </c>
    </row>
    <row r="880" ht="20.35" customHeight="1">
      <c r="A880" s="10">
        <v>45495</v>
      </c>
      <c r="B880" t="s" s="11">
        <v>39</v>
      </c>
      <c r="C880" t="s" s="12">
        <v>222</v>
      </c>
      <c r="D880" s="17"/>
      <c r="E880" s="17"/>
      <c r="F880" s="18"/>
      <c r="G880" s="18">
        <v>300</v>
      </c>
      <c r="H880" s="18"/>
      <c r="I880" s="18"/>
    </row>
    <row r="881" ht="20.05" customHeight="1">
      <c r="A881" s="10">
        <v>45495</v>
      </c>
      <c r="B881" t="s" s="11">
        <v>44</v>
      </c>
      <c r="C881" t="s" s="12">
        <v>222</v>
      </c>
      <c r="D881" s="19"/>
      <c r="E881" s="19"/>
      <c r="F881" s="20">
        <v>290</v>
      </c>
      <c r="G881" s="20"/>
      <c r="H881" s="20"/>
      <c r="I881" s="20"/>
    </row>
    <row r="882" ht="20.05" customHeight="1">
      <c r="A882" s="10">
        <v>45495</v>
      </c>
      <c r="B882" t="s" s="11">
        <v>43</v>
      </c>
      <c r="C882" t="s" s="12">
        <v>222</v>
      </c>
      <c r="D882" s="19"/>
      <c r="E882" s="19"/>
      <c r="F882" s="20">
        <v>10</v>
      </c>
      <c r="G882" s="20"/>
      <c r="H882" s="20"/>
      <c r="I882" s="20"/>
    </row>
    <row r="883" ht="20.05" customHeight="1">
      <c r="A883" s="10">
        <v>45495</v>
      </c>
      <c r="B883" t="s" s="11">
        <v>5</v>
      </c>
      <c r="C883" t="s" s="12">
        <v>222</v>
      </c>
      <c r="D883" s="19">
        <v>85923</v>
      </c>
      <c r="E883" s="19"/>
      <c r="F883" s="20"/>
      <c r="G883" s="20"/>
      <c r="H883" s="20"/>
      <c r="I883" s="20"/>
    </row>
    <row r="884" ht="20.35" customHeight="1">
      <c r="A884" s="10">
        <v>45495</v>
      </c>
      <c r="B884" t="s" s="11">
        <v>46</v>
      </c>
      <c r="C884" t="s" s="12">
        <v>222</v>
      </c>
      <c r="D884" s="13"/>
      <c r="E884" s="13">
        <v>85923</v>
      </c>
      <c r="F884" s="14"/>
      <c r="G884" s="14"/>
      <c r="H884" s="14"/>
      <c r="I884" s="14"/>
    </row>
    <row r="885" ht="20.7" customHeight="1">
      <c r="A885" s="10">
        <v>45495</v>
      </c>
      <c r="B885" t="s" s="11">
        <v>8</v>
      </c>
      <c r="C885" t="s" s="12">
        <v>8</v>
      </c>
      <c r="D885" s="15" cm="1">
        <f t="array" ref="D885">SUM(D880:D884)</f>
        <v>85923</v>
      </c>
      <c r="E885" s="15" cm="1">
        <f t="array" ref="E885">SUM(E880:E884)</f>
        <v>85923</v>
      </c>
      <c r="F885" s="16" cm="1">
        <f t="array" ref="F885">SUM(F880:F884)</f>
        <v>300</v>
      </c>
      <c r="G885" s="16" cm="1">
        <f t="array" ref="G885">SUM(G880:G884)</f>
        <v>300</v>
      </c>
      <c r="H885" s="16" cm="1">
        <f t="array" ref="H885">SUM(H880:H884)</f>
        <v>0</v>
      </c>
      <c r="I885" s="16" cm="1">
        <f t="array" ref="I885">SUM(I880:I884)</f>
        <v>0</v>
      </c>
    </row>
    <row r="886" ht="21.25" customHeight="1">
      <c r="A886" s="10">
        <v>45495</v>
      </c>
      <c r="B886" t="s" s="11">
        <v>5</v>
      </c>
      <c r="C886" t="s" s="12">
        <v>223</v>
      </c>
      <c r="D886" s="17"/>
      <c r="E886" s="17">
        <v>21600</v>
      </c>
      <c r="F886" s="18"/>
      <c r="G886" s="18"/>
      <c r="H886" s="18"/>
      <c r="I886" s="18"/>
    </row>
    <row r="887" ht="20.9" customHeight="1">
      <c r="A887" s="10">
        <v>45495</v>
      </c>
      <c r="B887" t="s" s="11">
        <v>10</v>
      </c>
      <c r="C887" t="s" s="12">
        <v>223</v>
      </c>
      <c r="D887" s="19" cm="1">
        <f t="array" ref="D887">21600*3/4</f>
        <v>16200</v>
      </c>
      <c r="E887" s="19"/>
      <c r="F887" s="20"/>
      <c r="G887" s="20"/>
      <c r="H887" s="20"/>
      <c r="I887" s="20"/>
    </row>
    <row r="888" ht="21.25" customHeight="1">
      <c r="A888" s="10">
        <v>45495</v>
      </c>
      <c r="B888" t="s" s="11">
        <v>12</v>
      </c>
      <c r="C888" t="s" s="12">
        <v>223</v>
      </c>
      <c r="D888" s="13" cm="1">
        <f t="array" ref="D888">21600/4</f>
        <v>5400</v>
      </c>
      <c r="E888" s="13"/>
      <c r="F888" s="14"/>
      <c r="G888" s="14"/>
      <c r="H888" s="14"/>
      <c r="I888" s="14"/>
    </row>
    <row r="889" ht="20.7" customHeight="1">
      <c r="A889" s="10">
        <v>45495</v>
      </c>
      <c r="B889" t="s" s="11">
        <v>8</v>
      </c>
      <c r="C889" t="s" s="12">
        <v>8</v>
      </c>
      <c r="D889" s="15" cm="1">
        <f t="array" ref="D889">SUM(D886:D888)</f>
        <v>21600</v>
      </c>
      <c r="E889" s="15" cm="1">
        <f t="array" ref="E889">SUM(E886:E888)</f>
        <v>21600</v>
      </c>
      <c r="F889" s="16" cm="1">
        <f t="array" ref="F889">SUM(F886:F888)</f>
        <v>0</v>
      </c>
      <c r="G889" s="16" cm="1">
        <f t="array" ref="G889">SUM(G886:G888)</f>
        <v>0</v>
      </c>
      <c r="H889" s="16" cm="1">
        <f t="array" ref="H889">SUM(H886:H888)</f>
        <v>0</v>
      </c>
      <c r="I889" s="16" cm="1">
        <f t="array" ref="I889">SUM(I886:I888)</f>
        <v>0</v>
      </c>
    </row>
    <row r="890" ht="20.35" customHeight="1">
      <c r="A890" s="10">
        <v>45495</v>
      </c>
      <c r="B890" t="s" s="11">
        <v>5</v>
      </c>
      <c r="C890" t="s" s="12">
        <v>202</v>
      </c>
      <c r="D890" s="17"/>
      <c r="E890" s="17">
        <v>10000</v>
      </c>
      <c r="F890" s="18"/>
      <c r="G890" s="18"/>
      <c r="H890" s="18"/>
      <c r="I890" s="18"/>
    </row>
    <row r="891" ht="20.35" customHeight="1">
      <c r="A891" s="10">
        <v>45495</v>
      </c>
      <c r="B891" t="s" s="11">
        <v>93</v>
      </c>
      <c r="C891" t="s" s="12">
        <v>202</v>
      </c>
      <c r="D891" s="13">
        <v>10000</v>
      </c>
      <c r="E891" s="13"/>
      <c r="F891" s="14"/>
      <c r="G891" s="14"/>
      <c r="H891" s="14"/>
      <c r="I891" s="14"/>
    </row>
    <row r="892" ht="20.7" customHeight="1">
      <c r="A892" s="10">
        <v>45495</v>
      </c>
      <c r="B892" t="s" s="11">
        <v>8</v>
      </c>
      <c r="C892" t="s" s="12">
        <v>8</v>
      </c>
      <c r="D892" s="15" cm="1">
        <f t="array" ref="D892">SUM(D890:D891)</f>
        <v>10000</v>
      </c>
      <c r="E892" s="15" cm="1">
        <f t="array" ref="E892">SUM(E890:E891)</f>
        <v>10000</v>
      </c>
      <c r="F892" s="16" cm="1">
        <f t="array" ref="F892">SUM(F890:F891)</f>
        <v>0</v>
      </c>
      <c r="G892" s="16" cm="1">
        <f t="array" ref="G892">SUM(G890:G891)</f>
        <v>0</v>
      </c>
      <c r="H892" s="16" cm="1">
        <f t="array" ref="H892">SUM(H890:H891)</f>
        <v>0</v>
      </c>
      <c r="I892" s="16" cm="1">
        <f t="array" ref="I892">SUM(I890:I891)</f>
        <v>0</v>
      </c>
    </row>
    <row r="893" ht="20.35" customHeight="1">
      <c r="A893" s="10">
        <v>45495</v>
      </c>
      <c r="B893" t="s" s="11">
        <v>93</v>
      </c>
      <c r="C893" t="s" s="12">
        <v>224</v>
      </c>
      <c r="D893" s="17"/>
      <c r="E893" s="17">
        <v>5000</v>
      </c>
      <c r="F893" s="18"/>
      <c r="G893" s="18"/>
      <c r="H893" s="18"/>
      <c r="I893" s="18"/>
    </row>
    <row r="894" ht="20.35" customHeight="1">
      <c r="A894" s="10">
        <v>45495</v>
      </c>
      <c r="B894" t="s" s="11">
        <v>89</v>
      </c>
      <c r="C894" t="s" s="12">
        <v>224</v>
      </c>
      <c r="D894" s="13">
        <v>5000</v>
      </c>
      <c r="E894" s="13"/>
      <c r="F894" s="14"/>
      <c r="G894" s="14"/>
      <c r="H894" s="14"/>
      <c r="I894" s="14"/>
    </row>
    <row r="895" ht="20.7" customHeight="1">
      <c r="A895" s="10">
        <v>45495</v>
      </c>
      <c r="B895" t="s" s="11">
        <v>8</v>
      </c>
      <c r="C895" t="s" s="12">
        <v>8</v>
      </c>
      <c r="D895" s="15" cm="1">
        <f t="array" ref="D895">SUM(D893:D894)</f>
        <v>5000</v>
      </c>
      <c r="E895" s="15" cm="1">
        <f t="array" ref="E895">SUM(E893:E894)</f>
        <v>5000</v>
      </c>
      <c r="F895" s="16" cm="1">
        <f t="array" ref="F895">SUM(F893:F894)</f>
        <v>0</v>
      </c>
      <c r="G895" s="16" cm="1">
        <f t="array" ref="G895">SUM(G893:G894)</f>
        <v>0</v>
      </c>
      <c r="H895" s="16" cm="1">
        <f t="array" ref="H895">SUM(H893:H894)</f>
        <v>0</v>
      </c>
      <c r="I895" s="16" cm="1">
        <f t="array" ref="I895">SUM(I893:I894)</f>
        <v>0</v>
      </c>
    </row>
    <row r="896" ht="20.35" customHeight="1">
      <c r="A896" s="10">
        <v>45495</v>
      </c>
      <c r="B896" t="s" s="11">
        <v>93</v>
      </c>
      <c r="C896" t="s" s="12">
        <v>202</v>
      </c>
      <c r="D896" s="17">
        <v>10000</v>
      </c>
      <c r="E896" s="17"/>
      <c r="F896" s="18"/>
      <c r="G896" s="18"/>
      <c r="H896" s="18"/>
      <c r="I896" s="18"/>
    </row>
    <row r="897" ht="20.35" customHeight="1">
      <c r="A897" s="10">
        <v>45495</v>
      </c>
      <c r="B897" t="s" s="11">
        <v>5</v>
      </c>
      <c r="C897" t="s" s="12">
        <v>202</v>
      </c>
      <c r="D897" s="13"/>
      <c r="E897" s="13">
        <v>10000</v>
      </c>
      <c r="F897" s="14"/>
      <c r="G897" s="14"/>
      <c r="H897" s="14"/>
      <c r="I897" s="14"/>
    </row>
    <row r="898" ht="20.7" customHeight="1">
      <c r="A898" s="10">
        <v>45495</v>
      </c>
      <c r="B898" t="s" s="11">
        <v>8</v>
      </c>
      <c r="C898" t="s" s="12">
        <v>8</v>
      </c>
      <c r="D898" s="15" cm="1">
        <f t="array" ref="D898">SUM(D896:D897)</f>
        <v>10000</v>
      </c>
      <c r="E898" s="15" cm="1">
        <f t="array" ref="E898">SUM(E896:E897)</f>
        <v>10000</v>
      </c>
      <c r="F898" s="16" cm="1">
        <f t="array" ref="F898">SUM(F896:F897)</f>
        <v>0</v>
      </c>
      <c r="G898" s="16" cm="1">
        <f t="array" ref="G898">SUM(G896:G897)</f>
        <v>0</v>
      </c>
      <c r="H898" s="16" cm="1">
        <f t="array" ref="H898">SUM(H896:H897)</f>
        <v>0</v>
      </c>
      <c r="I898" s="16" cm="1">
        <f t="array" ref="I898">SUM(I896:I897)</f>
        <v>0</v>
      </c>
    </row>
    <row r="899" ht="20.35" customHeight="1">
      <c r="A899" s="10">
        <v>45495</v>
      </c>
      <c r="B899" t="s" s="11">
        <v>93</v>
      </c>
      <c r="C899" t="s" s="12">
        <v>54</v>
      </c>
      <c r="D899" s="17"/>
      <c r="E899" s="17">
        <v>3300</v>
      </c>
      <c r="F899" s="18"/>
      <c r="G899" s="18"/>
      <c r="H899" s="18"/>
      <c r="I899" s="18"/>
    </row>
    <row r="900" ht="20.35" customHeight="1">
      <c r="A900" s="10">
        <v>45495</v>
      </c>
      <c r="B900" t="s" s="11">
        <v>10</v>
      </c>
      <c r="C900" t="s" s="12">
        <v>54</v>
      </c>
      <c r="D900" s="13">
        <v>3300</v>
      </c>
      <c r="E900" s="13"/>
      <c r="F900" s="14"/>
      <c r="G900" s="14"/>
      <c r="H900" s="14"/>
      <c r="I900" s="14"/>
    </row>
    <row r="901" ht="20.7" customHeight="1">
      <c r="A901" s="10">
        <v>45495</v>
      </c>
      <c r="B901" t="s" s="11">
        <v>8</v>
      </c>
      <c r="C901" t="s" s="12">
        <v>8</v>
      </c>
      <c r="D901" s="15" cm="1">
        <f t="array" ref="D901">SUM(D899:D900)</f>
        <v>3300</v>
      </c>
      <c r="E901" s="15" cm="1">
        <f t="array" ref="E901">SUM(E899:E900)</f>
        <v>3300</v>
      </c>
      <c r="F901" s="16" cm="1">
        <f t="array" ref="F901">SUM(F899:F900)</f>
        <v>0</v>
      </c>
      <c r="G901" s="16" cm="1">
        <f t="array" ref="G901">SUM(G899:G900)</f>
        <v>0</v>
      </c>
      <c r="H901" s="16" cm="1">
        <f t="array" ref="H901">SUM(H899:H900)</f>
        <v>0</v>
      </c>
      <c r="I901" s="16" cm="1">
        <f t="array" ref="I901">SUM(I899:I900)</f>
        <v>0</v>
      </c>
    </row>
    <row r="902" ht="20.35" customHeight="1">
      <c r="A902" s="10">
        <v>45495</v>
      </c>
      <c r="B902" t="s" s="11">
        <v>5</v>
      </c>
      <c r="C902" t="s" s="12">
        <v>225</v>
      </c>
      <c r="D902" s="17"/>
      <c r="E902" s="17">
        <v>14400</v>
      </c>
      <c r="F902" s="18"/>
      <c r="G902" s="18"/>
      <c r="H902" s="18"/>
      <c r="I902" s="18"/>
    </row>
    <row r="903" ht="20.05" customHeight="1">
      <c r="A903" s="10">
        <v>45495</v>
      </c>
      <c r="B903" t="s" s="11">
        <v>89</v>
      </c>
      <c r="C903" t="s" s="12">
        <v>225</v>
      </c>
      <c r="D903" s="19">
        <v>7200</v>
      </c>
      <c r="E903" s="19"/>
      <c r="F903" s="20"/>
      <c r="G903" s="20"/>
      <c r="H903" s="20"/>
      <c r="I903" s="20"/>
    </row>
    <row r="904" ht="20.35" customHeight="1">
      <c r="A904" s="10">
        <v>45495</v>
      </c>
      <c r="B904" t="s" s="11">
        <v>12</v>
      </c>
      <c r="C904" t="s" s="12">
        <v>225</v>
      </c>
      <c r="D904" s="13">
        <v>7200</v>
      </c>
      <c r="E904" s="13"/>
      <c r="F904" s="14"/>
      <c r="G904" s="14"/>
      <c r="H904" s="14"/>
      <c r="I904" s="14"/>
    </row>
    <row r="905" ht="20.7" customHeight="1">
      <c r="A905" s="10">
        <v>45495</v>
      </c>
      <c r="B905" t="s" s="11">
        <v>8</v>
      </c>
      <c r="C905" t="s" s="12">
        <v>8</v>
      </c>
      <c r="D905" s="15" cm="1">
        <f t="array" ref="D905">SUM(D902:D904)</f>
        <v>14400</v>
      </c>
      <c r="E905" s="15" cm="1">
        <f t="array" ref="E905">SUM(E902:E904)</f>
        <v>14400</v>
      </c>
      <c r="F905" s="16" cm="1">
        <f t="array" ref="F905">SUM(F902:F904)</f>
        <v>0</v>
      </c>
      <c r="G905" s="16" cm="1">
        <f t="array" ref="G905">SUM(G902:G904)</f>
        <v>0</v>
      </c>
      <c r="H905" s="16" cm="1">
        <f t="array" ref="H905">SUM(H902:H904)</f>
        <v>0</v>
      </c>
      <c r="I905" s="16" cm="1">
        <f t="array" ref="I905">SUM(I902:I904)</f>
        <v>0</v>
      </c>
    </row>
    <row r="906" ht="20.35" customHeight="1">
      <c r="A906" s="10">
        <v>45495</v>
      </c>
      <c r="B906" t="s" s="11">
        <v>5</v>
      </c>
      <c r="C906" t="s" s="12">
        <v>226</v>
      </c>
      <c r="D906" s="17"/>
      <c r="E906" s="17">
        <v>29500</v>
      </c>
      <c r="F906" s="18"/>
      <c r="G906" s="18"/>
      <c r="H906" s="18"/>
      <c r="I906" s="18"/>
    </row>
    <row r="907" ht="20.05" customHeight="1">
      <c r="A907" s="10">
        <v>45495</v>
      </c>
      <c r="B907" t="s" s="11">
        <v>89</v>
      </c>
      <c r="C907" t="s" s="12">
        <v>226</v>
      </c>
      <c r="D907" s="19">
        <v>18000</v>
      </c>
      <c r="E907" s="19"/>
      <c r="F907" s="20"/>
      <c r="G907" s="20"/>
      <c r="H907" s="20"/>
      <c r="I907" s="20"/>
    </row>
    <row r="908" ht="20.35" customHeight="1">
      <c r="A908" s="10">
        <v>45495</v>
      </c>
      <c r="B908" t="s" s="11">
        <v>12</v>
      </c>
      <c r="C908" t="s" s="12">
        <v>226</v>
      </c>
      <c r="D908" s="13">
        <v>11500</v>
      </c>
      <c r="E908" s="13"/>
      <c r="F908" s="14"/>
      <c r="G908" s="14"/>
      <c r="H908" s="14"/>
      <c r="I908" s="14"/>
    </row>
    <row r="909" ht="20.7" customHeight="1">
      <c r="A909" s="10">
        <v>45495</v>
      </c>
      <c r="B909" t="s" s="11">
        <v>8</v>
      </c>
      <c r="C909" t="s" s="12">
        <v>8</v>
      </c>
      <c r="D909" s="15" cm="1">
        <f t="array" ref="D909">SUM(D906:D908)</f>
        <v>29500</v>
      </c>
      <c r="E909" s="15" cm="1">
        <f t="array" ref="E909">SUM(E906:E908)</f>
        <v>29500</v>
      </c>
      <c r="F909" s="16" cm="1">
        <f t="array" ref="F909">SUM(F906:F908)</f>
        <v>0</v>
      </c>
      <c r="G909" s="16" cm="1">
        <f t="array" ref="G909">SUM(G906:G908)</f>
        <v>0</v>
      </c>
      <c r="H909" s="16" cm="1">
        <f t="array" ref="H909">SUM(H906:H908)</f>
        <v>0</v>
      </c>
      <c r="I909" s="16" cm="1">
        <f t="array" ref="I909">SUM(I906:I908)</f>
        <v>0</v>
      </c>
    </row>
    <row r="910" ht="20.35" customHeight="1">
      <c r="A910" s="10">
        <v>45495</v>
      </c>
      <c r="B910" t="s" s="11">
        <v>12</v>
      </c>
      <c r="C910" t="s" s="12">
        <v>227</v>
      </c>
      <c r="D910" s="17">
        <v>9850</v>
      </c>
      <c r="E910" s="17"/>
      <c r="F910" s="18"/>
      <c r="G910" s="18"/>
      <c r="H910" s="18"/>
      <c r="I910" s="18"/>
    </row>
    <row r="911" ht="20.35" customHeight="1">
      <c r="A911" s="10">
        <v>45495</v>
      </c>
      <c r="B911" t="s" s="11">
        <v>21</v>
      </c>
      <c r="C911" t="s" s="12">
        <v>227</v>
      </c>
      <c r="D911" s="13"/>
      <c r="E911" s="13">
        <v>9850</v>
      </c>
      <c r="F911" s="14"/>
      <c r="G911" s="14"/>
      <c r="H911" s="14"/>
      <c r="I911" s="14"/>
    </row>
    <row r="912" ht="20.7" customHeight="1">
      <c r="A912" s="10">
        <v>45495</v>
      </c>
      <c r="B912" t="s" s="11">
        <v>8</v>
      </c>
      <c r="C912" t="s" s="12">
        <v>8</v>
      </c>
      <c r="D912" s="15" cm="1">
        <f t="array" ref="D912">SUM(D910:D911)</f>
        <v>9850</v>
      </c>
      <c r="E912" s="15" cm="1">
        <f t="array" ref="E912">SUM(E910:E911)</f>
        <v>9850</v>
      </c>
      <c r="F912" s="16" cm="1">
        <f t="array" ref="F912">SUM(F910:F911)</f>
        <v>0</v>
      </c>
      <c r="G912" s="16" cm="1">
        <f t="array" ref="G912">SUM(G910:G911)</f>
        <v>0</v>
      </c>
      <c r="H912" s="16" cm="1">
        <f t="array" ref="H912">SUM(H910:H911)</f>
        <v>0</v>
      </c>
      <c r="I912" s="16" cm="1">
        <f t="array" ref="I912">SUM(I910:I911)</f>
        <v>0</v>
      </c>
    </row>
    <row r="913" ht="20.35" customHeight="1">
      <c r="A913" s="10">
        <v>45495</v>
      </c>
      <c r="B913" t="s" s="11">
        <v>5</v>
      </c>
      <c r="C913" t="s" s="12">
        <v>228</v>
      </c>
      <c r="D913" s="17"/>
      <c r="E913" s="17">
        <v>500</v>
      </c>
      <c r="F913" s="18"/>
      <c r="G913" s="18"/>
      <c r="H913" s="18"/>
      <c r="I913" s="18"/>
    </row>
    <row r="914" ht="20.35" customHeight="1">
      <c r="A914" s="10">
        <v>45495</v>
      </c>
      <c r="B914" t="s" s="11">
        <v>89</v>
      </c>
      <c r="C914" t="s" s="12">
        <v>228</v>
      </c>
      <c r="D914" s="13">
        <v>500</v>
      </c>
      <c r="E914" s="13"/>
      <c r="F914" s="14"/>
      <c r="G914" s="14"/>
      <c r="H914" s="14"/>
      <c r="I914" s="14"/>
    </row>
    <row r="915" ht="20.7" customHeight="1">
      <c r="A915" s="10">
        <v>45495</v>
      </c>
      <c r="B915" t="s" s="11">
        <v>8</v>
      </c>
      <c r="C915" t="s" s="12">
        <v>8</v>
      </c>
      <c r="D915" s="15" cm="1">
        <f t="array" ref="D915">SUM(D913:D914)</f>
        <v>500</v>
      </c>
      <c r="E915" s="15" cm="1">
        <f t="array" ref="E915">SUM(E913:E914)</f>
        <v>500</v>
      </c>
      <c r="F915" s="16" cm="1">
        <f t="array" ref="F915">SUM(F913:F914)</f>
        <v>0</v>
      </c>
      <c r="G915" s="16" cm="1">
        <f t="array" ref="G915">SUM(G913:G914)</f>
        <v>0</v>
      </c>
      <c r="H915" s="16" cm="1">
        <f t="array" ref="H915">SUM(H913:H914)</f>
        <v>0</v>
      </c>
      <c r="I915" s="16" cm="1">
        <f t="array" ref="I915">SUM(I913:I914)</f>
        <v>0</v>
      </c>
    </row>
    <row r="916" ht="20.35" customHeight="1">
      <c r="A916" s="10">
        <v>45495</v>
      </c>
      <c r="B916" t="s" s="11">
        <v>93</v>
      </c>
      <c r="C916" t="s" s="12">
        <v>96</v>
      </c>
      <c r="D916" s="17"/>
      <c r="E916" s="17">
        <v>6700</v>
      </c>
      <c r="F916" s="18"/>
      <c r="G916" s="18"/>
      <c r="H916" s="18"/>
      <c r="I916" s="18"/>
    </row>
    <row r="917" ht="20.35" customHeight="1">
      <c r="A917" s="10">
        <v>45495</v>
      </c>
      <c r="B917" t="s" s="11">
        <v>5</v>
      </c>
      <c r="C917" t="s" s="12">
        <v>96</v>
      </c>
      <c r="D917" s="13">
        <v>6700</v>
      </c>
      <c r="E917" s="13"/>
      <c r="F917" s="14"/>
      <c r="G917" s="14"/>
      <c r="H917" s="14"/>
      <c r="I917" s="14"/>
    </row>
    <row r="918" ht="20.7" customHeight="1">
      <c r="A918" s="10">
        <v>45495</v>
      </c>
      <c r="B918" t="s" s="11">
        <v>8</v>
      </c>
      <c r="C918" t="s" s="12">
        <v>8</v>
      </c>
      <c r="D918" s="15" cm="1">
        <f t="array" ref="D918">SUM(D916:D917)</f>
        <v>6700</v>
      </c>
      <c r="E918" s="15" cm="1">
        <f t="array" ref="E918">SUM(E916:E917)</f>
        <v>6700</v>
      </c>
      <c r="F918" s="16" cm="1">
        <f t="array" ref="F918">SUM(F916:F917)</f>
        <v>0</v>
      </c>
      <c r="G918" s="16" cm="1">
        <f t="array" ref="G918">SUM(G916:G917)</f>
        <v>0</v>
      </c>
      <c r="H918" s="16" cm="1">
        <f t="array" ref="H918">SUM(H916:H917)</f>
        <v>0</v>
      </c>
      <c r="I918" s="16" cm="1">
        <f t="array" ref="I918">SUM(I916:I917)</f>
        <v>0</v>
      </c>
    </row>
    <row r="919" ht="20.35" customHeight="1">
      <c r="A919" s="10">
        <v>45496</v>
      </c>
      <c r="B919" t="s" s="11">
        <v>5</v>
      </c>
      <c r="C919" t="s" s="12">
        <v>53</v>
      </c>
      <c r="D919" s="17"/>
      <c r="E919" s="17">
        <v>10400</v>
      </c>
      <c r="F919" s="18"/>
      <c r="G919" s="18"/>
      <c r="H919" s="18"/>
      <c r="I919" s="18"/>
    </row>
    <row r="920" ht="20.9" customHeight="1">
      <c r="A920" s="10">
        <v>45496</v>
      </c>
      <c r="B920" t="s" s="11">
        <v>10</v>
      </c>
      <c r="C920" t="s" s="12">
        <v>229</v>
      </c>
      <c r="D920" s="19">
        <v>5200</v>
      </c>
      <c r="E920" s="19"/>
      <c r="F920" s="20"/>
      <c r="G920" s="20"/>
      <c r="H920" s="20"/>
      <c r="I920" s="20"/>
    </row>
    <row r="921" ht="21.25" customHeight="1">
      <c r="A921" s="10">
        <v>45496</v>
      </c>
      <c r="B921" t="s" s="11">
        <v>12</v>
      </c>
      <c r="C921" t="s" s="12">
        <v>229</v>
      </c>
      <c r="D921" s="13">
        <v>5200</v>
      </c>
      <c r="E921" s="13"/>
      <c r="F921" s="14"/>
      <c r="G921" s="14"/>
      <c r="H921" s="14"/>
      <c r="I921" s="14"/>
    </row>
    <row r="922" ht="20.7" customHeight="1">
      <c r="A922" s="10">
        <v>45496</v>
      </c>
      <c r="B922" t="s" s="11">
        <v>8</v>
      </c>
      <c r="C922" t="s" s="12">
        <v>8</v>
      </c>
      <c r="D922" s="15" cm="1">
        <f t="array" ref="D922">SUM(D919:D921)</f>
        <v>10400</v>
      </c>
      <c r="E922" s="15" cm="1">
        <f t="array" ref="E922">SUM(E919:E921)</f>
        <v>10400</v>
      </c>
      <c r="F922" s="16" cm="1">
        <f t="array" ref="F922">SUM(F919:F921)</f>
        <v>0</v>
      </c>
      <c r="G922" s="16" cm="1">
        <f t="array" ref="G922">SUM(G919:G921)</f>
        <v>0</v>
      </c>
      <c r="H922" s="16" cm="1">
        <f t="array" ref="H922">SUM(H919:H921)</f>
        <v>0</v>
      </c>
      <c r="I922" s="16" cm="1">
        <f t="array" ref="I922">SUM(I919:I921)</f>
        <v>0</v>
      </c>
    </row>
    <row r="923" ht="20.35" customHeight="1">
      <c r="A923" s="10">
        <v>45496</v>
      </c>
      <c r="B923" t="s" s="11">
        <v>5</v>
      </c>
      <c r="C923" t="s" s="12">
        <v>17</v>
      </c>
      <c r="D923" s="17">
        <v>500</v>
      </c>
      <c r="E923" s="17"/>
      <c r="F923" s="18"/>
      <c r="G923" s="18"/>
      <c r="H923" s="18"/>
      <c r="I923" s="18"/>
    </row>
    <row r="924" ht="20.35" customHeight="1">
      <c r="A924" s="10">
        <v>45496</v>
      </c>
      <c r="B924" t="s" s="11">
        <v>18</v>
      </c>
      <c r="C924" t="s" s="12">
        <v>17</v>
      </c>
      <c r="D924" s="13"/>
      <c r="E924" s="13">
        <v>500</v>
      </c>
      <c r="F924" s="14"/>
      <c r="G924" s="14"/>
      <c r="H924" s="14"/>
      <c r="I924" s="14"/>
    </row>
    <row r="925" ht="20.7" customHeight="1">
      <c r="A925" s="10">
        <v>45496</v>
      </c>
      <c r="B925" t="s" s="11">
        <v>8</v>
      </c>
      <c r="C925" t="s" s="12">
        <v>8</v>
      </c>
      <c r="D925" s="15" cm="1">
        <f t="array" ref="D925">SUM(D923:D924)</f>
        <v>500</v>
      </c>
      <c r="E925" s="15" cm="1">
        <f t="array" ref="E925">SUM(E923:E924)</f>
        <v>500</v>
      </c>
      <c r="F925" s="16" cm="1">
        <f t="array" ref="F925">SUM(F923:F924)</f>
        <v>0</v>
      </c>
      <c r="G925" s="16" cm="1">
        <f t="array" ref="G925">SUM(G923:G924)</f>
        <v>0</v>
      </c>
      <c r="H925" s="16" cm="1">
        <f t="array" ref="H925">SUM(H923:H924)</f>
        <v>0</v>
      </c>
      <c r="I925" s="16" cm="1">
        <f t="array" ref="I925">SUM(I923:I924)</f>
        <v>0</v>
      </c>
    </row>
    <row r="926" ht="20.35" customHeight="1">
      <c r="A926" s="10">
        <v>45496</v>
      </c>
      <c r="B926" t="s" s="11">
        <v>5</v>
      </c>
      <c r="C926" t="s" s="12">
        <v>230</v>
      </c>
      <c r="D926" s="17">
        <v>5000</v>
      </c>
      <c r="E926" s="17"/>
      <c r="F926" s="18"/>
      <c r="G926" s="18"/>
      <c r="H926" s="18"/>
      <c r="I926" s="18"/>
    </row>
    <row r="927" ht="20.35" customHeight="1">
      <c r="A927" s="10">
        <v>45496</v>
      </c>
      <c r="B927" t="s" s="11">
        <v>89</v>
      </c>
      <c r="C927" t="s" s="12">
        <v>230</v>
      </c>
      <c r="D927" s="13"/>
      <c r="E927" s="13">
        <v>5000</v>
      </c>
      <c r="F927" s="14"/>
      <c r="G927" s="14"/>
      <c r="H927" s="14"/>
      <c r="I927" s="14"/>
    </row>
    <row r="928" ht="20.7" customHeight="1">
      <c r="A928" s="10">
        <v>45496</v>
      </c>
      <c r="B928" t="s" s="11">
        <v>8</v>
      </c>
      <c r="C928" t="s" s="12">
        <v>8</v>
      </c>
      <c r="D928" s="15" cm="1">
        <f t="array" ref="D928">SUM(D926:D927)</f>
        <v>5000</v>
      </c>
      <c r="E928" s="15" cm="1">
        <f t="array" ref="E928">SUM(E926:E927)</f>
        <v>5000</v>
      </c>
      <c r="F928" s="16" cm="1">
        <f t="array" ref="F928">SUM(F926:F927)</f>
        <v>0</v>
      </c>
      <c r="G928" s="16" cm="1">
        <f t="array" ref="G928">SUM(G926:G927)</f>
        <v>0</v>
      </c>
      <c r="H928" s="16" cm="1">
        <f t="array" ref="H928">SUM(H926:H927)</f>
        <v>0</v>
      </c>
      <c r="I928" s="16" cm="1">
        <f t="array" ref="I928">SUM(I926:I927)</f>
        <v>0</v>
      </c>
    </row>
    <row r="929" ht="20.35" customHeight="1">
      <c r="A929" s="10">
        <v>45496</v>
      </c>
      <c r="B929" t="s" s="11">
        <v>89</v>
      </c>
      <c r="C929" t="s" s="12">
        <v>230</v>
      </c>
      <c r="D929" s="17"/>
      <c r="E929" s="17">
        <v>25200</v>
      </c>
      <c r="F929" s="18"/>
      <c r="G929" s="18"/>
      <c r="H929" s="18"/>
      <c r="I929" s="18"/>
    </row>
    <row r="930" ht="20.05" customHeight="1">
      <c r="A930" s="10">
        <v>45496</v>
      </c>
      <c r="B930" t="s" s="11">
        <v>93</v>
      </c>
      <c r="C930" t="s" s="12">
        <v>230</v>
      </c>
      <c r="D930" s="19">
        <v>15350</v>
      </c>
      <c r="E930" s="19"/>
      <c r="F930" s="20"/>
      <c r="G930" s="20"/>
      <c r="H930" s="20"/>
      <c r="I930" s="20"/>
    </row>
    <row r="931" ht="20.35" customHeight="1">
      <c r="A931" s="10">
        <v>45496</v>
      </c>
      <c r="B931" t="s" s="11">
        <v>21</v>
      </c>
      <c r="C931" t="s" s="12">
        <v>230</v>
      </c>
      <c r="D931" s="13">
        <v>9850</v>
      </c>
      <c r="E931" s="13"/>
      <c r="F931" s="14"/>
      <c r="G931" s="14"/>
      <c r="H931" s="14"/>
      <c r="I931" s="14"/>
    </row>
    <row r="932" ht="20.7" customHeight="1">
      <c r="A932" s="10">
        <v>45496</v>
      </c>
      <c r="B932" t="s" s="11">
        <v>8</v>
      </c>
      <c r="C932" t="s" s="12">
        <v>8</v>
      </c>
      <c r="D932" s="15" cm="1">
        <f t="array" ref="D932">SUM(D929:D931)</f>
        <v>25200</v>
      </c>
      <c r="E932" s="15" cm="1">
        <f t="array" ref="E932">SUM(E929:E931)</f>
        <v>25200</v>
      </c>
      <c r="F932" s="16" cm="1">
        <f t="array" ref="F932">SUM(F929:F931)</f>
        <v>0</v>
      </c>
      <c r="G932" s="16" cm="1">
        <f t="array" ref="G932">SUM(G929:G931)</f>
        <v>0</v>
      </c>
      <c r="H932" s="16" cm="1">
        <f t="array" ref="H932">SUM(H929:H931)</f>
        <v>0</v>
      </c>
      <c r="I932" s="16" cm="1">
        <f t="array" ref="I932">SUM(I929:I931)</f>
        <v>0</v>
      </c>
    </row>
    <row r="933" ht="20.35" customHeight="1">
      <c r="A933" s="10">
        <v>45496</v>
      </c>
      <c r="B933" t="s" s="11">
        <v>5</v>
      </c>
      <c r="C933" t="s" s="12">
        <v>96</v>
      </c>
      <c r="D933" s="17">
        <v>20350</v>
      </c>
      <c r="E933" s="17"/>
      <c r="F933" s="18"/>
      <c r="G933" s="18"/>
      <c r="H933" s="18"/>
      <c r="I933" s="18"/>
    </row>
    <row r="934" ht="20.35" customHeight="1">
      <c r="A934" s="10">
        <v>45496</v>
      </c>
      <c r="B934" t="s" s="11">
        <v>93</v>
      </c>
      <c r="C934" t="s" s="12">
        <v>96</v>
      </c>
      <c r="D934" s="13"/>
      <c r="E934" s="13">
        <v>20350</v>
      </c>
      <c r="F934" s="14"/>
      <c r="G934" s="14"/>
      <c r="H934" s="14"/>
      <c r="I934" s="14"/>
    </row>
    <row r="935" ht="20.7" customHeight="1">
      <c r="A935" s="10">
        <v>45496</v>
      </c>
      <c r="B935" t="s" s="11">
        <v>8</v>
      </c>
      <c r="C935" t="s" s="12">
        <v>8</v>
      </c>
      <c r="D935" s="15" cm="1">
        <f t="array" ref="D935">SUM(D933:D934)</f>
        <v>20350</v>
      </c>
      <c r="E935" s="15" cm="1">
        <f t="array" ref="E935">SUM(E933:E934)</f>
        <v>20350</v>
      </c>
      <c r="F935" s="16" cm="1">
        <f t="array" ref="F935">SUM(F933:F934)</f>
        <v>0</v>
      </c>
      <c r="G935" s="16" cm="1">
        <f t="array" ref="G935">SUM(G933:G934)</f>
        <v>0</v>
      </c>
      <c r="H935" s="16" cm="1">
        <f t="array" ref="H935">SUM(H933:H934)</f>
        <v>0</v>
      </c>
      <c r="I935" s="16" cm="1">
        <f t="array" ref="I935">SUM(I933:I934)</f>
        <v>0</v>
      </c>
    </row>
    <row r="936" ht="20.35" customHeight="1">
      <c r="A936" s="10">
        <v>45496</v>
      </c>
      <c r="B936" t="s" s="11">
        <v>5</v>
      </c>
      <c r="C936" t="s" s="12">
        <v>231</v>
      </c>
      <c r="D936" s="17"/>
      <c r="E936" s="17">
        <v>9900</v>
      </c>
      <c r="F936" s="18"/>
      <c r="G936" s="18"/>
      <c r="H936" s="18"/>
      <c r="I936" s="18"/>
    </row>
    <row r="937" ht="20.35" customHeight="1">
      <c r="A937" s="10">
        <v>45496</v>
      </c>
      <c r="B937" t="s" s="11">
        <v>12</v>
      </c>
      <c r="C937" t="s" s="12">
        <v>231</v>
      </c>
      <c r="D937" s="13">
        <v>9900</v>
      </c>
      <c r="E937" s="13"/>
      <c r="F937" s="14"/>
      <c r="G937" s="14"/>
      <c r="H937" s="14"/>
      <c r="I937" s="14"/>
    </row>
    <row r="938" ht="20.7" customHeight="1">
      <c r="A938" s="10">
        <v>45496</v>
      </c>
      <c r="B938" t="s" s="11">
        <v>8</v>
      </c>
      <c r="C938" t="s" s="12">
        <v>8</v>
      </c>
      <c r="D938" s="15" cm="1">
        <f t="array" ref="D938">SUM(D936:D937)</f>
        <v>9900</v>
      </c>
      <c r="E938" s="15" cm="1">
        <f t="array" ref="E938">SUM(E936:E937)</f>
        <v>9900</v>
      </c>
      <c r="F938" s="16" cm="1">
        <f t="array" ref="F938">SUM(F936:F937)</f>
        <v>0</v>
      </c>
      <c r="G938" s="16" cm="1">
        <f t="array" ref="G938">SUM(G936:G937)</f>
        <v>0</v>
      </c>
      <c r="H938" s="16" cm="1">
        <f t="array" ref="H938">SUM(H936:H937)</f>
        <v>0</v>
      </c>
      <c r="I938" s="16" cm="1">
        <f t="array" ref="I938">SUM(I936:I937)</f>
        <v>0</v>
      </c>
    </row>
    <row r="939" ht="20.35" customHeight="1">
      <c r="A939" s="10">
        <v>45496</v>
      </c>
      <c r="B939" t="s" s="11">
        <v>39</v>
      </c>
      <c r="C939" t="s" s="12">
        <v>64</v>
      </c>
      <c r="D939" s="17"/>
      <c r="E939" s="17"/>
      <c r="F939" s="18">
        <v>50</v>
      </c>
      <c r="G939" s="18"/>
      <c r="H939" s="18"/>
      <c r="I939" s="18"/>
    </row>
    <row r="940" ht="20.35" customHeight="1">
      <c r="A940" s="10">
        <v>45496</v>
      </c>
      <c r="B940" t="s" s="11">
        <v>41</v>
      </c>
      <c r="C940" t="s" s="12">
        <v>64</v>
      </c>
      <c r="D940" s="13"/>
      <c r="E940" s="13"/>
      <c r="F940" s="14"/>
      <c r="G940" s="14">
        <v>50</v>
      </c>
      <c r="H940" s="14"/>
      <c r="I940" s="14"/>
    </row>
    <row r="941" ht="20.7" customHeight="1">
      <c r="A941" s="10">
        <v>45496</v>
      </c>
      <c r="B941" t="s" s="11">
        <v>8</v>
      </c>
      <c r="C941" t="s" s="12">
        <v>8</v>
      </c>
      <c r="D941" s="15" cm="1">
        <f t="array" ref="D941">SUM(D939:D940)</f>
        <v>0</v>
      </c>
      <c r="E941" s="15" cm="1">
        <f t="array" ref="E941">SUM(E939:E940)</f>
        <v>0</v>
      </c>
      <c r="F941" s="16" cm="1">
        <f t="array" ref="F941">SUM(F939:F940)</f>
        <v>50</v>
      </c>
      <c r="G941" s="16" cm="1">
        <f t="array" ref="G941">SUM(G939:G940)</f>
        <v>50</v>
      </c>
      <c r="H941" s="16" cm="1">
        <f t="array" ref="H941">SUM(H939:H940)</f>
        <v>0</v>
      </c>
      <c r="I941" s="16" cm="1">
        <f t="array" ref="I941">SUM(I939:I940)</f>
        <v>0</v>
      </c>
    </row>
    <row r="942" ht="20.35" customHeight="1">
      <c r="A942" s="10">
        <v>45496</v>
      </c>
      <c r="B942" t="s" s="11">
        <v>39</v>
      </c>
      <c r="C942" t="s" s="12">
        <v>68</v>
      </c>
      <c r="D942" s="17"/>
      <c r="E942" s="17"/>
      <c r="F942" s="18"/>
      <c r="G942" s="18">
        <v>8.49</v>
      </c>
      <c r="H942" s="18"/>
      <c r="I942" s="18"/>
    </row>
    <row r="943" ht="20.35" customHeight="1">
      <c r="A943" s="10">
        <v>45496</v>
      </c>
      <c r="B943" t="s" s="11">
        <v>44</v>
      </c>
      <c r="C943" t="s" s="12">
        <v>68</v>
      </c>
      <c r="D943" s="13"/>
      <c r="E943" s="13"/>
      <c r="F943" s="14">
        <v>8.49</v>
      </c>
      <c r="G943" s="14"/>
      <c r="H943" s="14"/>
      <c r="I943" s="14"/>
    </row>
    <row r="944" ht="20.7" customHeight="1">
      <c r="A944" s="10">
        <v>45496</v>
      </c>
      <c r="B944" t="s" s="11">
        <v>8</v>
      </c>
      <c r="C944" t="s" s="12">
        <v>8</v>
      </c>
      <c r="D944" s="15" cm="1">
        <f t="array" ref="D944">SUM(D942:D943)</f>
        <v>0</v>
      </c>
      <c r="E944" s="15" cm="1">
        <f t="array" ref="E944">SUM(E942:E943)</f>
        <v>0</v>
      </c>
      <c r="F944" s="16" cm="1">
        <f t="array" ref="F944">SUM(F942:F943)</f>
        <v>8.49</v>
      </c>
      <c r="G944" s="16" cm="1">
        <f t="array" ref="G944">SUM(G942:G943)</f>
        <v>8.49</v>
      </c>
      <c r="H944" s="16" cm="1">
        <f t="array" ref="H944">SUM(H942:H943)</f>
        <v>0</v>
      </c>
      <c r="I944" s="16" cm="1">
        <f t="array" ref="I944">SUM(I942:I943)</f>
        <v>0</v>
      </c>
    </row>
    <row r="945" ht="20.35" customHeight="1">
      <c r="A945" s="10">
        <v>45497</v>
      </c>
      <c r="B945" t="s" s="11">
        <v>5</v>
      </c>
      <c r="C945" t="s" s="12">
        <v>232</v>
      </c>
      <c r="D945" s="17"/>
      <c r="E945" s="17">
        <v>500</v>
      </c>
      <c r="F945" s="18"/>
      <c r="G945" s="18"/>
      <c r="H945" s="18"/>
      <c r="I945" s="18"/>
    </row>
    <row r="946" ht="20.35" customHeight="1">
      <c r="A946" s="10">
        <v>45497</v>
      </c>
      <c r="B946" t="s" s="11">
        <v>10</v>
      </c>
      <c r="C946" t="s" s="12">
        <v>232</v>
      </c>
      <c r="D946" s="13">
        <v>500</v>
      </c>
      <c r="E946" s="13"/>
      <c r="F946" s="14"/>
      <c r="G946" s="14"/>
      <c r="H946" s="14"/>
      <c r="I946" s="14"/>
    </row>
    <row r="947" ht="20.7" customHeight="1">
      <c r="A947" s="10">
        <v>45497</v>
      </c>
      <c r="B947" t="s" s="11">
        <v>8</v>
      </c>
      <c r="C947" t="s" s="12">
        <v>8</v>
      </c>
      <c r="D947" s="15" cm="1">
        <f t="array" ref="D947">SUM(D945:D946)</f>
        <v>500</v>
      </c>
      <c r="E947" s="15" cm="1">
        <f t="array" ref="E947">SUM(E945:E946)</f>
        <v>500</v>
      </c>
      <c r="F947" s="16" cm="1">
        <f t="array" ref="F947">SUM(F945:F946)</f>
        <v>0</v>
      </c>
      <c r="G947" s="16" cm="1">
        <f t="array" ref="G947">SUM(G945:G946)</f>
        <v>0</v>
      </c>
      <c r="H947" s="16" cm="1">
        <f t="array" ref="H947">SUM(H945:H946)</f>
        <v>0</v>
      </c>
      <c r="I947" s="16" cm="1">
        <f t="array" ref="I947">SUM(I945:I946)</f>
        <v>0</v>
      </c>
    </row>
    <row r="948" ht="20.35" customHeight="1">
      <c r="A948" s="10">
        <v>45497</v>
      </c>
      <c r="B948" t="s" s="11">
        <v>5</v>
      </c>
      <c r="C948" t="s" s="12">
        <v>232</v>
      </c>
      <c r="D948" s="17"/>
      <c r="E948" s="17">
        <v>500</v>
      </c>
      <c r="F948" s="18"/>
      <c r="G948" s="18"/>
      <c r="H948" s="18"/>
      <c r="I948" s="18"/>
    </row>
    <row r="949" ht="20.35" customHeight="1">
      <c r="A949" s="10">
        <v>45497</v>
      </c>
      <c r="B949" t="s" s="11">
        <v>10</v>
      </c>
      <c r="C949" t="s" s="12">
        <v>232</v>
      </c>
      <c r="D949" s="13">
        <v>500</v>
      </c>
      <c r="E949" s="13"/>
      <c r="F949" s="14"/>
      <c r="G949" s="14"/>
      <c r="H949" s="14"/>
      <c r="I949" s="14"/>
    </row>
    <row r="950" ht="20.7" customHeight="1">
      <c r="A950" s="10">
        <v>45497</v>
      </c>
      <c r="B950" t="s" s="11">
        <v>8</v>
      </c>
      <c r="C950" t="s" s="12">
        <v>8</v>
      </c>
      <c r="D950" s="15" cm="1">
        <f t="array" ref="D950">SUM(D948:D949)</f>
        <v>500</v>
      </c>
      <c r="E950" s="15" cm="1">
        <f t="array" ref="E950">SUM(E948:E949)</f>
        <v>500</v>
      </c>
      <c r="F950" s="16" cm="1">
        <f t="array" ref="F950">SUM(F948:F949)</f>
        <v>0</v>
      </c>
      <c r="G950" s="16" cm="1">
        <f t="array" ref="G950">SUM(G948:G949)</f>
        <v>0</v>
      </c>
      <c r="H950" s="16" cm="1">
        <f t="array" ref="H950">SUM(H948:H949)</f>
        <v>0</v>
      </c>
      <c r="I950" s="16" cm="1">
        <f t="array" ref="I950">SUM(I948:I949)</f>
        <v>0</v>
      </c>
    </row>
    <row r="951" ht="20.35" customHeight="1">
      <c r="A951" s="10">
        <v>45498</v>
      </c>
      <c r="B951" t="s" s="11">
        <v>5</v>
      </c>
      <c r="C951" t="s" s="12">
        <v>232</v>
      </c>
      <c r="D951" s="17"/>
      <c r="E951" s="17">
        <v>1000</v>
      </c>
      <c r="F951" s="18"/>
      <c r="G951" s="18"/>
      <c r="H951" s="18"/>
      <c r="I951" s="18"/>
    </row>
    <row r="952" ht="20.35" customHeight="1">
      <c r="A952" s="10">
        <v>45498</v>
      </c>
      <c r="B952" t="s" s="11">
        <v>10</v>
      </c>
      <c r="C952" t="s" s="12">
        <v>232</v>
      </c>
      <c r="D952" s="13">
        <v>1000</v>
      </c>
      <c r="E952" s="13"/>
      <c r="F952" s="14"/>
      <c r="G952" s="14"/>
      <c r="H952" s="14"/>
      <c r="I952" s="14"/>
    </row>
    <row r="953" ht="20.7" customHeight="1">
      <c r="A953" s="10">
        <v>45498</v>
      </c>
      <c r="B953" t="s" s="11">
        <v>8</v>
      </c>
      <c r="C953" t="s" s="12">
        <v>8</v>
      </c>
      <c r="D953" s="15" cm="1">
        <f t="array" ref="D953">SUM(D951:D952)</f>
        <v>1000</v>
      </c>
      <c r="E953" s="15" cm="1">
        <f t="array" ref="E953">SUM(E951:E952)</f>
        <v>1000</v>
      </c>
      <c r="F953" s="16" cm="1">
        <f t="array" ref="F953">SUM(F951:F952)</f>
        <v>0</v>
      </c>
      <c r="G953" s="16" cm="1">
        <f t="array" ref="G953">SUM(G951:G952)</f>
        <v>0</v>
      </c>
      <c r="H953" s="16" cm="1">
        <f t="array" ref="H953">SUM(H951:H952)</f>
        <v>0</v>
      </c>
      <c r="I953" s="16" cm="1">
        <f t="array" ref="I953">SUM(I951:I952)</f>
        <v>0</v>
      </c>
    </row>
    <row r="954" ht="20.35" customHeight="1">
      <c r="A954" s="10">
        <v>45498</v>
      </c>
      <c r="B954" t="s" s="11">
        <v>5</v>
      </c>
      <c r="C954" t="s" s="12">
        <v>232</v>
      </c>
      <c r="D954" s="17"/>
      <c r="E954" s="17">
        <v>1000</v>
      </c>
      <c r="F954" s="18"/>
      <c r="G954" s="18"/>
      <c r="H954" s="18"/>
      <c r="I954" s="18"/>
    </row>
    <row r="955" ht="20.35" customHeight="1">
      <c r="A955" s="10">
        <v>45498</v>
      </c>
      <c r="B955" t="s" s="11">
        <v>10</v>
      </c>
      <c r="C955" t="s" s="12">
        <v>232</v>
      </c>
      <c r="D955" s="13">
        <v>1000</v>
      </c>
      <c r="E955" s="13"/>
      <c r="F955" s="14"/>
      <c r="G955" s="14"/>
      <c r="H955" s="14"/>
      <c r="I955" s="14"/>
    </row>
    <row r="956" ht="20.7" customHeight="1">
      <c r="A956" s="10">
        <v>45498</v>
      </c>
      <c r="B956" t="s" s="11">
        <v>8</v>
      </c>
      <c r="C956" t="s" s="12">
        <v>8</v>
      </c>
      <c r="D956" s="15" cm="1">
        <f t="array" ref="D956">SUM(D954:D955)</f>
        <v>1000</v>
      </c>
      <c r="E956" s="15" cm="1">
        <f t="array" ref="E956">SUM(E954:E955)</f>
        <v>1000</v>
      </c>
      <c r="F956" s="16" cm="1">
        <f t="array" ref="F956">SUM(F954:F955)</f>
        <v>0</v>
      </c>
      <c r="G956" s="16" cm="1">
        <f t="array" ref="G956">SUM(G954:G955)</f>
        <v>0</v>
      </c>
      <c r="H956" s="16" cm="1">
        <f t="array" ref="H956">SUM(H954:H955)</f>
        <v>0</v>
      </c>
      <c r="I956" s="16" cm="1">
        <f t="array" ref="I956">SUM(I954:I955)</f>
        <v>0</v>
      </c>
    </row>
    <row r="957" ht="20.35" customHeight="1">
      <c r="A957" s="10">
        <v>45498</v>
      </c>
      <c r="B957" t="s" s="11">
        <v>5</v>
      </c>
      <c r="C957" t="s" s="12">
        <v>232</v>
      </c>
      <c r="D957" s="17"/>
      <c r="E957" s="17">
        <v>500</v>
      </c>
      <c r="F957" s="18"/>
      <c r="G957" s="18"/>
      <c r="H957" s="18"/>
      <c r="I957" s="18"/>
    </row>
    <row r="958" ht="20.35" customHeight="1">
      <c r="A958" s="10">
        <v>45498</v>
      </c>
      <c r="B958" t="s" s="11">
        <v>10</v>
      </c>
      <c r="C958" t="s" s="12">
        <v>232</v>
      </c>
      <c r="D958" s="13">
        <v>500</v>
      </c>
      <c r="E958" s="13"/>
      <c r="F958" s="14"/>
      <c r="G958" s="14"/>
      <c r="H958" s="14"/>
      <c r="I958" s="14"/>
    </row>
    <row r="959" ht="20.7" customHeight="1">
      <c r="A959" s="10">
        <v>45498</v>
      </c>
      <c r="B959" t="s" s="11">
        <v>8</v>
      </c>
      <c r="C959" t="s" s="12">
        <v>8</v>
      </c>
      <c r="D959" s="15" cm="1">
        <f t="array" ref="D959">SUM(D957:D958)</f>
        <v>500</v>
      </c>
      <c r="E959" s="15" cm="1">
        <f t="array" ref="E959">SUM(E957:E958)</f>
        <v>500</v>
      </c>
      <c r="F959" s="16" cm="1">
        <f t="array" ref="F959">SUM(F957:F958)</f>
        <v>0</v>
      </c>
      <c r="G959" s="16" cm="1">
        <f t="array" ref="G959">SUM(G957:G958)</f>
        <v>0</v>
      </c>
      <c r="H959" s="16" cm="1">
        <f t="array" ref="H959">SUM(H957:H958)</f>
        <v>0</v>
      </c>
      <c r="I959" s="16" cm="1">
        <f t="array" ref="I959">SUM(I957:I958)</f>
        <v>0</v>
      </c>
    </row>
    <row r="960" ht="20.35" customHeight="1">
      <c r="A960" s="10">
        <v>45498</v>
      </c>
      <c r="B960" t="s" s="11">
        <v>5</v>
      </c>
      <c r="C960" t="s" s="12">
        <v>232</v>
      </c>
      <c r="D960" s="17"/>
      <c r="E960" s="17">
        <v>1000</v>
      </c>
      <c r="F960" s="18"/>
      <c r="G960" s="18"/>
      <c r="H960" s="18"/>
      <c r="I960" s="18"/>
    </row>
    <row r="961" ht="20.35" customHeight="1">
      <c r="A961" s="10">
        <v>45498</v>
      </c>
      <c r="B961" t="s" s="11">
        <v>10</v>
      </c>
      <c r="C961" t="s" s="12">
        <v>232</v>
      </c>
      <c r="D961" s="13">
        <v>1000</v>
      </c>
      <c r="E961" s="13"/>
      <c r="F961" s="14"/>
      <c r="G961" s="14"/>
      <c r="H961" s="14"/>
      <c r="I961" s="14"/>
    </row>
    <row r="962" ht="20.7" customHeight="1">
      <c r="A962" s="10">
        <v>45498</v>
      </c>
      <c r="B962" t="s" s="11">
        <v>8</v>
      </c>
      <c r="C962" t="s" s="12">
        <v>8</v>
      </c>
      <c r="D962" s="15" cm="1">
        <f t="array" ref="D962">SUM(D960:D961)</f>
        <v>1000</v>
      </c>
      <c r="E962" s="15" cm="1">
        <f t="array" ref="E962">SUM(E960:E961)</f>
        <v>1000</v>
      </c>
      <c r="F962" s="16" cm="1">
        <f t="array" ref="F962">SUM(F960:F961)</f>
        <v>0</v>
      </c>
      <c r="G962" s="16" cm="1">
        <f t="array" ref="G962">SUM(G960:G961)</f>
        <v>0</v>
      </c>
      <c r="H962" s="16" cm="1">
        <f t="array" ref="H962">SUM(H960:H961)</f>
        <v>0</v>
      </c>
      <c r="I962" s="16" cm="1">
        <f t="array" ref="I962">SUM(I960:I961)</f>
        <v>0</v>
      </c>
    </row>
    <row r="963" ht="20.35" customHeight="1">
      <c r="A963" s="10">
        <v>45498</v>
      </c>
      <c r="B963" t="s" s="11">
        <v>5</v>
      </c>
      <c r="C963" t="s" s="12">
        <v>232</v>
      </c>
      <c r="D963" s="17"/>
      <c r="E963" s="17">
        <v>500</v>
      </c>
      <c r="F963" s="18"/>
      <c r="G963" s="18"/>
      <c r="H963" s="18"/>
      <c r="I963" s="18"/>
    </row>
    <row r="964" ht="20.35" customHeight="1">
      <c r="A964" s="10">
        <v>45498</v>
      </c>
      <c r="B964" t="s" s="11">
        <v>10</v>
      </c>
      <c r="C964" t="s" s="12">
        <v>232</v>
      </c>
      <c r="D964" s="13">
        <v>500</v>
      </c>
      <c r="E964" s="13"/>
      <c r="F964" s="14"/>
      <c r="G964" s="14"/>
      <c r="H964" s="14"/>
      <c r="I964" s="14"/>
    </row>
    <row r="965" ht="20.7" customHeight="1">
      <c r="A965" s="10">
        <v>45498</v>
      </c>
      <c r="B965" t="s" s="11">
        <v>8</v>
      </c>
      <c r="C965" t="s" s="12">
        <v>8</v>
      </c>
      <c r="D965" s="15" cm="1">
        <f t="array" ref="D965">SUM(D963:D964)</f>
        <v>500</v>
      </c>
      <c r="E965" s="15" cm="1">
        <f t="array" ref="E965">SUM(E963:E964)</f>
        <v>500</v>
      </c>
      <c r="F965" s="16" cm="1">
        <f t="array" ref="F965">SUM(F963:F964)</f>
        <v>0</v>
      </c>
      <c r="G965" s="16" cm="1">
        <f t="array" ref="G965">SUM(G963:G964)</f>
        <v>0</v>
      </c>
      <c r="H965" s="16" cm="1">
        <f t="array" ref="H965">SUM(H963:H964)</f>
        <v>0</v>
      </c>
      <c r="I965" s="16" cm="1">
        <f t="array" ref="I965">SUM(I963:I964)</f>
        <v>0</v>
      </c>
    </row>
    <row r="966" ht="20.35" customHeight="1">
      <c r="A966" s="10">
        <v>45498</v>
      </c>
      <c r="B966" t="s" s="11">
        <v>5</v>
      </c>
      <c r="C966" t="s" s="12">
        <v>232</v>
      </c>
      <c r="D966" s="17"/>
      <c r="E966" s="17">
        <v>1000</v>
      </c>
      <c r="F966" s="18"/>
      <c r="G966" s="18"/>
      <c r="H966" s="18"/>
      <c r="I966" s="18"/>
    </row>
    <row r="967" ht="20.35" customHeight="1">
      <c r="A967" s="10">
        <v>45498</v>
      </c>
      <c r="B967" t="s" s="11">
        <v>10</v>
      </c>
      <c r="C967" t="s" s="12">
        <v>232</v>
      </c>
      <c r="D967" s="13">
        <v>1000</v>
      </c>
      <c r="E967" s="13"/>
      <c r="F967" s="14"/>
      <c r="G967" s="14"/>
      <c r="H967" s="14"/>
      <c r="I967" s="14"/>
    </row>
    <row r="968" ht="20.7" customHeight="1">
      <c r="A968" s="10">
        <v>45498</v>
      </c>
      <c r="B968" t="s" s="11">
        <v>8</v>
      </c>
      <c r="C968" t="s" s="12">
        <v>8</v>
      </c>
      <c r="D968" s="15" cm="1">
        <f t="array" ref="D968">SUM(D966:D967)</f>
        <v>1000</v>
      </c>
      <c r="E968" s="15" cm="1">
        <f t="array" ref="E968">SUM(E966:E967)</f>
        <v>1000</v>
      </c>
      <c r="F968" s="16" cm="1">
        <f t="array" ref="F968">SUM(F966:F967)</f>
        <v>0</v>
      </c>
      <c r="G968" s="16" cm="1">
        <f t="array" ref="G968">SUM(G966:G967)</f>
        <v>0</v>
      </c>
      <c r="H968" s="16" cm="1">
        <f t="array" ref="H968">SUM(H966:H967)</f>
        <v>0</v>
      </c>
      <c r="I968" s="16" cm="1">
        <f t="array" ref="I968">SUM(I966:I967)</f>
        <v>0</v>
      </c>
    </row>
    <row r="969" ht="20.35" customHeight="1">
      <c r="A969" s="10">
        <v>45498</v>
      </c>
      <c r="B969" t="s" s="11">
        <v>5</v>
      </c>
      <c r="C969" t="s" s="12">
        <v>232</v>
      </c>
      <c r="D969" s="17"/>
      <c r="E969" s="17">
        <v>1750</v>
      </c>
      <c r="F969" s="18"/>
      <c r="G969" s="18"/>
      <c r="H969" s="18"/>
      <c r="I969" s="18"/>
    </row>
    <row r="970" ht="20.35" customHeight="1">
      <c r="A970" s="10">
        <v>45498</v>
      </c>
      <c r="B970" t="s" s="11">
        <v>10</v>
      </c>
      <c r="C970" t="s" s="12">
        <v>232</v>
      </c>
      <c r="D970" s="13">
        <v>1750</v>
      </c>
      <c r="E970" s="13"/>
      <c r="F970" s="14"/>
      <c r="G970" s="14"/>
      <c r="H970" s="14"/>
      <c r="I970" s="14"/>
    </row>
    <row r="971" ht="20.7" customHeight="1">
      <c r="A971" s="10">
        <v>45498</v>
      </c>
      <c r="B971" t="s" s="11">
        <v>8</v>
      </c>
      <c r="C971" t="s" s="12">
        <v>8</v>
      </c>
      <c r="D971" s="15" cm="1">
        <f t="array" ref="D971">SUM(D969:D970)</f>
        <v>1750</v>
      </c>
      <c r="E971" s="15" cm="1">
        <f t="array" ref="E971">SUM(E969:E970)</f>
        <v>1750</v>
      </c>
      <c r="F971" s="16" cm="1">
        <f t="array" ref="F971">SUM(F969:F970)</f>
        <v>0</v>
      </c>
      <c r="G971" s="16" cm="1">
        <f t="array" ref="G971">SUM(G969:G970)</f>
        <v>0</v>
      </c>
      <c r="H971" s="16" cm="1">
        <f t="array" ref="H971">SUM(H969:H970)</f>
        <v>0</v>
      </c>
      <c r="I971" s="16" cm="1">
        <f t="array" ref="I971">SUM(I969:I970)</f>
        <v>0</v>
      </c>
    </row>
    <row r="972" ht="20.35" customHeight="1">
      <c r="A972" s="10">
        <v>45498</v>
      </c>
      <c r="B972" t="s" s="11">
        <v>39</v>
      </c>
      <c r="C972" t="s" s="12">
        <v>64</v>
      </c>
      <c r="D972" s="17"/>
      <c r="E972" s="17"/>
      <c r="F972" s="18">
        <v>1500</v>
      </c>
      <c r="G972" s="18"/>
      <c r="H972" s="18"/>
      <c r="I972" s="18"/>
    </row>
    <row r="973" ht="20.35" customHeight="1">
      <c r="A973" s="10">
        <v>45498</v>
      </c>
      <c r="B973" t="s" s="11">
        <v>41</v>
      </c>
      <c r="C973" t="s" s="12">
        <v>64</v>
      </c>
      <c r="D973" s="13"/>
      <c r="E973" s="13"/>
      <c r="F973" s="14"/>
      <c r="G973" s="14">
        <v>1500</v>
      </c>
      <c r="H973" s="14"/>
      <c r="I973" s="14"/>
    </row>
    <row r="974" ht="20.7" customHeight="1">
      <c r="A974" s="10">
        <v>45498</v>
      </c>
      <c r="B974" t="s" s="11">
        <v>8</v>
      </c>
      <c r="C974" t="s" s="12">
        <v>8</v>
      </c>
      <c r="D974" s="15" cm="1">
        <f t="array" ref="D974">SUM(D972:D973)</f>
        <v>0</v>
      </c>
      <c r="E974" s="15" cm="1">
        <f t="array" ref="E974">SUM(E972:E973)</f>
        <v>0</v>
      </c>
      <c r="F974" s="16" cm="1">
        <f t="array" ref="F974">SUM(F972:F973)</f>
        <v>1500</v>
      </c>
      <c r="G974" s="16" cm="1">
        <f t="array" ref="G974">SUM(G972:G973)</f>
        <v>1500</v>
      </c>
      <c r="H974" s="16" cm="1">
        <f t="array" ref="H974">SUM(H972:H973)</f>
        <v>0</v>
      </c>
      <c r="I974" s="16" cm="1">
        <f t="array" ref="I974">SUM(I972:I973)</f>
        <v>0</v>
      </c>
    </row>
    <row r="975" ht="20.35" customHeight="1">
      <c r="A975" s="10">
        <v>45498</v>
      </c>
      <c r="B975" t="s" s="11">
        <v>39</v>
      </c>
      <c r="C975" t="s" s="12">
        <v>233</v>
      </c>
      <c r="D975" s="17"/>
      <c r="E975" s="17"/>
      <c r="F975" s="18"/>
      <c r="G975" s="18">
        <v>1500</v>
      </c>
      <c r="H975" s="18"/>
      <c r="I975" s="18"/>
    </row>
    <row r="976" ht="20.05" customHeight="1">
      <c r="A976" s="10">
        <v>45498</v>
      </c>
      <c r="B976" t="s" s="11">
        <v>44</v>
      </c>
      <c r="C976" t="s" s="12">
        <v>233</v>
      </c>
      <c r="D976" s="19"/>
      <c r="E976" s="19"/>
      <c r="F976" s="20">
        <v>1480.34</v>
      </c>
      <c r="G976" s="20"/>
      <c r="H976" s="20"/>
      <c r="I976" s="20"/>
    </row>
    <row r="977" ht="20.05" customHeight="1">
      <c r="A977" s="10">
        <v>45498</v>
      </c>
      <c r="B977" t="s" s="11">
        <v>43</v>
      </c>
      <c r="C977" t="s" s="12">
        <v>233</v>
      </c>
      <c r="D977" s="19"/>
      <c r="E977" s="19"/>
      <c r="F977" s="20">
        <v>19.66</v>
      </c>
      <c r="G977" s="20"/>
      <c r="H977" s="20"/>
      <c r="I977" s="20"/>
    </row>
    <row r="978" ht="20.05" customHeight="1">
      <c r="A978" s="10">
        <v>45498</v>
      </c>
      <c r="B978" t="s" s="11">
        <v>5</v>
      </c>
      <c r="C978" t="s" s="12">
        <v>233</v>
      </c>
      <c r="D978" s="19">
        <v>438597</v>
      </c>
      <c r="E978" s="19"/>
      <c r="F978" s="20"/>
      <c r="G978" s="20"/>
      <c r="H978" s="20"/>
      <c r="I978" s="20"/>
    </row>
    <row r="979" ht="20.35" customHeight="1">
      <c r="A979" s="10">
        <v>45498</v>
      </c>
      <c r="B979" t="s" s="11">
        <v>46</v>
      </c>
      <c r="C979" t="s" s="12">
        <v>233</v>
      </c>
      <c r="D979" s="13"/>
      <c r="E979" s="13">
        <v>438597</v>
      </c>
      <c r="F979" s="14"/>
      <c r="G979" s="14"/>
      <c r="H979" s="14"/>
      <c r="I979" s="14"/>
    </row>
    <row r="980" ht="20.7" customHeight="1">
      <c r="A980" s="10">
        <v>45498</v>
      </c>
      <c r="B980" t="s" s="11">
        <v>8</v>
      </c>
      <c r="C980" t="s" s="12">
        <v>8</v>
      </c>
      <c r="D980" s="15" cm="1">
        <f t="array" ref="D980">SUM(D975:D979)</f>
        <v>438597</v>
      </c>
      <c r="E980" s="15" cm="1">
        <f t="array" ref="E980">SUM(E975:E979)</f>
        <v>438597</v>
      </c>
      <c r="F980" s="16" cm="1">
        <f t="array" ref="F980">SUM(F975:F979)</f>
        <v>1500</v>
      </c>
      <c r="G980" s="16" cm="1">
        <f t="array" ref="G980">SUM(G975:G979)</f>
        <v>1500</v>
      </c>
      <c r="H980" s="16" cm="1">
        <f t="array" ref="H980">SUM(H975:H979)</f>
        <v>0</v>
      </c>
      <c r="I980" s="16" cm="1">
        <f t="array" ref="I980">SUM(I975:I979)</f>
        <v>0</v>
      </c>
    </row>
    <row r="981" ht="20.35" customHeight="1">
      <c r="A981" s="10">
        <v>45498</v>
      </c>
      <c r="B981" t="s" s="11">
        <v>74</v>
      </c>
      <c r="C981" t="s" s="12">
        <v>75</v>
      </c>
      <c r="D981" s="17">
        <v>410000</v>
      </c>
      <c r="E981" s="17"/>
      <c r="F981" s="18"/>
      <c r="G981" s="18"/>
      <c r="H981" s="18"/>
      <c r="I981" s="18"/>
    </row>
    <row r="982" ht="20.35" customHeight="1">
      <c r="A982" s="10">
        <v>45498</v>
      </c>
      <c r="B982" t="s" s="11">
        <v>5</v>
      </c>
      <c r="C982" t="s" s="12">
        <v>75</v>
      </c>
      <c r="D982" s="13"/>
      <c r="E982" s="13">
        <v>410000</v>
      </c>
      <c r="F982" s="14"/>
      <c r="G982" s="14"/>
      <c r="H982" s="14"/>
      <c r="I982" s="14"/>
    </row>
    <row r="983" ht="20.7" customHeight="1">
      <c r="A983" s="10">
        <v>45498</v>
      </c>
      <c r="B983" t="s" s="11">
        <v>8</v>
      </c>
      <c r="C983" t="s" s="12">
        <v>8</v>
      </c>
      <c r="D983" s="15" cm="1">
        <f t="array" ref="D983">SUM(D981:D982)</f>
        <v>410000</v>
      </c>
      <c r="E983" s="15" cm="1">
        <f t="array" ref="E983">SUM(E981:E982)</f>
        <v>410000</v>
      </c>
      <c r="F983" s="16" cm="1">
        <f t="array" ref="F983">SUM(F981:F982)</f>
        <v>0</v>
      </c>
      <c r="G983" s="16" cm="1">
        <f t="array" ref="G983">SUM(G981:G982)</f>
        <v>0</v>
      </c>
      <c r="H983" s="16" cm="1">
        <f t="array" ref="H983">SUM(H981:H982)</f>
        <v>0</v>
      </c>
      <c r="I983" s="16" cm="1">
        <f t="array" ref="I983">SUM(I981:I982)</f>
        <v>0</v>
      </c>
    </row>
    <row r="984" ht="20.35" customHeight="1">
      <c r="A984" s="10">
        <v>45499</v>
      </c>
      <c r="B984" t="s" s="11">
        <v>5</v>
      </c>
      <c r="C984" t="s" s="12">
        <v>232</v>
      </c>
      <c r="D984" s="17"/>
      <c r="E984" s="17">
        <v>4000</v>
      </c>
      <c r="F984" s="18"/>
      <c r="G984" s="18"/>
      <c r="H984" s="18"/>
      <c r="I984" s="18"/>
    </row>
    <row r="985" ht="20.35" customHeight="1">
      <c r="A985" s="10">
        <v>45499</v>
      </c>
      <c r="B985" t="s" s="11">
        <v>10</v>
      </c>
      <c r="C985" t="s" s="12">
        <v>232</v>
      </c>
      <c r="D985" s="13">
        <v>4000</v>
      </c>
      <c r="E985" s="13"/>
      <c r="F985" s="14"/>
      <c r="G985" s="14"/>
      <c r="H985" s="14"/>
      <c r="I985" s="14"/>
    </row>
    <row r="986" ht="20.7" customHeight="1">
      <c r="A986" s="10">
        <v>45499</v>
      </c>
      <c r="B986" t="s" s="11">
        <v>8</v>
      </c>
      <c r="C986" t="s" s="12">
        <v>8</v>
      </c>
      <c r="D986" s="15" cm="1">
        <f t="array" ref="D986">SUM(D984:D985)</f>
        <v>4000</v>
      </c>
      <c r="E986" s="15" cm="1">
        <f t="array" ref="E986">SUM(E984:E985)</f>
        <v>4000</v>
      </c>
      <c r="F986" s="16" cm="1">
        <f t="array" ref="F986">SUM(F984:F985)</f>
        <v>0</v>
      </c>
      <c r="G986" s="16" cm="1">
        <f t="array" ref="G986">SUM(G984:G985)</f>
        <v>0</v>
      </c>
      <c r="H986" s="16" cm="1">
        <f t="array" ref="H986">SUM(H984:H985)</f>
        <v>0</v>
      </c>
      <c r="I986" s="16" cm="1">
        <f t="array" ref="I986">SUM(I984:I985)</f>
        <v>0</v>
      </c>
    </row>
    <row r="987" ht="20.35" customHeight="1">
      <c r="A987" s="10">
        <v>45499</v>
      </c>
      <c r="B987" t="s" s="11">
        <v>5</v>
      </c>
      <c r="C987" t="s" s="12">
        <v>232</v>
      </c>
      <c r="D987" s="17"/>
      <c r="E987" s="17">
        <v>2000</v>
      </c>
      <c r="F987" s="18"/>
      <c r="G987" s="18"/>
      <c r="H987" s="18"/>
      <c r="I987" s="18"/>
    </row>
    <row r="988" ht="20.35" customHeight="1">
      <c r="A988" s="10">
        <v>45499</v>
      </c>
      <c r="B988" t="s" s="11">
        <v>10</v>
      </c>
      <c r="C988" t="s" s="12">
        <v>232</v>
      </c>
      <c r="D988" s="13">
        <v>2000</v>
      </c>
      <c r="E988" s="13"/>
      <c r="F988" s="14"/>
      <c r="G988" s="14"/>
      <c r="H988" s="14"/>
      <c r="I988" s="14"/>
    </row>
    <row r="989" ht="20.7" customHeight="1">
      <c r="A989" s="10">
        <v>45499</v>
      </c>
      <c r="B989" t="s" s="11">
        <v>8</v>
      </c>
      <c r="C989" t="s" s="12">
        <v>8</v>
      </c>
      <c r="D989" s="15" cm="1">
        <f t="array" ref="D989">SUM(D987:D988)</f>
        <v>2000</v>
      </c>
      <c r="E989" s="15" cm="1">
        <f t="array" ref="E989">SUM(E987:E988)</f>
        <v>2000</v>
      </c>
      <c r="F989" s="16" cm="1">
        <f t="array" ref="F989">SUM(F987:F988)</f>
        <v>0</v>
      </c>
      <c r="G989" s="16" cm="1">
        <f t="array" ref="G989">SUM(G987:G988)</f>
        <v>0</v>
      </c>
      <c r="H989" s="16" cm="1">
        <f t="array" ref="H989">SUM(H987:H988)</f>
        <v>0</v>
      </c>
      <c r="I989" s="16" cm="1">
        <f t="array" ref="I989">SUM(I987:I988)</f>
        <v>0</v>
      </c>
    </row>
    <row r="990" ht="20.35" customHeight="1">
      <c r="A990" s="10">
        <v>45499</v>
      </c>
      <c r="B990" t="s" s="11">
        <v>5</v>
      </c>
      <c r="C990" t="s" s="12">
        <v>232</v>
      </c>
      <c r="D990" s="17"/>
      <c r="E990" s="17">
        <v>2000</v>
      </c>
      <c r="F990" s="18"/>
      <c r="G990" s="18"/>
      <c r="H990" s="18"/>
      <c r="I990" s="18"/>
    </row>
    <row r="991" ht="20.35" customHeight="1">
      <c r="A991" s="10">
        <v>45499</v>
      </c>
      <c r="B991" t="s" s="11">
        <v>10</v>
      </c>
      <c r="C991" t="s" s="12">
        <v>232</v>
      </c>
      <c r="D991" s="13">
        <v>2000</v>
      </c>
      <c r="E991" s="13"/>
      <c r="F991" s="14"/>
      <c r="G991" s="14"/>
      <c r="H991" s="14"/>
      <c r="I991" s="14"/>
    </row>
    <row r="992" ht="20.7" customHeight="1">
      <c r="A992" s="10">
        <v>45499</v>
      </c>
      <c r="B992" t="s" s="11">
        <v>8</v>
      </c>
      <c r="C992" t="s" s="12">
        <v>8</v>
      </c>
      <c r="D992" s="15" cm="1">
        <f t="array" ref="D992">SUM(D990:D991)</f>
        <v>2000</v>
      </c>
      <c r="E992" s="15" cm="1">
        <f t="array" ref="E992">SUM(E990:E991)</f>
        <v>2000</v>
      </c>
      <c r="F992" s="16" cm="1">
        <f t="array" ref="F992">SUM(F990:F991)</f>
        <v>0</v>
      </c>
      <c r="G992" s="16" cm="1">
        <f t="array" ref="G992">SUM(G990:G991)</f>
        <v>0</v>
      </c>
      <c r="H992" s="16" cm="1">
        <f t="array" ref="H992">SUM(H990:H991)</f>
        <v>0</v>
      </c>
      <c r="I992" s="16" cm="1">
        <f t="array" ref="I992">SUM(I990:I991)</f>
        <v>0</v>
      </c>
    </row>
    <row r="993" ht="20.35" customHeight="1">
      <c r="A993" s="10">
        <v>45499</v>
      </c>
      <c r="B993" t="s" s="11">
        <v>39</v>
      </c>
      <c r="C993" t="s" s="12">
        <v>40</v>
      </c>
      <c r="D993" s="17"/>
      <c r="E993" s="17"/>
      <c r="F993" s="18">
        <v>1100</v>
      </c>
      <c r="G993" s="18"/>
      <c r="H993" s="18"/>
      <c r="I993" s="18"/>
    </row>
    <row r="994" ht="20.35" customHeight="1">
      <c r="A994" s="10">
        <v>45499</v>
      </c>
      <c r="B994" t="s" s="11">
        <v>41</v>
      </c>
      <c r="C994" t="s" s="12">
        <v>40</v>
      </c>
      <c r="D994" s="13"/>
      <c r="E994" s="13"/>
      <c r="F994" s="14"/>
      <c r="G994" s="14">
        <v>1100</v>
      </c>
      <c r="H994" s="14"/>
      <c r="I994" s="14"/>
    </row>
    <row r="995" ht="20.7" customHeight="1">
      <c r="A995" s="10">
        <v>45499</v>
      </c>
      <c r="B995" t="s" s="11">
        <v>8</v>
      </c>
      <c r="C995" t="s" s="12">
        <v>8</v>
      </c>
      <c r="D995" s="15" cm="1">
        <f t="array" ref="D995">SUM(D993:D994)</f>
        <v>0</v>
      </c>
      <c r="E995" s="15" cm="1">
        <f t="array" ref="E995">SUM(E993:E994)</f>
        <v>0</v>
      </c>
      <c r="F995" s="16" cm="1">
        <f t="array" ref="F995">SUM(F993:F994)</f>
        <v>1100</v>
      </c>
      <c r="G995" s="16" cm="1">
        <f t="array" ref="G995">SUM(G993:G994)</f>
        <v>1100</v>
      </c>
      <c r="H995" s="16" cm="1">
        <f t="array" ref="H995">SUM(H993:H994)</f>
        <v>0</v>
      </c>
      <c r="I995" s="16" cm="1">
        <f t="array" ref="I995">SUM(I993:I994)</f>
        <v>0</v>
      </c>
    </row>
    <row r="996" ht="20.35" customHeight="1">
      <c r="A996" s="10">
        <v>45499</v>
      </c>
      <c r="B996" t="s" s="11">
        <v>39</v>
      </c>
      <c r="C996" t="s" s="12">
        <v>234</v>
      </c>
      <c r="D996" s="17"/>
      <c r="E996" s="17"/>
      <c r="F996" s="18"/>
      <c r="G996" s="18">
        <v>1141.59</v>
      </c>
      <c r="H996" s="18"/>
      <c r="I996" s="18"/>
    </row>
    <row r="997" ht="20.05" customHeight="1">
      <c r="A997" s="10">
        <v>45499</v>
      </c>
      <c r="B997" t="s" s="11">
        <v>44</v>
      </c>
      <c r="C997" t="s" s="12">
        <v>234</v>
      </c>
      <c r="D997" s="19"/>
      <c r="E997" s="19"/>
      <c r="F997" s="20">
        <v>1124.82</v>
      </c>
      <c r="G997" s="20"/>
      <c r="H997" s="20"/>
      <c r="I997" s="20"/>
    </row>
    <row r="998" ht="20.05" customHeight="1">
      <c r="A998" s="10">
        <v>45499</v>
      </c>
      <c r="B998" t="s" s="11">
        <v>43</v>
      </c>
      <c r="C998" t="s" s="12">
        <v>234</v>
      </c>
      <c r="D998" s="19"/>
      <c r="E998" s="19"/>
      <c r="F998" s="20">
        <v>16.77</v>
      </c>
      <c r="G998" s="20"/>
      <c r="H998" s="20"/>
      <c r="I998" s="20"/>
    </row>
    <row r="999" ht="20.05" customHeight="1">
      <c r="A999" s="10">
        <v>45499</v>
      </c>
      <c r="B999" t="s" s="11">
        <v>5</v>
      </c>
      <c r="C999" t="s" s="12">
        <v>234</v>
      </c>
      <c r="D999" s="19">
        <v>334602</v>
      </c>
      <c r="E999" s="19"/>
      <c r="F999" s="20"/>
      <c r="G999" s="20"/>
      <c r="H999" s="20"/>
      <c r="I999" s="20"/>
    </row>
    <row r="1000" ht="20.35" customHeight="1">
      <c r="A1000" s="10">
        <v>45499</v>
      </c>
      <c r="B1000" t="s" s="11">
        <v>46</v>
      </c>
      <c r="C1000" t="s" s="12">
        <v>234</v>
      </c>
      <c r="D1000" s="13"/>
      <c r="E1000" s="13">
        <v>334602</v>
      </c>
      <c r="F1000" s="14"/>
      <c r="G1000" s="14"/>
      <c r="H1000" s="14"/>
      <c r="I1000" s="14"/>
    </row>
    <row r="1001" ht="20.7" customHeight="1">
      <c r="A1001" s="10">
        <v>45499</v>
      </c>
      <c r="B1001" t="s" s="11">
        <v>8</v>
      </c>
      <c r="C1001" t="s" s="12">
        <v>8</v>
      </c>
      <c r="D1001" s="15" cm="1">
        <f t="array" ref="D1001">SUM(D996:D1000)</f>
        <v>334602</v>
      </c>
      <c r="E1001" s="15" cm="1">
        <f t="array" ref="E1001">SUM(E996:E1000)</f>
        <v>334602</v>
      </c>
      <c r="F1001" s="16" cm="1">
        <f t="array" ref="F1001">SUM(F996:F1000)</f>
        <v>1141.59</v>
      </c>
      <c r="G1001" s="16" cm="1">
        <f t="array" ref="G1001">SUM(G996:G1000)</f>
        <v>1141.59</v>
      </c>
      <c r="H1001" s="16" cm="1">
        <f t="array" ref="H1001">SUM(H996:H1000)</f>
        <v>0</v>
      </c>
      <c r="I1001" s="16" cm="1">
        <f t="array" ref="I1001">SUM(I996:I1000)</f>
        <v>0</v>
      </c>
    </row>
    <row r="1002" ht="20.35" customHeight="1">
      <c r="A1002" s="10">
        <v>45499</v>
      </c>
      <c r="B1002" t="s" s="11">
        <v>5</v>
      </c>
      <c r="C1002" t="s" s="12">
        <v>235</v>
      </c>
      <c r="D1002" s="17"/>
      <c r="E1002" s="17">
        <v>1600</v>
      </c>
      <c r="F1002" s="18"/>
      <c r="G1002" s="18"/>
      <c r="H1002" s="18"/>
      <c r="I1002" s="18"/>
    </row>
    <row r="1003" ht="20.35" customHeight="1">
      <c r="A1003" s="10">
        <v>45499</v>
      </c>
      <c r="B1003" t="s" s="11">
        <v>12</v>
      </c>
      <c r="C1003" t="s" s="12">
        <v>235</v>
      </c>
      <c r="D1003" s="13">
        <v>1600</v>
      </c>
      <c r="E1003" s="13"/>
      <c r="F1003" s="14"/>
      <c r="G1003" s="14"/>
      <c r="H1003" s="14"/>
      <c r="I1003" s="14"/>
    </row>
    <row r="1004" ht="20.7" customHeight="1">
      <c r="A1004" s="10">
        <v>45499</v>
      </c>
      <c r="B1004" t="s" s="11">
        <v>8</v>
      </c>
      <c r="C1004" t="s" s="12">
        <v>8</v>
      </c>
      <c r="D1004" s="15" cm="1">
        <f t="array" ref="D1004">SUM(D1002:D1003)</f>
        <v>1600</v>
      </c>
      <c r="E1004" s="15" cm="1">
        <f t="array" ref="E1004">SUM(E1002:E1003)</f>
        <v>1600</v>
      </c>
      <c r="F1004" s="16" cm="1">
        <f t="array" ref="F1004">SUM(F1002:F1003)</f>
        <v>0</v>
      </c>
      <c r="G1004" s="16" cm="1">
        <f t="array" ref="G1004">SUM(G1002:G1003)</f>
        <v>0</v>
      </c>
      <c r="H1004" s="16" cm="1">
        <f t="array" ref="H1004">SUM(H1002:H1003)</f>
        <v>0</v>
      </c>
      <c r="I1004" s="16" cm="1">
        <f t="array" ref="I1004">SUM(I1002:I1003)</f>
        <v>0</v>
      </c>
    </row>
    <row r="1005" ht="21.25" customHeight="1">
      <c r="A1005" s="10">
        <v>45499</v>
      </c>
      <c r="B1005" t="s" s="11">
        <v>5</v>
      </c>
      <c r="C1005" t="s" s="12">
        <v>236</v>
      </c>
      <c r="D1005" s="17"/>
      <c r="E1005" s="17">
        <v>3000</v>
      </c>
      <c r="F1005" s="18"/>
      <c r="G1005" s="18"/>
      <c r="H1005" s="18"/>
      <c r="I1005" s="18"/>
    </row>
    <row r="1006" ht="21.25" customHeight="1">
      <c r="A1006" s="10">
        <v>45499</v>
      </c>
      <c r="B1006" t="s" s="11">
        <v>12</v>
      </c>
      <c r="C1006" t="s" s="12">
        <v>236</v>
      </c>
      <c r="D1006" s="13">
        <v>3000</v>
      </c>
      <c r="E1006" s="13"/>
      <c r="F1006" s="14"/>
      <c r="G1006" s="14"/>
      <c r="H1006" s="14"/>
      <c r="I1006" s="14"/>
    </row>
    <row r="1007" ht="20.7" customHeight="1">
      <c r="A1007" s="10">
        <v>45499</v>
      </c>
      <c r="B1007" t="s" s="11">
        <v>8</v>
      </c>
      <c r="C1007" t="s" s="12">
        <v>8</v>
      </c>
      <c r="D1007" s="15" cm="1">
        <f t="array" ref="D1007">SUM(D1005:D1006)</f>
        <v>3000</v>
      </c>
      <c r="E1007" s="15" cm="1">
        <f t="array" ref="E1007">SUM(E1005:E1006)</f>
        <v>3000</v>
      </c>
      <c r="F1007" s="16" cm="1">
        <f t="array" ref="F1007">SUM(F1005:F1006)</f>
        <v>0</v>
      </c>
      <c r="G1007" s="16" cm="1">
        <f t="array" ref="G1007">SUM(G1005:G1006)</f>
        <v>0</v>
      </c>
      <c r="H1007" s="16" cm="1">
        <f t="array" ref="H1007">SUM(H1005:H1006)</f>
        <v>0</v>
      </c>
      <c r="I1007" s="16" cm="1">
        <f t="array" ref="I1007">SUM(I1005:I1006)</f>
        <v>0</v>
      </c>
    </row>
    <row r="1008" ht="20.35" customHeight="1">
      <c r="A1008" s="10">
        <v>45499</v>
      </c>
      <c r="B1008" t="s" s="11">
        <v>5</v>
      </c>
      <c r="C1008" t="s" s="12">
        <v>17</v>
      </c>
      <c r="D1008" s="17">
        <v>100</v>
      </c>
      <c r="E1008" s="17"/>
      <c r="F1008" s="18"/>
      <c r="G1008" s="18"/>
      <c r="H1008" s="18"/>
      <c r="I1008" s="18"/>
    </row>
    <row r="1009" ht="20.35" customHeight="1">
      <c r="A1009" s="10">
        <v>45499</v>
      </c>
      <c r="B1009" t="s" s="11">
        <v>18</v>
      </c>
      <c r="C1009" t="s" s="12">
        <v>17</v>
      </c>
      <c r="D1009" s="13"/>
      <c r="E1009" s="13">
        <v>100</v>
      </c>
      <c r="F1009" s="14"/>
      <c r="G1009" s="14"/>
      <c r="H1009" s="14"/>
      <c r="I1009" s="14"/>
    </row>
    <row r="1010" ht="20.7" customHeight="1">
      <c r="A1010" s="10">
        <v>45499</v>
      </c>
      <c r="B1010" t="s" s="11">
        <v>8</v>
      </c>
      <c r="C1010" t="s" s="12">
        <v>8</v>
      </c>
      <c r="D1010" s="15" cm="1">
        <f t="array" ref="D1010">SUM(D1008:D1009)</f>
        <v>100</v>
      </c>
      <c r="E1010" s="15" cm="1">
        <f t="array" ref="E1010">SUM(E1008:E1009)</f>
        <v>100</v>
      </c>
      <c r="F1010" s="16" cm="1">
        <f t="array" ref="F1010">SUM(F1008:F1009)</f>
        <v>0</v>
      </c>
      <c r="G1010" s="16" cm="1">
        <f t="array" ref="G1010">SUM(G1008:G1009)</f>
        <v>0</v>
      </c>
      <c r="H1010" s="16" cm="1">
        <f t="array" ref="H1010">SUM(H1008:H1009)</f>
        <v>0</v>
      </c>
      <c r="I1010" s="16" cm="1">
        <f t="array" ref="I1010">SUM(I1008:I1009)</f>
        <v>0</v>
      </c>
    </row>
    <row r="1011" ht="21.25" customHeight="1">
      <c r="A1011" s="10">
        <v>45499</v>
      </c>
      <c r="B1011" t="s" s="11">
        <v>86</v>
      </c>
      <c r="C1011" t="s" s="12">
        <v>237</v>
      </c>
      <c r="D1011" s="17">
        <v>75530</v>
      </c>
      <c r="E1011" s="17"/>
      <c r="F1011" s="18"/>
      <c r="G1011" s="18"/>
      <c r="H1011" s="18"/>
      <c r="I1011" s="18"/>
    </row>
    <row r="1012" ht="21.25" customHeight="1">
      <c r="A1012" s="10">
        <v>45499</v>
      </c>
      <c r="B1012" t="s" s="11">
        <v>5</v>
      </c>
      <c r="C1012" t="s" s="12">
        <v>237</v>
      </c>
      <c r="D1012" s="13"/>
      <c r="E1012" s="13">
        <v>75530</v>
      </c>
      <c r="F1012" s="14"/>
      <c r="G1012" s="14"/>
      <c r="H1012" s="14"/>
      <c r="I1012" s="14"/>
    </row>
    <row r="1013" ht="20.7" customHeight="1">
      <c r="A1013" s="10">
        <v>45499</v>
      </c>
      <c r="B1013" t="s" s="11">
        <v>8</v>
      </c>
      <c r="C1013" t="s" s="12">
        <v>8</v>
      </c>
      <c r="D1013" s="15" cm="1">
        <f t="array" ref="D1013">SUM(D1011:D1012)</f>
        <v>75530</v>
      </c>
      <c r="E1013" s="15" cm="1">
        <f t="array" ref="E1013">SUM(E1011:E1012)</f>
        <v>75530</v>
      </c>
      <c r="F1013" s="16" cm="1">
        <f t="array" ref="F1013">SUM(F1011:F1012)</f>
        <v>0</v>
      </c>
      <c r="G1013" s="16" cm="1">
        <f t="array" ref="G1013">SUM(G1011:G1012)</f>
        <v>0</v>
      </c>
      <c r="H1013" s="16" cm="1">
        <f t="array" ref="H1013">SUM(H1011:H1012)</f>
        <v>0</v>
      </c>
      <c r="I1013" s="16" cm="1">
        <f t="array" ref="I1013">SUM(I1011:I1012)</f>
        <v>0</v>
      </c>
    </row>
    <row r="1014" ht="21.25" customHeight="1">
      <c r="A1014" s="10">
        <v>45499</v>
      </c>
      <c r="B1014" t="s" s="11">
        <v>32</v>
      </c>
      <c r="C1014" t="s" s="12">
        <v>238</v>
      </c>
      <c r="D1014" s="17"/>
      <c r="E1014" s="17">
        <v>150000</v>
      </c>
      <c r="F1014" s="18"/>
      <c r="G1014" s="18"/>
      <c r="H1014" s="18"/>
      <c r="I1014" s="18"/>
    </row>
    <row r="1015" ht="21.25" customHeight="1">
      <c r="A1015" s="10">
        <v>45499</v>
      </c>
      <c r="B1015" t="s" s="11">
        <v>101</v>
      </c>
      <c r="C1015" t="s" s="12">
        <v>238</v>
      </c>
      <c r="D1015" s="13">
        <v>150000</v>
      </c>
      <c r="E1015" s="13"/>
      <c r="F1015" s="14"/>
      <c r="G1015" s="14"/>
      <c r="H1015" s="14"/>
      <c r="I1015" s="14"/>
    </row>
    <row r="1016" ht="20.7" customHeight="1">
      <c r="A1016" s="10">
        <v>45499</v>
      </c>
      <c r="B1016" t="s" s="11">
        <v>8</v>
      </c>
      <c r="C1016" t="s" s="12">
        <v>8</v>
      </c>
      <c r="D1016" s="15" cm="1">
        <f t="array" ref="D1016">SUM(D1014:D1015)</f>
        <v>150000</v>
      </c>
      <c r="E1016" s="15" cm="1">
        <f t="array" ref="E1016">SUM(E1014:E1015)</f>
        <v>150000</v>
      </c>
      <c r="F1016" s="16" cm="1">
        <f t="array" ref="F1016">SUM(F1014:F1015)</f>
        <v>0</v>
      </c>
      <c r="G1016" s="16" cm="1">
        <f t="array" ref="G1016">SUM(G1014:G1015)</f>
        <v>0</v>
      </c>
      <c r="H1016" s="16" cm="1">
        <f t="array" ref="H1016">SUM(H1014:H1015)</f>
        <v>0</v>
      </c>
      <c r="I1016" s="16" cm="1">
        <f t="array" ref="I1016">SUM(I1014:I1015)</f>
        <v>0</v>
      </c>
    </row>
    <row r="1017" ht="21.25" customHeight="1">
      <c r="A1017" s="10">
        <v>45499</v>
      </c>
      <c r="B1017" t="s" s="11">
        <v>97</v>
      </c>
      <c r="C1017" t="s" s="12">
        <v>239</v>
      </c>
      <c r="D1017" s="17"/>
      <c r="E1017" s="17">
        <v>557143</v>
      </c>
      <c r="F1017" s="18"/>
      <c r="G1017" s="18"/>
      <c r="H1017" s="18"/>
      <c r="I1017" s="18"/>
    </row>
    <row r="1018" ht="21.25" customHeight="1">
      <c r="A1018" s="10">
        <v>45499</v>
      </c>
      <c r="B1018" t="s" s="11">
        <v>99</v>
      </c>
      <c r="C1018" t="s" s="12">
        <v>239</v>
      </c>
      <c r="D1018" s="13">
        <v>557143</v>
      </c>
      <c r="E1018" s="13"/>
      <c r="F1018" s="14"/>
      <c r="G1018" s="14"/>
      <c r="H1018" s="14"/>
      <c r="I1018" s="14"/>
    </row>
    <row r="1019" ht="20.7" customHeight="1">
      <c r="A1019" s="10">
        <v>45499</v>
      </c>
      <c r="B1019" t="s" s="11">
        <v>8</v>
      </c>
      <c r="C1019" t="s" s="12">
        <v>8</v>
      </c>
      <c r="D1019" s="15" cm="1">
        <f t="array" ref="D1019">SUM(D1017:D1018)</f>
        <v>557143</v>
      </c>
      <c r="E1019" s="15" cm="1">
        <f t="array" ref="E1019">SUM(E1017:E1018)</f>
        <v>557143</v>
      </c>
      <c r="F1019" s="16" cm="1">
        <f t="array" ref="F1019">SUM(F1017:F1018)</f>
        <v>0</v>
      </c>
      <c r="G1019" s="16" cm="1">
        <f t="array" ref="G1019">SUM(G1017:G1018)</f>
        <v>0</v>
      </c>
      <c r="H1019" s="16" cm="1">
        <f t="array" ref="H1019">SUM(H1017:H1018)</f>
        <v>0</v>
      </c>
      <c r="I1019" s="16" cm="1">
        <f t="array" ref="I1019">SUM(I1017:I1018)</f>
        <v>0</v>
      </c>
    </row>
    <row r="1020" ht="21.25" customHeight="1">
      <c r="A1020" s="10">
        <v>45500</v>
      </c>
      <c r="B1020" t="s" s="11">
        <v>5</v>
      </c>
      <c r="C1020" t="s" s="12">
        <v>240</v>
      </c>
      <c r="D1020" s="17"/>
      <c r="E1020" s="17">
        <v>50000</v>
      </c>
      <c r="F1020" s="18"/>
      <c r="G1020" s="18"/>
      <c r="H1020" s="18"/>
      <c r="I1020" s="18"/>
    </row>
    <row r="1021" ht="21.25" customHeight="1">
      <c r="A1021" s="10">
        <v>45500</v>
      </c>
      <c r="B1021" t="s" s="11">
        <v>28</v>
      </c>
      <c r="C1021" t="s" s="12">
        <v>240</v>
      </c>
      <c r="D1021" s="13">
        <v>50000</v>
      </c>
      <c r="E1021" s="13"/>
      <c r="F1021" s="14"/>
      <c r="G1021" s="14"/>
      <c r="H1021" s="14"/>
      <c r="I1021" s="14"/>
    </row>
    <row r="1022" ht="20.7" customHeight="1">
      <c r="A1022" s="10">
        <v>45500</v>
      </c>
      <c r="B1022" t="s" s="11">
        <v>8</v>
      </c>
      <c r="C1022" t="s" s="12">
        <v>8</v>
      </c>
      <c r="D1022" s="15" cm="1">
        <f t="array" ref="D1022">SUM(D1020:D1021)</f>
        <v>50000</v>
      </c>
      <c r="E1022" s="15" cm="1">
        <f t="array" ref="E1022">SUM(E1020:E1021)</f>
        <v>50000</v>
      </c>
      <c r="F1022" s="16" cm="1">
        <f t="array" ref="F1022">SUM(F1020:F1021)</f>
        <v>0</v>
      </c>
      <c r="G1022" s="16" cm="1">
        <f t="array" ref="G1022">SUM(G1020:G1021)</f>
        <v>0</v>
      </c>
      <c r="H1022" s="16" cm="1">
        <f t="array" ref="H1022">SUM(H1020:H1021)</f>
        <v>0</v>
      </c>
      <c r="I1022" s="16" cm="1">
        <f t="array" ref="I1022">SUM(I1020:I1021)</f>
        <v>0</v>
      </c>
    </row>
    <row r="1023" ht="20.65" customHeight="1">
      <c r="A1023" s="10">
        <v>45500</v>
      </c>
      <c r="B1023" t="s" s="11">
        <v>28</v>
      </c>
      <c r="C1023" t="s" s="12">
        <v>195</v>
      </c>
      <c r="D1023" s="17"/>
      <c r="E1023" s="17">
        <v>50000</v>
      </c>
      <c r="F1023" s="18"/>
      <c r="G1023" s="18"/>
      <c r="H1023" s="18"/>
      <c r="I1023" s="18"/>
    </row>
    <row r="1024" ht="20.65" customHeight="1">
      <c r="A1024" s="10">
        <v>45500</v>
      </c>
      <c r="B1024" t="s" s="11">
        <v>10</v>
      </c>
      <c r="C1024" t="s" s="12">
        <v>195</v>
      </c>
      <c r="D1024" s="13">
        <v>50000</v>
      </c>
      <c r="E1024" s="13"/>
      <c r="F1024" s="14"/>
      <c r="G1024" s="14"/>
      <c r="H1024" s="14"/>
      <c r="I1024" s="14"/>
    </row>
    <row r="1025" ht="20.7" customHeight="1">
      <c r="A1025" s="10">
        <v>45500</v>
      </c>
      <c r="B1025" t="s" s="11">
        <v>8</v>
      </c>
      <c r="C1025" t="s" s="12">
        <v>8</v>
      </c>
      <c r="D1025" s="15" cm="1">
        <f t="array" ref="D1025">SUM(D1023:D1024)</f>
        <v>50000</v>
      </c>
      <c r="E1025" s="15" cm="1">
        <f t="array" ref="E1025">SUM(E1023:E1024)</f>
        <v>50000</v>
      </c>
      <c r="F1025" s="16" cm="1">
        <f t="array" ref="F1025">SUM(F1023:F1024)</f>
        <v>0</v>
      </c>
      <c r="G1025" s="16" cm="1">
        <f t="array" ref="G1025">SUM(G1023:G1024)</f>
        <v>0</v>
      </c>
      <c r="H1025" s="16" cm="1">
        <f t="array" ref="H1025">SUM(H1023:H1024)</f>
        <v>0</v>
      </c>
      <c r="I1025" s="16" cm="1">
        <f t="array" ref="I1025">SUM(I1023:I1024)</f>
        <v>0</v>
      </c>
    </row>
    <row r="1026" ht="21.25" customHeight="1">
      <c r="A1026" s="10">
        <v>45500</v>
      </c>
      <c r="B1026" t="s" s="11">
        <v>21</v>
      </c>
      <c r="C1026" t="s" s="12">
        <v>241</v>
      </c>
      <c r="D1026" s="17"/>
      <c r="E1026" s="17">
        <v>1400</v>
      </c>
      <c r="F1026" s="18"/>
      <c r="G1026" s="18"/>
      <c r="H1026" s="18"/>
      <c r="I1026" s="18"/>
    </row>
    <row r="1027" ht="21.25" customHeight="1">
      <c r="A1027" s="10">
        <v>45500</v>
      </c>
      <c r="B1027" t="s" s="11">
        <v>16</v>
      </c>
      <c r="C1027" t="s" s="12">
        <v>241</v>
      </c>
      <c r="D1027" s="13">
        <v>1400</v>
      </c>
      <c r="E1027" s="13"/>
      <c r="F1027" s="14"/>
      <c r="G1027" s="14"/>
      <c r="H1027" s="14"/>
      <c r="I1027" s="14"/>
    </row>
    <row r="1028" ht="20.7" customHeight="1">
      <c r="A1028" s="10">
        <v>45500</v>
      </c>
      <c r="B1028" t="s" s="11">
        <v>8</v>
      </c>
      <c r="C1028" t="s" s="12">
        <v>8</v>
      </c>
      <c r="D1028" s="15" cm="1">
        <f t="array" ref="D1028">SUM(D1026:D1027)</f>
        <v>1400</v>
      </c>
      <c r="E1028" s="15" cm="1">
        <f t="array" ref="E1028">SUM(E1026:E1027)</f>
        <v>1400</v>
      </c>
      <c r="F1028" s="16" cm="1">
        <f t="array" ref="F1028">SUM(F1026:F1027)</f>
        <v>0</v>
      </c>
      <c r="G1028" s="16" cm="1">
        <f t="array" ref="G1028">SUM(G1026:G1027)</f>
        <v>0</v>
      </c>
      <c r="H1028" s="16" cm="1">
        <f t="array" ref="H1028">SUM(H1026:H1027)</f>
        <v>0</v>
      </c>
      <c r="I1028" s="16" cm="1">
        <f t="array" ref="I1028">SUM(I1026:I1027)</f>
        <v>0</v>
      </c>
    </row>
    <row r="1029" ht="20.35" customHeight="1">
      <c r="A1029" s="10">
        <v>45500</v>
      </c>
      <c r="B1029" t="s" s="11">
        <v>60</v>
      </c>
      <c r="C1029" t="s" s="12">
        <v>242</v>
      </c>
      <c r="D1029" s="17"/>
      <c r="E1029" s="17"/>
      <c r="F1029" s="18">
        <v>0.01</v>
      </c>
      <c r="G1029" s="18"/>
      <c r="H1029" s="18"/>
      <c r="I1029" s="18"/>
    </row>
    <row r="1030" ht="20.35" customHeight="1">
      <c r="A1030" s="10">
        <v>45500</v>
      </c>
      <c r="B1030" t="s" s="11">
        <v>104</v>
      </c>
      <c r="C1030" t="s" s="12">
        <v>242</v>
      </c>
      <c r="D1030" s="13"/>
      <c r="E1030" s="13"/>
      <c r="F1030" s="14"/>
      <c r="G1030" s="14">
        <v>0.01</v>
      </c>
      <c r="H1030" s="14"/>
      <c r="I1030" s="14"/>
    </row>
    <row r="1031" ht="20.7" customHeight="1">
      <c r="A1031" s="10">
        <v>45500</v>
      </c>
      <c r="B1031" t="s" s="11">
        <v>8</v>
      </c>
      <c r="C1031" t="s" s="12">
        <v>8</v>
      </c>
      <c r="D1031" s="15" cm="1">
        <f t="array" ref="D1031">SUM(D1029:D1030)</f>
        <v>0</v>
      </c>
      <c r="E1031" s="15" cm="1">
        <f t="array" ref="E1031">SUM(E1029:E1030)</f>
        <v>0</v>
      </c>
      <c r="F1031" s="16" cm="1">
        <f t="array" ref="F1031">SUM(F1029:F1030)</f>
        <v>0.01</v>
      </c>
      <c r="G1031" s="16" cm="1">
        <f t="array" ref="G1031">SUM(G1029:G1030)</f>
        <v>0.01</v>
      </c>
      <c r="H1031" s="16" cm="1">
        <f t="array" ref="H1031">SUM(H1029:H1030)</f>
        <v>0</v>
      </c>
      <c r="I1031" s="16" cm="1">
        <f t="array" ref="I1031">SUM(I1029:I1030)</f>
        <v>0</v>
      </c>
    </row>
    <row r="1032" ht="20.35" customHeight="1">
      <c r="A1032" s="10">
        <v>45501</v>
      </c>
      <c r="B1032" t="s" s="11">
        <v>5</v>
      </c>
      <c r="C1032" t="s" s="12">
        <v>17</v>
      </c>
      <c r="D1032" s="17">
        <v>100</v>
      </c>
      <c r="E1032" s="17"/>
      <c r="F1032" s="18"/>
      <c r="G1032" s="18"/>
      <c r="H1032" s="18"/>
      <c r="I1032" s="18"/>
    </row>
    <row r="1033" ht="20.35" customHeight="1">
      <c r="A1033" s="10">
        <v>45501</v>
      </c>
      <c r="B1033" t="s" s="11">
        <v>18</v>
      </c>
      <c r="C1033" t="s" s="12">
        <v>17</v>
      </c>
      <c r="D1033" s="13"/>
      <c r="E1033" s="13">
        <v>100</v>
      </c>
      <c r="F1033" s="14"/>
      <c r="G1033" s="14"/>
      <c r="H1033" s="14"/>
      <c r="I1033" s="14"/>
    </row>
    <row r="1034" ht="20.7" customHeight="1">
      <c r="A1034" s="10">
        <v>45501</v>
      </c>
      <c r="B1034" t="s" s="11">
        <v>8</v>
      </c>
      <c r="C1034" t="s" s="12">
        <v>8</v>
      </c>
      <c r="D1034" s="15" cm="1">
        <f t="array" ref="D1034">SUM(D1032:D1033)</f>
        <v>100</v>
      </c>
      <c r="E1034" s="15" cm="1">
        <f t="array" ref="E1034">SUM(E1032:E1033)</f>
        <v>100</v>
      </c>
      <c r="F1034" s="16" cm="1">
        <f t="array" ref="F1034">SUM(F1032:F1033)</f>
        <v>0</v>
      </c>
      <c r="G1034" s="16" cm="1">
        <f t="array" ref="G1034">SUM(G1032:G1033)</f>
        <v>0</v>
      </c>
      <c r="H1034" s="16" cm="1">
        <f t="array" ref="H1034">SUM(H1032:H1033)</f>
        <v>0</v>
      </c>
      <c r="I1034" s="16" cm="1">
        <f t="array" ref="I1034">SUM(I1032:I1033)</f>
        <v>0</v>
      </c>
    </row>
    <row r="1035" ht="20.35" customHeight="1">
      <c r="A1035" s="10">
        <v>45501</v>
      </c>
      <c r="B1035" t="s" s="11">
        <v>5</v>
      </c>
      <c r="C1035" t="s" s="12">
        <v>202</v>
      </c>
      <c r="D1035" s="17"/>
      <c r="E1035" s="17">
        <v>10000</v>
      </c>
      <c r="F1035" s="18"/>
      <c r="G1035" s="18"/>
      <c r="H1035" s="18"/>
      <c r="I1035" s="18"/>
    </row>
    <row r="1036" ht="20.35" customHeight="1">
      <c r="A1036" s="10">
        <v>45501</v>
      </c>
      <c r="B1036" t="s" s="11">
        <v>93</v>
      </c>
      <c r="C1036" t="s" s="12">
        <v>202</v>
      </c>
      <c r="D1036" s="13">
        <v>10000</v>
      </c>
      <c r="E1036" s="13"/>
      <c r="F1036" s="14"/>
      <c r="G1036" s="14"/>
      <c r="H1036" s="14"/>
      <c r="I1036" s="14"/>
    </row>
    <row r="1037" ht="20.7" customHeight="1">
      <c r="A1037" s="10">
        <v>45501</v>
      </c>
      <c r="B1037" t="s" s="11">
        <v>8</v>
      </c>
      <c r="C1037" t="s" s="12">
        <v>8</v>
      </c>
      <c r="D1037" s="15" cm="1">
        <f t="array" ref="D1037">SUM(D1035:D1036)</f>
        <v>10000</v>
      </c>
      <c r="E1037" s="15" cm="1">
        <f t="array" ref="E1037">SUM(E1035:E1036)</f>
        <v>10000</v>
      </c>
      <c r="F1037" s="16" cm="1">
        <f t="array" ref="F1037">SUM(F1035:F1036)</f>
        <v>0</v>
      </c>
      <c r="G1037" s="16" cm="1">
        <f t="array" ref="G1037">SUM(G1035:G1036)</f>
        <v>0</v>
      </c>
      <c r="H1037" s="16" cm="1">
        <f t="array" ref="H1037">SUM(H1035:H1036)</f>
        <v>0</v>
      </c>
      <c r="I1037" s="16" cm="1">
        <f t="array" ref="I1037">SUM(I1035:I1036)</f>
        <v>0</v>
      </c>
    </row>
    <row r="1038" ht="20.35" customHeight="1">
      <c r="A1038" s="10">
        <v>45501</v>
      </c>
      <c r="B1038" t="s" s="11">
        <v>93</v>
      </c>
      <c r="C1038" t="s" s="12">
        <v>53</v>
      </c>
      <c r="D1038" s="17"/>
      <c r="E1038" s="17">
        <v>1264</v>
      </c>
      <c r="F1038" s="18"/>
      <c r="G1038" s="18"/>
      <c r="H1038" s="18"/>
      <c r="I1038" s="18"/>
    </row>
    <row r="1039" ht="20.35" customHeight="1">
      <c r="A1039" s="10">
        <v>45501</v>
      </c>
      <c r="B1039" t="s" s="11">
        <v>12</v>
      </c>
      <c r="C1039" t="s" s="12">
        <v>53</v>
      </c>
      <c r="D1039" s="13">
        <v>1264</v>
      </c>
      <c r="E1039" s="13"/>
      <c r="F1039" s="14"/>
      <c r="G1039" s="14"/>
      <c r="H1039" s="14"/>
      <c r="I1039" s="14"/>
    </row>
    <row r="1040" ht="20.7" customHeight="1">
      <c r="A1040" s="10">
        <v>45501</v>
      </c>
      <c r="B1040" t="s" s="11">
        <v>8</v>
      </c>
      <c r="C1040" t="s" s="12">
        <v>8</v>
      </c>
      <c r="D1040" s="15" cm="1">
        <f t="array" ref="D1040">SUM(D1038:D1039)</f>
        <v>1264</v>
      </c>
      <c r="E1040" s="15" cm="1">
        <f t="array" ref="E1040">SUM(E1038:E1039)</f>
        <v>1264</v>
      </c>
      <c r="F1040" s="16" cm="1">
        <f t="array" ref="F1040">SUM(F1038:F1039)</f>
        <v>0</v>
      </c>
      <c r="G1040" s="16" cm="1">
        <f t="array" ref="G1040">SUM(G1038:G1039)</f>
        <v>0</v>
      </c>
      <c r="H1040" s="16" cm="1">
        <f t="array" ref="H1040">SUM(H1038:H1039)</f>
        <v>0</v>
      </c>
      <c r="I1040" s="16" cm="1">
        <f t="array" ref="I1040">SUM(I1038:I1039)</f>
        <v>0</v>
      </c>
    </row>
    <row r="1041" ht="20.35" customHeight="1">
      <c r="A1041" s="10">
        <v>45501</v>
      </c>
      <c r="B1041" t="s" s="11">
        <v>93</v>
      </c>
      <c r="C1041" t="s" s="12">
        <v>96</v>
      </c>
      <c r="D1041" s="17"/>
      <c r="E1041" s="17">
        <v>8736</v>
      </c>
      <c r="F1041" s="18"/>
      <c r="G1041" s="18"/>
      <c r="H1041" s="18"/>
      <c r="I1041" s="18"/>
    </row>
    <row r="1042" ht="20.35" customHeight="1">
      <c r="A1042" s="10">
        <v>45501</v>
      </c>
      <c r="B1042" t="s" s="11">
        <v>5</v>
      </c>
      <c r="C1042" t="s" s="12">
        <v>96</v>
      </c>
      <c r="D1042" s="13">
        <v>8736</v>
      </c>
      <c r="E1042" s="13"/>
      <c r="F1042" s="14"/>
      <c r="G1042" s="14"/>
      <c r="H1042" s="14"/>
      <c r="I1042" s="14"/>
    </row>
    <row r="1043" ht="20.7" customHeight="1">
      <c r="A1043" s="10">
        <v>45501</v>
      </c>
      <c r="B1043" t="s" s="11">
        <v>8</v>
      </c>
      <c r="C1043" t="s" s="12">
        <v>8</v>
      </c>
      <c r="D1043" s="15" cm="1">
        <f t="array" ref="D1043">SUM(D1041:D1042)</f>
        <v>8736</v>
      </c>
      <c r="E1043" s="15" cm="1">
        <f t="array" ref="E1043">SUM(E1041:E1042)</f>
        <v>8736</v>
      </c>
      <c r="F1043" s="16" cm="1">
        <f t="array" ref="F1043">SUM(F1041:F1042)</f>
        <v>0</v>
      </c>
      <c r="G1043" s="16" cm="1">
        <f t="array" ref="G1043">SUM(G1041:G1042)</f>
        <v>0</v>
      </c>
      <c r="H1043" s="16" cm="1">
        <f t="array" ref="H1043">SUM(H1041:H1042)</f>
        <v>0</v>
      </c>
      <c r="I1043" s="16" cm="1">
        <f t="array" ref="I1043">SUM(I1041:I1042)</f>
        <v>0</v>
      </c>
    </row>
    <row r="1044" ht="20.35" customHeight="1">
      <c r="A1044" s="10">
        <v>45502</v>
      </c>
      <c r="B1044" t="s" s="11">
        <v>5</v>
      </c>
      <c r="C1044" t="s" s="12">
        <v>82</v>
      </c>
      <c r="D1044" s="17"/>
      <c r="E1044" s="17">
        <v>24000</v>
      </c>
      <c r="F1044" s="18"/>
      <c r="G1044" s="18"/>
      <c r="H1044" s="18"/>
      <c r="I1044" s="18"/>
    </row>
    <row r="1045" ht="20.35" customHeight="1">
      <c r="A1045" s="10">
        <v>45502</v>
      </c>
      <c r="B1045" t="s" s="11">
        <v>79</v>
      </c>
      <c r="C1045" t="s" s="12">
        <v>82</v>
      </c>
      <c r="D1045" s="13">
        <v>24000</v>
      </c>
      <c r="E1045" s="13"/>
      <c r="F1045" s="14"/>
      <c r="G1045" s="14"/>
      <c r="H1045" s="14"/>
      <c r="I1045" s="14"/>
    </row>
    <row r="1046" ht="20.7" customHeight="1">
      <c r="A1046" s="10">
        <v>45502</v>
      </c>
      <c r="B1046" t="s" s="11">
        <v>8</v>
      </c>
      <c r="C1046" t="s" s="12">
        <v>8</v>
      </c>
      <c r="D1046" s="15" cm="1">
        <f t="array" ref="D1046">SUM(D1044:D1045)</f>
        <v>24000</v>
      </c>
      <c r="E1046" s="15" cm="1">
        <f t="array" ref="E1046">SUM(E1044:E1045)</f>
        <v>24000</v>
      </c>
      <c r="F1046" s="16" cm="1">
        <f t="array" ref="F1046">SUM(F1044:F1045)</f>
        <v>0</v>
      </c>
      <c r="G1046" s="16" cm="1">
        <f t="array" ref="G1046">SUM(G1044:G1045)</f>
        <v>0</v>
      </c>
      <c r="H1046" s="16" cm="1">
        <f t="array" ref="H1046">SUM(H1044:H1045)</f>
        <v>0</v>
      </c>
      <c r="I1046" s="16" cm="1">
        <f t="array" ref="I1046">SUM(I1044:I1045)</f>
        <v>0</v>
      </c>
    </row>
    <row r="1047" ht="21.25" customHeight="1">
      <c r="A1047" s="10">
        <v>45502</v>
      </c>
      <c r="B1047" t="s" s="11">
        <v>79</v>
      </c>
      <c r="C1047" t="s" s="12">
        <v>243</v>
      </c>
      <c r="D1047" s="17"/>
      <c r="E1047" s="17">
        <v>24989</v>
      </c>
      <c r="F1047" s="18"/>
      <c r="G1047" s="18"/>
      <c r="H1047" s="18"/>
      <c r="I1047" s="18"/>
    </row>
    <row r="1048" ht="20.05" customHeight="1">
      <c r="A1048" s="10">
        <v>45502</v>
      </c>
      <c r="B1048" t="s" s="11">
        <v>10</v>
      </c>
      <c r="C1048" t="s" s="12">
        <v>45</v>
      </c>
      <c r="D1048" s="19">
        <v>30</v>
      </c>
      <c r="E1048" s="19"/>
      <c r="F1048" s="20"/>
      <c r="G1048" s="20"/>
      <c r="H1048" s="20"/>
      <c r="I1048" s="20"/>
    </row>
    <row r="1049" ht="20.35" customHeight="1">
      <c r="A1049" s="10">
        <v>45502</v>
      </c>
      <c r="B1049" t="s" s="11">
        <v>81</v>
      </c>
      <c r="C1049" t="s" s="12">
        <v>45</v>
      </c>
      <c r="D1049" s="13">
        <v>24959</v>
      </c>
      <c r="E1049" s="13"/>
      <c r="F1049" s="14"/>
      <c r="G1049" s="14"/>
      <c r="H1049" s="14"/>
      <c r="I1049" s="14"/>
    </row>
    <row r="1050" ht="20.7" customHeight="1">
      <c r="A1050" s="10">
        <v>45502</v>
      </c>
      <c r="B1050" t="s" s="11">
        <v>8</v>
      </c>
      <c r="C1050" t="s" s="12">
        <v>8</v>
      </c>
      <c r="D1050" s="15" cm="1">
        <f t="array" ref="D1050">SUM(D1047:D1049)</f>
        <v>24989</v>
      </c>
      <c r="E1050" s="15" cm="1">
        <f t="array" ref="E1050">SUM(E1047:E1049)</f>
        <v>24989</v>
      </c>
      <c r="F1050" s="16" cm="1">
        <f t="array" ref="F1050">SUM(F1047:F1049)</f>
        <v>0</v>
      </c>
      <c r="G1050" s="16" cm="1">
        <f t="array" ref="G1050">SUM(G1047:G1049)</f>
        <v>0</v>
      </c>
      <c r="H1050" s="16" cm="1">
        <f t="array" ref="H1050">SUM(H1047:H1049)</f>
        <v>0</v>
      </c>
      <c r="I1050" s="16" cm="1">
        <f t="array" ref="I1050">SUM(I1047:I1049)</f>
        <v>0</v>
      </c>
    </row>
    <row r="1051" ht="21.25" customHeight="1">
      <c r="A1051" s="10">
        <v>45502</v>
      </c>
      <c r="B1051" t="s" s="11">
        <v>81</v>
      </c>
      <c r="C1051" t="s" s="12">
        <v>243</v>
      </c>
      <c r="D1051" s="17"/>
      <c r="E1051" s="17">
        <v>24959</v>
      </c>
      <c r="F1051" s="18"/>
      <c r="G1051" s="18"/>
      <c r="H1051" s="18"/>
      <c r="I1051" s="18"/>
    </row>
    <row r="1052" ht="21.25" customHeight="1">
      <c r="A1052" s="10">
        <v>45502</v>
      </c>
      <c r="B1052" t="s" s="11">
        <v>85</v>
      </c>
      <c r="C1052" t="s" s="12">
        <v>243</v>
      </c>
      <c r="D1052" s="13">
        <v>24959</v>
      </c>
      <c r="E1052" s="13"/>
      <c r="F1052" s="14"/>
      <c r="G1052" s="14"/>
      <c r="H1052" s="14"/>
      <c r="I1052" s="14"/>
    </row>
    <row r="1053" ht="20.7" customHeight="1">
      <c r="A1053" s="10">
        <v>45502</v>
      </c>
      <c r="B1053" t="s" s="11">
        <v>8</v>
      </c>
      <c r="C1053" t="s" s="12">
        <v>8</v>
      </c>
      <c r="D1053" s="15" cm="1">
        <f t="array" ref="D1053">SUM(D1051:D1052)</f>
        <v>24959</v>
      </c>
      <c r="E1053" s="15" cm="1">
        <f t="array" ref="E1053">SUM(E1051:E1052)</f>
        <v>24959</v>
      </c>
      <c r="F1053" s="16" cm="1">
        <f t="array" ref="F1053">SUM(F1051:F1052)</f>
        <v>0</v>
      </c>
      <c r="G1053" s="16" cm="1">
        <f t="array" ref="G1053">SUM(G1051:G1052)</f>
        <v>0</v>
      </c>
      <c r="H1053" s="16" cm="1">
        <f t="array" ref="H1053">SUM(H1051:H1052)</f>
        <v>0</v>
      </c>
      <c r="I1053" s="16" cm="1">
        <f t="array" ref="I1053">SUM(I1051:I1052)</f>
        <v>0</v>
      </c>
    </row>
    <row r="1054" ht="20.35" customHeight="1">
      <c r="A1054" s="10">
        <v>45502</v>
      </c>
      <c r="B1054" t="s" s="11">
        <v>5</v>
      </c>
      <c r="C1054" t="s" s="12">
        <v>53</v>
      </c>
      <c r="D1054" s="17"/>
      <c r="E1054" s="17">
        <v>3800</v>
      </c>
      <c r="F1054" s="18"/>
      <c r="G1054" s="18"/>
      <c r="H1054" s="18"/>
      <c r="I1054" s="18"/>
    </row>
    <row r="1055" ht="20.35" customHeight="1">
      <c r="A1055" s="10">
        <v>45502</v>
      </c>
      <c r="B1055" t="s" s="11">
        <v>12</v>
      </c>
      <c r="C1055" t="s" s="12">
        <v>53</v>
      </c>
      <c r="D1055" s="13">
        <v>3800</v>
      </c>
      <c r="E1055" s="13"/>
      <c r="F1055" s="14"/>
      <c r="G1055" s="14"/>
      <c r="H1055" s="14"/>
      <c r="I1055" s="14"/>
    </row>
    <row r="1056" ht="20.7" customHeight="1">
      <c r="A1056" s="10">
        <v>45502</v>
      </c>
      <c r="B1056" t="s" s="11">
        <v>8</v>
      </c>
      <c r="C1056" t="s" s="12">
        <v>8</v>
      </c>
      <c r="D1056" s="15" cm="1">
        <f t="array" ref="D1056">SUM(D1054:D1055)</f>
        <v>3800</v>
      </c>
      <c r="E1056" s="15" cm="1">
        <f t="array" ref="E1056">SUM(E1054:E1055)</f>
        <v>3800</v>
      </c>
      <c r="F1056" s="16" cm="1">
        <f t="array" ref="F1056">SUM(F1054:F1055)</f>
        <v>0</v>
      </c>
      <c r="G1056" s="16" cm="1">
        <f t="array" ref="G1056">SUM(G1054:G1055)</f>
        <v>0</v>
      </c>
      <c r="H1056" s="16" cm="1">
        <f t="array" ref="H1056">SUM(H1054:H1055)</f>
        <v>0</v>
      </c>
      <c r="I1056" s="16" cm="1">
        <f t="array" ref="I1056">SUM(I1054:I1055)</f>
        <v>0</v>
      </c>
    </row>
    <row r="1057" ht="20.35" customHeight="1">
      <c r="A1057" s="10">
        <v>45502</v>
      </c>
      <c r="B1057" t="s" s="11">
        <v>5</v>
      </c>
      <c r="C1057" t="s" s="12">
        <v>17</v>
      </c>
      <c r="D1057" s="17">
        <v>100</v>
      </c>
      <c r="E1057" s="17"/>
      <c r="F1057" s="18"/>
      <c r="G1057" s="18"/>
      <c r="H1057" s="18"/>
      <c r="I1057" s="18"/>
    </row>
    <row r="1058" ht="20.35" customHeight="1">
      <c r="A1058" s="10">
        <v>45502</v>
      </c>
      <c r="B1058" t="s" s="11">
        <v>18</v>
      </c>
      <c r="C1058" t="s" s="12">
        <v>17</v>
      </c>
      <c r="D1058" s="13"/>
      <c r="E1058" s="13">
        <v>100</v>
      </c>
      <c r="F1058" s="14"/>
      <c r="G1058" s="14"/>
      <c r="H1058" s="14"/>
      <c r="I1058" s="14"/>
    </row>
    <row r="1059" ht="20.7" customHeight="1">
      <c r="A1059" s="10">
        <v>45502</v>
      </c>
      <c r="B1059" t="s" s="11">
        <v>8</v>
      </c>
      <c r="C1059" t="s" s="12">
        <v>8</v>
      </c>
      <c r="D1059" s="15" cm="1">
        <f t="array" ref="D1059">SUM(D1057:D1058)</f>
        <v>100</v>
      </c>
      <c r="E1059" s="15" cm="1">
        <f t="array" ref="E1059">SUM(E1057:E1058)</f>
        <v>100</v>
      </c>
      <c r="F1059" s="16" cm="1">
        <f t="array" ref="F1059">SUM(F1057:F1058)</f>
        <v>0</v>
      </c>
      <c r="G1059" s="16" cm="1">
        <f t="array" ref="G1059">SUM(G1057:G1058)</f>
        <v>0</v>
      </c>
      <c r="H1059" s="16" cm="1">
        <f t="array" ref="H1059">SUM(H1057:H1058)</f>
        <v>0</v>
      </c>
      <c r="I1059" s="16" cm="1">
        <f t="array" ref="I1059">SUM(I1057:I1058)</f>
        <v>0</v>
      </c>
    </row>
    <row r="1060" ht="21.25" customHeight="1">
      <c r="A1060" s="10">
        <v>45503</v>
      </c>
      <c r="B1060" t="s" s="11">
        <v>5</v>
      </c>
      <c r="C1060" t="s" s="12">
        <v>244</v>
      </c>
      <c r="D1060" s="17"/>
      <c r="E1060" s="17">
        <v>35000</v>
      </c>
      <c r="F1060" s="18"/>
      <c r="G1060" s="18"/>
      <c r="H1060" s="18"/>
      <c r="I1060" s="18"/>
    </row>
    <row r="1061" ht="21.25" customHeight="1">
      <c r="A1061" s="10">
        <v>45503</v>
      </c>
      <c r="B1061" t="s" s="11">
        <v>10</v>
      </c>
      <c r="C1061" t="s" s="12">
        <v>244</v>
      </c>
      <c r="D1061" s="13">
        <v>35000</v>
      </c>
      <c r="E1061" s="13"/>
      <c r="F1061" s="14"/>
      <c r="G1061" s="14"/>
      <c r="H1061" s="14"/>
      <c r="I1061" s="14"/>
    </row>
    <row r="1062" ht="20.7" customHeight="1">
      <c r="A1062" s="10">
        <v>45503</v>
      </c>
      <c r="B1062" t="s" s="11">
        <v>8</v>
      </c>
      <c r="C1062" t="s" s="12">
        <v>8</v>
      </c>
      <c r="D1062" s="15" cm="1">
        <f t="array" ref="D1062">SUM(D1060:D1061)</f>
        <v>35000</v>
      </c>
      <c r="E1062" s="15" cm="1">
        <f t="array" ref="E1062">SUM(E1060:E1061)</f>
        <v>35000</v>
      </c>
      <c r="F1062" s="16" cm="1">
        <f t="array" ref="F1062">SUM(F1060:F1061)</f>
        <v>0</v>
      </c>
      <c r="G1062" s="16" cm="1">
        <f t="array" ref="G1062">SUM(G1060:G1061)</f>
        <v>0</v>
      </c>
      <c r="H1062" s="16" cm="1">
        <f t="array" ref="H1062">SUM(H1060:H1061)</f>
        <v>0</v>
      </c>
      <c r="I1062" s="16" cm="1">
        <f t="array" ref="I1062">SUM(I1060:I1061)</f>
        <v>0</v>
      </c>
    </row>
    <row r="1063" ht="20.35" customHeight="1">
      <c r="A1063" s="10">
        <v>45503</v>
      </c>
      <c r="B1063" t="s" s="11">
        <v>5</v>
      </c>
      <c r="C1063" t="s" s="12">
        <v>232</v>
      </c>
      <c r="D1063" s="17"/>
      <c r="E1063" s="17">
        <v>6700</v>
      </c>
      <c r="F1063" s="18"/>
      <c r="G1063" s="18"/>
      <c r="H1063" s="18"/>
      <c r="I1063" s="18"/>
    </row>
    <row r="1064" ht="20.35" customHeight="1">
      <c r="A1064" s="10">
        <v>45503</v>
      </c>
      <c r="B1064" t="s" s="11">
        <v>10</v>
      </c>
      <c r="C1064" t="s" s="12">
        <v>232</v>
      </c>
      <c r="D1064" s="13">
        <v>6700</v>
      </c>
      <c r="E1064" s="13"/>
      <c r="F1064" s="14"/>
      <c r="G1064" s="14"/>
      <c r="H1064" s="14"/>
      <c r="I1064" s="14"/>
    </row>
    <row r="1065" ht="20.7" customHeight="1">
      <c r="A1065" s="10">
        <v>45503</v>
      </c>
      <c r="B1065" t="s" s="11">
        <v>8</v>
      </c>
      <c r="C1065" t="s" s="12">
        <v>8</v>
      </c>
      <c r="D1065" s="15" cm="1">
        <f t="array" ref="D1065">SUM(D1063:D1064)</f>
        <v>6700</v>
      </c>
      <c r="E1065" s="15" cm="1">
        <f t="array" ref="E1065">SUM(E1063:E1064)</f>
        <v>6700</v>
      </c>
      <c r="F1065" s="16" cm="1">
        <f t="array" ref="F1065">SUM(F1063:F1064)</f>
        <v>0</v>
      </c>
      <c r="G1065" s="16" cm="1">
        <f t="array" ref="G1065">SUM(G1063:G1064)</f>
        <v>0</v>
      </c>
      <c r="H1065" s="16" cm="1">
        <f t="array" ref="H1065">SUM(H1063:H1064)</f>
        <v>0</v>
      </c>
      <c r="I1065" s="16" cm="1">
        <f t="array" ref="I1065">SUM(I1063:I1064)</f>
        <v>0</v>
      </c>
    </row>
    <row r="1066" ht="20.35" customHeight="1">
      <c r="A1066" s="10">
        <v>45503</v>
      </c>
      <c r="B1066" t="s" s="11">
        <v>5</v>
      </c>
      <c r="C1066" t="s" s="12">
        <v>245</v>
      </c>
      <c r="D1066" s="17"/>
      <c r="E1066" s="17">
        <v>1500</v>
      </c>
      <c r="F1066" s="18"/>
      <c r="G1066" s="18"/>
      <c r="H1066" s="18"/>
      <c r="I1066" s="18"/>
    </row>
    <row r="1067" ht="20.35" customHeight="1">
      <c r="A1067" s="10">
        <v>45503</v>
      </c>
      <c r="B1067" t="s" s="11">
        <v>10</v>
      </c>
      <c r="C1067" t="s" s="12">
        <v>245</v>
      </c>
      <c r="D1067" s="13">
        <v>1500</v>
      </c>
      <c r="E1067" s="13"/>
      <c r="F1067" s="14"/>
      <c r="G1067" s="14"/>
      <c r="H1067" s="14"/>
      <c r="I1067" s="14"/>
    </row>
    <row r="1068" ht="20.7" customHeight="1">
      <c r="A1068" s="10">
        <v>45503</v>
      </c>
      <c r="B1068" t="s" s="11">
        <v>8</v>
      </c>
      <c r="C1068" t="s" s="12">
        <v>8</v>
      </c>
      <c r="D1068" s="15" cm="1">
        <f t="array" ref="D1068">SUM(D1066:D1067)</f>
        <v>1500</v>
      </c>
      <c r="E1068" s="15" cm="1">
        <f t="array" ref="E1068">SUM(E1066:E1067)</f>
        <v>1500</v>
      </c>
      <c r="F1068" s="16" cm="1">
        <f t="array" ref="F1068">SUM(F1066:F1067)</f>
        <v>0</v>
      </c>
      <c r="G1068" s="16" cm="1">
        <f t="array" ref="G1068">SUM(G1066:G1067)</f>
        <v>0</v>
      </c>
      <c r="H1068" s="16" cm="1">
        <f t="array" ref="H1068">SUM(H1066:H1067)</f>
        <v>0</v>
      </c>
      <c r="I1068" s="16" cm="1">
        <f t="array" ref="I1068">SUM(I1066:I1067)</f>
        <v>0</v>
      </c>
    </row>
    <row r="1069" ht="21.25" customHeight="1">
      <c r="A1069" s="10">
        <v>45504</v>
      </c>
      <c r="B1069" t="s" s="11">
        <v>21</v>
      </c>
      <c r="C1069" t="s" s="12">
        <v>241</v>
      </c>
      <c r="D1069" s="17"/>
      <c r="E1069" s="17">
        <v>1400</v>
      </c>
      <c r="F1069" s="18"/>
      <c r="G1069" s="18"/>
      <c r="H1069" s="18"/>
      <c r="I1069" s="18"/>
    </row>
    <row r="1070" ht="21.25" customHeight="1">
      <c r="A1070" s="10">
        <v>45504</v>
      </c>
      <c r="B1070" t="s" s="11">
        <v>16</v>
      </c>
      <c r="C1070" t="s" s="12">
        <v>241</v>
      </c>
      <c r="D1070" s="13">
        <v>1400</v>
      </c>
      <c r="E1070" s="13"/>
      <c r="F1070" s="14"/>
      <c r="G1070" s="14"/>
      <c r="H1070" s="14"/>
      <c r="I1070" s="14"/>
    </row>
    <row r="1071" ht="20.7" customHeight="1">
      <c r="A1071" s="10">
        <v>45504</v>
      </c>
      <c r="B1071" t="s" s="11">
        <v>8</v>
      </c>
      <c r="C1071" t="s" s="12">
        <v>8</v>
      </c>
      <c r="D1071" s="15" cm="1">
        <f t="array" ref="D1071">SUM(D1069:D1070)</f>
        <v>1400</v>
      </c>
      <c r="E1071" s="15" cm="1">
        <f t="array" ref="E1071">SUM(E1069:E1070)</f>
        <v>1400</v>
      </c>
      <c r="F1071" s="16" cm="1">
        <f t="array" ref="F1071">SUM(F1069:F1070)</f>
        <v>0</v>
      </c>
      <c r="G1071" s="16" cm="1">
        <f t="array" ref="G1071">SUM(G1069:G1070)</f>
        <v>0</v>
      </c>
      <c r="H1071" s="16" cm="1">
        <f t="array" ref="H1071">SUM(H1069:H1070)</f>
        <v>0</v>
      </c>
      <c r="I1071" s="16" cm="1">
        <f t="array" ref="I1071">SUM(I1069:I1070)</f>
        <v>0</v>
      </c>
    </row>
    <row r="1072" ht="20.35" customHeight="1">
      <c r="A1072" s="10">
        <v>45504</v>
      </c>
      <c r="B1072" t="s" s="11">
        <v>5</v>
      </c>
      <c r="C1072" t="s" s="12">
        <v>36</v>
      </c>
      <c r="D1072" s="17"/>
      <c r="E1072" s="17">
        <v>40000</v>
      </c>
      <c r="F1072" s="18"/>
      <c r="G1072" s="18"/>
      <c r="H1072" s="18"/>
      <c r="I1072" s="18"/>
    </row>
    <row r="1073" ht="20.35" customHeight="1">
      <c r="A1073" s="10">
        <v>45504</v>
      </c>
      <c r="B1073" t="s" s="11">
        <v>21</v>
      </c>
      <c r="C1073" t="s" s="12">
        <v>36</v>
      </c>
      <c r="D1073" s="13">
        <v>40000</v>
      </c>
      <c r="E1073" s="13"/>
      <c r="F1073" s="14"/>
      <c r="G1073" s="14"/>
      <c r="H1073" s="14"/>
      <c r="I1073" s="14"/>
    </row>
    <row r="1074" ht="20.7" customHeight="1">
      <c r="A1074" s="10">
        <v>45504</v>
      </c>
      <c r="B1074" t="s" s="11">
        <v>8</v>
      </c>
      <c r="C1074" t="s" s="12">
        <v>8</v>
      </c>
      <c r="D1074" s="15" cm="1">
        <f t="array" ref="D1074">SUM(D1072:D1073)</f>
        <v>40000</v>
      </c>
      <c r="E1074" s="15" cm="1">
        <f t="array" ref="E1074">SUM(E1072:E1073)</f>
        <v>40000</v>
      </c>
      <c r="F1074" s="16" cm="1">
        <f t="array" ref="F1074">SUM(F1072:F1073)</f>
        <v>0</v>
      </c>
      <c r="G1074" s="16" cm="1">
        <f t="array" ref="G1074">SUM(G1072:G1073)</f>
        <v>0</v>
      </c>
      <c r="H1074" s="16" cm="1">
        <f t="array" ref="H1074">SUM(H1072:H1073)</f>
        <v>0</v>
      </c>
      <c r="I1074" s="16" cm="1">
        <f t="array" ref="I1074">SUM(I1072:I1073)</f>
        <v>0</v>
      </c>
    </row>
    <row r="1075" ht="20.35" customHeight="1">
      <c r="A1075" s="10">
        <v>45504</v>
      </c>
      <c r="B1075" t="s" s="11">
        <v>5</v>
      </c>
      <c r="C1075" t="s" s="12">
        <v>202</v>
      </c>
      <c r="D1075" s="17"/>
      <c r="E1075" s="17">
        <v>10000</v>
      </c>
      <c r="F1075" s="18"/>
      <c r="G1075" s="18"/>
      <c r="H1075" s="18"/>
      <c r="I1075" s="18"/>
    </row>
    <row r="1076" ht="20.35" customHeight="1">
      <c r="A1076" s="10">
        <v>45504</v>
      </c>
      <c r="B1076" t="s" s="11">
        <v>93</v>
      </c>
      <c r="C1076" t="s" s="12">
        <v>202</v>
      </c>
      <c r="D1076" s="13">
        <v>10000</v>
      </c>
      <c r="E1076" s="13"/>
      <c r="F1076" s="14"/>
      <c r="G1076" s="14"/>
      <c r="H1076" s="14"/>
      <c r="I1076" s="14"/>
    </row>
    <row r="1077" ht="20.7" customHeight="1">
      <c r="A1077" s="10">
        <v>45504</v>
      </c>
      <c r="B1077" t="s" s="11">
        <v>8</v>
      </c>
      <c r="C1077" t="s" s="12">
        <v>8</v>
      </c>
      <c r="D1077" s="15" cm="1">
        <f t="array" ref="D1077">SUM(D1075:D1076)</f>
        <v>10000</v>
      </c>
      <c r="E1077" s="15" cm="1">
        <f t="array" ref="E1077">SUM(E1075:E1076)</f>
        <v>10000</v>
      </c>
      <c r="F1077" s="16" cm="1">
        <f t="array" ref="F1077">SUM(F1075:F1076)</f>
        <v>0</v>
      </c>
      <c r="G1077" s="16" cm="1">
        <f t="array" ref="G1077">SUM(G1075:G1076)</f>
        <v>0</v>
      </c>
      <c r="H1077" s="16" cm="1">
        <f t="array" ref="H1077">SUM(H1075:H1076)</f>
        <v>0</v>
      </c>
      <c r="I1077" s="16" cm="1">
        <f t="array" ref="I1077">SUM(I1075:I1076)</f>
        <v>0</v>
      </c>
    </row>
    <row r="1078" ht="20.35" customHeight="1">
      <c r="A1078" s="10">
        <v>45504</v>
      </c>
      <c r="B1078" t="s" s="11">
        <v>93</v>
      </c>
      <c r="C1078" t="s" s="12">
        <v>53</v>
      </c>
      <c r="D1078" s="17"/>
      <c r="E1078" s="17">
        <v>6994</v>
      </c>
      <c r="F1078" s="18"/>
      <c r="G1078" s="18"/>
      <c r="H1078" s="18"/>
      <c r="I1078" s="18"/>
    </row>
    <row r="1079" ht="20.35" customHeight="1">
      <c r="A1079" s="10">
        <v>45504</v>
      </c>
      <c r="B1079" t="s" s="11">
        <v>12</v>
      </c>
      <c r="C1079" t="s" s="12">
        <v>53</v>
      </c>
      <c r="D1079" s="13">
        <v>6994</v>
      </c>
      <c r="E1079" s="13"/>
      <c r="F1079" s="14"/>
      <c r="G1079" s="14"/>
      <c r="H1079" s="14"/>
      <c r="I1079" s="14"/>
    </row>
    <row r="1080" ht="20.7" customHeight="1">
      <c r="A1080" s="10">
        <v>45504</v>
      </c>
      <c r="B1080" t="s" s="11">
        <v>8</v>
      </c>
      <c r="C1080" t="s" s="12">
        <v>8</v>
      </c>
      <c r="D1080" s="15" cm="1">
        <f t="array" ref="D1080">SUM(D1078:D1079)</f>
        <v>6994</v>
      </c>
      <c r="E1080" s="15" cm="1">
        <f t="array" ref="E1080">SUM(E1078:E1079)</f>
        <v>6994</v>
      </c>
      <c r="F1080" s="16" cm="1">
        <f t="array" ref="F1080">SUM(F1078:F1079)</f>
        <v>0</v>
      </c>
      <c r="G1080" s="16" cm="1">
        <f t="array" ref="G1080">SUM(G1078:G1079)</f>
        <v>0</v>
      </c>
      <c r="H1080" s="16" cm="1">
        <f t="array" ref="H1080">SUM(H1078:H1079)</f>
        <v>0</v>
      </c>
      <c r="I1080" s="16" cm="1">
        <f t="array" ref="I1080">SUM(I1078:I1079)</f>
        <v>0</v>
      </c>
    </row>
    <row r="1081" ht="20.35" customHeight="1">
      <c r="A1081" s="10">
        <v>45504</v>
      </c>
      <c r="B1081" t="s" s="11">
        <v>60</v>
      </c>
      <c r="C1081" t="s" s="12">
        <v>246</v>
      </c>
      <c r="D1081" s="17"/>
      <c r="E1081" s="17"/>
      <c r="F1081" s="18">
        <v>0.01</v>
      </c>
      <c r="G1081" s="18"/>
      <c r="H1081" s="18"/>
      <c r="I1081" s="18"/>
    </row>
    <row r="1082" ht="20.35" customHeight="1">
      <c r="A1082" s="10">
        <v>45504</v>
      </c>
      <c r="B1082" t="s" s="11">
        <v>104</v>
      </c>
      <c r="C1082" t="s" s="12">
        <v>246</v>
      </c>
      <c r="D1082" s="13"/>
      <c r="E1082" s="13"/>
      <c r="F1082" s="14"/>
      <c r="G1082" s="14">
        <v>0.01</v>
      </c>
      <c r="H1082" s="14"/>
      <c r="I1082" s="14"/>
    </row>
    <row r="1083" ht="20.7" customHeight="1">
      <c r="A1083" s="10">
        <v>45504</v>
      </c>
      <c r="B1083" t="s" s="11">
        <v>8</v>
      </c>
      <c r="C1083" t="s" s="12">
        <v>8</v>
      </c>
      <c r="D1083" s="15" cm="1">
        <f t="array" ref="D1083">SUM(D1081:D1082)</f>
        <v>0</v>
      </c>
      <c r="E1083" s="15" cm="1">
        <f t="array" ref="E1083">SUM(E1081:E1082)</f>
        <v>0</v>
      </c>
      <c r="F1083" s="16" cm="1">
        <f t="array" ref="F1083">SUM(F1081:F1082)</f>
        <v>0.01</v>
      </c>
      <c r="G1083" s="16" cm="1">
        <f t="array" ref="G1083">SUM(G1081:G1082)</f>
        <v>0.01</v>
      </c>
      <c r="H1083" s="16" cm="1">
        <f t="array" ref="H1083">SUM(H1081:H1082)</f>
        <v>0</v>
      </c>
      <c r="I1083" s="16" cm="1">
        <f t="array" ref="I1083">SUM(I1081:I1082)</f>
        <v>0</v>
      </c>
    </row>
    <row r="1084" ht="20.35" customHeight="1">
      <c r="A1084" s="10">
        <v>45505</v>
      </c>
      <c r="B1084" t="s" s="11">
        <v>93</v>
      </c>
      <c r="C1084" t="s" s="12">
        <v>96</v>
      </c>
      <c r="D1084" s="17"/>
      <c r="E1084" s="17">
        <v>3006</v>
      </c>
      <c r="F1084" s="18"/>
      <c r="G1084" s="18"/>
      <c r="H1084" s="18"/>
      <c r="I1084" s="18"/>
    </row>
    <row r="1085" ht="20.35" customHeight="1">
      <c r="A1085" s="10">
        <v>45505</v>
      </c>
      <c r="B1085" t="s" s="11">
        <v>5</v>
      </c>
      <c r="C1085" t="s" s="12">
        <v>96</v>
      </c>
      <c r="D1085" s="13">
        <v>3006</v>
      </c>
      <c r="E1085" s="13"/>
      <c r="F1085" s="14"/>
      <c r="G1085" s="14"/>
      <c r="H1085" s="14"/>
      <c r="I1085" s="14"/>
    </row>
    <row r="1086" ht="20.7" customHeight="1">
      <c r="A1086" s="10">
        <v>45505</v>
      </c>
      <c r="B1086" t="s" s="11">
        <v>8</v>
      </c>
      <c r="C1086" t="s" s="12">
        <v>8</v>
      </c>
      <c r="D1086" s="15" cm="1">
        <f t="array" ref="D1086">SUM(D1084:D1085)</f>
        <v>3006</v>
      </c>
      <c r="E1086" s="15" cm="1">
        <f t="array" ref="E1086">SUM(E1084:E1085)</f>
        <v>3006</v>
      </c>
      <c r="F1086" s="16" cm="1">
        <f t="array" ref="F1086">SUM(F1084:F1085)</f>
        <v>0</v>
      </c>
      <c r="G1086" s="16" cm="1">
        <f t="array" ref="G1086">SUM(G1084:G1085)</f>
        <v>0</v>
      </c>
      <c r="H1086" s="16" cm="1">
        <f t="array" ref="H1086">SUM(H1084:H1085)</f>
        <v>0</v>
      </c>
      <c r="I1086" s="16" cm="1">
        <f t="array" ref="I1086">SUM(I1084:I1085)</f>
        <v>0</v>
      </c>
    </row>
    <row r="1087" ht="21.25" customHeight="1">
      <c r="A1087" s="10">
        <v>45505</v>
      </c>
      <c r="B1087" t="s" s="11">
        <v>5</v>
      </c>
      <c r="C1087" t="s" s="12">
        <v>247</v>
      </c>
      <c r="D1087" s="17">
        <v>75</v>
      </c>
      <c r="E1087" s="17"/>
      <c r="F1087" s="18"/>
      <c r="G1087" s="18"/>
      <c r="H1087" s="18"/>
      <c r="I1087" s="18"/>
    </row>
    <row r="1088" ht="21.25" customHeight="1">
      <c r="A1088" s="10">
        <v>45505</v>
      </c>
      <c r="B1088" t="s" s="11">
        <v>7</v>
      </c>
      <c r="C1088" t="s" s="12">
        <v>247</v>
      </c>
      <c r="D1088" s="13"/>
      <c r="E1088" s="13">
        <v>75</v>
      </c>
      <c r="F1088" s="14"/>
      <c r="G1088" s="14"/>
      <c r="H1088" s="14"/>
      <c r="I1088" s="14"/>
    </row>
    <row r="1089" ht="20.7" customHeight="1">
      <c r="A1089" s="10">
        <v>45505</v>
      </c>
      <c r="B1089" t="s" s="11">
        <v>8</v>
      </c>
      <c r="C1089" t="s" s="12">
        <v>8</v>
      </c>
      <c r="D1089" s="15" cm="1">
        <f t="array" ref="D1089">SUM(D1087:D1088)</f>
        <v>75</v>
      </c>
      <c r="E1089" s="15" cm="1">
        <f t="array" ref="E1089">SUM(E1087:E1088)</f>
        <v>75</v>
      </c>
      <c r="F1089" s="16" cm="1">
        <f t="array" ref="F1089">SUM(F1087:F1088)</f>
        <v>0</v>
      </c>
      <c r="G1089" s="16" cm="1">
        <f t="array" ref="G1089">SUM(G1087:G1088)</f>
        <v>0</v>
      </c>
      <c r="H1089" s="16" cm="1">
        <f t="array" ref="H1089">SUM(H1087:H1088)</f>
        <v>0</v>
      </c>
      <c r="I1089" s="16" cm="1">
        <f t="array" ref="I1089">SUM(I1087:I1088)</f>
        <v>0</v>
      </c>
    </row>
    <row r="1090" ht="21.25" customHeight="1">
      <c r="A1090" s="10">
        <v>45505</v>
      </c>
      <c r="B1090" t="s" s="11">
        <v>32</v>
      </c>
      <c r="C1090" t="s" s="12">
        <v>248</v>
      </c>
      <c r="D1090" s="17"/>
      <c r="E1090" s="17">
        <v>150000</v>
      </c>
      <c r="F1090" s="18"/>
      <c r="G1090" s="18"/>
      <c r="H1090" s="18"/>
      <c r="I1090" s="18"/>
    </row>
    <row r="1091" ht="21.25" customHeight="1">
      <c r="A1091" s="10">
        <v>45505</v>
      </c>
      <c r="B1091" t="s" s="11">
        <v>101</v>
      </c>
      <c r="C1091" t="s" s="12">
        <v>248</v>
      </c>
      <c r="D1091" s="13">
        <v>150000</v>
      </c>
      <c r="E1091" s="13"/>
      <c r="F1091" s="14"/>
      <c r="G1091" s="14"/>
      <c r="H1091" s="14"/>
      <c r="I1091" s="14"/>
    </row>
    <row r="1092" ht="20.7" customHeight="1">
      <c r="A1092" s="10">
        <v>45505</v>
      </c>
      <c r="B1092" t="s" s="11">
        <v>8</v>
      </c>
      <c r="C1092" t="s" s="12">
        <v>8</v>
      </c>
      <c r="D1092" s="15" cm="1">
        <f t="array" ref="D1092">SUM(D1090:D1091)</f>
        <v>150000</v>
      </c>
      <c r="E1092" s="15" cm="1">
        <f t="array" ref="E1092">SUM(E1090:E1091)</f>
        <v>150000</v>
      </c>
      <c r="F1092" s="16" cm="1">
        <f t="array" ref="F1092">SUM(F1090:F1091)</f>
        <v>0</v>
      </c>
      <c r="G1092" s="16" cm="1">
        <f t="array" ref="G1092">SUM(G1090:G1091)</f>
        <v>0</v>
      </c>
      <c r="H1092" s="16" cm="1">
        <f t="array" ref="H1092">SUM(H1090:H1091)</f>
        <v>0</v>
      </c>
      <c r="I1092" s="16" cm="1">
        <f t="array" ref="I1092">SUM(I1090:I1091)</f>
        <v>0</v>
      </c>
    </row>
    <row r="1093" ht="21.25" customHeight="1">
      <c r="A1093" s="10">
        <v>45505</v>
      </c>
      <c r="B1093" t="s" s="11">
        <v>97</v>
      </c>
      <c r="C1093" t="s" s="12">
        <v>249</v>
      </c>
      <c r="D1093" s="17"/>
      <c r="E1093" s="17">
        <v>557143</v>
      </c>
      <c r="F1093" s="18"/>
      <c r="G1093" s="18"/>
      <c r="H1093" s="18"/>
      <c r="I1093" s="18"/>
    </row>
    <row r="1094" ht="21.25" customHeight="1">
      <c r="A1094" s="10">
        <v>45505</v>
      </c>
      <c r="B1094" t="s" s="11">
        <v>99</v>
      </c>
      <c r="C1094" t="s" s="12">
        <v>249</v>
      </c>
      <c r="D1094" s="13">
        <v>557143</v>
      </c>
      <c r="E1094" s="13"/>
      <c r="F1094" s="14"/>
      <c r="G1094" s="14"/>
      <c r="H1094" s="14"/>
      <c r="I1094" s="14"/>
    </row>
    <row r="1095" ht="20.7" customHeight="1">
      <c r="A1095" s="10">
        <v>45505</v>
      </c>
      <c r="B1095" t="s" s="11">
        <v>8</v>
      </c>
      <c r="C1095" t="s" s="12">
        <v>8</v>
      </c>
      <c r="D1095" s="15" cm="1">
        <f t="array" ref="D1095">SUM(D1093:D1094)</f>
        <v>557143</v>
      </c>
      <c r="E1095" s="15" cm="1">
        <f t="array" ref="E1095">SUM(E1093:E1094)</f>
        <v>557143</v>
      </c>
      <c r="F1095" s="16" cm="1">
        <f t="array" ref="F1095">SUM(F1093:F1094)</f>
        <v>0</v>
      </c>
      <c r="G1095" s="16" cm="1">
        <f t="array" ref="G1095">SUM(G1093:G1094)</f>
        <v>0</v>
      </c>
      <c r="H1095" s="16" cm="1">
        <f t="array" ref="H1095">SUM(H1093:H1094)</f>
        <v>0</v>
      </c>
      <c r="I1095" s="16" cm="1">
        <f t="array" ref="I1095">SUM(I1093:I1094)</f>
        <v>0</v>
      </c>
    </row>
    <row r="1096" ht="20.35" customHeight="1">
      <c r="A1096" s="10">
        <v>45505</v>
      </c>
      <c r="B1096" t="s" s="11">
        <v>5</v>
      </c>
      <c r="C1096" t="s" s="12">
        <v>17</v>
      </c>
      <c r="D1096" s="17">
        <v>100</v>
      </c>
      <c r="E1096" s="17"/>
      <c r="F1096" s="18"/>
      <c r="G1096" s="18"/>
      <c r="H1096" s="18"/>
      <c r="I1096" s="18"/>
    </row>
    <row r="1097" ht="20.35" customHeight="1">
      <c r="A1097" s="10">
        <v>45505</v>
      </c>
      <c r="B1097" t="s" s="11">
        <v>18</v>
      </c>
      <c r="C1097" t="s" s="12">
        <v>17</v>
      </c>
      <c r="D1097" s="13"/>
      <c r="E1097" s="13">
        <v>100</v>
      </c>
      <c r="F1097" s="14"/>
      <c r="G1097" s="14"/>
      <c r="H1097" s="14"/>
      <c r="I1097" s="14"/>
    </row>
    <row r="1098" ht="20.7" customHeight="1">
      <c r="A1098" s="10">
        <v>45505</v>
      </c>
      <c r="B1098" t="s" s="11">
        <v>8</v>
      </c>
      <c r="C1098" t="s" s="12">
        <v>8</v>
      </c>
      <c r="D1098" s="15" cm="1">
        <f t="array" ref="D1098">SUM(D1096:D1097)</f>
        <v>100</v>
      </c>
      <c r="E1098" s="15" cm="1">
        <f t="array" ref="E1098">SUM(E1096:E1097)</f>
        <v>100</v>
      </c>
      <c r="F1098" s="16" cm="1">
        <f t="array" ref="F1098">SUM(F1096:F1097)</f>
        <v>0</v>
      </c>
      <c r="G1098" s="16" cm="1">
        <f t="array" ref="G1098">SUM(G1096:G1097)</f>
        <v>0</v>
      </c>
      <c r="H1098" s="16" cm="1">
        <f t="array" ref="H1098">SUM(H1096:H1097)</f>
        <v>0</v>
      </c>
      <c r="I1098" s="16" cm="1">
        <f t="array" ref="I1098">SUM(I1096:I1097)</f>
        <v>0</v>
      </c>
    </row>
    <row r="1099" ht="20.35" customHeight="1">
      <c r="A1099" s="10">
        <v>45505</v>
      </c>
      <c r="B1099" t="s" s="11">
        <v>21</v>
      </c>
      <c r="C1099" t="s" s="12">
        <v>250</v>
      </c>
      <c r="D1099" s="17"/>
      <c r="E1099" s="17">
        <v>2800</v>
      </c>
      <c r="F1099" s="18"/>
      <c r="G1099" s="18"/>
      <c r="H1099" s="18"/>
      <c r="I1099" s="18"/>
    </row>
    <row r="1100" ht="20.35" customHeight="1">
      <c r="A1100" s="10">
        <v>45505</v>
      </c>
      <c r="B1100" t="s" s="11">
        <v>16</v>
      </c>
      <c r="C1100" t="s" s="12">
        <v>250</v>
      </c>
      <c r="D1100" s="13">
        <v>2800</v>
      </c>
      <c r="E1100" s="13"/>
      <c r="F1100" s="14"/>
      <c r="G1100" s="14"/>
      <c r="H1100" s="14"/>
      <c r="I1100" s="14"/>
    </row>
    <row r="1101" ht="20.7" customHeight="1">
      <c r="A1101" s="10">
        <v>45505</v>
      </c>
      <c r="B1101" t="s" s="11">
        <v>8</v>
      </c>
      <c r="C1101" t="s" s="12">
        <v>8</v>
      </c>
      <c r="D1101" s="15" cm="1">
        <f t="array" ref="D1101">SUM(D1099:D1100)</f>
        <v>2800</v>
      </c>
      <c r="E1101" s="15" cm="1">
        <f t="array" ref="E1101">SUM(E1099:E1100)</f>
        <v>2800</v>
      </c>
      <c r="F1101" s="16" cm="1">
        <f t="array" ref="F1101">SUM(F1099:F1100)</f>
        <v>0</v>
      </c>
      <c r="G1101" s="16" cm="1">
        <f t="array" ref="G1101">SUM(G1099:G1100)</f>
        <v>0</v>
      </c>
      <c r="H1101" s="16" cm="1">
        <f t="array" ref="H1101">SUM(H1099:H1100)</f>
        <v>0</v>
      </c>
      <c r="I1101" s="16" cm="1">
        <f t="array" ref="I1101">SUM(I1099:I1100)</f>
        <v>0</v>
      </c>
    </row>
    <row r="1102" ht="21.25" customHeight="1">
      <c r="A1102" s="10">
        <v>45506</v>
      </c>
      <c r="B1102" t="s" s="11">
        <v>5</v>
      </c>
      <c r="C1102" t="s" s="12">
        <v>251</v>
      </c>
      <c r="D1102" s="17"/>
      <c r="E1102" s="17">
        <v>900</v>
      </c>
      <c r="F1102" s="18"/>
      <c r="G1102" s="18"/>
      <c r="H1102" s="18"/>
      <c r="I1102" s="18"/>
    </row>
    <row r="1103" ht="21.25" customHeight="1">
      <c r="A1103" s="10">
        <v>45506</v>
      </c>
      <c r="B1103" t="s" s="11">
        <v>10</v>
      </c>
      <c r="C1103" t="s" s="12">
        <v>251</v>
      </c>
      <c r="D1103" s="13">
        <v>900</v>
      </c>
      <c r="E1103" s="13"/>
      <c r="F1103" s="14"/>
      <c r="G1103" s="14"/>
      <c r="H1103" s="14"/>
      <c r="I1103" s="14"/>
    </row>
    <row r="1104" ht="20.7" customHeight="1">
      <c r="A1104" s="10">
        <v>45506</v>
      </c>
      <c r="B1104" t="s" s="11">
        <v>8</v>
      </c>
      <c r="C1104" t="s" s="12">
        <v>8</v>
      </c>
      <c r="D1104" s="15" cm="1">
        <f t="array" ref="D1104">SUM(D1102:D1103)</f>
        <v>900</v>
      </c>
      <c r="E1104" s="15" cm="1">
        <f t="array" ref="E1104">SUM(E1102:E1103)</f>
        <v>900</v>
      </c>
      <c r="F1104" s="16" cm="1">
        <f t="array" ref="F1104">SUM(F1102:F1103)</f>
        <v>0</v>
      </c>
      <c r="G1104" s="16" cm="1">
        <f t="array" ref="G1104">SUM(G1102:G1103)</f>
        <v>0</v>
      </c>
      <c r="H1104" s="16" cm="1">
        <f t="array" ref="H1104">SUM(H1102:H1103)</f>
        <v>0</v>
      </c>
      <c r="I1104" s="16" cm="1">
        <f t="array" ref="I1104">SUM(I1102:I1103)</f>
        <v>0</v>
      </c>
    </row>
    <row r="1105" ht="21.25" customHeight="1">
      <c r="A1105" s="10">
        <v>45506</v>
      </c>
      <c r="B1105" t="s" s="11">
        <v>5</v>
      </c>
      <c r="C1105" t="s" s="12">
        <v>252</v>
      </c>
      <c r="D1105" s="17"/>
      <c r="E1105" s="17">
        <v>20000</v>
      </c>
      <c r="F1105" s="18"/>
      <c r="G1105" s="18"/>
      <c r="H1105" s="18"/>
      <c r="I1105" s="18"/>
    </row>
    <row r="1106" ht="21.25" customHeight="1">
      <c r="A1106" s="10">
        <v>45506</v>
      </c>
      <c r="B1106" t="s" s="11">
        <v>28</v>
      </c>
      <c r="C1106" t="s" s="12">
        <v>252</v>
      </c>
      <c r="D1106" s="13">
        <v>20000</v>
      </c>
      <c r="E1106" s="13"/>
      <c r="F1106" s="14"/>
      <c r="G1106" s="14"/>
      <c r="H1106" s="14"/>
      <c r="I1106" s="14"/>
    </row>
    <row r="1107" ht="20.7" customHeight="1">
      <c r="A1107" s="10">
        <v>45506</v>
      </c>
      <c r="B1107" t="s" s="11">
        <v>8</v>
      </c>
      <c r="C1107" t="s" s="12">
        <v>8</v>
      </c>
      <c r="D1107" s="15" cm="1">
        <f t="array" ref="D1107">SUM(D1105:D1106)</f>
        <v>20000</v>
      </c>
      <c r="E1107" s="15" cm="1">
        <f t="array" ref="E1107">SUM(E1105:E1106)</f>
        <v>20000</v>
      </c>
      <c r="F1107" s="16" cm="1">
        <f t="array" ref="F1107">SUM(F1105:F1106)</f>
        <v>0</v>
      </c>
      <c r="G1107" s="16" cm="1">
        <f t="array" ref="G1107">SUM(G1105:G1106)</f>
        <v>0</v>
      </c>
      <c r="H1107" s="16" cm="1">
        <f t="array" ref="H1107">SUM(H1105:H1106)</f>
        <v>0</v>
      </c>
      <c r="I1107" s="16" cm="1">
        <f t="array" ref="I1107">SUM(I1105:I1106)</f>
        <v>0</v>
      </c>
    </row>
    <row r="1108" ht="20.65" customHeight="1">
      <c r="A1108" s="10">
        <v>45507</v>
      </c>
      <c r="B1108" t="s" s="11">
        <v>28</v>
      </c>
      <c r="C1108" t="s" s="12">
        <v>217</v>
      </c>
      <c r="D1108" s="17"/>
      <c r="E1108" s="17">
        <v>5000</v>
      </c>
      <c r="F1108" s="18"/>
      <c r="G1108" s="18"/>
      <c r="H1108" s="18"/>
      <c r="I1108" s="18"/>
    </row>
    <row r="1109" ht="20.65" customHeight="1">
      <c r="A1109" s="10">
        <v>45507</v>
      </c>
      <c r="B1109" t="s" s="11">
        <v>10</v>
      </c>
      <c r="C1109" t="s" s="12">
        <v>217</v>
      </c>
      <c r="D1109" s="13">
        <v>5000</v>
      </c>
      <c r="E1109" s="13"/>
      <c r="F1109" s="14"/>
      <c r="G1109" s="14"/>
      <c r="H1109" s="14"/>
      <c r="I1109" s="14"/>
    </row>
    <row r="1110" ht="20.7" customHeight="1">
      <c r="A1110" s="10">
        <v>45507</v>
      </c>
      <c r="B1110" t="s" s="11">
        <v>8</v>
      </c>
      <c r="C1110" t="s" s="12">
        <v>8</v>
      </c>
      <c r="D1110" s="15" cm="1">
        <f t="array" ref="D1110">SUM(D1108:D1109)</f>
        <v>5000</v>
      </c>
      <c r="E1110" s="15" cm="1">
        <f t="array" ref="E1110">SUM(E1108:E1109)</f>
        <v>5000</v>
      </c>
      <c r="F1110" s="16" cm="1">
        <f t="array" ref="F1110">SUM(F1108:F1109)</f>
        <v>0</v>
      </c>
      <c r="G1110" s="16" cm="1">
        <f t="array" ref="G1110">SUM(G1108:G1109)</f>
        <v>0</v>
      </c>
      <c r="H1110" s="16" cm="1">
        <f t="array" ref="H1110">SUM(H1108:H1109)</f>
        <v>0</v>
      </c>
      <c r="I1110" s="16" cm="1">
        <f t="array" ref="I1110">SUM(I1108:I1109)</f>
        <v>0</v>
      </c>
    </row>
    <row r="1111" ht="20.35" customHeight="1">
      <c r="A1111" s="10">
        <v>45507</v>
      </c>
      <c r="B1111" t="s" s="11">
        <v>5</v>
      </c>
      <c r="C1111" t="s" s="12">
        <v>202</v>
      </c>
      <c r="D1111" s="17"/>
      <c r="E1111" s="17">
        <v>10000</v>
      </c>
      <c r="F1111" s="18"/>
      <c r="G1111" s="18"/>
      <c r="H1111" s="18"/>
      <c r="I1111" s="18"/>
    </row>
    <row r="1112" ht="20.35" customHeight="1">
      <c r="A1112" s="10">
        <v>45507</v>
      </c>
      <c r="B1112" t="s" s="11">
        <v>93</v>
      </c>
      <c r="C1112" t="s" s="12">
        <v>202</v>
      </c>
      <c r="D1112" s="13">
        <v>10000</v>
      </c>
      <c r="E1112" s="13"/>
      <c r="F1112" s="14"/>
      <c r="G1112" s="14"/>
      <c r="H1112" s="14"/>
      <c r="I1112" s="14"/>
    </row>
    <row r="1113" ht="20.7" customHeight="1">
      <c r="A1113" s="10">
        <v>45507</v>
      </c>
      <c r="B1113" t="s" s="11">
        <v>8</v>
      </c>
      <c r="C1113" t="s" s="12">
        <v>8</v>
      </c>
      <c r="D1113" s="15" cm="1">
        <f t="array" ref="D1113">SUM(D1111:D1112)</f>
        <v>10000</v>
      </c>
      <c r="E1113" s="15" cm="1">
        <f t="array" ref="E1113">SUM(E1111:E1112)</f>
        <v>10000</v>
      </c>
      <c r="F1113" s="16" cm="1">
        <f t="array" ref="F1113">SUM(F1111:F1112)</f>
        <v>0</v>
      </c>
      <c r="G1113" s="16" cm="1">
        <f t="array" ref="G1113">SUM(G1111:G1112)</f>
        <v>0</v>
      </c>
      <c r="H1113" s="16" cm="1">
        <f t="array" ref="H1113">SUM(H1111:H1112)</f>
        <v>0</v>
      </c>
      <c r="I1113" s="16" cm="1">
        <f t="array" ref="I1113">SUM(I1111:I1112)</f>
        <v>0</v>
      </c>
    </row>
    <row r="1114" ht="20.35" customHeight="1">
      <c r="A1114" s="10">
        <v>45507</v>
      </c>
      <c r="B1114" t="s" s="11">
        <v>93</v>
      </c>
      <c r="C1114" t="s" s="12">
        <v>13</v>
      </c>
      <c r="D1114" s="17"/>
      <c r="E1114" s="17">
        <v>8900</v>
      </c>
      <c r="F1114" s="18"/>
      <c r="G1114" s="18"/>
      <c r="H1114" s="18"/>
      <c r="I1114" s="18"/>
    </row>
    <row r="1115" ht="20.35" customHeight="1">
      <c r="A1115" s="10">
        <v>45507</v>
      </c>
      <c r="B1115" t="s" s="11">
        <v>10</v>
      </c>
      <c r="C1115" t="s" s="12">
        <v>13</v>
      </c>
      <c r="D1115" s="13">
        <v>8900</v>
      </c>
      <c r="E1115" s="13"/>
      <c r="F1115" s="14"/>
      <c r="G1115" s="14"/>
      <c r="H1115" s="14"/>
      <c r="I1115" s="14"/>
    </row>
    <row r="1116" ht="20.7" customHeight="1">
      <c r="A1116" s="10">
        <v>45507</v>
      </c>
      <c r="B1116" t="s" s="11">
        <v>8</v>
      </c>
      <c r="C1116" t="s" s="12">
        <v>8</v>
      </c>
      <c r="D1116" s="15" cm="1">
        <f t="array" ref="D1116">SUM(D1114:D1115)</f>
        <v>8900</v>
      </c>
      <c r="E1116" s="15" cm="1">
        <f t="array" ref="E1116">SUM(E1114:E1115)</f>
        <v>8900</v>
      </c>
      <c r="F1116" s="16" cm="1">
        <f t="array" ref="F1116">SUM(F1114:F1115)</f>
        <v>0</v>
      </c>
      <c r="G1116" s="16" cm="1">
        <f t="array" ref="G1116">SUM(G1114:G1115)</f>
        <v>0</v>
      </c>
      <c r="H1116" s="16" cm="1">
        <f t="array" ref="H1116">SUM(H1114:H1115)</f>
        <v>0</v>
      </c>
      <c r="I1116" s="16" cm="1">
        <f t="array" ref="I1116">SUM(I1114:I1115)</f>
        <v>0</v>
      </c>
    </row>
    <row r="1117" ht="20.35" customHeight="1">
      <c r="A1117" s="10">
        <v>45507</v>
      </c>
      <c r="B1117" t="s" s="11">
        <v>93</v>
      </c>
      <c r="C1117" t="s" s="12">
        <v>96</v>
      </c>
      <c r="D1117" s="17"/>
      <c r="E1117" s="17">
        <v>1100</v>
      </c>
      <c r="F1117" s="18"/>
      <c r="G1117" s="18"/>
      <c r="H1117" s="18"/>
      <c r="I1117" s="18"/>
    </row>
    <row r="1118" ht="20.35" customHeight="1">
      <c r="A1118" s="10">
        <v>45507</v>
      </c>
      <c r="B1118" t="s" s="11">
        <v>5</v>
      </c>
      <c r="C1118" t="s" s="12">
        <v>96</v>
      </c>
      <c r="D1118" s="13">
        <v>1100</v>
      </c>
      <c r="E1118" s="13"/>
      <c r="F1118" s="14"/>
      <c r="G1118" s="14"/>
      <c r="H1118" s="14"/>
      <c r="I1118" s="14"/>
    </row>
    <row r="1119" ht="20.7" customHeight="1">
      <c r="A1119" s="10">
        <v>45507</v>
      </c>
      <c r="B1119" t="s" s="11">
        <v>8</v>
      </c>
      <c r="C1119" t="s" s="12">
        <v>8</v>
      </c>
      <c r="D1119" s="15" cm="1">
        <f t="array" ref="D1119">SUM(D1117:D1118)</f>
        <v>1100</v>
      </c>
      <c r="E1119" s="15" cm="1">
        <f t="array" ref="E1119">SUM(E1117:E1118)</f>
        <v>1100</v>
      </c>
      <c r="F1119" s="16" cm="1">
        <f t="array" ref="F1119">SUM(F1117:F1118)</f>
        <v>0</v>
      </c>
      <c r="G1119" s="16" cm="1">
        <f t="array" ref="G1119">SUM(G1117:G1118)</f>
        <v>0</v>
      </c>
      <c r="H1119" s="16" cm="1">
        <f t="array" ref="H1119">SUM(H1117:H1118)</f>
        <v>0</v>
      </c>
      <c r="I1119" s="16" cm="1">
        <f t="array" ref="I1119">SUM(I1117:I1118)</f>
        <v>0</v>
      </c>
    </row>
    <row r="1120" ht="20.35" customHeight="1">
      <c r="A1120" s="10">
        <v>45509</v>
      </c>
      <c r="B1120" t="s" s="11">
        <v>5</v>
      </c>
      <c r="C1120" t="s" s="12">
        <v>202</v>
      </c>
      <c r="D1120" s="17"/>
      <c r="E1120" s="17">
        <v>10000</v>
      </c>
      <c r="F1120" s="18"/>
      <c r="G1120" s="18"/>
      <c r="H1120" s="18"/>
      <c r="I1120" s="18"/>
    </row>
    <row r="1121" ht="20.35" customHeight="1">
      <c r="A1121" s="10">
        <v>45509</v>
      </c>
      <c r="B1121" t="s" s="11">
        <v>93</v>
      </c>
      <c r="C1121" t="s" s="12">
        <v>202</v>
      </c>
      <c r="D1121" s="13">
        <v>10000</v>
      </c>
      <c r="E1121" s="13"/>
      <c r="F1121" s="14"/>
      <c r="G1121" s="14"/>
      <c r="H1121" s="14"/>
      <c r="I1121" s="14"/>
    </row>
    <row r="1122" ht="20.7" customHeight="1">
      <c r="A1122" s="10">
        <v>45509</v>
      </c>
      <c r="B1122" t="s" s="11">
        <v>8</v>
      </c>
      <c r="C1122" t="s" s="12">
        <v>8</v>
      </c>
      <c r="D1122" s="15" cm="1">
        <f t="array" ref="D1122">SUM(D1120:D1121)</f>
        <v>10000</v>
      </c>
      <c r="E1122" s="15" cm="1">
        <f t="array" ref="E1122">SUM(E1120:E1121)</f>
        <v>10000</v>
      </c>
      <c r="F1122" s="16" cm="1">
        <f t="array" ref="F1122">SUM(F1120:F1121)</f>
        <v>0</v>
      </c>
      <c r="G1122" s="16" cm="1">
        <f t="array" ref="G1122">SUM(G1120:G1121)</f>
        <v>0</v>
      </c>
      <c r="H1122" s="16" cm="1">
        <f t="array" ref="H1122">SUM(H1120:H1121)</f>
        <v>0</v>
      </c>
      <c r="I1122" s="16" cm="1">
        <f t="array" ref="I1122">SUM(I1120:I1121)</f>
        <v>0</v>
      </c>
    </row>
    <row r="1123" ht="20.35" customHeight="1">
      <c r="A1123" s="10">
        <v>45509</v>
      </c>
      <c r="B1123" t="s" s="11">
        <v>93</v>
      </c>
      <c r="C1123" t="s" s="12">
        <v>53</v>
      </c>
      <c r="D1123" s="17"/>
      <c r="E1123" s="17">
        <v>7936</v>
      </c>
      <c r="F1123" s="18"/>
      <c r="G1123" s="18"/>
      <c r="H1123" s="18"/>
      <c r="I1123" s="18"/>
    </row>
    <row r="1124" ht="20.35" customHeight="1">
      <c r="A1124" s="10">
        <v>45509</v>
      </c>
      <c r="B1124" t="s" s="11">
        <v>12</v>
      </c>
      <c r="C1124" t="s" s="12">
        <v>53</v>
      </c>
      <c r="D1124" s="13">
        <v>7936</v>
      </c>
      <c r="E1124" s="13"/>
      <c r="F1124" s="14"/>
      <c r="G1124" s="14"/>
      <c r="H1124" s="14"/>
      <c r="I1124" s="14"/>
    </row>
    <row r="1125" ht="20.7" customHeight="1">
      <c r="A1125" s="10">
        <v>45509</v>
      </c>
      <c r="B1125" t="s" s="11">
        <v>8</v>
      </c>
      <c r="C1125" t="s" s="12">
        <v>8</v>
      </c>
      <c r="D1125" s="15" cm="1">
        <f t="array" ref="D1125">SUM(D1123:D1124)</f>
        <v>7936</v>
      </c>
      <c r="E1125" s="15" cm="1">
        <f t="array" ref="E1125">SUM(E1123:E1124)</f>
        <v>7936</v>
      </c>
      <c r="F1125" s="16" cm="1">
        <f t="array" ref="F1125">SUM(F1123:F1124)</f>
        <v>0</v>
      </c>
      <c r="G1125" s="16" cm="1">
        <f t="array" ref="G1125">SUM(G1123:G1124)</f>
        <v>0</v>
      </c>
      <c r="H1125" s="16" cm="1">
        <f t="array" ref="H1125">SUM(H1123:H1124)</f>
        <v>0</v>
      </c>
      <c r="I1125" s="16" cm="1">
        <f t="array" ref="I1125">SUM(I1123:I1124)</f>
        <v>0</v>
      </c>
    </row>
    <row r="1126" ht="20.35" customHeight="1">
      <c r="A1126" s="10">
        <v>45509</v>
      </c>
      <c r="B1126" t="s" s="11">
        <v>5</v>
      </c>
      <c r="C1126" t="s" s="12">
        <v>202</v>
      </c>
      <c r="D1126" s="17"/>
      <c r="E1126" s="17">
        <v>27936</v>
      </c>
      <c r="F1126" s="18"/>
      <c r="G1126" s="18"/>
      <c r="H1126" s="18"/>
      <c r="I1126" s="18"/>
    </row>
    <row r="1127" ht="20.35" customHeight="1">
      <c r="A1127" s="10">
        <v>45509</v>
      </c>
      <c r="B1127" t="s" s="11">
        <v>93</v>
      </c>
      <c r="C1127" t="s" s="12">
        <v>202</v>
      </c>
      <c r="D1127" s="13">
        <v>27936</v>
      </c>
      <c r="E1127" s="13"/>
      <c r="F1127" s="14"/>
      <c r="G1127" s="14"/>
      <c r="H1127" s="14"/>
      <c r="I1127" s="14"/>
    </row>
    <row r="1128" ht="20.7" customHeight="1">
      <c r="A1128" s="10">
        <v>45509</v>
      </c>
      <c r="B1128" t="s" s="11">
        <v>8</v>
      </c>
      <c r="C1128" t="s" s="12">
        <v>8</v>
      </c>
      <c r="D1128" s="15" cm="1">
        <f t="array" ref="D1128">SUM(D1126:D1127)</f>
        <v>27936</v>
      </c>
      <c r="E1128" s="15" cm="1">
        <f t="array" ref="E1128">SUM(E1126:E1127)</f>
        <v>27936</v>
      </c>
      <c r="F1128" s="16" cm="1">
        <f t="array" ref="F1128">SUM(F1126:F1127)</f>
        <v>0</v>
      </c>
      <c r="G1128" s="16" cm="1">
        <f t="array" ref="G1128">SUM(G1126:G1127)</f>
        <v>0</v>
      </c>
      <c r="H1128" s="16" cm="1">
        <f t="array" ref="H1128">SUM(H1126:H1127)</f>
        <v>0</v>
      </c>
      <c r="I1128" s="16" cm="1">
        <f t="array" ref="I1128">SUM(I1126:I1127)</f>
        <v>0</v>
      </c>
    </row>
    <row r="1129" ht="20.65" customHeight="1">
      <c r="A1129" s="10">
        <v>45509</v>
      </c>
      <c r="B1129" t="s" s="11">
        <v>93</v>
      </c>
      <c r="C1129" t="s" s="12">
        <v>70</v>
      </c>
      <c r="D1129" s="17"/>
      <c r="E1129" s="17">
        <v>30000</v>
      </c>
      <c r="F1129" s="18"/>
      <c r="G1129" s="18"/>
      <c r="H1129" s="18"/>
      <c r="I1129" s="18"/>
    </row>
    <row r="1130" ht="20.65" customHeight="1">
      <c r="A1130" s="10">
        <v>45509</v>
      </c>
      <c r="B1130" t="s" s="11">
        <v>21</v>
      </c>
      <c r="C1130" t="s" s="12">
        <v>70</v>
      </c>
      <c r="D1130" s="13">
        <v>30000</v>
      </c>
      <c r="E1130" s="13"/>
      <c r="F1130" s="14"/>
      <c r="G1130" s="14"/>
      <c r="H1130" s="14"/>
      <c r="I1130" s="14"/>
    </row>
    <row r="1131" ht="20.7" customHeight="1">
      <c r="A1131" s="10">
        <v>45509</v>
      </c>
      <c r="B1131" t="s" s="11">
        <v>8</v>
      </c>
      <c r="C1131" t="s" s="12">
        <v>8</v>
      </c>
      <c r="D1131" s="15" cm="1">
        <f t="array" ref="D1131">SUM(D1129:D1130)</f>
        <v>30000</v>
      </c>
      <c r="E1131" s="15" cm="1">
        <f t="array" ref="E1131">SUM(E1129:E1130)</f>
        <v>30000</v>
      </c>
      <c r="F1131" s="16" cm="1">
        <f t="array" ref="F1131">SUM(F1129:F1130)</f>
        <v>0</v>
      </c>
      <c r="G1131" s="16" cm="1">
        <f t="array" ref="G1131">SUM(G1129:G1130)</f>
        <v>0</v>
      </c>
      <c r="H1131" s="16" cm="1">
        <f t="array" ref="H1131">SUM(H1129:H1130)</f>
        <v>0</v>
      </c>
      <c r="I1131" s="16" cm="1">
        <f t="array" ref="I1131">SUM(I1129:I1130)</f>
        <v>0</v>
      </c>
    </row>
    <row r="1132" ht="21.25" customHeight="1">
      <c r="A1132" s="10">
        <v>45510</v>
      </c>
      <c r="B1132" t="s" s="11">
        <v>5</v>
      </c>
      <c r="C1132" t="s" s="12">
        <v>253</v>
      </c>
      <c r="D1132" s="17"/>
      <c r="E1132" s="17">
        <v>4990</v>
      </c>
      <c r="F1132" s="18"/>
      <c r="G1132" s="18"/>
      <c r="H1132" s="18"/>
      <c r="I1132" s="18"/>
    </row>
    <row r="1133" ht="21.25" customHeight="1">
      <c r="A1133" s="10">
        <v>45510</v>
      </c>
      <c r="B1133" t="s" s="11">
        <v>10</v>
      </c>
      <c r="C1133" t="s" s="12">
        <v>253</v>
      </c>
      <c r="D1133" s="13">
        <v>4990</v>
      </c>
      <c r="E1133" s="13"/>
      <c r="F1133" s="14"/>
      <c r="G1133" s="14"/>
      <c r="H1133" s="14"/>
      <c r="I1133" s="14"/>
    </row>
    <row r="1134" ht="20.7" customHeight="1">
      <c r="A1134" s="10">
        <v>45510</v>
      </c>
      <c r="B1134" t="s" s="11">
        <v>8</v>
      </c>
      <c r="C1134" t="s" s="12">
        <v>8</v>
      </c>
      <c r="D1134" s="15" cm="1">
        <f t="array" ref="D1134">SUM(D1132:D1133)</f>
        <v>4990</v>
      </c>
      <c r="E1134" s="15" cm="1">
        <f t="array" ref="E1134">SUM(E1132:E1133)</f>
        <v>4990</v>
      </c>
      <c r="F1134" s="16" cm="1">
        <f t="array" ref="F1134">SUM(F1132:F1133)</f>
        <v>0</v>
      </c>
      <c r="G1134" s="16" cm="1">
        <f t="array" ref="G1134">SUM(G1132:G1133)</f>
        <v>0</v>
      </c>
      <c r="H1134" s="16" cm="1">
        <f t="array" ref="H1134">SUM(H1132:H1133)</f>
        <v>0</v>
      </c>
      <c r="I1134" s="16" cm="1">
        <f t="array" ref="I1134">SUM(I1132:I1133)</f>
        <v>0</v>
      </c>
    </row>
    <row r="1135" ht="20.35" customHeight="1">
      <c r="A1135" s="10">
        <v>45510</v>
      </c>
      <c r="B1135" t="s" s="11">
        <v>5</v>
      </c>
      <c r="C1135" t="s" s="12">
        <v>17</v>
      </c>
      <c r="D1135" s="17">
        <v>100</v>
      </c>
      <c r="E1135" s="17"/>
      <c r="F1135" s="18"/>
      <c r="G1135" s="18"/>
      <c r="H1135" s="18"/>
      <c r="I1135" s="18"/>
    </row>
    <row r="1136" ht="20.35" customHeight="1">
      <c r="A1136" s="10">
        <v>45510</v>
      </c>
      <c r="B1136" t="s" s="11">
        <v>18</v>
      </c>
      <c r="C1136" t="s" s="12">
        <v>17</v>
      </c>
      <c r="D1136" s="13"/>
      <c r="E1136" s="13">
        <v>100</v>
      </c>
      <c r="F1136" s="14"/>
      <c r="G1136" s="14"/>
      <c r="H1136" s="14"/>
      <c r="I1136" s="14"/>
    </row>
    <row r="1137" ht="20.7" customHeight="1">
      <c r="A1137" s="10">
        <v>45510</v>
      </c>
      <c r="B1137" t="s" s="11">
        <v>8</v>
      </c>
      <c r="C1137" t="s" s="12">
        <v>8</v>
      </c>
      <c r="D1137" s="15" cm="1">
        <f t="array" ref="D1137">SUM(D1135:D1136)</f>
        <v>100</v>
      </c>
      <c r="E1137" s="15" cm="1">
        <f t="array" ref="E1137">SUM(E1135:E1136)</f>
        <v>100</v>
      </c>
      <c r="F1137" s="16" cm="1">
        <f t="array" ref="F1137">SUM(F1135:F1136)</f>
        <v>0</v>
      </c>
      <c r="G1137" s="16" cm="1">
        <f t="array" ref="G1137">SUM(G1135:G1136)</f>
        <v>0</v>
      </c>
      <c r="H1137" s="16" cm="1">
        <f t="array" ref="H1137">SUM(H1135:H1136)</f>
        <v>0</v>
      </c>
      <c r="I1137" s="16" cm="1">
        <f t="array" ref="I1137">SUM(I1135:I1136)</f>
        <v>0</v>
      </c>
    </row>
    <row r="1138" ht="21.25" customHeight="1">
      <c r="A1138" s="10">
        <v>45510</v>
      </c>
      <c r="B1138" t="s" s="11">
        <v>5</v>
      </c>
      <c r="C1138" t="s" s="12">
        <v>254</v>
      </c>
      <c r="D1138" s="17">
        <v>176000</v>
      </c>
      <c r="E1138" s="17"/>
      <c r="F1138" s="18"/>
      <c r="G1138" s="18"/>
      <c r="H1138" s="18"/>
      <c r="I1138" s="18"/>
    </row>
    <row r="1139" ht="21.25" customHeight="1">
      <c r="A1139" s="10">
        <v>45510</v>
      </c>
      <c r="B1139" t="s" s="11">
        <v>97</v>
      </c>
      <c r="C1139" t="s" s="12">
        <v>254</v>
      </c>
      <c r="D1139" s="13"/>
      <c r="E1139" s="13">
        <v>176000</v>
      </c>
      <c r="F1139" s="14"/>
      <c r="G1139" s="14"/>
      <c r="H1139" s="14"/>
      <c r="I1139" s="14"/>
    </row>
    <row r="1140" ht="20.7" customHeight="1">
      <c r="A1140" s="10">
        <v>45510</v>
      </c>
      <c r="B1140" t="s" s="11">
        <v>8</v>
      </c>
      <c r="C1140" t="s" s="12">
        <v>8</v>
      </c>
      <c r="D1140" s="15" cm="1">
        <f t="array" ref="D1140">SUM(D1138:D1139)</f>
        <v>176000</v>
      </c>
      <c r="E1140" s="15" cm="1">
        <f t="array" ref="E1140">SUM(E1138:E1139)</f>
        <v>176000</v>
      </c>
      <c r="F1140" s="16" cm="1">
        <f t="array" ref="F1140">SUM(F1138:F1139)</f>
        <v>0</v>
      </c>
      <c r="G1140" s="16" cm="1">
        <f t="array" ref="G1140">SUM(G1138:G1139)</f>
        <v>0</v>
      </c>
      <c r="H1140" s="16" cm="1">
        <f t="array" ref="H1140">SUM(H1138:H1139)</f>
        <v>0</v>
      </c>
      <c r="I1140" s="16" cm="1">
        <f t="array" ref="I1140">SUM(I1138:I1139)</f>
        <v>0</v>
      </c>
    </row>
    <row r="1141" ht="20.35" customHeight="1">
      <c r="A1141" s="10">
        <v>45510</v>
      </c>
      <c r="B1141" t="s" s="11">
        <v>255</v>
      </c>
      <c r="C1141" t="s" s="12">
        <v>256</v>
      </c>
      <c r="D1141" s="17"/>
      <c r="E1141" s="17">
        <v>30000</v>
      </c>
      <c r="F1141" s="18"/>
      <c r="G1141" s="18"/>
      <c r="H1141" s="18"/>
      <c r="I1141" s="18"/>
    </row>
    <row r="1142" ht="20.05" customHeight="1">
      <c r="A1142" s="10">
        <v>45510</v>
      </c>
      <c r="B1142" t="s" s="11">
        <v>257</v>
      </c>
      <c r="C1142" t="s" s="12">
        <v>256</v>
      </c>
      <c r="D1142" s="19"/>
      <c r="E1142" s="19">
        <v>510</v>
      </c>
      <c r="F1142" s="20"/>
      <c r="G1142" s="20"/>
      <c r="H1142" s="20"/>
      <c r="I1142" s="20"/>
    </row>
    <row r="1143" ht="20.05" customHeight="1">
      <c r="A1143" s="10">
        <v>45510</v>
      </c>
      <c r="B1143" t="s" s="11">
        <v>258</v>
      </c>
      <c r="C1143" t="s" s="12">
        <v>256</v>
      </c>
      <c r="D1143" s="19"/>
      <c r="E1143" s="19">
        <v>50000</v>
      </c>
      <c r="F1143" s="20"/>
      <c r="G1143" s="20"/>
      <c r="H1143" s="20"/>
      <c r="I1143" s="20"/>
    </row>
    <row r="1144" ht="20.05" customHeight="1">
      <c r="A1144" s="10">
        <v>45510</v>
      </c>
      <c r="B1144" t="s" s="11">
        <v>259</v>
      </c>
      <c r="C1144" t="s" s="12">
        <v>256</v>
      </c>
      <c r="D1144" s="19"/>
      <c r="E1144" s="19">
        <v>83000</v>
      </c>
      <c r="F1144" s="20"/>
      <c r="G1144" s="20"/>
      <c r="H1144" s="20"/>
      <c r="I1144" s="20"/>
    </row>
    <row r="1145" ht="20.35" customHeight="1">
      <c r="A1145" s="10">
        <v>45510</v>
      </c>
      <c r="B1145" t="s" s="11">
        <v>5</v>
      </c>
      <c r="C1145" t="s" s="12">
        <v>256</v>
      </c>
      <c r="D1145" s="13">
        <v>163510</v>
      </c>
      <c r="E1145" s="13"/>
      <c r="F1145" s="14"/>
      <c r="G1145" s="14"/>
      <c r="H1145" s="14"/>
      <c r="I1145" s="14"/>
    </row>
    <row r="1146" ht="20.7" customHeight="1">
      <c r="A1146" s="10">
        <v>45510</v>
      </c>
      <c r="B1146" t="s" s="11">
        <v>8</v>
      </c>
      <c r="C1146" t="s" s="12">
        <v>8</v>
      </c>
      <c r="D1146" s="15" cm="1">
        <f t="array" ref="D1146">SUM(D1141:D1145)</f>
        <v>163510</v>
      </c>
      <c r="E1146" s="15" cm="1">
        <f t="array" ref="E1146">SUM(E1141:E1145)</f>
        <v>163510</v>
      </c>
      <c r="F1146" s="16" cm="1">
        <f t="array" ref="F1146">SUM(F1141:F1145)</f>
        <v>0</v>
      </c>
      <c r="G1146" s="16" cm="1">
        <f t="array" ref="G1146">SUM(G1141:G1145)</f>
        <v>0</v>
      </c>
      <c r="H1146" s="16" cm="1">
        <f t="array" ref="H1146">SUM(H1141:H1145)</f>
        <v>0</v>
      </c>
      <c r="I1146" s="16" cm="1">
        <f t="array" ref="I1146">SUM(I1141:I1145)</f>
        <v>0</v>
      </c>
    </row>
    <row r="1147" ht="21.25" customHeight="1">
      <c r="A1147" s="10">
        <v>45510</v>
      </c>
      <c r="B1147" t="s" s="11">
        <v>5</v>
      </c>
      <c r="C1147" t="s" s="12">
        <v>260</v>
      </c>
      <c r="D1147" s="17"/>
      <c r="E1147" s="17">
        <v>100000</v>
      </c>
      <c r="F1147" s="18"/>
      <c r="G1147" s="18"/>
      <c r="H1147" s="18"/>
      <c r="I1147" s="18"/>
    </row>
    <row r="1148" ht="20.9" customHeight="1">
      <c r="A1148" s="10">
        <v>45510</v>
      </c>
      <c r="B1148" t="s" s="11">
        <v>261</v>
      </c>
      <c r="C1148" t="s" s="12">
        <v>260</v>
      </c>
      <c r="D1148" s="19">
        <v>41000</v>
      </c>
      <c r="E1148" s="19"/>
      <c r="F1148" s="20"/>
      <c r="G1148" s="20"/>
      <c r="H1148" s="20"/>
      <c r="I1148" s="20"/>
    </row>
    <row r="1149" ht="20.9" customHeight="1">
      <c r="A1149" s="10">
        <v>45510</v>
      </c>
      <c r="B1149" t="s" s="11">
        <v>258</v>
      </c>
      <c r="C1149" t="s" s="12">
        <v>260</v>
      </c>
      <c r="D1149" s="19">
        <v>18000</v>
      </c>
      <c r="E1149" s="19"/>
      <c r="F1149" s="20"/>
      <c r="G1149" s="20"/>
      <c r="H1149" s="20"/>
      <c r="I1149" s="20"/>
    </row>
    <row r="1150" ht="20.9" customHeight="1">
      <c r="A1150" s="10">
        <v>45510</v>
      </c>
      <c r="B1150" t="s" s="11">
        <v>257</v>
      </c>
      <c r="C1150" t="s" s="12">
        <v>260</v>
      </c>
      <c r="D1150" s="19">
        <v>7549</v>
      </c>
      <c r="E1150" s="19"/>
      <c r="F1150" s="20"/>
      <c r="G1150" s="20"/>
      <c r="H1150" s="20"/>
      <c r="I1150" s="20"/>
    </row>
    <row r="1151" ht="20.9" customHeight="1">
      <c r="A1151" s="10">
        <v>45510</v>
      </c>
      <c r="B1151" t="s" s="11">
        <v>72</v>
      </c>
      <c r="C1151" t="s" s="12">
        <v>260</v>
      </c>
      <c r="D1151" s="19">
        <v>6842</v>
      </c>
      <c r="E1151" s="19"/>
      <c r="F1151" s="20"/>
      <c r="G1151" s="20"/>
      <c r="H1151" s="20"/>
      <c r="I1151" s="20"/>
    </row>
    <row r="1152" ht="20.9" customHeight="1">
      <c r="A1152" s="10">
        <v>45510</v>
      </c>
      <c r="B1152" t="s" s="11">
        <v>255</v>
      </c>
      <c r="C1152" t="s" s="12">
        <v>260</v>
      </c>
      <c r="D1152" s="19">
        <v>5600</v>
      </c>
      <c r="E1152" s="19"/>
      <c r="F1152" s="20"/>
      <c r="G1152" s="20"/>
      <c r="H1152" s="20"/>
      <c r="I1152" s="20"/>
    </row>
    <row r="1153" ht="21.25" customHeight="1">
      <c r="A1153" s="10">
        <v>45510</v>
      </c>
      <c r="B1153" t="s" s="11">
        <v>259</v>
      </c>
      <c r="C1153" t="s" s="12">
        <v>260</v>
      </c>
      <c r="D1153" s="13">
        <v>21009</v>
      </c>
      <c r="E1153" s="13"/>
      <c r="F1153" s="14"/>
      <c r="G1153" s="14"/>
      <c r="H1153" s="14"/>
      <c r="I1153" s="14"/>
    </row>
    <row r="1154" ht="20.7" customHeight="1">
      <c r="A1154" s="10">
        <v>45510</v>
      </c>
      <c r="B1154" t="s" s="11">
        <v>8</v>
      </c>
      <c r="C1154" t="s" s="12">
        <v>8</v>
      </c>
      <c r="D1154" s="15" cm="1">
        <f t="array" ref="D1154">SUM(D1147:D1153)</f>
        <v>100000</v>
      </c>
      <c r="E1154" s="15" cm="1">
        <f t="array" ref="E1154">SUM(E1147:E1153)</f>
        <v>100000</v>
      </c>
      <c r="F1154" s="16" cm="1">
        <f t="array" ref="F1154">SUM(F1147:F1153)</f>
        <v>0</v>
      </c>
      <c r="G1154" s="16" cm="1">
        <f t="array" ref="G1154">SUM(G1147:G1153)</f>
        <v>0</v>
      </c>
      <c r="H1154" s="16" cm="1">
        <f t="array" ref="H1154">SUM(H1147:H1153)</f>
        <v>0</v>
      </c>
      <c r="I1154" s="16" cm="1">
        <f t="array" ref="I1154">SUM(I1147:I1153)</f>
        <v>0</v>
      </c>
    </row>
    <row r="1155" ht="20.35" customHeight="1">
      <c r="A1155" s="10">
        <v>45511</v>
      </c>
      <c r="B1155" t="s" s="11">
        <v>21</v>
      </c>
      <c r="C1155" t="s" s="12">
        <v>250</v>
      </c>
      <c r="D1155" s="17"/>
      <c r="E1155" s="17">
        <v>2800</v>
      </c>
      <c r="F1155" s="18"/>
      <c r="G1155" s="18"/>
      <c r="H1155" s="18"/>
      <c r="I1155" s="18"/>
    </row>
    <row r="1156" ht="20.35" customHeight="1">
      <c r="A1156" s="10">
        <v>45511</v>
      </c>
      <c r="B1156" t="s" s="11">
        <v>16</v>
      </c>
      <c r="C1156" t="s" s="12">
        <v>250</v>
      </c>
      <c r="D1156" s="13">
        <v>2800</v>
      </c>
      <c r="E1156" s="13"/>
      <c r="F1156" s="14"/>
      <c r="G1156" s="14"/>
      <c r="H1156" s="14"/>
      <c r="I1156" s="14"/>
    </row>
    <row r="1157" ht="20.7" customHeight="1">
      <c r="A1157" s="10">
        <v>45511</v>
      </c>
      <c r="B1157" t="s" s="11">
        <v>8</v>
      </c>
      <c r="C1157" t="s" s="12">
        <v>8</v>
      </c>
      <c r="D1157" s="15" cm="1">
        <f t="array" ref="D1157">SUM(D1155:D1156)</f>
        <v>2800</v>
      </c>
      <c r="E1157" s="15" cm="1">
        <f t="array" ref="E1157">SUM(E1155:E1156)</f>
        <v>2800</v>
      </c>
      <c r="F1157" s="16" cm="1">
        <f t="array" ref="F1157">SUM(F1155:F1156)</f>
        <v>0</v>
      </c>
      <c r="G1157" s="16" cm="1">
        <f t="array" ref="G1157">SUM(G1155:G1156)</f>
        <v>0</v>
      </c>
      <c r="H1157" s="16" cm="1">
        <f t="array" ref="H1157">SUM(H1155:H1156)</f>
        <v>0</v>
      </c>
      <c r="I1157" s="16" cm="1">
        <f t="array" ref="I1157">SUM(I1155:I1156)</f>
        <v>0</v>
      </c>
    </row>
    <row r="1158" ht="20.35" customHeight="1">
      <c r="A1158" s="10">
        <v>45512</v>
      </c>
      <c r="B1158" t="s" s="11">
        <v>5</v>
      </c>
      <c r="C1158" t="s" s="12">
        <v>53</v>
      </c>
      <c r="D1158" s="17"/>
      <c r="E1158" s="17">
        <v>11061</v>
      </c>
      <c r="F1158" s="18"/>
      <c r="G1158" s="18"/>
      <c r="H1158" s="18"/>
      <c r="I1158" s="18"/>
    </row>
    <row r="1159" ht="20.35" customHeight="1">
      <c r="A1159" s="10">
        <v>45512</v>
      </c>
      <c r="B1159" t="s" s="11">
        <v>12</v>
      </c>
      <c r="C1159" t="s" s="12">
        <v>53</v>
      </c>
      <c r="D1159" s="13">
        <v>11061</v>
      </c>
      <c r="E1159" s="13"/>
      <c r="F1159" s="14"/>
      <c r="G1159" s="14"/>
      <c r="H1159" s="14"/>
      <c r="I1159" s="14"/>
    </row>
    <row r="1160" ht="20.7" customHeight="1">
      <c r="A1160" s="10">
        <v>45512</v>
      </c>
      <c r="B1160" t="s" s="11">
        <v>8</v>
      </c>
      <c r="C1160" t="s" s="12">
        <v>8</v>
      </c>
      <c r="D1160" s="15" cm="1">
        <f t="array" ref="D1160">SUM(D1158:D1159)</f>
        <v>11061</v>
      </c>
      <c r="E1160" s="15" cm="1">
        <f t="array" ref="E1160">SUM(E1158:E1159)</f>
        <v>11061</v>
      </c>
      <c r="F1160" s="16" cm="1">
        <f t="array" ref="F1160">SUM(F1158:F1159)</f>
        <v>0</v>
      </c>
      <c r="G1160" s="16" cm="1">
        <f t="array" ref="G1160">SUM(G1158:G1159)</f>
        <v>0</v>
      </c>
      <c r="H1160" s="16" cm="1">
        <f t="array" ref="H1160">SUM(H1158:H1159)</f>
        <v>0</v>
      </c>
      <c r="I1160" s="16" cm="1">
        <f t="array" ref="I1160">SUM(I1158:I1159)</f>
        <v>0</v>
      </c>
    </row>
    <row r="1161" ht="21.25" customHeight="1">
      <c r="A1161" s="10">
        <v>45512</v>
      </c>
      <c r="B1161" t="s" s="11">
        <v>5</v>
      </c>
      <c r="C1161" t="s" s="12">
        <v>262</v>
      </c>
      <c r="D1161" s="17"/>
      <c r="E1161" s="17">
        <v>14500</v>
      </c>
      <c r="F1161" s="18"/>
      <c r="G1161" s="18"/>
      <c r="H1161" s="18"/>
      <c r="I1161" s="18"/>
    </row>
    <row r="1162" ht="21.25" customHeight="1">
      <c r="A1162" s="10">
        <v>45512</v>
      </c>
      <c r="B1162" t="s" s="11">
        <v>12</v>
      </c>
      <c r="C1162" t="s" s="12">
        <v>262</v>
      </c>
      <c r="D1162" s="13">
        <v>14500</v>
      </c>
      <c r="E1162" s="13"/>
      <c r="F1162" s="14"/>
      <c r="G1162" s="14"/>
      <c r="H1162" s="14"/>
      <c r="I1162" s="14"/>
    </row>
    <row r="1163" ht="20.7" customHeight="1">
      <c r="A1163" s="10">
        <v>45512</v>
      </c>
      <c r="B1163" t="s" s="11">
        <v>8</v>
      </c>
      <c r="C1163" t="s" s="12">
        <v>8</v>
      </c>
      <c r="D1163" s="15" cm="1">
        <f t="array" ref="D1163">SUM(D1161:D1162)</f>
        <v>14500</v>
      </c>
      <c r="E1163" s="15" cm="1">
        <f t="array" ref="E1163">SUM(E1161:E1162)</f>
        <v>14500</v>
      </c>
      <c r="F1163" s="16" cm="1">
        <f t="array" ref="F1163">SUM(F1161:F1162)</f>
        <v>0</v>
      </c>
      <c r="G1163" s="16" cm="1">
        <f t="array" ref="G1163">SUM(G1161:G1162)</f>
        <v>0</v>
      </c>
      <c r="H1163" s="16" cm="1">
        <f t="array" ref="H1163">SUM(H1161:H1162)</f>
        <v>0</v>
      </c>
      <c r="I1163" s="16" cm="1">
        <f t="array" ref="I1163">SUM(I1161:I1162)</f>
        <v>0</v>
      </c>
    </row>
    <row r="1164" ht="20.35" customHeight="1">
      <c r="A1164" s="10">
        <v>45512</v>
      </c>
      <c r="B1164" t="s" s="11">
        <v>5</v>
      </c>
      <c r="C1164" t="s" s="12">
        <v>17</v>
      </c>
      <c r="D1164" s="17">
        <v>100</v>
      </c>
      <c r="E1164" s="17"/>
      <c r="F1164" s="18"/>
      <c r="G1164" s="18"/>
      <c r="H1164" s="18"/>
      <c r="I1164" s="18"/>
    </row>
    <row r="1165" ht="20.35" customHeight="1">
      <c r="A1165" s="10">
        <v>45512</v>
      </c>
      <c r="B1165" t="s" s="11">
        <v>18</v>
      </c>
      <c r="C1165" t="s" s="12">
        <v>17</v>
      </c>
      <c r="D1165" s="13"/>
      <c r="E1165" s="13">
        <v>100</v>
      </c>
      <c r="F1165" s="14"/>
      <c r="G1165" s="14"/>
      <c r="H1165" s="14"/>
      <c r="I1165" s="14"/>
    </row>
    <row r="1166" ht="20.7" customHeight="1">
      <c r="A1166" s="10">
        <v>45512</v>
      </c>
      <c r="B1166" t="s" s="11">
        <v>8</v>
      </c>
      <c r="C1166" t="s" s="12">
        <v>8</v>
      </c>
      <c r="D1166" s="15" cm="1">
        <f t="array" ref="D1166">SUM(D1164:D1165)</f>
        <v>100</v>
      </c>
      <c r="E1166" s="15" cm="1">
        <f t="array" ref="E1166">SUM(E1164:E1165)</f>
        <v>100</v>
      </c>
      <c r="F1166" s="16" cm="1">
        <f t="array" ref="F1166">SUM(F1164:F1165)</f>
        <v>0</v>
      </c>
      <c r="G1166" s="16" cm="1">
        <f t="array" ref="G1166">SUM(G1164:G1165)</f>
        <v>0</v>
      </c>
      <c r="H1166" s="16" cm="1">
        <f t="array" ref="H1166">SUM(H1164:H1165)</f>
        <v>0</v>
      </c>
      <c r="I1166" s="16" cm="1">
        <f t="array" ref="I1166">SUM(I1164:I1165)</f>
        <v>0</v>
      </c>
    </row>
    <row r="1167" ht="20.65" customHeight="1">
      <c r="A1167" s="10">
        <v>45513</v>
      </c>
      <c r="B1167" t="s" s="11">
        <v>28</v>
      </c>
      <c r="C1167" t="s" s="12">
        <v>218</v>
      </c>
      <c r="D1167" s="17"/>
      <c r="E1167" s="17">
        <v>5000</v>
      </c>
      <c r="F1167" s="18"/>
      <c r="G1167" s="18"/>
      <c r="H1167" s="18"/>
      <c r="I1167" s="18"/>
    </row>
    <row r="1168" ht="20.65" customHeight="1">
      <c r="A1168" s="10">
        <v>45513</v>
      </c>
      <c r="B1168" t="s" s="11">
        <v>12</v>
      </c>
      <c r="C1168" t="s" s="12">
        <v>218</v>
      </c>
      <c r="D1168" s="13">
        <v>5000</v>
      </c>
      <c r="E1168" s="13"/>
      <c r="F1168" s="14"/>
      <c r="G1168" s="14"/>
      <c r="H1168" s="14"/>
      <c r="I1168" s="14"/>
    </row>
    <row r="1169" ht="20.7" customHeight="1">
      <c r="A1169" s="10">
        <v>45513</v>
      </c>
      <c r="B1169" t="s" s="11">
        <v>8</v>
      </c>
      <c r="C1169" t="s" s="12">
        <v>8</v>
      </c>
      <c r="D1169" s="15" cm="1">
        <f t="array" ref="D1169">SUM(D1167:D1168)</f>
        <v>5000</v>
      </c>
      <c r="E1169" s="15" cm="1">
        <f t="array" ref="E1169">SUM(E1167:E1168)</f>
        <v>5000</v>
      </c>
      <c r="F1169" s="16" cm="1">
        <f t="array" ref="F1169">SUM(F1167:F1168)</f>
        <v>0</v>
      </c>
      <c r="G1169" s="16" cm="1">
        <f t="array" ref="G1169">SUM(G1167:G1168)</f>
        <v>0</v>
      </c>
      <c r="H1169" s="16" cm="1">
        <f t="array" ref="H1169">SUM(H1167:H1168)</f>
        <v>0</v>
      </c>
      <c r="I1169" s="16" cm="1">
        <f t="array" ref="I1169">SUM(I1167:I1168)</f>
        <v>0</v>
      </c>
    </row>
    <row r="1170" ht="20.65" customHeight="1">
      <c r="A1170" s="10">
        <v>45514</v>
      </c>
      <c r="B1170" t="s" s="11">
        <v>28</v>
      </c>
      <c r="C1170" t="s" s="12">
        <v>217</v>
      </c>
      <c r="D1170" s="17"/>
      <c r="E1170" s="17">
        <v>5000</v>
      </c>
      <c r="F1170" s="18"/>
      <c r="G1170" s="18"/>
      <c r="H1170" s="18"/>
      <c r="I1170" s="18"/>
    </row>
    <row r="1171" ht="20.65" customHeight="1">
      <c r="A1171" s="10">
        <v>45514</v>
      </c>
      <c r="B1171" t="s" s="11">
        <v>10</v>
      </c>
      <c r="C1171" t="s" s="12">
        <v>217</v>
      </c>
      <c r="D1171" s="13">
        <v>5000</v>
      </c>
      <c r="E1171" s="13"/>
      <c r="F1171" s="14"/>
      <c r="G1171" s="14"/>
      <c r="H1171" s="14"/>
      <c r="I1171" s="14"/>
    </row>
    <row r="1172" ht="20.7" customHeight="1">
      <c r="A1172" s="10">
        <v>45514</v>
      </c>
      <c r="B1172" t="s" s="11">
        <v>8</v>
      </c>
      <c r="C1172" t="s" s="12">
        <v>8</v>
      </c>
      <c r="D1172" s="15" cm="1">
        <f t="array" ref="D1172">SUM(D1170:D1171)</f>
        <v>5000</v>
      </c>
      <c r="E1172" s="15" cm="1">
        <f t="array" ref="E1172">SUM(E1170:E1171)</f>
        <v>5000</v>
      </c>
      <c r="F1172" s="16" cm="1">
        <f t="array" ref="F1172">SUM(F1170:F1171)</f>
        <v>0</v>
      </c>
      <c r="G1172" s="16" cm="1">
        <f t="array" ref="G1172">SUM(G1170:G1171)</f>
        <v>0</v>
      </c>
      <c r="H1172" s="16" cm="1">
        <f t="array" ref="H1172">SUM(H1170:H1171)</f>
        <v>0</v>
      </c>
      <c r="I1172" s="16" cm="1">
        <f t="array" ref="I1172">SUM(I1170:I1171)</f>
        <v>0</v>
      </c>
    </row>
    <row r="1173" ht="21.25" customHeight="1">
      <c r="A1173" s="10">
        <v>45515</v>
      </c>
      <c r="B1173" t="s" s="11">
        <v>21</v>
      </c>
      <c r="C1173" t="s" s="12">
        <v>263</v>
      </c>
      <c r="D1173" s="17"/>
      <c r="E1173" s="17">
        <v>2900</v>
      </c>
      <c r="F1173" s="18"/>
      <c r="G1173" s="18"/>
      <c r="H1173" s="18"/>
      <c r="I1173" s="18"/>
    </row>
    <row r="1174" ht="21.25" customHeight="1">
      <c r="A1174" s="10">
        <v>45515</v>
      </c>
      <c r="B1174" t="s" s="11">
        <v>16</v>
      </c>
      <c r="C1174" t="s" s="12">
        <v>263</v>
      </c>
      <c r="D1174" s="13">
        <v>2900</v>
      </c>
      <c r="E1174" s="13"/>
      <c r="F1174" s="14"/>
      <c r="G1174" s="14"/>
      <c r="H1174" s="14"/>
      <c r="I1174" s="14"/>
    </row>
    <row r="1175" ht="20.7" customHeight="1">
      <c r="A1175" s="10">
        <v>45515</v>
      </c>
      <c r="B1175" t="s" s="11">
        <v>8</v>
      </c>
      <c r="C1175" t="s" s="12">
        <v>8</v>
      </c>
      <c r="D1175" s="15" cm="1">
        <f t="array" ref="D1175">SUM(D1173:D1174)</f>
        <v>2900</v>
      </c>
      <c r="E1175" s="15" cm="1">
        <f t="array" ref="E1175">SUM(E1173:E1174)</f>
        <v>2900</v>
      </c>
      <c r="F1175" s="16" cm="1">
        <f t="array" ref="F1175">SUM(F1173:F1174)</f>
        <v>0</v>
      </c>
      <c r="G1175" s="16" cm="1">
        <f t="array" ref="G1175">SUM(G1173:G1174)</f>
        <v>0</v>
      </c>
      <c r="H1175" s="16" cm="1">
        <f t="array" ref="H1175">SUM(H1173:H1174)</f>
        <v>0</v>
      </c>
      <c r="I1175" s="16" cm="1">
        <f t="array" ref="I1175">SUM(I1173:I1174)</f>
        <v>0</v>
      </c>
    </row>
    <row r="1176" ht="20.35" customHeight="1">
      <c r="A1176" s="10">
        <v>45515</v>
      </c>
      <c r="B1176" t="s" s="11">
        <v>5</v>
      </c>
      <c r="C1176" t="s" s="12">
        <v>53</v>
      </c>
      <c r="D1176" s="17"/>
      <c r="E1176" s="17">
        <v>5200</v>
      </c>
      <c r="F1176" s="18"/>
      <c r="G1176" s="18"/>
      <c r="H1176" s="18"/>
      <c r="I1176" s="18"/>
    </row>
    <row r="1177" ht="20.35" customHeight="1">
      <c r="A1177" s="10">
        <v>45515</v>
      </c>
      <c r="B1177" t="s" s="11">
        <v>12</v>
      </c>
      <c r="C1177" t="s" s="12">
        <v>53</v>
      </c>
      <c r="D1177" s="13">
        <v>5200</v>
      </c>
      <c r="E1177" s="13"/>
      <c r="F1177" s="14"/>
      <c r="G1177" s="14"/>
      <c r="H1177" s="14"/>
      <c r="I1177" s="14"/>
    </row>
    <row r="1178" ht="20.7" customHeight="1">
      <c r="A1178" s="10">
        <v>45515</v>
      </c>
      <c r="B1178" t="s" s="11">
        <v>8</v>
      </c>
      <c r="C1178" t="s" s="12">
        <v>8</v>
      </c>
      <c r="D1178" s="15" cm="1">
        <f t="array" ref="D1178">SUM(D1176:D1177)</f>
        <v>5200</v>
      </c>
      <c r="E1178" s="15" cm="1">
        <f t="array" ref="E1178">SUM(E1176:E1177)</f>
        <v>5200</v>
      </c>
      <c r="F1178" s="16" cm="1">
        <f t="array" ref="F1178">SUM(F1176:F1177)</f>
        <v>0</v>
      </c>
      <c r="G1178" s="16" cm="1">
        <f t="array" ref="G1178">SUM(G1176:G1177)</f>
        <v>0</v>
      </c>
      <c r="H1178" s="16" cm="1">
        <f t="array" ref="H1178">SUM(H1176:H1177)</f>
        <v>0</v>
      </c>
      <c r="I1178" s="16" cm="1">
        <f t="array" ref="I1178">SUM(I1176:I1177)</f>
        <v>0</v>
      </c>
    </row>
    <row r="1179" ht="20.35" customHeight="1">
      <c r="A1179" s="10">
        <v>45515</v>
      </c>
      <c r="B1179" t="s" s="11">
        <v>5</v>
      </c>
      <c r="C1179" t="s" s="12">
        <v>17</v>
      </c>
      <c r="D1179" s="17">
        <v>100</v>
      </c>
      <c r="E1179" s="17"/>
      <c r="F1179" s="18"/>
      <c r="G1179" s="18"/>
      <c r="H1179" s="18"/>
      <c r="I1179" s="18"/>
    </row>
    <row r="1180" ht="20.35" customHeight="1">
      <c r="A1180" s="10">
        <v>45515</v>
      </c>
      <c r="B1180" t="s" s="11">
        <v>18</v>
      </c>
      <c r="C1180" t="s" s="12">
        <v>17</v>
      </c>
      <c r="D1180" s="13"/>
      <c r="E1180" s="13">
        <v>100</v>
      </c>
      <c r="F1180" s="14"/>
      <c r="G1180" s="14"/>
      <c r="H1180" s="14"/>
      <c r="I1180" s="14"/>
    </row>
    <row r="1181" ht="20.7" customHeight="1">
      <c r="A1181" s="10">
        <v>45515</v>
      </c>
      <c r="B1181" t="s" s="11">
        <v>8</v>
      </c>
      <c r="C1181" t="s" s="12">
        <v>8</v>
      </c>
      <c r="D1181" s="15" cm="1">
        <f t="array" ref="D1181">SUM(D1179:D1180)</f>
        <v>100</v>
      </c>
      <c r="E1181" s="15" cm="1">
        <f t="array" ref="E1181">SUM(E1179:E1180)</f>
        <v>100</v>
      </c>
      <c r="F1181" s="16" cm="1">
        <f t="array" ref="F1181">SUM(F1179:F1180)</f>
        <v>0</v>
      </c>
      <c r="G1181" s="16" cm="1">
        <f t="array" ref="G1181">SUM(G1179:G1180)</f>
        <v>0</v>
      </c>
      <c r="H1181" s="16" cm="1">
        <f t="array" ref="H1181">SUM(H1179:H1180)</f>
        <v>0</v>
      </c>
      <c r="I1181" s="16" cm="1">
        <f t="array" ref="I1181">SUM(I1179:I1180)</f>
        <v>0</v>
      </c>
    </row>
    <row r="1182" ht="21.25" customHeight="1">
      <c r="A1182" s="10">
        <v>45515</v>
      </c>
      <c r="B1182" t="s" s="11">
        <v>5</v>
      </c>
      <c r="C1182" t="s" s="12">
        <v>264</v>
      </c>
      <c r="D1182" s="17"/>
      <c r="E1182" s="17">
        <v>6000</v>
      </c>
      <c r="F1182" s="18"/>
      <c r="G1182" s="18"/>
      <c r="H1182" s="18"/>
      <c r="I1182" s="18"/>
    </row>
    <row r="1183" ht="21.25" customHeight="1">
      <c r="A1183" s="10">
        <v>45515</v>
      </c>
      <c r="B1183" t="s" s="11">
        <v>12</v>
      </c>
      <c r="C1183" t="s" s="12">
        <v>264</v>
      </c>
      <c r="D1183" s="13">
        <v>6000</v>
      </c>
      <c r="E1183" s="13"/>
      <c r="F1183" s="14"/>
      <c r="G1183" s="14"/>
      <c r="H1183" s="14"/>
      <c r="I1183" s="14"/>
    </row>
    <row r="1184" ht="20.7" customHeight="1">
      <c r="A1184" s="10">
        <v>45515</v>
      </c>
      <c r="B1184" t="s" s="11">
        <v>8</v>
      </c>
      <c r="C1184" t="s" s="12">
        <v>8</v>
      </c>
      <c r="D1184" s="15" cm="1">
        <f t="array" ref="D1184">SUM(D1182:D1183)</f>
        <v>6000</v>
      </c>
      <c r="E1184" s="15" cm="1">
        <f t="array" ref="E1184">SUM(E1182:E1183)</f>
        <v>6000</v>
      </c>
      <c r="F1184" s="16" cm="1">
        <f t="array" ref="F1184">SUM(F1182:F1183)</f>
        <v>0</v>
      </c>
      <c r="G1184" s="16" cm="1">
        <f t="array" ref="G1184">SUM(G1182:G1183)</f>
        <v>0</v>
      </c>
      <c r="H1184" s="16" cm="1">
        <f t="array" ref="H1184">SUM(H1182:H1183)</f>
        <v>0</v>
      </c>
      <c r="I1184" s="16" cm="1">
        <f t="array" ref="I1184">SUM(I1182:I1183)</f>
        <v>0</v>
      </c>
    </row>
    <row r="1185" ht="20.35" customHeight="1">
      <c r="A1185" s="10">
        <v>45515</v>
      </c>
      <c r="B1185" t="s" s="11">
        <v>5</v>
      </c>
      <c r="C1185" t="s" s="12">
        <v>17</v>
      </c>
      <c r="D1185" s="17">
        <v>100</v>
      </c>
      <c r="E1185" s="17"/>
      <c r="F1185" s="18"/>
      <c r="G1185" s="18"/>
      <c r="H1185" s="18"/>
      <c r="I1185" s="18"/>
    </row>
    <row r="1186" ht="20.35" customHeight="1">
      <c r="A1186" s="10">
        <v>45515</v>
      </c>
      <c r="B1186" t="s" s="11">
        <v>18</v>
      </c>
      <c r="C1186" t="s" s="12">
        <v>17</v>
      </c>
      <c r="D1186" s="13"/>
      <c r="E1186" s="13">
        <v>100</v>
      </c>
      <c r="F1186" s="14"/>
      <c r="G1186" s="14"/>
      <c r="H1186" s="14"/>
      <c r="I1186" s="14"/>
    </row>
    <row r="1187" ht="20.7" customHeight="1">
      <c r="A1187" s="10">
        <v>45515</v>
      </c>
      <c r="B1187" t="s" s="11">
        <v>8</v>
      </c>
      <c r="C1187" t="s" s="12">
        <v>8</v>
      </c>
      <c r="D1187" s="15" cm="1">
        <f t="array" ref="D1187">SUM(D1185:D1186)</f>
        <v>100</v>
      </c>
      <c r="E1187" s="15" cm="1">
        <f t="array" ref="E1187">SUM(E1185:E1186)</f>
        <v>100</v>
      </c>
      <c r="F1187" s="16" cm="1">
        <f t="array" ref="F1187">SUM(F1185:F1186)</f>
        <v>0</v>
      </c>
      <c r="G1187" s="16" cm="1">
        <f t="array" ref="G1187">SUM(G1185:G1186)</f>
        <v>0</v>
      </c>
      <c r="H1187" s="16" cm="1">
        <f t="array" ref="H1187">SUM(H1185:H1186)</f>
        <v>0</v>
      </c>
      <c r="I1187" s="16" cm="1">
        <f t="array" ref="I1187">SUM(I1185:I1186)</f>
        <v>0</v>
      </c>
    </row>
    <row r="1188" ht="21.25" customHeight="1">
      <c r="A1188" s="10">
        <v>45515</v>
      </c>
      <c r="B1188" t="s" s="11">
        <v>12</v>
      </c>
      <c r="C1188" t="s" s="12">
        <v>265</v>
      </c>
      <c r="D1188" s="17">
        <v>16700</v>
      </c>
      <c r="E1188" s="17"/>
      <c r="F1188" s="18"/>
      <c r="G1188" s="18"/>
      <c r="H1188" s="18"/>
      <c r="I1188" s="18"/>
    </row>
    <row r="1189" ht="21.25" customHeight="1">
      <c r="A1189" s="10">
        <v>45515</v>
      </c>
      <c r="B1189" t="s" s="11">
        <v>21</v>
      </c>
      <c r="C1189" t="s" s="12">
        <v>265</v>
      </c>
      <c r="D1189" s="13"/>
      <c r="E1189" s="13">
        <v>16700</v>
      </c>
      <c r="F1189" s="14"/>
      <c r="G1189" s="14"/>
      <c r="H1189" s="14"/>
      <c r="I1189" s="14"/>
    </row>
    <row r="1190" ht="20.7" customHeight="1">
      <c r="A1190" s="10">
        <v>45515</v>
      </c>
      <c r="B1190" t="s" s="11">
        <v>8</v>
      </c>
      <c r="C1190" t="s" s="12">
        <v>8</v>
      </c>
      <c r="D1190" s="15" cm="1">
        <f t="array" ref="D1190">SUM(D1188:D1189)</f>
        <v>16700</v>
      </c>
      <c r="E1190" s="15" cm="1">
        <f t="array" ref="E1190">SUM(E1188:E1189)</f>
        <v>16700</v>
      </c>
      <c r="F1190" s="16" cm="1">
        <f t="array" ref="F1190">SUM(F1188:F1189)</f>
        <v>0</v>
      </c>
      <c r="G1190" s="16" cm="1">
        <f t="array" ref="G1190">SUM(G1188:G1189)</f>
        <v>0</v>
      </c>
      <c r="H1190" s="16" cm="1">
        <f t="array" ref="H1190">SUM(H1188:H1189)</f>
        <v>0</v>
      </c>
      <c r="I1190" s="16" cm="1">
        <f t="array" ref="I1190">SUM(I1188:I1189)</f>
        <v>0</v>
      </c>
    </row>
    <row r="1191" ht="21.25" customHeight="1">
      <c r="A1191" s="10">
        <v>45516</v>
      </c>
      <c r="B1191" t="s" s="11">
        <v>5</v>
      </c>
      <c r="C1191" t="s" s="12">
        <v>266</v>
      </c>
      <c r="D1191" s="17"/>
      <c r="E1191" s="17">
        <v>1400</v>
      </c>
      <c r="F1191" s="18"/>
      <c r="G1191" s="18"/>
      <c r="H1191" s="18"/>
      <c r="I1191" s="18"/>
    </row>
    <row r="1192" ht="21.25" customHeight="1">
      <c r="A1192" s="10">
        <v>45516</v>
      </c>
      <c r="B1192" t="s" s="11">
        <v>21</v>
      </c>
      <c r="C1192" t="s" s="12">
        <v>266</v>
      </c>
      <c r="D1192" s="13">
        <v>1400</v>
      </c>
      <c r="E1192" s="13"/>
      <c r="F1192" s="14"/>
      <c r="G1192" s="14"/>
      <c r="H1192" s="14"/>
      <c r="I1192" s="14"/>
    </row>
    <row r="1193" ht="20.7" customHeight="1">
      <c r="A1193" s="10">
        <v>45516</v>
      </c>
      <c r="B1193" t="s" s="11">
        <v>8</v>
      </c>
      <c r="C1193" t="s" s="12">
        <v>8</v>
      </c>
      <c r="D1193" s="15" cm="1">
        <f t="array" ref="D1193">SUM(D1191:D1192)</f>
        <v>1400</v>
      </c>
      <c r="E1193" s="15" cm="1">
        <f t="array" ref="E1193">SUM(E1191:E1192)</f>
        <v>1400</v>
      </c>
      <c r="F1193" s="16" cm="1">
        <f t="array" ref="F1193">SUM(F1191:F1192)</f>
        <v>0</v>
      </c>
      <c r="G1193" s="16" cm="1">
        <f t="array" ref="G1193">SUM(G1191:G1192)</f>
        <v>0</v>
      </c>
      <c r="H1193" s="16" cm="1">
        <f t="array" ref="H1193">SUM(H1191:H1192)</f>
        <v>0</v>
      </c>
      <c r="I1193" s="16" cm="1">
        <f t="array" ref="I1193">SUM(I1191:I1192)</f>
        <v>0</v>
      </c>
    </row>
    <row r="1194" ht="20.35" customHeight="1">
      <c r="A1194" s="10">
        <v>45516</v>
      </c>
      <c r="B1194" t="s" s="11">
        <v>5</v>
      </c>
      <c r="C1194" t="s" s="12">
        <v>232</v>
      </c>
      <c r="D1194" s="17"/>
      <c r="E1194" s="17">
        <v>240</v>
      </c>
      <c r="F1194" s="18"/>
      <c r="G1194" s="18"/>
      <c r="H1194" s="18"/>
      <c r="I1194" s="18"/>
    </row>
    <row r="1195" ht="20.35" customHeight="1">
      <c r="A1195" s="10">
        <v>45516</v>
      </c>
      <c r="B1195" t="s" s="11">
        <v>10</v>
      </c>
      <c r="C1195" t="s" s="12">
        <v>232</v>
      </c>
      <c r="D1195" s="13">
        <v>240</v>
      </c>
      <c r="E1195" s="13"/>
      <c r="F1195" s="14"/>
      <c r="G1195" s="14"/>
      <c r="H1195" s="14"/>
      <c r="I1195" s="14"/>
    </row>
    <row r="1196" ht="20.7" customHeight="1">
      <c r="A1196" s="10">
        <v>45516</v>
      </c>
      <c r="B1196" t="s" s="11">
        <v>8</v>
      </c>
      <c r="C1196" t="s" s="12">
        <v>8</v>
      </c>
      <c r="D1196" s="15" cm="1">
        <f t="array" ref="D1196">SUM(D1194:D1195)</f>
        <v>240</v>
      </c>
      <c r="E1196" s="15" cm="1">
        <f t="array" ref="E1196">SUM(E1194:E1195)</f>
        <v>240</v>
      </c>
      <c r="F1196" s="16" cm="1">
        <f t="array" ref="F1196">SUM(F1194:F1195)</f>
        <v>0</v>
      </c>
      <c r="G1196" s="16" cm="1">
        <f t="array" ref="G1196">SUM(G1194:G1195)</f>
        <v>0</v>
      </c>
      <c r="H1196" s="16" cm="1">
        <f t="array" ref="H1196">SUM(H1194:H1195)</f>
        <v>0</v>
      </c>
      <c r="I1196" s="16" cm="1">
        <f t="array" ref="I1196">SUM(I1194:I1195)</f>
        <v>0</v>
      </c>
    </row>
    <row r="1197" ht="20.35" customHeight="1">
      <c r="A1197" s="10">
        <v>45516</v>
      </c>
      <c r="B1197" t="s" s="11">
        <v>5</v>
      </c>
      <c r="C1197" t="s" s="12">
        <v>232</v>
      </c>
      <c r="D1197" s="17"/>
      <c r="E1197" s="17">
        <v>120</v>
      </c>
      <c r="F1197" s="18"/>
      <c r="G1197" s="18"/>
      <c r="H1197" s="18"/>
      <c r="I1197" s="18"/>
    </row>
    <row r="1198" ht="20.35" customHeight="1">
      <c r="A1198" s="10">
        <v>45516</v>
      </c>
      <c r="B1198" t="s" s="11">
        <v>10</v>
      </c>
      <c r="C1198" t="s" s="12">
        <v>232</v>
      </c>
      <c r="D1198" s="13">
        <v>120</v>
      </c>
      <c r="E1198" s="13"/>
      <c r="F1198" s="14"/>
      <c r="G1198" s="14"/>
      <c r="H1198" s="14"/>
      <c r="I1198" s="14"/>
    </row>
    <row r="1199" ht="20.7" customHeight="1">
      <c r="A1199" s="10">
        <v>45516</v>
      </c>
      <c r="B1199" t="s" s="11">
        <v>8</v>
      </c>
      <c r="C1199" t="s" s="12">
        <v>8</v>
      </c>
      <c r="D1199" s="15" cm="1">
        <f t="array" ref="D1199">SUM(D1197:D1198)</f>
        <v>120</v>
      </c>
      <c r="E1199" s="15" cm="1">
        <f t="array" ref="E1199">SUM(E1197:E1198)</f>
        <v>120</v>
      </c>
      <c r="F1199" s="16" cm="1">
        <f t="array" ref="F1199">SUM(F1197:F1198)</f>
        <v>0</v>
      </c>
      <c r="G1199" s="16" cm="1">
        <f t="array" ref="G1199">SUM(G1197:G1198)</f>
        <v>0</v>
      </c>
      <c r="H1199" s="16" cm="1">
        <f t="array" ref="H1199">SUM(H1197:H1198)</f>
        <v>0</v>
      </c>
      <c r="I1199" s="16" cm="1">
        <f t="array" ref="I1199">SUM(I1197:I1198)</f>
        <v>0</v>
      </c>
    </row>
    <row r="1200" ht="20.35" customHeight="1">
      <c r="A1200" s="10">
        <v>45516</v>
      </c>
      <c r="B1200" t="s" s="11">
        <v>5</v>
      </c>
      <c r="C1200" t="s" s="12">
        <v>232</v>
      </c>
      <c r="D1200" s="17"/>
      <c r="E1200" s="17">
        <v>120</v>
      </c>
      <c r="F1200" s="18"/>
      <c r="G1200" s="18"/>
      <c r="H1200" s="18"/>
      <c r="I1200" s="18"/>
    </row>
    <row r="1201" ht="20.35" customHeight="1">
      <c r="A1201" s="10">
        <v>45516</v>
      </c>
      <c r="B1201" t="s" s="11">
        <v>10</v>
      </c>
      <c r="C1201" t="s" s="12">
        <v>232</v>
      </c>
      <c r="D1201" s="13">
        <v>120</v>
      </c>
      <c r="E1201" s="13"/>
      <c r="F1201" s="14"/>
      <c r="G1201" s="14"/>
      <c r="H1201" s="14"/>
      <c r="I1201" s="14"/>
    </row>
    <row r="1202" ht="20.7" customHeight="1">
      <c r="A1202" s="10">
        <v>45516</v>
      </c>
      <c r="B1202" t="s" s="11">
        <v>8</v>
      </c>
      <c r="C1202" t="s" s="12">
        <v>8</v>
      </c>
      <c r="D1202" s="15" cm="1">
        <f t="array" ref="D1202">SUM(D1200:D1201)</f>
        <v>120</v>
      </c>
      <c r="E1202" s="15" cm="1">
        <f t="array" ref="E1202">SUM(E1200:E1201)</f>
        <v>120</v>
      </c>
      <c r="F1202" s="16" cm="1">
        <f t="array" ref="F1202">SUM(F1200:F1201)</f>
        <v>0</v>
      </c>
      <c r="G1202" s="16" cm="1">
        <f t="array" ref="G1202">SUM(G1200:G1201)</f>
        <v>0</v>
      </c>
      <c r="H1202" s="16" cm="1">
        <f t="array" ref="H1202">SUM(H1200:H1201)</f>
        <v>0</v>
      </c>
      <c r="I1202" s="16" cm="1">
        <f t="array" ref="I1202">SUM(I1200:I1201)</f>
        <v>0</v>
      </c>
    </row>
    <row r="1203" ht="20.35" customHeight="1">
      <c r="A1203" s="10">
        <v>45516</v>
      </c>
      <c r="B1203" t="s" s="11">
        <v>5</v>
      </c>
      <c r="C1203" t="s" s="12">
        <v>232</v>
      </c>
      <c r="D1203" s="17"/>
      <c r="E1203" s="17">
        <v>120</v>
      </c>
      <c r="F1203" s="18"/>
      <c r="G1203" s="18"/>
      <c r="H1203" s="18"/>
      <c r="I1203" s="18"/>
    </row>
    <row r="1204" ht="20.35" customHeight="1">
      <c r="A1204" s="10">
        <v>45516</v>
      </c>
      <c r="B1204" t="s" s="11">
        <v>10</v>
      </c>
      <c r="C1204" t="s" s="12">
        <v>232</v>
      </c>
      <c r="D1204" s="13">
        <v>120</v>
      </c>
      <c r="E1204" s="13"/>
      <c r="F1204" s="14"/>
      <c r="G1204" s="14"/>
      <c r="H1204" s="14"/>
      <c r="I1204" s="14"/>
    </row>
    <row r="1205" ht="20.7" customHeight="1">
      <c r="A1205" s="10">
        <v>45516</v>
      </c>
      <c r="B1205" t="s" s="11">
        <v>8</v>
      </c>
      <c r="C1205" t="s" s="12">
        <v>8</v>
      </c>
      <c r="D1205" s="15" cm="1">
        <f t="array" ref="D1205">SUM(D1203:D1204)</f>
        <v>120</v>
      </c>
      <c r="E1205" s="15" cm="1">
        <f t="array" ref="E1205">SUM(E1203:E1204)</f>
        <v>120</v>
      </c>
      <c r="F1205" s="16" cm="1">
        <f t="array" ref="F1205">SUM(F1203:F1204)</f>
        <v>0</v>
      </c>
      <c r="G1205" s="16" cm="1">
        <f t="array" ref="G1205">SUM(G1203:G1204)</f>
        <v>0</v>
      </c>
      <c r="H1205" s="16" cm="1">
        <f t="array" ref="H1205">SUM(H1203:H1204)</f>
        <v>0</v>
      </c>
      <c r="I1205" s="16" cm="1">
        <f t="array" ref="I1205">SUM(I1203:I1204)</f>
        <v>0</v>
      </c>
    </row>
    <row r="1206" ht="20.35" customHeight="1">
      <c r="A1206" s="10">
        <v>45516</v>
      </c>
      <c r="B1206" t="s" s="11">
        <v>5</v>
      </c>
      <c r="C1206" t="s" s="12">
        <v>232</v>
      </c>
      <c r="D1206" s="17"/>
      <c r="E1206" s="17">
        <v>120</v>
      </c>
      <c r="F1206" s="18"/>
      <c r="G1206" s="18"/>
      <c r="H1206" s="18"/>
      <c r="I1206" s="18"/>
    </row>
    <row r="1207" ht="20.35" customHeight="1">
      <c r="A1207" s="10">
        <v>45516</v>
      </c>
      <c r="B1207" t="s" s="11">
        <v>10</v>
      </c>
      <c r="C1207" t="s" s="12">
        <v>232</v>
      </c>
      <c r="D1207" s="13">
        <v>120</v>
      </c>
      <c r="E1207" s="13"/>
      <c r="F1207" s="14"/>
      <c r="G1207" s="14"/>
      <c r="H1207" s="14"/>
      <c r="I1207" s="14"/>
    </row>
    <row r="1208" ht="20.7" customHeight="1">
      <c r="A1208" s="10">
        <v>45516</v>
      </c>
      <c r="B1208" t="s" s="11">
        <v>8</v>
      </c>
      <c r="C1208" t="s" s="12">
        <v>8</v>
      </c>
      <c r="D1208" s="15" cm="1">
        <f t="array" ref="D1208">SUM(D1206:D1207)</f>
        <v>120</v>
      </c>
      <c r="E1208" s="15" cm="1">
        <f t="array" ref="E1208">SUM(E1206:E1207)</f>
        <v>120</v>
      </c>
      <c r="F1208" s="16" cm="1">
        <f t="array" ref="F1208">SUM(F1206:F1207)</f>
        <v>0</v>
      </c>
      <c r="G1208" s="16" cm="1">
        <f t="array" ref="G1208">SUM(G1206:G1207)</f>
        <v>0</v>
      </c>
      <c r="H1208" s="16" cm="1">
        <f t="array" ref="H1208">SUM(H1206:H1207)</f>
        <v>0</v>
      </c>
      <c r="I1208" s="16" cm="1">
        <f t="array" ref="I1208">SUM(I1206:I1207)</f>
        <v>0</v>
      </c>
    </row>
    <row r="1209" ht="20.35" customHeight="1">
      <c r="A1209" s="10">
        <v>45516</v>
      </c>
      <c r="B1209" t="s" s="11">
        <v>5</v>
      </c>
      <c r="C1209" t="s" s="12">
        <v>232</v>
      </c>
      <c r="D1209" s="17"/>
      <c r="E1209" s="17">
        <v>120</v>
      </c>
      <c r="F1209" s="18"/>
      <c r="G1209" s="18"/>
      <c r="H1209" s="18"/>
      <c r="I1209" s="18"/>
    </row>
    <row r="1210" ht="20.35" customHeight="1">
      <c r="A1210" s="10">
        <v>45516</v>
      </c>
      <c r="B1210" t="s" s="11">
        <v>10</v>
      </c>
      <c r="C1210" t="s" s="12">
        <v>232</v>
      </c>
      <c r="D1210" s="13">
        <v>120</v>
      </c>
      <c r="E1210" s="13"/>
      <c r="F1210" s="14"/>
      <c r="G1210" s="14"/>
      <c r="H1210" s="14"/>
      <c r="I1210" s="14"/>
    </row>
    <row r="1211" ht="20.7" customHeight="1">
      <c r="A1211" s="10">
        <v>45516</v>
      </c>
      <c r="B1211" t="s" s="11">
        <v>8</v>
      </c>
      <c r="C1211" t="s" s="12">
        <v>8</v>
      </c>
      <c r="D1211" s="15" cm="1">
        <f t="array" ref="D1211">SUM(D1209:D1210)</f>
        <v>120</v>
      </c>
      <c r="E1211" s="15" cm="1">
        <f t="array" ref="E1211">SUM(E1209:E1210)</f>
        <v>120</v>
      </c>
      <c r="F1211" s="16" cm="1">
        <f t="array" ref="F1211">SUM(F1209:F1210)</f>
        <v>0</v>
      </c>
      <c r="G1211" s="16" cm="1">
        <f t="array" ref="G1211">SUM(G1209:G1210)</f>
        <v>0</v>
      </c>
      <c r="H1211" s="16" cm="1">
        <f t="array" ref="H1211">SUM(H1209:H1210)</f>
        <v>0</v>
      </c>
      <c r="I1211" s="16" cm="1">
        <f t="array" ref="I1211">SUM(I1209:I1210)</f>
        <v>0</v>
      </c>
    </row>
    <row r="1212" ht="20.35" customHeight="1">
      <c r="A1212" s="10">
        <v>45516</v>
      </c>
      <c r="B1212" t="s" s="11">
        <v>5</v>
      </c>
      <c r="C1212" t="s" s="12">
        <v>232</v>
      </c>
      <c r="D1212" s="17"/>
      <c r="E1212" s="17">
        <v>120</v>
      </c>
      <c r="F1212" s="18"/>
      <c r="G1212" s="18"/>
      <c r="H1212" s="18"/>
      <c r="I1212" s="18"/>
    </row>
    <row r="1213" ht="20.35" customHeight="1">
      <c r="A1213" s="10">
        <v>45516</v>
      </c>
      <c r="B1213" t="s" s="11">
        <v>10</v>
      </c>
      <c r="C1213" t="s" s="12">
        <v>232</v>
      </c>
      <c r="D1213" s="13">
        <v>120</v>
      </c>
      <c r="E1213" s="13"/>
      <c r="F1213" s="14"/>
      <c r="G1213" s="14"/>
      <c r="H1213" s="14"/>
      <c r="I1213" s="14"/>
    </row>
    <row r="1214" ht="20.7" customHeight="1">
      <c r="A1214" s="10">
        <v>45516</v>
      </c>
      <c r="B1214" t="s" s="11">
        <v>8</v>
      </c>
      <c r="C1214" t="s" s="12">
        <v>8</v>
      </c>
      <c r="D1214" s="15" cm="1">
        <f t="array" ref="D1214">SUM(D1212:D1213)</f>
        <v>120</v>
      </c>
      <c r="E1214" s="15" cm="1">
        <f t="array" ref="E1214">SUM(E1212:E1213)</f>
        <v>120</v>
      </c>
      <c r="F1214" s="16" cm="1">
        <f t="array" ref="F1214">SUM(F1212:F1213)</f>
        <v>0</v>
      </c>
      <c r="G1214" s="16" cm="1">
        <f t="array" ref="G1214">SUM(G1212:G1213)</f>
        <v>0</v>
      </c>
      <c r="H1214" s="16" cm="1">
        <f t="array" ref="H1214">SUM(H1212:H1213)</f>
        <v>0</v>
      </c>
      <c r="I1214" s="16" cm="1">
        <f t="array" ref="I1214">SUM(I1212:I1213)</f>
        <v>0</v>
      </c>
    </row>
    <row r="1215" ht="20.35" customHeight="1">
      <c r="A1215" s="10">
        <v>45516</v>
      </c>
      <c r="B1215" t="s" s="11">
        <v>5</v>
      </c>
      <c r="C1215" t="s" s="12">
        <v>17</v>
      </c>
      <c r="D1215" s="17">
        <v>100</v>
      </c>
      <c r="E1215" s="17"/>
      <c r="F1215" s="18"/>
      <c r="G1215" s="18"/>
      <c r="H1215" s="18"/>
      <c r="I1215" s="18"/>
    </row>
    <row r="1216" ht="20.35" customHeight="1">
      <c r="A1216" s="10">
        <v>45516</v>
      </c>
      <c r="B1216" t="s" s="11">
        <v>18</v>
      </c>
      <c r="C1216" t="s" s="12">
        <v>17</v>
      </c>
      <c r="D1216" s="13"/>
      <c r="E1216" s="13">
        <v>100</v>
      </c>
      <c r="F1216" s="14"/>
      <c r="G1216" s="14"/>
      <c r="H1216" s="14"/>
      <c r="I1216" s="14"/>
    </row>
    <row r="1217" ht="20.7" customHeight="1">
      <c r="A1217" s="10">
        <v>45516</v>
      </c>
      <c r="B1217" t="s" s="11">
        <v>8</v>
      </c>
      <c r="C1217" t="s" s="12">
        <v>8</v>
      </c>
      <c r="D1217" s="15" cm="1">
        <f t="array" ref="D1217">SUM(D1215:D1216)</f>
        <v>100</v>
      </c>
      <c r="E1217" s="15" cm="1">
        <f t="array" ref="E1217">SUM(E1215:E1216)</f>
        <v>100</v>
      </c>
      <c r="F1217" s="16" cm="1">
        <f t="array" ref="F1217">SUM(F1215:F1216)</f>
        <v>0</v>
      </c>
      <c r="G1217" s="16" cm="1">
        <f t="array" ref="G1217">SUM(G1215:G1216)</f>
        <v>0</v>
      </c>
      <c r="H1217" s="16" cm="1">
        <f t="array" ref="H1217">SUM(H1215:H1216)</f>
        <v>0</v>
      </c>
      <c r="I1217" s="16" cm="1">
        <f t="array" ref="I1217">SUM(I1215:I1216)</f>
        <v>0</v>
      </c>
    </row>
    <row r="1218" ht="21.25" customHeight="1">
      <c r="A1218" s="10">
        <v>45517</v>
      </c>
      <c r="B1218" t="s" s="11">
        <v>21</v>
      </c>
      <c r="C1218" t="s" s="12">
        <v>267</v>
      </c>
      <c r="D1218" s="17"/>
      <c r="E1218" s="17">
        <v>3000</v>
      </c>
      <c r="F1218" s="18"/>
      <c r="G1218" s="18"/>
      <c r="H1218" s="18"/>
      <c r="I1218" s="18"/>
    </row>
    <row r="1219" ht="21.25" customHeight="1">
      <c r="A1219" s="10">
        <v>45517</v>
      </c>
      <c r="B1219" t="s" s="11">
        <v>16</v>
      </c>
      <c r="C1219" t="s" s="12">
        <v>267</v>
      </c>
      <c r="D1219" s="13">
        <v>3000</v>
      </c>
      <c r="E1219" s="13"/>
      <c r="F1219" s="14"/>
      <c r="G1219" s="14"/>
      <c r="H1219" s="14"/>
      <c r="I1219" s="14"/>
    </row>
    <row r="1220" ht="20.7" customHeight="1">
      <c r="A1220" s="10">
        <v>45517</v>
      </c>
      <c r="B1220" t="s" s="11">
        <v>8</v>
      </c>
      <c r="C1220" t="s" s="12">
        <v>8</v>
      </c>
      <c r="D1220" s="15" cm="1">
        <f t="array" ref="D1220">SUM(D1218:D1219)</f>
        <v>3000</v>
      </c>
      <c r="E1220" s="15" cm="1">
        <f t="array" ref="E1220">SUM(E1218:E1219)</f>
        <v>3000</v>
      </c>
      <c r="F1220" s="16" cm="1">
        <f t="array" ref="F1220">SUM(F1218:F1219)</f>
        <v>0</v>
      </c>
      <c r="G1220" s="16" cm="1">
        <f t="array" ref="G1220">SUM(G1218:G1219)</f>
        <v>0</v>
      </c>
      <c r="H1220" s="16" cm="1">
        <f t="array" ref="H1220">SUM(H1218:H1219)</f>
        <v>0</v>
      </c>
      <c r="I1220" s="16" cm="1">
        <f t="array" ref="I1220">SUM(I1218:I1219)</f>
        <v>0</v>
      </c>
    </row>
    <row r="1221" ht="21.25" customHeight="1">
      <c r="A1221" s="10">
        <v>45517</v>
      </c>
      <c r="B1221" t="s" s="11">
        <v>79</v>
      </c>
      <c r="C1221" t="s" s="12">
        <v>268</v>
      </c>
      <c r="D1221" s="17">
        <v>385</v>
      </c>
      <c r="E1221" s="17"/>
      <c r="F1221" s="18"/>
      <c r="G1221" s="18"/>
      <c r="H1221" s="18"/>
      <c r="I1221" s="18"/>
    </row>
    <row r="1222" ht="21.25" customHeight="1">
      <c r="A1222" s="10">
        <v>45517</v>
      </c>
      <c r="B1222" t="s" s="11">
        <v>91</v>
      </c>
      <c r="C1222" t="s" s="12">
        <v>268</v>
      </c>
      <c r="D1222" s="13"/>
      <c r="E1222" s="13">
        <v>385</v>
      </c>
      <c r="F1222" s="14"/>
      <c r="G1222" s="14"/>
      <c r="H1222" s="14"/>
      <c r="I1222" s="14"/>
    </row>
    <row r="1223" ht="20.7" customHeight="1">
      <c r="A1223" s="10">
        <v>45517</v>
      </c>
      <c r="B1223" t="s" s="11">
        <v>8</v>
      </c>
      <c r="C1223" t="s" s="12">
        <v>8</v>
      </c>
      <c r="D1223" s="15" cm="1">
        <f t="array" ref="D1223">SUM(D1221:D1222)</f>
        <v>385</v>
      </c>
      <c r="E1223" s="15" cm="1">
        <f t="array" ref="E1223">SUM(E1221:E1222)</f>
        <v>385</v>
      </c>
      <c r="F1223" s="16" cm="1">
        <f t="array" ref="F1223">SUM(F1221:F1222)</f>
        <v>0</v>
      </c>
      <c r="G1223" s="16" cm="1">
        <f t="array" ref="G1223">SUM(G1221:G1222)</f>
        <v>0</v>
      </c>
      <c r="H1223" s="16" cm="1">
        <f t="array" ref="H1223">SUM(H1221:H1222)</f>
        <v>0</v>
      </c>
      <c r="I1223" s="16" cm="1">
        <f t="array" ref="I1223">SUM(I1221:I1222)</f>
        <v>0</v>
      </c>
    </row>
    <row r="1224" ht="21.25" customHeight="1">
      <c r="A1224" s="10">
        <v>45518</v>
      </c>
      <c r="B1224" t="s" s="11">
        <v>5</v>
      </c>
      <c r="C1224" t="s" s="12">
        <v>269</v>
      </c>
      <c r="D1224" s="17"/>
      <c r="E1224" s="17">
        <v>11900</v>
      </c>
      <c r="F1224" s="18"/>
      <c r="G1224" s="18"/>
      <c r="H1224" s="18"/>
      <c r="I1224" s="18"/>
    </row>
    <row r="1225" ht="20.9" customHeight="1">
      <c r="A1225" s="10">
        <v>45518</v>
      </c>
      <c r="B1225" t="s" s="11">
        <v>10</v>
      </c>
      <c r="C1225" t="s" s="12">
        <v>269</v>
      </c>
      <c r="D1225" s="19">
        <v>5950</v>
      </c>
      <c r="E1225" s="19"/>
      <c r="F1225" s="20"/>
      <c r="G1225" s="20"/>
      <c r="H1225" s="20"/>
      <c r="I1225" s="20"/>
    </row>
    <row r="1226" ht="21.25" customHeight="1">
      <c r="A1226" s="10">
        <v>45518</v>
      </c>
      <c r="B1226" t="s" s="11">
        <v>12</v>
      </c>
      <c r="C1226" t="s" s="12">
        <v>269</v>
      </c>
      <c r="D1226" s="13">
        <v>5950</v>
      </c>
      <c r="E1226" s="13"/>
      <c r="F1226" s="14"/>
      <c r="G1226" s="14"/>
      <c r="H1226" s="14"/>
      <c r="I1226" s="14"/>
    </row>
    <row r="1227" ht="20.7" customHeight="1">
      <c r="A1227" s="10">
        <v>45518</v>
      </c>
      <c r="B1227" t="s" s="11">
        <v>8</v>
      </c>
      <c r="C1227" t="s" s="12">
        <v>8</v>
      </c>
      <c r="D1227" s="15" cm="1">
        <f t="array" ref="D1227">SUM(D1224:D1226)</f>
        <v>11900</v>
      </c>
      <c r="E1227" s="15" cm="1">
        <f t="array" ref="E1227">SUM(E1224:E1226)</f>
        <v>11900</v>
      </c>
      <c r="F1227" s="16" cm="1">
        <f t="array" ref="F1227">SUM(F1224:F1226)</f>
        <v>0</v>
      </c>
      <c r="G1227" s="16" cm="1">
        <f t="array" ref="G1227">SUM(G1224:G1226)</f>
        <v>0</v>
      </c>
      <c r="H1227" s="16" cm="1">
        <f t="array" ref="H1227">SUM(H1224:H1226)</f>
        <v>0</v>
      </c>
      <c r="I1227" s="16" cm="1">
        <f t="array" ref="I1227">SUM(I1224:I1226)</f>
        <v>0</v>
      </c>
    </row>
    <row r="1228" ht="20.35" customHeight="1">
      <c r="A1228" s="10">
        <v>45518</v>
      </c>
      <c r="B1228" t="s" s="11">
        <v>5</v>
      </c>
      <c r="C1228" t="s" s="12">
        <v>17</v>
      </c>
      <c r="D1228" s="17">
        <v>500</v>
      </c>
      <c r="E1228" s="17"/>
      <c r="F1228" s="18"/>
      <c r="G1228" s="18"/>
      <c r="H1228" s="18"/>
      <c r="I1228" s="18"/>
    </row>
    <row r="1229" ht="20.35" customHeight="1">
      <c r="A1229" s="10">
        <v>45518</v>
      </c>
      <c r="B1229" t="s" s="11">
        <v>18</v>
      </c>
      <c r="C1229" t="s" s="12">
        <v>17</v>
      </c>
      <c r="D1229" s="13"/>
      <c r="E1229" s="13">
        <v>500</v>
      </c>
      <c r="F1229" s="14"/>
      <c r="G1229" s="14"/>
      <c r="H1229" s="14"/>
      <c r="I1229" s="14"/>
    </row>
    <row r="1230" ht="20.7" customHeight="1">
      <c r="A1230" s="10">
        <v>45518</v>
      </c>
      <c r="B1230" t="s" s="11">
        <v>8</v>
      </c>
      <c r="C1230" t="s" s="12">
        <v>8</v>
      </c>
      <c r="D1230" s="15" cm="1">
        <f t="array" ref="D1230">SUM(D1228:D1229)</f>
        <v>500</v>
      </c>
      <c r="E1230" s="15" cm="1">
        <f t="array" ref="E1230">SUM(E1228:E1229)</f>
        <v>500</v>
      </c>
      <c r="F1230" s="16" cm="1">
        <f t="array" ref="F1230">SUM(F1228:F1229)</f>
        <v>0</v>
      </c>
      <c r="G1230" s="16" cm="1">
        <f t="array" ref="G1230">SUM(G1228:G1229)</f>
        <v>0</v>
      </c>
      <c r="H1230" s="16" cm="1">
        <f t="array" ref="H1230">SUM(H1228:H1229)</f>
        <v>0</v>
      </c>
      <c r="I1230" s="16" cm="1">
        <f t="array" ref="I1230">SUM(I1228:I1229)</f>
        <v>0</v>
      </c>
    </row>
    <row r="1231" ht="21.25" customHeight="1">
      <c r="A1231" s="10">
        <v>45518</v>
      </c>
      <c r="B1231" t="s" s="11">
        <v>5</v>
      </c>
      <c r="C1231" t="s" s="12">
        <v>270</v>
      </c>
      <c r="D1231" s="17">
        <v>100002</v>
      </c>
      <c r="E1231" s="17"/>
      <c r="F1231" s="18"/>
      <c r="G1231" s="18"/>
      <c r="H1231" s="18"/>
      <c r="I1231" s="18"/>
    </row>
    <row r="1232" ht="20.9" customHeight="1">
      <c r="A1232" s="10">
        <v>45518</v>
      </c>
      <c r="B1232" t="s" s="11">
        <v>7</v>
      </c>
      <c r="C1232" t="s" s="12">
        <v>270</v>
      </c>
      <c r="D1232" s="19"/>
      <c r="E1232" s="19">
        <v>2</v>
      </c>
      <c r="F1232" s="20"/>
      <c r="G1232" s="20"/>
      <c r="H1232" s="20"/>
      <c r="I1232" s="20"/>
    </row>
    <row r="1233" ht="20.9" customHeight="1">
      <c r="A1233" s="10">
        <v>45518</v>
      </c>
      <c r="B1233" t="s" s="11">
        <v>261</v>
      </c>
      <c r="C1233" t="s" s="12">
        <v>270</v>
      </c>
      <c r="D1233" s="23"/>
      <c r="E1233" s="19">
        <v>41000</v>
      </c>
      <c r="F1233" s="20"/>
      <c r="G1233" s="20"/>
      <c r="H1233" s="20"/>
      <c r="I1233" s="20"/>
    </row>
    <row r="1234" ht="20.9" customHeight="1">
      <c r="A1234" s="10">
        <v>45518</v>
      </c>
      <c r="B1234" t="s" s="11">
        <v>258</v>
      </c>
      <c r="C1234" t="s" s="12">
        <v>270</v>
      </c>
      <c r="D1234" s="23"/>
      <c r="E1234" s="19">
        <v>18000</v>
      </c>
      <c r="F1234" s="20"/>
      <c r="G1234" s="20"/>
      <c r="H1234" s="20"/>
      <c r="I1234" s="20"/>
    </row>
    <row r="1235" ht="20.9" customHeight="1">
      <c r="A1235" s="10">
        <v>45518</v>
      </c>
      <c r="B1235" t="s" s="11">
        <v>257</v>
      </c>
      <c r="C1235" t="s" s="12">
        <v>270</v>
      </c>
      <c r="D1235" s="23"/>
      <c r="E1235" s="19">
        <v>7549</v>
      </c>
      <c r="F1235" s="20"/>
      <c r="G1235" s="20"/>
      <c r="H1235" s="20"/>
      <c r="I1235" s="20"/>
    </row>
    <row r="1236" ht="20.9" customHeight="1">
      <c r="A1236" s="10">
        <v>45518</v>
      </c>
      <c r="B1236" t="s" s="11">
        <v>72</v>
      </c>
      <c r="C1236" t="s" s="12">
        <v>270</v>
      </c>
      <c r="D1236" s="23"/>
      <c r="E1236" s="19">
        <v>6842</v>
      </c>
      <c r="F1236" s="20"/>
      <c r="G1236" s="20"/>
      <c r="H1236" s="20"/>
      <c r="I1236" s="20"/>
    </row>
    <row r="1237" ht="20.9" customHeight="1">
      <c r="A1237" s="10">
        <v>45518</v>
      </c>
      <c r="B1237" t="s" s="11">
        <v>255</v>
      </c>
      <c r="C1237" t="s" s="12">
        <v>270</v>
      </c>
      <c r="D1237" s="23"/>
      <c r="E1237" s="19">
        <v>5600</v>
      </c>
      <c r="F1237" s="20"/>
      <c r="G1237" s="20"/>
      <c r="H1237" s="20"/>
      <c r="I1237" s="20"/>
    </row>
    <row r="1238" ht="21.25" customHeight="1">
      <c r="A1238" s="10">
        <v>45518</v>
      </c>
      <c r="B1238" t="s" s="11">
        <v>259</v>
      </c>
      <c r="C1238" t="s" s="12">
        <v>270</v>
      </c>
      <c r="D1238" s="21"/>
      <c r="E1238" s="13">
        <v>21009</v>
      </c>
      <c r="F1238" s="14"/>
      <c r="G1238" s="14"/>
      <c r="H1238" s="14"/>
      <c r="I1238" s="14"/>
    </row>
    <row r="1239" ht="20.7" customHeight="1">
      <c r="A1239" s="10">
        <v>45518</v>
      </c>
      <c r="B1239" t="s" s="11">
        <v>8</v>
      </c>
      <c r="C1239" t="s" s="12">
        <v>8</v>
      </c>
      <c r="D1239" s="15" cm="1">
        <f t="array" ref="D1239">SUM(D1231:D1238)</f>
        <v>100002</v>
      </c>
      <c r="E1239" s="15" cm="1">
        <f t="array" ref="E1239">SUM(E1231:E1238)</f>
        <v>100002</v>
      </c>
      <c r="F1239" s="16" cm="1">
        <f t="array" ref="F1239">SUM(F1231:F1238)</f>
        <v>0</v>
      </c>
      <c r="G1239" s="16" cm="1">
        <f t="array" ref="G1239">SUM(G1231:G1238)</f>
        <v>0</v>
      </c>
      <c r="H1239" s="16" cm="1">
        <f t="array" ref="H1239">SUM(H1231:H1238)</f>
        <v>0</v>
      </c>
      <c r="I1239" s="16" cm="1">
        <f t="array" ref="I1239">SUM(I1231:I1238)</f>
        <v>0</v>
      </c>
    </row>
    <row r="1240" ht="20.35" customHeight="1">
      <c r="A1240" s="10">
        <v>45518</v>
      </c>
      <c r="B1240" t="s" s="11">
        <v>5</v>
      </c>
      <c r="C1240" t="s" s="12">
        <v>271</v>
      </c>
      <c r="D1240" s="17"/>
      <c r="E1240" s="17">
        <v>100000</v>
      </c>
      <c r="F1240" s="18"/>
      <c r="G1240" s="18"/>
      <c r="H1240" s="18"/>
      <c r="I1240" s="18"/>
    </row>
    <row r="1241" ht="20.35" customHeight="1">
      <c r="A1241" s="10">
        <v>45518</v>
      </c>
      <c r="B1241" t="s" s="11">
        <v>89</v>
      </c>
      <c r="C1241" t="s" s="12">
        <v>271</v>
      </c>
      <c r="D1241" s="13">
        <v>100000</v>
      </c>
      <c r="E1241" s="13"/>
      <c r="F1241" s="14"/>
      <c r="G1241" s="14"/>
      <c r="H1241" s="14"/>
      <c r="I1241" s="14"/>
    </row>
    <row r="1242" ht="20.7" customHeight="1">
      <c r="A1242" s="10">
        <v>45518</v>
      </c>
      <c r="B1242" t="s" s="11">
        <v>8</v>
      </c>
      <c r="C1242" t="s" s="12">
        <v>8</v>
      </c>
      <c r="D1242" s="15" cm="1">
        <f t="array" ref="D1242">SUM(D1240:D1241)</f>
        <v>100000</v>
      </c>
      <c r="E1242" s="15" cm="1">
        <f t="array" ref="E1242">SUM(E1240:E1241)</f>
        <v>100000</v>
      </c>
      <c r="F1242" s="16" cm="1">
        <f t="array" ref="F1242">SUM(F1240:F1241)</f>
        <v>0</v>
      </c>
      <c r="G1242" s="16" cm="1">
        <f t="array" ref="G1242">SUM(G1240:G1241)</f>
        <v>0</v>
      </c>
      <c r="H1242" s="16" cm="1">
        <f t="array" ref="H1242">SUM(H1240:H1241)</f>
        <v>0</v>
      </c>
      <c r="I1242" s="16" cm="1">
        <f t="array" ref="I1242">SUM(I1240:I1241)</f>
        <v>0</v>
      </c>
    </row>
    <row r="1243" ht="20.35" customHeight="1">
      <c r="A1243" s="10">
        <v>45518</v>
      </c>
      <c r="B1243" t="s" s="11">
        <v>5</v>
      </c>
      <c r="C1243" t="s" s="12">
        <v>17</v>
      </c>
      <c r="D1243" s="17">
        <v>100</v>
      </c>
      <c r="E1243" s="17"/>
      <c r="F1243" s="18"/>
      <c r="G1243" s="18"/>
      <c r="H1243" s="18"/>
      <c r="I1243" s="18"/>
    </row>
    <row r="1244" ht="20.35" customHeight="1">
      <c r="A1244" s="10">
        <v>45518</v>
      </c>
      <c r="B1244" t="s" s="11">
        <v>18</v>
      </c>
      <c r="C1244" t="s" s="12">
        <v>17</v>
      </c>
      <c r="D1244" s="13"/>
      <c r="E1244" s="13">
        <v>100</v>
      </c>
      <c r="F1244" s="14"/>
      <c r="G1244" s="14"/>
      <c r="H1244" s="14"/>
      <c r="I1244" s="14"/>
    </row>
    <row r="1245" ht="20.7" customHeight="1">
      <c r="A1245" s="10">
        <v>45518</v>
      </c>
      <c r="B1245" t="s" s="11">
        <v>8</v>
      </c>
      <c r="C1245" t="s" s="12">
        <v>8</v>
      </c>
      <c r="D1245" s="15" cm="1">
        <f t="array" ref="D1245">SUM(D1243:D1244)</f>
        <v>100</v>
      </c>
      <c r="E1245" s="15" cm="1">
        <f t="array" ref="E1245">SUM(E1243:E1244)</f>
        <v>100</v>
      </c>
      <c r="F1245" s="16" cm="1">
        <f t="array" ref="F1245">SUM(F1243:F1244)</f>
        <v>0</v>
      </c>
      <c r="G1245" s="16" cm="1">
        <f t="array" ref="G1245">SUM(G1243:G1244)</f>
        <v>0</v>
      </c>
      <c r="H1245" s="16" cm="1">
        <f t="array" ref="H1245">SUM(H1243:H1244)</f>
        <v>0</v>
      </c>
      <c r="I1245" s="16" cm="1">
        <f t="array" ref="I1245">SUM(I1243:I1244)</f>
        <v>0</v>
      </c>
    </row>
    <row r="1246" ht="20.35" customHeight="1">
      <c r="A1246" s="10">
        <v>45519</v>
      </c>
      <c r="B1246" t="s" s="11">
        <v>5</v>
      </c>
      <c r="C1246" t="s" s="12">
        <v>19</v>
      </c>
      <c r="D1246" s="17"/>
      <c r="E1246" s="17">
        <v>9600</v>
      </c>
      <c r="F1246" s="18"/>
      <c r="G1246" s="18"/>
      <c r="H1246" s="18"/>
      <c r="I1246" s="18"/>
    </row>
    <row r="1247" ht="20.35" customHeight="1">
      <c r="A1247" s="10">
        <v>45519</v>
      </c>
      <c r="B1247" t="s" s="11">
        <v>12</v>
      </c>
      <c r="C1247" t="s" s="12">
        <v>19</v>
      </c>
      <c r="D1247" s="13">
        <v>9600</v>
      </c>
      <c r="E1247" s="13"/>
      <c r="F1247" s="14"/>
      <c r="G1247" s="14"/>
      <c r="H1247" s="14"/>
      <c r="I1247" s="14"/>
    </row>
    <row r="1248" ht="20.7" customHeight="1">
      <c r="A1248" s="10">
        <v>45519</v>
      </c>
      <c r="B1248" t="s" s="11">
        <v>8</v>
      </c>
      <c r="C1248" t="s" s="12">
        <v>8</v>
      </c>
      <c r="D1248" s="15" cm="1">
        <f t="array" ref="D1248">SUM(D1246:D1247)</f>
        <v>9600</v>
      </c>
      <c r="E1248" s="15" cm="1">
        <f t="array" ref="E1248">SUM(E1246:E1247)</f>
        <v>9600</v>
      </c>
      <c r="F1248" s="16" cm="1">
        <f t="array" ref="F1248">SUM(F1246:F1247)</f>
        <v>0</v>
      </c>
      <c r="G1248" s="16" cm="1">
        <f t="array" ref="G1248">SUM(G1246:G1247)</f>
        <v>0</v>
      </c>
      <c r="H1248" s="16" cm="1">
        <f t="array" ref="H1248">SUM(H1246:H1247)</f>
        <v>0</v>
      </c>
      <c r="I1248" s="16" cm="1">
        <f t="array" ref="I1248">SUM(I1246:I1247)</f>
        <v>0</v>
      </c>
    </row>
    <row r="1249" ht="20.35" customHeight="1">
      <c r="A1249" s="10">
        <v>45519</v>
      </c>
      <c r="B1249" t="s" s="11">
        <v>5</v>
      </c>
      <c r="C1249" t="s" s="12">
        <v>17</v>
      </c>
      <c r="D1249" s="17">
        <v>100</v>
      </c>
      <c r="E1249" s="17"/>
      <c r="F1249" s="18"/>
      <c r="G1249" s="18"/>
      <c r="H1249" s="18"/>
      <c r="I1249" s="18"/>
    </row>
    <row r="1250" ht="20.35" customHeight="1">
      <c r="A1250" s="10">
        <v>45519</v>
      </c>
      <c r="B1250" t="s" s="11">
        <v>18</v>
      </c>
      <c r="C1250" t="s" s="12">
        <v>17</v>
      </c>
      <c r="D1250" s="13"/>
      <c r="E1250" s="13">
        <v>100</v>
      </c>
      <c r="F1250" s="14"/>
      <c r="G1250" s="14"/>
      <c r="H1250" s="14"/>
      <c r="I1250" s="14"/>
    </row>
    <row r="1251" ht="20.7" customHeight="1">
      <c r="A1251" s="10">
        <v>45519</v>
      </c>
      <c r="B1251" t="s" s="11">
        <v>8</v>
      </c>
      <c r="C1251" t="s" s="12">
        <v>8</v>
      </c>
      <c r="D1251" s="15" cm="1">
        <f t="array" ref="D1251">SUM(D1249:D1250)</f>
        <v>100</v>
      </c>
      <c r="E1251" s="15" cm="1">
        <f t="array" ref="E1251">SUM(E1249:E1250)</f>
        <v>100</v>
      </c>
      <c r="F1251" s="16" cm="1">
        <f t="array" ref="F1251">SUM(F1249:F1250)</f>
        <v>0</v>
      </c>
      <c r="G1251" s="16" cm="1">
        <f t="array" ref="G1251">SUM(G1249:G1250)</f>
        <v>0</v>
      </c>
      <c r="H1251" s="16" cm="1">
        <f t="array" ref="H1251">SUM(H1249:H1250)</f>
        <v>0</v>
      </c>
      <c r="I1251" s="16" cm="1">
        <f t="array" ref="I1251">SUM(I1249:I1250)</f>
        <v>0</v>
      </c>
    </row>
    <row r="1252" ht="20.65" customHeight="1">
      <c r="A1252" s="10">
        <v>45521</v>
      </c>
      <c r="B1252" t="s" s="11">
        <v>28</v>
      </c>
      <c r="C1252" t="s" s="12">
        <v>272</v>
      </c>
      <c r="D1252" s="17"/>
      <c r="E1252" s="17">
        <v>5000</v>
      </c>
      <c r="F1252" s="18"/>
      <c r="G1252" s="18"/>
      <c r="H1252" s="18"/>
      <c r="I1252" s="18"/>
    </row>
    <row r="1253" ht="20.65" customHeight="1">
      <c r="A1253" s="10">
        <v>45521</v>
      </c>
      <c r="B1253" t="s" s="11">
        <v>10</v>
      </c>
      <c r="C1253" t="s" s="12">
        <v>272</v>
      </c>
      <c r="D1253" s="13">
        <v>5000</v>
      </c>
      <c r="E1253" s="13"/>
      <c r="F1253" s="14"/>
      <c r="G1253" s="14"/>
      <c r="H1253" s="14"/>
      <c r="I1253" s="14"/>
    </row>
    <row r="1254" ht="20.7" customHeight="1">
      <c r="A1254" s="10">
        <v>45521</v>
      </c>
      <c r="B1254" t="s" s="11">
        <v>8</v>
      </c>
      <c r="C1254" t="s" s="12">
        <v>8</v>
      </c>
      <c r="D1254" s="15" cm="1">
        <f t="array" ref="D1254">SUM(D1252:D1253)</f>
        <v>5000</v>
      </c>
      <c r="E1254" s="15" cm="1">
        <f t="array" ref="E1254">SUM(E1252:E1253)</f>
        <v>5000</v>
      </c>
      <c r="F1254" s="16" cm="1">
        <f t="array" ref="F1254">SUM(F1252:F1253)</f>
        <v>0</v>
      </c>
      <c r="G1254" s="16" cm="1">
        <f t="array" ref="G1254">SUM(G1252:G1253)</f>
        <v>0</v>
      </c>
      <c r="H1254" s="16" cm="1">
        <f t="array" ref="H1254">SUM(H1252:H1253)</f>
        <v>0</v>
      </c>
      <c r="I1254" s="16" cm="1">
        <f t="array" ref="I1254">SUM(I1252:I1253)</f>
        <v>0</v>
      </c>
    </row>
    <row r="1255" ht="20.35" customHeight="1">
      <c r="A1255" s="10">
        <v>45522</v>
      </c>
      <c r="B1255" t="s" s="11">
        <v>5</v>
      </c>
      <c r="C1255" t="s" s="12">
        <v>235</v>
      </c>
      <c r="D1255" s="17"/>
      <c r="E1255" s="17">
        <v>4000</v>
      </c>
      <c r="F1255" s="18"/>
      <c r="G1255" s="18"/>
      <c r="H1255" s="18"/>
      <c r="I1255" s="18"/>
    </row>
    <row r="1256" ht="20.05" customHeight="1">
      <c r="A1256" s="10">
        <v>45522</v>
      </c>
      <c r="B1256" t="s" s="11">
        <v>10</v>
      </c>
      <c r="C1256" t="s" s="12">
        <v>235</v>
      </c>
      <c r="D1256" s="19">
        <v>2000</v>
      </c>
      <c r="E1256" s="19"/>
      <c r="F1256" s="20"/>
      <c r="G1256" s="20"/>
      <c r="H1256" s="20"/>
      <c r="I1256" s="20"/>
    </row>
    <row r="1257" ht="20.35" customHeight="1">
      <c r="A1257" s="10">
        <v>45522</v>
      </c>
      <c r="B1257" t="s" s="11">
        <v>12</v>
      </c>
      <c r="C1257" t="s" s="12">
        <v>235</v>
      </c>
      <c r="D1257" s="13">
        <v>2000</v>
      </c>
      <c r="E1257" s="13"/>
      <c r="F1257" s="14"/>
      <c r="G1257" s="14"/>
      <c r="H1257" s="14"/>
      <c r="I1257" s="14"/>
    </row>
    <row r="1258" ht="20.7" customHeight="1">
      <c r="A1258" s="10">
        <v>45522</v>
      </c>
      <c r="B1258" t="s" s="11">
        <v>8</v>
      </c>
      <c r="C1258" t="s" s="12">
        <v>8</v>
      </c>
      <c r="D1258" s="15" cm="1">
        <f t="array" ref="D1258">SUM(D1255:D1257)</f>
        <v>4000</v>
      </c>
      <c r="E1258" s="15" cm="1">
        <f t="array" ref="E1258">SUM(E1255:E1257)</f>
        <v>4000</v>
      </c>
      <c r="F1258" s="16" cm="1">
        <f t="array" ref="F1258">SUM(F1255:F1257)</f>
        <v>0</v>
      </c>
      <c r="G1258" s="16" cm="1">
        <f t="array" ref="G1258">SUM(G1255:G1257)</f>
        <v>0</v>
      </c>
      <c r="H1258" s="16" cm="1">
        <f t="array" ref="H1258">SUM(H1255:H1257)</f>
        <v>0</v>
      </c>
      <c r="I1258" s="16" cm="1">
        <f t="array" ref="I1258">SUM(I1255:I1257)</f>
        <v>0</v>
      </c>
    </row>
    <row r="1259" ht="20.35" customHeight="1">
      <c r="A1259" s="10">
        <v>45522</v>
      </c>
      <c r="B1259" t="s" s="11">
        <v>5</v>
      </c>
      <c r="C1259" t="s" s="12">
        <v>273</v>
      </c>
      <c r="D1259" s="17">
        <v>6000</v>
      </c>
      <c r="E1259" s="17"/>
      <c r="F1259" s="18"/>
      <c r="G1259" s="18"/>
      <c r="H1259" s="18"/>
      <c r="I1259" s="18"/>
    </row>
    <row r="1260" ht="20.35" customHeight="1">
      <c r="A1260" s="10">
        <v>45522</v>
      </c>
      <c r="B1260" t="s" s="11">
        <v>21</v>
      </c>
      <c r="C1260" t="s" s="12">
        <v>273</v>
      </c>
      <c r="D1260" s="13"/>
      <c r="E1260" s="13">
        <v>6000</v>
      </c>
      <c r="F1260" s="14"/>
      <c r="G1260" s="14"/>
      <c r="H1260" s="14"/>
      <c r="I1260" s="14"/>
    </row>
    <row r="1261" ht="20.7" customHeight="1">
      <c r="A1261" s="10">
        <v>45522</v>
      </c>
      <c r="B1261" t="s" s="11">
        <v>8</v>
      </c>
      <c r="C1261" t="s" s="12">
        <v>8</v>
      </c>
      <c r="D1261" s="15" cm="1">
        <f t="array" ref="D1261">SUM(D1259:D1260)</f>
        <v>6000</v>
      </c>
      <c r="E1261" s="15" cm="1">
        <f t="array" ref="E1261">SUM(E1259:E1260)</f>
        <v>6000</v>
      </c>
      <c r="F1261" s="16" cm="1">
        <f t="array" ref="F1261">SUM(F1259:F1260)</f>
        <v>0</v>
      </c>
      <c r="G1261" s="16" cm="1">
        <f t="array" ref="G1261">SUM(G1259:G1260)</f>
        <v>0</v>
      </c>
      <c r="H1261" s="16" cm="1">
        <f t="array" ref="H1261">SUM(H1259:H1260)</f>
        <v>0</v>
      </c>
      <c r="I1261" s="16" cm="1">
        <f t="array" ref="I1261">SUM(I1259:I1260)</f>
        <v>0</v>
      </c>
    </row>
    <row r="1262" ht="20.65" customHeight="1">
      <c r="A1262" s="10">
        <v>45522</v>
      </c>
      <c r="B1262" t="s" s="11">
        <v>5</v>
      </c>
      <c r="C1262" t="s" s="12">
        <v>70</v>
      </c>
      <c r="D1262" s="17">
        <v>20000</v>
      </c>
      <c r="E1262" s="17"/>
      <c r="F1262" s="18"/>
      <c r="G1262" s="18"/>
      <c r="H1262" s="18"/>
      <c r="I1262" s="18"/>
    </row>
    <row r="1263" ht="20.65" customHeight="1">
      <c r="A1263" s="10">
        <v>45522</v>
      </c>
      <c r="B1263" t="s" s="11">
        <v>21</v>
      </c>
      <c r="C1263" t="s" s="12">
        <v>70</v>
      </c>
      <c r="D1263" s="13"/>
      <c r="E1263" s="13">
        <v>20000</v>
      </c>
      <c r="F1263" s="14"/>
      <c r="G1263" s="14"/>
      <c r="H1263" s="14"/>
      <c r="I1263" s="14"/>
    </row>
    <row r="1264" ht="20.7" customHeight="1">
      <c r="A1264" s="10">
        <v>45522</v>
      </c>
      <c r="B1264" t="s" s="11">
        <v>8</v>
      </c>
      <c r="C1264" t="s" s="12">
        <v>8</v>
      </c>
      <c r="D1264" s="15" cm="1">
        <f t="array" ref="D1264">SUM(D1262:D1263)</f>
        <v>20000</v>
      </c>
      <c r="E1264" s="15" cm="1">
        <f t="array" ref="E1264">SUM(E1262:E1263)</f>
        <v>20000</v>
      </c>
      <c r="F1264" s="16" cm="1">
        <f t="array" ref="F1264">SUM(F1262:F1263)</f>
        <v>0</v>
      </c>
      <c r="G1264" s="16" cm="1">
        <f t="array" ref="G1264">SUM(G1262:G1263)</f>
        <v>0</v>
      </c>
      <c r="H1264" s="16" cm="1">
        <f t="array" ref="H1264">SUM(H1262:H1263)</f>
        <v>0</v>
      </c>
      <c r="I1264" s="16" cm="1">
        <f t="array" ref="I1264">SUM(I1262:I1263)</f>
        <v>0</v>
      </c>
    </row>
    <row r="1265" ht="21.25" customHeight="1">
      <c r="A1265" s="10">
        <v>45522</v>
      </c>
      <c r="B1265" t="s" s="11">
        <v>5</v>
      </c>
      <c r="C1265" t="s" s="12">
        <v>274</v>
      </c>
      <c r="D1265" s="17"/>
      <c r="E1265" s="17">
        <v>52600</v>
      </c>
      <c r="F1265" s="18"/>
      <c r="G1265" s="18"/>
      <c r="H1265" s="18"/>
      <c r="I1265" s="18"/>
    </row>
    <row r="1266" ht="20.9" customHeight="1">
      <c r="A1266" s="10">
        <v>45522</v>
      </c>
      <c r="B1266" t="s" s="11">
        <v>10</v>
      </c>
      <c r="C1266" t="s" s="12">
        <v>274</v>
      </c>
      <c r="D1266" s="19" cm="1">
        <f t="array" ref="D1266">52600*2/3</f>
        <v>35066.6666666667</v>
      </c>
      <c r="E1266" s="19"/>
      <c r="F1266" s="20"/>
      <c r="G1266" s="20"/>
      <c r="H1266" s="20"/>
      <c r="I1266" s="20"/>
    </row>
    <row r="1267" ht="21.25" customHeight="1">
      <c r="A1267" s="10">
        <v>45522</v>
      </c>
      <c r="B1267" t="s" s="11">
        <v>12</v>
      </c>
      <c r="C1267" t="s" s="12">
        <v>274</v>
      </c>
      <c r="D1267" s="13" cm="1">
        <f t="array" ref="D1267">52600/3</f>
        <v>17533.3333333333</v>
      </c>
      <c r="E1267" s="13"/>
      <c r="F1267" s="14"/>
      <c r="G1267" s="14"/>
      <c r="H1267" s="14"/>
      <c r="I1267" s="14"/>
    </row>
    <row r="1268" ht="20.7" customHeight="1">
      <c r="A1268" s="10">
        <v>45522</v>
      </c>
      <c r="B1268" t="s" s="11">
        <v>8</v>
      </c>
      <c r="C1268" t="s" s="12">
        <v>8</v>
      </c>
      <c r="D1268" s="15" cm="1">
        <f t="array" ref="D1268">SUM(D1265:D1267)</f>
        <v>52600</v>
      </c>
      <c r="E1268" s="15" cm="1">
        <f t="array" ref="E1268">SUM(E1265:E1267)</f>
        <v>52600</v>
      </c>
      <c r="F1268" s="16" cm="1">
        <f t="array" ref="F1268">SUM(F1265:F1267)</f>
        <v>0</v>
      </c>
      <c r="G1268" s="16" cm="1">
        <f t="array" ref="G1268">SUM(G1265:G1267)</f>
        <v>0</v>
      </c>
      <c r="H1268" s="16" cm="1">
        <f t="array" ref="H1268">SUM(H1265:H1267)</f>
        <v>0</v>
      </c>
      <c r="I1268" s="16" cm="1">
        <f t="array" ref="I1268">SUM(I1265:I1267)</f>
        <v>0</v>
      </c>
    </row>
    <row r="1269" ht="20.35" customHeight="1">
      <c r="A1269" s="10">
        <v>45522</v>
      </c>
      <c r="B1269" t="s" s="11">
        <v>107</v>
      </c>
      <c r="C1269" t="s" s="12">
        <v>36</v>
      </c>
      <c r="D1269" s="17">
        <v>6000</v>
      </c>
      <c r="E1269" s="17"/>
      <c r="F1269" s="18"/>
      <c r="G1269" s="18"/>
      <c r="H1269" s="18"/>
      <c r="I1269" s="18"/>
    </row>
    <row r="1270" ht="20.35" customHeight="1">
      <c r="A1270" s="10">
        <v>45522</v>
      </c>
      <c r="B1270" t="s" s="11">
        <v>21</v>
      </c>
      <c r="C1270" t="s" s="12">
        <v>36</v>
      </c>
      <c r="D1270" s="13"/>
      <c r="E1270" s="13">
        <v>6000</v>
      </c>
      <c r="F1270" s="14"/>
      <c r="G1270" s="14"/>
      <c r="H1270" s="14"/>
      <c r="I1270" s="14"/>
    </row>
    <row r="1271" ht="20.7" customHeight="1">
      <c r="A1271" s="10">
        <v>45522</v>
      </c>
      <c r="B1271" t="s" s="11">
        <v>8</v>
      </c>
      <c r="C1271" t="s" s="12">
        <v>8</v>
      </c>
      <c r="D1271" s="15" cm="1">
        <f t="array" ref="D1271">SUM(D1269:D1270)</f>
        <v>6000</v>
      </c>
      <c r="E1271" s="15" cm="1">
        <f t="array" ref="E1271">SUM(E1269:E1270)</f>
        <v>6000</v>
      </c>
      <c r="F1271" s="16" cm="1">
        <f t="array" ref="F1271">SUM(F1269:F1270)</f>
        <v>0</v>
      </c>
      <c r="G1271" s="16" cm="1">
        <f t="array" ref="G1271">SUM(G1269:G1270)</f>
        <v>0</v>
      </c>
      <c r="H1271" s="16" cm="1">
        <f t="array" ref="H1271">SUM(H1269:H1270)</f>
        <v>0</v>
      </c>
      <c r="I1271" s="16" cm="1">
        <f t="array" ref="I1271">SUM(I1269:I1270)</f>
        <v>0</v>
      </c>
    </row>
    <row r="1272" ht="20.35" customHeight="1">
      <c r="A1272" s="10">
        <v>45522</v>
      </c>
      <c r="B1272" t="s" s="11">
        <v>107</v>
      </c>
      <c r="C1272" t="s" s="12">
        <v>36</v>
      </c>
      <c r="D1272" s="17"/>
      <c r="E1272" s="17">
        <v>6000</v>
      </c>
      <c r="F1272" s="18"/>
      <c r="G1272" s="18"/>
      <c r="H1272" s="18"/>
      <c r="I1272" s="18"/>
    </row>
    <row r="1273" ht="20.35" customHeight="1">
      <c r="A1273" s="10">
        <v>45522</v>
      </c>
      <c r="B1273" t="s" s="11">
        <v>5</v>
      </c>
      <c r="C1273" t="s" s="12">
        <v>36</v>
      </c>
      <c r="D1273" s="13">
        <v>6000</v>
      </c>
      <c r="E1273" s="13"/>
      <c r="F1273" s="14"/>
      <c r="G1273" s="14"/>
      <c r="H1273" s="14"/>
      <c r="I1273" s="14"/>
    </row>
    <row r="1274" ht="20.7" customHeight="1">
      <c r="A1274" s="10">
        <v>45522</v>
      </c>
      <c r="B1274" t="s" s="11">
        <v>8</v>
      </c>
      <c r="C1274" t="s" s="12">
        <v>8</v>
      </c>
      <c r="D1274" s="15" cm="1">
        <f t="array" ref="D1274">SUM(D1272:D1273)</f>
        <v>6000</v>
      </c>
      <c r="E1274" s="15" cm="1">
        <f t="array" ref="E1274">SUM(E1272:E1273)</f>
        <v>6000</v>
      </c>
      <c r="F1274" s="16" cm="1">
        <f t="array" ref="F1274">SUM(F1272:F1273)</f>
        <v>0</v>
      </c>
      <c r="G1274" s="16" cm="1">
        <f t="array" ref="G1274">SUM(G1272:G1273)</f>
        <v>0</v>
      </c>
      <c r="H1274" s="16" cm="1">
        <f t="array" ref="H1274">SUM(H1272:H1273)</f>
        <v>0</v>
      </c>
      <c r="I1274" s="16" cm="1">
        <f t="array" ref="I1274">SUM(I1272:I1273)</f>
        <v>0</v>
      </c>
    </row>
    <row r="1275" ht="21.25" customHeight="1">
      <c r="A1275" s="10">
        <v>45523</v>
      </c>
      <c r="B1275" t="s" s="11">
        <v>21</v>
      </c>
      <c r="C1275" t="s" s="12">
        <v>275</v>
      </c>
      <c r="D1275" s="17"/>
      <c r="E1275" s="17">
        <v>3000</v>
      </c>
      <c r="F1275" s="18"/>
      <c r="G1275" s="18"/>
      <c r="H1275" s="18"/>
      <c r="I1275" s="18"/>
    </row>
    <row r="1276" ht="21.25" customHeight="1">
      <c r="A1276" s="10">
        <v>45523</v>
      </c>
      <c r="B1276" t="s" s="11">
        <v>16</v>
      </c>
      <c r="C1276" t="s" s="12">
        <v>275</v>
      </c>
      <c r="D1276" s="13">
        <v>3000</v>
      </c>
      <c r="E1276" s="13"/>
      <c r="F1276" s="14"/>
      <c r="G1276" s="14"/>
      <c r="H1276" s="14"/>
      <c r="I1276" s="14"/>
    </row>
    <row r="1277" ht="20.7" customHeight="1">
      <c r="A1277" s="10">
        <v>45523</v>
      </c>
      <c r="B1277" t="s" s="11">
        <v>8</v>
      </c>
      <c r="C1277" t="s" s="12">
        <v>8</v>
      </c>
      <c r="D1277" s="15" cm="1">
        <f t="array" ref="D1277">SUM(D1275:D1276)</f>
        <v>3000</v>
      </c>
      <c r="E1277" s="15" cm="1">
        <f t="array" ref="E1277">SUM(E1275:E1276)</f>
        <v>3000</v>
      </c>
      <c r="F1277" s="16" cm="1">
        <f t="array" ref="F1277">SUM(F1275:F1276)</f>
        <v>0</v>
      </c>
      <c r="G1277" s="16" cm="1">
        <f t="array" ref="G1277">SUM(G1275:G1276)</f>
        <v>0</v>
      </c>
      <c r="H1277" s="16" cm="1">
        <f t="array" ref="H1277">SUM(H1275:H1276)</f>
        <v>0</v>
      </c>
      <c r="I1277" s="16" cm="1">
        <f t="array" ref="I1277">SUM(I1275:I1276)</f>
        <v>0</v>
      </c>
    </row>
    <row r="1278" ht="21.25" customHeight="1">
      <c r="A1278" s="10">
        <v>45523</v>
      </c>
      <c r="B1278" t="s" s="11">
        <v>5</v>
      </c>
      <c r="C1278" t="s" s="12">
        <v>276</v>
      </c>
      <c r="D1278" s="17"/>
      <c r="E1278" s="17">
        <v>19000</v>
      </c>
      <c r="F1278" s="18"/>
      <c r="G1278" s="18"/>
      <c r="H1278" s="18"/>
      <c r="I1278" s="18"/>
    </row>
    <row r="1279" ht="21.25" customHeight="1">
      <c r="A1279" s="10">
        <v>45523</v>
      </c>
      <c r="B1279" t="s" s="11">
        <v>10</v>
      </c>
      <c r="C1279" t="s" s="12">
        <v>276</v>
      </c>
      <c r="D1279" s="13">
        <v>19000</v>
      </c>
      <c r="E1279" s="13"/>
      <c r="F1279" s="14"/>
      <c r="G1279" s="14"/>
      <c r="H1279" s="14"/>
      <c r="I1279" s="14"/>
    </row>
    <row r="1280" ht="20.7" customHeight="1">
      <c r="A1280" s="10">
        <v>45523</v>
      </c>
      <c r="B1280" t="s" s="11">
        <v>8</v>
      </c>
      <c r="C1280" t="s" s="12">
        <v>8</v>
      </c>
      <c r="D1280" s="15" cm="1">
        <f t="array" ref="D1280">SUM(D1278:D1279)</f>
        <v>19000</v>
      </c>
      <c r="E1280" s="15" cm="1">
        <f t="array" ref="E1280">SUM(E1278:E1279)</f>
        <v>19000</v>
      </c>
      <c r="F1280" s="16" cm="1">
        <f t="array" ref="F1280">SUM(F1278:F1279)</f>
        <v>0</v>
      </c>
      <c r="G1280" s="16" cm="1">
        <f t="array" ref="G1280">SUM(G1278:G1279)</f>
        <v>0</v>
      </c>
      <c r="H1280" s="16" cm="1">
        <f t="array" ref="H1280">SUM(H1278:H1279)</f>
        <v>0</v>
      </c>
      <c r="I1280" s="16" cm="1">
        <f t="array" ref="I1280">SUM(I1278:I1279)</f>
        <v>0</v>
      </c>
    </row>
    <row r="1281" ht="21.25" customHeight="1">
      <c r="A1281" s="10">
        <v>45523</v>
      </c>
      <c r="B1281" t="s" s="11">
        <v>5</v>
      </c>
      <c r="C1281" t="s" s="12">
        <v>277</v>
      </c>
      <c r="D1281" s="17"/>
      <c r="E1281" s="17">
        <v>120</v>
      </c>
      <c r="F1281" s="18"/>
      <c r="G1281" s="18"/>
      <c r="H1281" s="18"/>
      <c r="I1281" s="18"/>
    </row>
    <row r="1282" ht="21.25" customHeight="1">
      <c r="A1282" s="10">
        <v>45523</v>
      </c>
      <c r="B1282" t="s" s="11">
        <v>10</v>
      </c>
      <c r="C1282" t="s" s="12">
        <v>277</v>
      </c>
      <c r="D1282" s="13">
        <v>120</v>
      </c>
      <c r="E1282" s="13"/>
      <c r="F1282" s="14"/>
      <c r="G1282" s="14"/>
      <c r="H1282" s="14"/>
      <c r="I1282" s="14"/>
    </row>
    <row r="1283" ht="20.7" customHeight="1">
      <c r="A1283" s="10">
        <v>45523</v>
      </c>
      <c r="B1283" t="s" s="11">
        <v>8</v>
      </c>
      <c r="C1283" t="s" s="12">
        <v>8</v>
      </c>
      <c r="D1283" s="15" cm="1">
        <f t="array" ref="D1283">SUM(D1281:D1282)</f>
        <v>120</v>
      </c>
      <c r="E1283" s="15" cm="1">
        <f t="array" ref="E1283">SUM(E1281:E1282)</f>
        <v>120</v>
      </c>
      <c r="F1283" s="16" cm="1">
        <f t="array" ref="F1283">SUM(F1281:F1282)</f>
        <v>0</v>
      </c>
      <c r="G1283" s="16" cm="1">
        <f t="array" ref="G1283">SUM(G1281:G1282)</f>
        <v>0</v>
      </c>
      <c r="H1283" s="16" cm="1">
        <f t="array" ref="H1283">SUM(H1281:H1282)</f>
        <v>0</v>
      </c>
      <c r="I1283" s="16" cm="1">
        <f t="array" ref="I1283">SUM(I1281:I1282)</f>
        <v>0</v>
      </c>
    </row>
    <row r="1284" ht="20.65" customHeight="1">
      <c r="A1284" s="10">
        <v>45523</v>
      </c>
      <c r="B1284" t="s" s="11">
        <v>5</v>
      </c>
      <c r="C1284" t="s" s="12">
        <v>278</v>
      </c>
      <c r="D1284" s="17"/>
      <c r="E1284" s="17">
        <v>500</v>
      </c>
      <c r="F1284" s="18"/>
      <c r="G1284" s="18"/>
      <c r="H1284" s="18"/>
      <c r="I1284" s="18"/>
    </row>
    <row r="1285" ht="20.65" customHeight="1">
      <c r="A1285" s="10">
        <v>45523</v>
      </c>
      <c r="B1285" t="s" s="11">
        <v>10</v>
      </c>
      <c r="C1285" t="s" s="12">
        <v>278</v>
      </c>
      <c r="D1285" s="13">
        <v>500</v>
      </c>
      <c r="E1285" s="13"/>
      <c r="F1285" s="14"/>
      <c r="G1285" s="14"/>
      <c r="H1285" s="14"/>
      <c r="I1285" s="14"/>
    </row>
    <row r="1286" ht="20.7" customHeight="1">
      <c r="A1286" s="10">
        <v>45523</v>
      </c>
      <c r="B1286" t="s" s="11">
        <v>8</v>
      </c>
      <c r="C1286" t="s" s="12">
        <v>8</v>
      </c>
      <c r="D1286" s="15" cm="1">
        <f t="array" ref="D1286">SUM(D1284:D1285)</f>
        <v>500</v>
      </c>
      <c r="E1286" s="15" cm="1">
        <f t="array" ref="E1286">SUM(E1284:E1285)</f>
        <v>500</v>
      </c>
      <c r="F1286" s="16" cm="1">
        <f t="array" ref="F1286">SUM(F1284:F1285)</f>
        <v>0</v>
      </c>
      <c r="G1286" s="16" cm="1">
        <f t="array" ref="G1286">SUM(G1284:G1285)</f>
        <v>0</v>
      </c>
      <c r="H1286" s="16" cm="1">
        <f t="array" ref="H1286">SUM(H1284:H1285)</f>
        <v>0</v>
      </c>
      <c r="I1286" s="16" cm="1">
        <f t="array" ref="I1286">SUM(I1284:I1285)</f>
        <v>0</v>
      </c>
    </row>
    <row r="1287" ht="20.65" customHeight="1">
      <c r="A1287" s="10">
        <v>45523</v>
      </c>
      <c r="B1287" t="s" s="11">
        <v>5</v>
      </c>
      <c r="C1287" t="s" s="12">
        <v>279</v>
      </c>
      <c r="D1287" s="17"/>
      <c r="E1287" s="17">
        <v>7500</v>
      </c>
      <c r="F1287" s="18"/>
      <c r="G1287" s="18"/>
      <c r="H1287" s="18"/>
      <c r="I1287" s="18"/>
    </row>
    <row r="1288" ht="20.65" customHeight="1">
      <c r="A1288" s="10">
        <v>45523</v>
      </c>
      <c r="B1288" t="s" s="11">
        <v>12</v>
      </c>
      <c r="C1288" t="s" s="12">
        <v>279</v>
      </c>
      <c r="D1288" s="13">
        <v>7500</v>
      </c>
      <c r="E1288" s="13"/>
      <c r="F1288" s="14"/>
      <c r="G1288" s="14"/>
      <c r="H1288" s="14"/>
      <c r="I1288" s="14"/>
    </row>
    <row r="1289" ht="20.7" customHeight="1">
      <c r="A1289" s="10">
        <v>45523</v>
      </c>
      <c r="B1289" t="s" s="11">
        <v>8</v>
      </c>
      <c r="C1289" t="s" s="12">
        <v>8</v>
      </c>
      <c r="D1289" s="15" cm="1">
        <f t="array" ref="D1289">SUM(D1287:D1288)</f>
        <v>7500</v>
      </c>
      <c r="E1289" s="15" cm="1">
        <f t="array" ref="E1289">SUM(E1287:E1288)</f>
        <v>7500</v>
      </c>
      <c r="F1289" s="16" cm="1">
        <f t="array" ref="F1289">SUM(F1287:F1288)</f>
        <v>0</v>
      </c>
      <c r="G1289" s="16" cm="1">
        <f t="array" ref="G1289">SUM(G1287:G1288)</f>
        <v>0</v>
      </c>
      <c r="H1289" s="16" cm="1">
        <f t="array" ref="H1289">SUM(H1287:H1288)</f>
        <v>0</v>
      </c>
      <c r="I1289" s="16" cm="1">
        <f t="array" ref="I1289">SUM(I1287:I1288)</f>
        <v>0</v>
      </c>
    </row>
    <row r="1290" ht="20.35" customHeight="1">
      <c r="A1290" s="10">
        <v>45523</v>
      </c>
      <c r="B1290" t="s" s="11">
        <v>5</v>
      </c>
      <c r="C1290" t="s" s="12">
        <v>17</v>
      </c>
      <c r="D1290" s="17">
        <v>100</v>
      </c>
      <c r="E1290" s="17"/>
      <c r="F1290" s="18"/>
      <c r="G1290" s="18"/>
      <c r="H1290" s="18"/>
      <c r="I1290" s="18"/>
    </row>
    <row r="1291" ht="20.35" customHeight="1">
      <c r="A1291" s="10">
        <v>45523</v>
      </c>
      <c r="B1291" t="s" s="11">
        <v>18</v>
      </c>
      <c r="C1291" t="s" s="12">
        <v>17</v>
      </c>
      <c r="D1291" s="13"/>
      <c r="E1291" s="13">
        <v>100</v>
      </c>
      <c r="F1291" s="14"/>
      <c r="G1291" s="14"/>
      <c r="H1291" s="14"/>
      <c r="I1291" s="14"/>
    </row>
    <row r="1292" ht="20.7" customHeight="1">
      <c r="A1292" s="10">
        <v>45523</v>
      </c>
      <c r="B1292" t="s" s="11">
        <v>8</v>
      </c>
      <c r="C1292" t="s" s="12">
        <v>8</v>
      </c>
      <c r="D1292" s="15" cm="1">
        <f t="array" ref="D1292">SUM(D1290:D1291)</f>
        <v>100</v>
      </c>
      <c r="E1292" s="15" cm="1">
        <f t="array" ref="E1292">SUM(E1290:E1291)</f>
        <v>100</v>
      </c>
      <c r="F1292" s="16" cm="1">
        <f t="array" ref="F1292">SUM(F1290:F1291)</f>
        <v>0</v>
      </c>
      <c r="G1292" s="16" cm="1">
        <f t="array" ref="G1292">SUM(G1290:G1291)</f>
        <v>0</v>
      </c>
      <c r="H1292" s="16" cm="1">
        <f t="array" ref="H1292">SUM(H1290:H1291)</f>
        <v>0</v>
      </c>
      <c r="I1292" s="16" cm="1">
        <f t="array" ref="I1292">SUM(I1290:I1291)</f>
        <v>0</v>
      </c>
    </row>
    <row r="1293" ht="20.35" customHeight="1">
      <c r="A1293" s="10">
        <v>45523</v>
      </c>
      <c r="B1293" t="s" s="11">
        <v>39</v>
      </c>
      <c r="C1293" t="s" s="12">
        <v>40</v>
      </c>
      <c r="D1293" s="17"/>
      <c r="E1293" s="17"/>
      <c r="F1293" s="18">
        <v>250</v>
      </c>
      <c r="G1293" s="18"/>
      <c r="H1293" s="18"/>
      <c r="I1293" s="18"/>
    </row>
    <row r="1294" ht="20.35" customHeight="1">
      <c r="A1294" s="10">
        <v>45523</v>
      </c>
      <c r="B1294" t="s" s="11">
        <v>41</v>
      </c>
      <c r="C1294" t="s" s="12">
        <v>40</v>
      </c>
      <c r="D1294" s="13"/>
      <c r="E1294" s="13"/>
      <c r="F1294" s="14"/>
      <c r="G1294" s="14">
        <v>250</v>
      </c>
      <c r="H1294" s="14"/>
      <c r="I1294" s="14"/>
    </row>
    <row r="1295" ht="20.7" customHeight="1">
      <c r="A1295" s="10">
        <v>45523</v>
      </c>
      <c r="B1295" t="s" s="11">
        <v>8</v>
      </c>
      <c r="C1295" t="s" s="12">
        <v>8</v>
      </c>
      <c r="D1295" s="15" cm="1">
        <f t="array" ref="D1295">SUM(D1293:D1294)</f>
        <v>0</v>
      </c>
      <c r="E1295" s="15" cm="1">
        <f t="array" ref="E1295">SUM(E1293:E1294)</f>
        <v>0</v>
      </c>
      <c r="F1295" s="16" cm="1">
        <f t="array" ref="F1295">SUM(F1293:F1294)</f>
        <v>250</v>
      </c>
      <c r="G1295" s="16" cm="1">
        <f t="array" ref="G1295">SUM(G1293:G1294)</f>
        <v>250</v>
      </c>
      <c r="H1295" s="16" cm="1">
        <f t="array" ref="H1295">SUM(H1293:H1294)</f>
        <v>0</v>
      </c>
      <c r="I1295" s="16" cm="1">
        <f t="array" ref="I1295">SUM(I1293:I1294)</f>
        <v>0</v>
      </c>
    </row>
    <row r="1296" ht="20.35" customHeight="1">
      <c r="A1296" s="10">
        <v>45524</v>
      </c>
      <c r="B1296" t="s" s="11">
        <v>60</v>
      </c>
      <c r="C1296" t="s" s="12">
        <v>280</v>
      </c>
      <c r="D1296" s="17"/>
      <c r="E1296" s="17"/>
      <c r="F1296" s="18"/>
      <c r="G1296" s="18">
        <v>26.62</v>
      </c>
      <c r="H1296" s="18"/>
      <c r="I1296" s="18"/>
    </row>
    <row r="1297" ht="20.35" customHeight="1">
      <c r="A1297" s="10">
        <v>45524</v>
      </c>
      <c r="B1297" t="s" s="11">
        <v>39</v>
      </c>
      <c r="C1297" t="s" s="12">
        <v>280</v>
      </c>
      <c r="D1297" s="13"/>
      <c r="E1297" s="13"/>
      <c r="F1297" s="14">
        <v>26.62</v>
      </c>
      <c r="G1297" s="14"/>
      <c r="H1297" s="14"/>
      <c r="I1297" s="14"/>
    </row>
    <row r="1298" ht="20.7" customHeight="1">
      <c r="A1298" s="10">
        <v>45524</v>
      </c>
      <c r="B1298" t="s" s="11">
        <v>8</v>
      </c>
      <c r="C1298" t="s" s="12">
        <v>8</v>
      </c>
      <c r="D1298" s="15" cm="1">
        <f t="array" ref="D1298">SUM(D1296:D1297)</f>
        <v>0</v>
      </c>
      <c r="E1298" s="15" cm="1">
        <f t="array" ref="E1298">SUM(E1296:E1297)</f>
        <v>0</v>
      </c>
      <c r="F1298" s="16" cm="1">
        <f t="array" ref="F1298">SUM(F1296:F1297)</f>
        <v>26.62</v>
      </c>
      <c r="G1298" s="16" cm="1">
        <f t="array" ref="G1298">SUM(G1296:G1297)</f>
        <v>26.62</v>
      </c>
      <c r="H1298" s="16" cm="1">
        <f t="array" ref="H1298">SUM(H1296:H1297)</f>
        <v>0</v>
      </c>
      <c r="I1298" s="16" cm="1">
        <f t="array" ref="I1298">SUM(I1296:I1297)</f>
        <v>0</v>
      </c>
    </row>
    <row r="1299" ht="20.35" customHeight="1">
      <c r="A1299" s="10">
        <v>45524</v>
      </c>
      <c r="B1299" t="s" s="11">
        <v>39</v>
      </c>
      <c r="C1299" t="s" s="12">
        <v>281</v>
      </c>
      <c r="D1299" s="17"/>
      <c r="E1299" s="17"/>
      <c r="F1299" s="18"/>
      <c r="G1299" s="18">
        <v>276.62</v>
      </c>
      <c r="H1299" s="18"/>
      <c r="I1299" s="18"/>
    </row>
    <row r="1300" ht="20.05" customHeight="1">
      <c r="A1300" s="10">
        <v>45524</v>
      </c>
      <c r="B1300" t="s" s="11">
        <v>44</v>
      </c>
      <c r="C1300" t="s" s="12">
        <v>281</v>
      </c>
      <c r="D1300" s="19"/>
      <c r="E1300" s="19"/>
      <c r="F1300" s="20">
        <v>266.8</v>
      </c>
      <c r="G1300" s="20"/>
      <c r="H1300" s="20"/>
      <c r="I1300" s="20"/>
    </row>
    <row r="1301" ht="20.05" customHeight="1">
      <c r="A1301" s="10">
        <v>45524</v>
      </c>
      <c r="B1301" t="s" s="11">
        <v>43</v>
      </c>
      <c r="C1301" t="s" s="12">
        <v>281</v>
      </c>
      <c r="D1301" s="19"/>
      <c r="E1301" s="19"/>
      <c r="F1301" s="20">
        <v>9.82</v>
      </c>
      <c r="G1301" s="20"/>
      <c r="H1301" s="20"/>
      <c r="I1301" s="20"/>
    </row>
    <row r="1302" ht="20.05" customHeight="1">
      <c r="A1302" s="10">
        <v>45524</v>
      </c>
      <c r="B1302" t="s" s="11">
        <v>5</v>
      </c>
      <c r="C1302" t="s" s="12">
        <v>281</v>
      </c>
      <c r="D1302" s="19">
        <v>80989</v>
      </c>
      <c r="E1302" s="19"/>
      <c r="F1302" s="20"/>
      <c r="G1302" s="20"/>
      <c r="H1302" s="20"/>
      <c r="I1302" s="20"/>
    </row>
    <row r="1303" ht="20.35" customHeight="1">
      <c r="A1303" s="10">
        <v>45524</v>
      </c>
      <c r="B1303" t="s" s="11">
        <v>46</v>
      </c>
      <c r="C1303" t="s" s="12">
        <v>281</v>
      </c>
      <c r="D1303" s="13"/>
      <c r="E1303" s="13">
        <v>80989</v>
      </c>
      <c r="F1303" s="14"/>
      <c r="G1303" s="14"/>
      <c r="H1303" s="14"/>
      <c r="I1303" s="14"/>
    </row>
    <row r="1304" ht="20.7" customHeight="1">
      <c r="A1304" s="10">
        <v>45524</v>
      </c>
      <c r="B1304" t="s" s="11">
        <v>8</v>
      </c>
      <c r="C1304" t="s" s="12">
        <v>8</v>
      </c>
      <c r="D1304" s="15" cm="1">
        <f t="array" ref="D1304">SUM(D1299:D1303)</f>
        <v>80989</v>
      </c>
      <c r="E1304" s="15" cm="1">
        <f t="array" ref="E1304">SUM(E1299:E1303)</f>
        <v>80989</v>
      </c>
      <c r="F1304" s="16" cm="1">
        <f t="array" ref="F1304">SUM(F1299:F1303)</f>
        <v>276.62</v>
      </c>
      <c r="G1304" s="16" cm="1">
        <f t="array" ref="G1304">SUM(G1299:G1303)</f>
        <v>276.62</v>
      </c>
      <c r="H1304" s="16" cm="1">
        <f t="array" ref="H1304">SUM(H1299:H1303)</f>
        <v>0</v>
      </c>
      <c r="I1304" s="16" cm="1">
        <f t="array" ref="I1304">SUM(I1299:I1303)</f>
        <v>0</v>
      </c>
    </row>
    <row r="1305" ht="20.35" customHeight="1">
      <c r="A1305" s="10">
        <v>45524</v>
      </c>
      <c r="B1305" t="s" s="11">
        <v>5</v>
      </c>
      <c r="C1305" t="s" s="12">
        <v>202</v>
      </c>
      <c r="D1305" s="17"/>
      <c r="E1305" s="17">
        <v>10000</v>
      </c>
      <c r="F1305" s="18"/>
      <c r="G1305" s="18"/>
      <c r="H1305" s="18"/>
      <c r="I1305" s="18"/>
    </row>
    <row r="1306" ht="20.35" customHeight="1">
      <c r="A1306" s="10">
        <v>45524</v>
      </c>
      <c r="B1306" t="s" s="11">
        <v>93</v>
      </c>
      <c r="C1306" t="s" s="12">
        <v>202</v>
      </c>
      <c r="D1306" s="13">
        <v>10000</v>
      </c>
      <c r="E1306" s="13"/>
      <c r="F1306" s="14"/>
      <c r="G1306" s="14"/>
      <c r="H1306" s="14"/>
      <c r="I1306" s="14"/>
    </row>
    <row r="1307" ht="20.7" customHeight="1">
      <c r="A1307" s="10">
        <v>45524</v>
      </c>
      <c r="B1307" t="s" s="11">
        <v>8</v>
      </c>
      <c r="C1307" t="s" s="12">
        <v>8</v>
      </c>
      <c r="D1307" s="15" cm="1">
        <f t="array" ref="D1307">SUM(D1305:D1306)</f>
        <v>10000</v>
      </c>
      <c r="E1307" s="15" cm="1">
        <f t="array" ref="E1307">SUM(E1305:E1306)</f>
        <v>10000</v>
      </c>
      <c r="F1307" s="16" cm="1">
        <f t="array" ref="F1307">SUM(F1305:F1306)</f>
        <v>0</v>
      </c>
      <c r="G1307" s="16" cm="1">
        <f t="array" ref="G1307">SUM(G1305:G1306)</f>
        <v>0</v>
      </c>
      <c r="H1307" s="16" cm="1">
        <f t="array" ref="H1307">SUM(H1305:H1306)</f>
        <v>0</v>
      </c>
      <c r="I1307" s="16" cm="1">
        <f t="array" ref="I1307">SUM(I1305:I1306)</f>
        <v>0</v>
      </c>
    </row>
    <row r="1308" ht="20.35" customHeight="1">
      <c r="A1308" s="10">
        <v>45524</v>
      </c>
      <c r="B1308" t="s" s="11">
        <v>93</v>
      </c>
      <c r="C1308" t="s" s="12">
        <v>54</v>
      </c>
      <c r="D1308" s="17"/>
      <c r="E1308" s="17">
        <v>3300</v>
      </c>
      <c r="F1308" s="18"/>
      <c r="G1308" s="18"/>
      <c r="H1308" s="18"/>
      <c r="I1308" s="18"/>
    </row>
    <row r="1309" ht="20.35" customHeight="1">
      <c r="A1309" s="10">
        <v>45524</v>
      </c>
      <c r="B1309" t="s" s="11">
        <v>10</v>
      </c>
      <c r="C1309" t="s" s="12">
        <v>54</v>
      </c>
      <c r="D1309" s="13">
        <v>3300</v>
      </c>
      <c r="E1309" s="13"/>
      <c r="F1309" s="14"/>
      <c r="G1309" s="14"/>
      <c r="H1309" s="14"/>
      <c r="I1309" s="14"/>
    </row>
    <row r="1310" ht="20.7" customHeight="1">
      <c r="A1310" s="10">
        <v>45524</v>
      </c>
      <c r="B1310" t="s" s="11">
        <v>8</v>
      </c>
      <c r="C1310" t="s" s="12">
        <v>8</v>
      </c>
      <c r="D1310" s="15" cm="1">
        <f t="array" ref="D1310">SUM(D1308:D1309)</f>
        <v>3300</v>
      </c>
      <c r="E1310" s="15" cm="1">
        <f t="array" ref="E1310">SUM(E1308:E1309)</f>
        <v>3300</v>
      </c>
      <c r="F1310" s="16" cm="1">
        <f t="array" ref="F1310">SUM(F1308:F1309)</f>
        <v>0</v>
      </c>
      <c r="G1310" s="16" cm="1">
        <f t="array" ref="G1310">SUM(G1308:G1309)</f>
        <v>0</v>
      </c>
      <c r="H1310" s="16" cm="1">
        <f t="array" ref="H1310">SUM(H1308:H1309)</f>
        <v>0</v>
      </c>
      <c r="I1310" s="16" cm="1">
        <f t="array" ref="I1310">SUM(I1308:I1309)</f>
        <v>0</v>
      </c>
    </row>
    <row r="1311" ht="20.35" customHeight="1">
      <c r="A1311" s="10">
        <v>45524</v>
      </c>
      <c r="B1311" t="s" s="11">
        <v>5</v>
      </c>
      <c r="C1311" t="s" s="12">
        <v>17</v>
      </c>
      <c r="D1311" s="17">
        <v>100</v>
      </c>
      <c r="E1311" s="17"/>
      <c r="F1311" s="18"/>
      <c r="G1311" s="18"/>
      <c r="H1311" s="18"/>
      <c r="I1311" s="18"/>
    </row>
    <row r="1312" ht="20.35" customHeight="1">
      <c r="A1312" s="10">
        <v>45524</v>
      </c>
      <c r="B1312" t="s" s="11">
        <v>18</v>
      </c>
      <c r="C1312" t="s" s="12">
        <v>17</v>
      </c>
      <c r="D1312" s="13"/>
      <c r="E1312" s="13">
        <v>100</v>
      </c>
      <c r="F1312" s="14"/>
      <c r="G1312" s="14"/>
      <c r="H1312" s="14"/>
      <c r="I1312" s="14"/>
    </row>
    <row r="1313" ht="20.7" customHeight="1">
      <c r="A1313" s="10">
        <v>45524</v>
      </c>
      <c r="B1313" t="s" s="11">
        <v>8</v>
      </c>
      <c r="C1313" t="s" s="12">
        <v>8</v>
      </c>
      <c r="D1313" s="15" cm="1">
        <f t="array" ref="D1313">SUM(D1311:D1312)</f>
        <v>100</v>
      </c>
      <c r="E1313" s="15" cm="1">
        <f t="array" ref="E1313">SUM(E1311:E1312)</f>
        <v>100</v>
      </c>
      <c r="F1313" s="16" cm="1">
        <f t="array" ref="F1313">SUM(F1311:F1312)</f>
        <v>0</v>
      </c>
      <c r="G1313" s="16" cm="1">
        <f t="array" ref="G1313">SUM(G1311:G1312)</f>
        <v>0</v>
      </c>
      <c r="H1313" s="16" cm="1">
        <f t="array" ref="H1313">SUM(H1311:H1312)</f>
        <v>0</v>
      </c>
      <c r="I1313" s="16" cm="1">
        <f t="array" ref="I1313">SUM(I1311:I1312)</f>
        <v>0</v>
      </c>
    </row>
    <row r="1314" ht="21.25" customHeight="1">
      <c r="A1314" s="10">
        <v>45524</v>
      </c>
      <c r="B1314" t="s" s="11">
        <v>79</v>
      </c>
      <c r="C1314" t="s" s="12">
        <v>282</v>
      </c>
      <c r="D1314" s="17">
        <v>232</v>
      </c>
      <c r="E1314" s="17"/>
      <c r="F1314" s="18"/>
      <c r="G1314" s="18"/>
      <c r="H1314" s="18"/>
      <c r="I1314" s="18"/>
    </row>
    <row r="1315" ht="21.25" customHeight="1">
      <c r="A1315" s="10">
        <v>45524</v>
      </c>
      <c r="B1315" t="s" s="11">
        <v>91</v>
      </c>
      <c r="C1315" t="s" s="12">
        <v>282</v>
      </c>
      <c r="D1315" s="13"/>
      <c r="E1315" s="13">
        <v>232</v>
      </c>
      <c r="F1315" s="14"/>
      <c r="G1315" s="14"/>
      <c r="H1315" s="14"/>
      <c r="I1315" s="14"/>
    </row>
    <row r="1316" ht="20.7" customHeight="1">
      <c r="A1316" s="10">
        <v>45524</v>
      </c>
      <c r="B1316" t="s" s="11">
        <v>8</v>
      </c>
      <c r="C1316" t="s" s="12">
        <v>8</v>
      </c>
      <c r="D1316" s="15" cm="1">
        <f t="array" ref="D1316">SUM(D1314:D1315)</f>
        <v>232</v>
      </c>
      <c r="E1316" s="15" cm="1">
        <f t="array" ref="E1316">SUM(E1314:E1315)</f>
        <v>232</v>
      </c>
      <c r="F1316" s="16" cm="1">
        <f t="array" ref="F1316">SUM(F1314:F1315)</f>
        <v>0</v>
      </c>
      <c r="G1316" s="16" cm="1">
        <f t="array" ref="G1316">SUM(G1314:G1315)</f>
        <v>0</v>
      </c>
      <c r="H1316" s="16" cm="1">
        <f t="array" ref="H1316">SUM(H1314:H1315)</f>
        <v>0</v>
      </c>
      <c r="I1316" s="16" cm="1">
        <f t="array" ref="I1316">SUM(I1314:I1315)</f>
        <v>0</v>
      </c>
    </row>
    <row r="1317" ht="20.35" customHeight="1">
      <c r="A1317" s="10">
        <v>45525</v>
      </c>
      <c r="B1317" t="s" s="11">
        <v>5</v>
      </c>
      <c r="C1317" t="s" s="12">
        <v>96</v>
      </c>
      <c r="D1317" s="17">
        <v>6700</v>
      </c>
      <c r="E1317" s="17"/>
      <c r="F1317" s="18"/>
      <c r="G1317" s="18"/>
      <c r="H1317" s="18"/>
      <c r="I1317" s="18"/>
    </row>
    <row r="1318" ht="20.35" customHeight="1">
      <c r="A1318" s="10">
        <v>45525</v>
      </c>
      <c r="B1318" t="s" s="11">
        <v>93</v>
      </c>
      <c r="C1318" t="s" s="12">
        <v>96</v>
      </c>
      <c r="D1318" s="13"/>
      <c r="E1318" s="13">
        <v>6700</v>
      </c>
      <c r="F1318" s="14"/>
      <c r="G1318" s="14"/>
      <c r="H1318" s="14"/>
      <c r="I1318" s="14"/>
    </row>
    <row r="1319" ht="20.7" customHeight="1">
      <c r="A1319" s="10">
        <v>45525</v>
      </c>
      <c r="B1319" t="s" s="11">
        <v>8</v>
      </c>
      <c r="C1319" t="s" s="12">
        <v>8</v>
      </c>
      <c r="D1319" s="15" cm="1">
        <f t="array" ref="D1319">SUM(D1317:D1318)</f>
        <v>6700</v>
      </c>
      <c r="E1319" s="15" cm="1">
        <f t="array" ref="E1319">SUM(E1317:E1318)</f>
        <v>6700</v>
      </c>
      <c r="F1319" s="16" cm="1">
        <f t="array" ref="F1319">SUM(F1317:F1318)</f>
        <v>0</v>
      </c>
      <c r="G1319" s="16" cm="1">
        <f t="array" ref="G1319">SUM(G1317:G1318)</f>
        <v>0</v>
      </c>
      <c r="H1319" s="16" cm="1">
        <f t="array" ref="H1319">SUM(H1317:H1318)</f>
        <v>0</v>
      </c>
      <c r="I1319" s="16" cm="1">
        <f t="array" ref="I1319">SUM(I1317:I1318)</f>
        <v>0</v>
      </c>
    </row>
    <row r="1320" ht="21.25" customHeight="1">
      <c r="A1320" s="10">
        <v>45525</v>
      </c>
      <c r="B1320" t="s" s="11">
        <v>5</v>
      </c>
      <c r="C1320" t="s" s="12">
        <v>283</v>
      </c>
      <c r="D1320" s="17"/>
      <c r="E1320" s="17">
        <v>4780</v>
      </c>
      <c r="F1320" s="18"/>
      <c r="G1320" s="18"/>
      <c r="H1320" s="18"/>
      <c r="I1320" s="18"/>
    </row>
    <row r="1321" ht="21.25" customHeight="1">
      <c r="A1321" s="10">
        <v>45525</v>
      </c>
      <c r="B1321" t="s" s="11">
        <v>12</v>
      </c>
      <c r="C1321" t="s" s="12">
        <v>283</v>
      </c>
      <c r="D1321" s="13">
        <v>4780</v>
      </c>
      <c r="E1321" s="13"/>
      <c r="F1321" s="14"/>
      <c r="G1321" s="14"/>
      <c r="H1321" s="14"/>
      <c r="I1321" s="14"/>
    </row>
    <row r="1322" ht="20.7" customHeight="1">
      <c r="A1322" s="10">
        <v>45525</v>
      </c>
      <c r="B1322" t="s" s="11">
        <v>8</v>
      </c>
      <c r="C1322" t="s" s="12">
        <v>8</v>
      </c>
      <c r="D1322" s="15" cm="1">
        <f t="array" ref="D1322">SUM(D1320:D1321)</f>
        <v>4780</v>
      </c>
      <c r="E1322" s="15" cm="1">
        <f t="array" ref="E1322">SUM(E1320:E1321)</f>
        <v>4780</v>
      </c>
      <c r="F1322" s="16" cm="1">
        <f t="array" ref="F1322">SUM(F1320:F1321)</f>
        <v>0</v>
      </c>
      <c r="G1322" s="16" cm="1">
        <f t="array" ref="G1322">SUM(G1320:G1321)</f>
        <v>0</v>
      </c>
      <c r="H1322" s="16" cm="1">
        <f t="array" ref="H1322">SUM(H1320:H1321)</f>
        <v>0</v>
      </c>
      <c r="I1322" s="16" cm="1">
        <f t="array" ref="I1322">SUM(I1320:I1321)</f>
        <v>0</v>
      </c>
    </row>
    <row r="1323" ht="21.25" customHeight="1">
      <c r="A1323" s="10">
        <v>45525</v>
      </c>
      <c r="B1323" t="s" s="11">
        <v>5</v>
      </c>
      <c r="C1323" t="s" s="12">
        <v>284</v>
      </c>
      <c r="D1323" s="17"/>
      <c r="E1323" s="17">
        <v>31730</v>
      </c>
      <c r="F1323" s="18"/>
      <c r="G1323" s="18"/>
      <c r="H1323" s="18"/>
      <c r="I1323" s="18"/>
    </row>
    <row r="1324" ht="21.25" customHeight="1">
      <c r="A1324" s="10">
        <v>45525</v>
      </c>
      <c r="B1324" t="s" s="11">
        <v>89</v>
      </c>
      <c r="C1324" t="s" s="12">
        <v>284</v>
      </c>
      <c r="D1324" s="13">
        <v>31730</v>
      </c>
      <c r="E1324" s="13"/>
      <c r="F1324" s="14"/>
      <c r="G1324" s="14"/>
      <c r="H1324" s="14"/>
      <c r="I1324" s="14"/>
    </row>
    <row r="1325" ht="20.7" customHeight="1">
      <c r="A1325" s="10">
        <v>45525</v>
      </c>
      <c r="B1325" t="s" s="11">
        <v>8</v>
      </c>
      <c r="C1325" t="s" s="12">
        <v>8</v>
      </c>
      <c r="D1325" s="15" cm="1">
        <f t="array" ref="D1325">SUM(D1323:D1324)</f>
        <v>31730</v>
      </c>
      <c r="E1325" s="15" cm="1">
        <f t="array" ref="E1325">SUM(E1323:E1324)</f>
        <v>31730</v>
      </c>
      <c r="F1325" s="16" cm="1">
        <f t="array" ref="F1325">SUM(F1323:F1324)</f>
        <v>0</v>
      </c>
      <c r="G1325" s="16" cm="1">
        <f t="array" ref="G1325">SUM(G1323:G1324)</f>
        <v>0</v>
      </c>
      <c r="H1325" s="16" cm="1">
        <f t="array" ref="H1325">SUM(H1323:H1324)</f>
        <v>0</v>
      </c>
      <c r="I1325" s="16" cm="1">
        <f t="array" ref="I1325">SUM(I1323:I1324)</f>
        <v>0</v>
      </c>
    </row>
    <row r="1326" ht="21.25" customHeight="1">
      <c r="A1326" s="10">
        <v>45525</v>
      </c>
      <c r="B1326" t="s" s="11">
        <v>5</v>
      </c>
      <c r="C1326" t="s" s="12">
        <v>285</v>
      </c>
      <c r="D1326" s="17"/>
      <c r="E1326" s="17">
        <v>5000</v>
      </c>
      <c r="F1326" s="18"/>
      <c r="G1326" s="18"/>
      <c r="H1326" s="18"/>
      <c r="I1326" s="18"/>
    </row>
    <row r="1327" ht="21.25" customHeight="1">
      <c r="A1327" s="10">
        <v>45525</v>
      </c>
      <c r="B1327" t="s" s="11">
        <v>89</v>
      </c>
      <c r="C1327" t="s" s="12">
        <v>285</v>
      </c>
      <c r="D1327" s="13">
        <v>5000</v>
      </c>
      <c r="E1327" s="13"/>
      <c r="F1327" s="14"/>
      <c r="G1327" s="14"/>
      <c r="H1327" s="14"/>
      <c r="I1327" s="14"/>
    </row>
    <row r="1328" ht="20.7" customHeight="1">
      <c r="A1328" s="10">
        <v>45525</v>
      </c>
      <c r="B1328" t="s" s="11">
        <v>8</v>
      </c>
      <c r="C1328" t="s" s="12">
        <v>8</v>
      </c>
      <c r="D1328" s="15" cm="1">
        <f t="array" ref="D1328">SUM(D1326:D1327)</f>
        <v>5000</v>
      </c>
      <c r="E1328" s="15" cm="1">
        <f t="array" ref="E1328">SUM(E1326:E1327)</f>
        <v>5000</v>
      </c>
      <c r="F1328" s="16" cm="1">
        <f t="array" ref="F1328">SUM(F1326:F1327)</f>
        <v>0</v>
      </c>
      <c r="G1328" s="16" cm="1">
        <f t="array" ref="G1328">SUM(G1326:G1327)</f>
        <v>0</v>
      </c>
      <c r="H1328" s="16" cm="1">
        <f t="array" ref="H1328">SUM(H1326:H1327)</f>
        <v>0</v>
      </c>
      <c r="I1328" s="16" cm="1">
        <f t="array" ref="I1328">SUM(I1326:I1327)</f>
        <v>0</v>
      </c>
    </row>
    <row r="1329" ht="21.25" customHeight="1">
      <c r="A1329" s="10">
        <v>45525</v>
      </c>
      <c r="B1329" t="s" s="11">
        <v>5</v>
      </c>
      <c r="C1329" t="s" s="12">
        <v>286</v>
      </c>
      <c r="D1329" s="17"/>
      <c r="E1329" s="17">
        <v>22200</v>
      </c>
      <c r="F1329" s="18"/>
      <c r="G1329" s="18"/>
      <c r="H1329" s="18"/>
      <c r="I1329" s="18"/>
    </row>
    <row r="1330" ht="21.25" customHeight="1">
      <c r="A1330" s="10">
        <v>45525</v>
      </c>
      <c r="B1330" t="s" s="11">
        <v>89</v>
      </c>
      <c r="C1330" t="s" s="12">
        <v>286</v>
      </c>
      <c r="D1330" s="13">
        <v>22200</v>
      </c>
      <c r="E1330" s="13"/>
      <c r="F1330" s="14"/>
      <c r="G1330" s="14"/>
      <c r="H1330" s="14"/>
      <c r="I1330" s="14"/>
    </row>
    <row r="1331" ht="20.7" customHeight="1">
      <c r="A1331" s="10">
        <v>45525</v>
      </c>
      <c r="B1331" t="s" s="11">
        <v>8</v>
      </c>
      <c r="C1331" t="s" s="12">
        <v>8</v>
      </c>
      <c r="D1331" s="15" cm="1">
        <f t="array" ref="D1331">SUM(D1329:D1330)</f>
        <v>22200</v>
      </c>
      <c r="E1331" s="15" cm="1">
        <f t="array" ref="E1331">SUM(E1329:E1330)</f>
        <v>22200</v>
      </c>
      <c r="F1331" s="16" cm="1">
        <f t="array" ref="F1331">SUM(F1329:F1330)</f>
        <v>0</v>
      </c>
      <c r="G1331" s="16" cm="1">
        <f t="array" ref="G1331">SUM(G1329:G1330)</f>
        <v>0</v>
      </c>
      <c r="H1331" s="16" cm="1">
        <f t="array" ref="H1331">SUM(H1329:H1330)</f>
        <v>0</v>
      </c>
      <c r="I1331" s="16" cm="1">
        <f t="array" ref="I1331">SUM(I1329:I1330)</f>
        <v>0</v>
      </c>
    </row>
    <row r="1332" ht="21.25" customHeight="1">
      <c r="A1332" s="10">
        <v>45525</v>
      </c>
      <c r="B1332" t="s" s="11">
        <v>5</v>
      </c>
      <c r="C1332" t="s" s="12">
        <v>254</v>
      </c>
      <c r="D1332" s="17">
        <v>22000</v>
      </c>
      <c r="E1332" s="17"/>
      <c r="F1332" s="18"/>
      <c r="G1332" s="18"/>
      <c r="H1332" s="18"/>
      <c r="I1332" s="18"/>
    </row>
    <row r="1333" ht="21.25" customHeight="1">
      <c r="A1333" s="10">
        <v>45525</v>
      </c>
      <c r="B1333" t="s" s="11">
        <v>97</v>
      </c>
      <c r="C1333" t="s" s="12">
        <v>254</v>
      </c>
      <c r="D1333" s="13"/>
      <c r="E1333" s="13">
        <v>22000</v>
      </c>
      <c r="F1333" s="14"/>
      <c r="G1333" s="14"/>
      <c r="H1333" s="14"/>
      <c r="I1333" s="14"/>
    </row>
    <row r="1334" ht="20.7" customHeight="1">
      <c r="A1334" s="10">
        <v>45525</v>
      </c>
      <c r="B1334" t="s" s="11">
        <v>8</v>
      </c>
      <c r="C1334" t="s" s="12">
        <v>8</v>
      </c>
      <c r="D1334" s="15" cm="1">
        <f t="array" ref="D1334">SUM(D1332:D1333)</f>
        <v>22000</v>
      </c>
      <c r="E1334" s="15" cm="1">
        <f t="array" ref="E1334">SUM(E1332:E1333)</f>
        <v>22000</v>
      </c>
      <c r="F1334" s="16" cm="1">
        <f t="array" ref="F1334">SUM(F1332:F1333)</f>
        <v>0</v>
      </c>
      <c r="G1334" s="16" cm="1">
        <f t="array" ref="G1334">SUM(G1332:G1333)</f>
        <v>0</v>
      </c>
      <c r="H1334" s="16" cm="1">
        <f t="array" ref="H1334">SUM(H1332:H1333)</f>
        <v>0</v>
      </c>
      <c r="I1334" s="16" cm="1">
        <f t="array" ref="I1334">SUM(I1332:I1333)</f>
        <v>0</v>
      </c>
    </row>
    <row r="1335" ht="21.25" customHeight="1">
      <c r="A1335" s="10">
        <v>45525</v>
      </c>
      <c r="B1335" t="s" s="11">
        <v>5</v>
      </c>
      <c r="C1335" t="s" s="12">
        <v>287</v>
      </c>
      <c r="D1335" s="17"/>
      <c r="E1335" s="17">
        <v>7700</v>
      </c>
      <c r="F1335" s="18"/>
      <c r="G1335" s="18"/>
      <c r="H1335" s="18"/>
      <c r="I1335" s="18"/>
    </row>
    <row r="1336" ht="21.25" customHeight="1">
      <c r="A1336" s="10">
        <v>45525</v>
      </c>
      <c r="B1336" t="s" s="11">
        <v>16</v>
      </c>
      <c r="C1336" t="s" s="12">
        <v>287</v>
      </c>
      <c r="D1336" s="13">
        <v>7700</v>
      </c>
      <c r="E1336" s="13"/>
      <c r="F1336" s="14"/>
      <c r="G1336" s="14"/>
      <c r="H1336" s="14"/>
      <c r="I1336" s="14"/>
    </row>
    <row r="1337" ht="20.7" customHeight="1">
      <c r="A1337" s="10">
        <v>45525</v>
      </c>
      <c r="B1337" t="s" s="11">
        <v>8</v>
      </c>
      <c r="C1337" t="s" s="12">
        <v>8</v>
      </c>
      <c r="D1337" s="15" cm="1">
        <f t="array" ref="D1337">SUM(D1335:D1336)</f>
        <v>7700</v>
      </c>
      <c r="E1337" s="15" cm="1">
        <f t="array" ref="E1337">SUM(E1335:E1336)</f>
        <v>7700</v>
      </c>
      <c r="F1337" s="16" cm="1">
        <f t="array" ref="F1337">SUM(F1335:F1336)</f>
        <v>0</v>
      </c>
      <c r="G1337" s="16" cm="1">
        <f t="array" ref="G1337">SUM(G1335:G1336)</f>
        <v>0</v>
      </c>
      <c r="H1337" s="16" cm="1">
        <f t="array" ref="H1337">SUM(H1335:H1336)</f>
        <v>0</v>
      </c>
      <c r="I1337" s="16" cm="1">
        <f t="array" ref="I1337">SUM(I1335:I1336)</f>
        <v>0</v>
      </c>
    </row>
    <row r="1338" ht="21.25" customHeight="1">
      <c r="A1338" s="10">
        <v>45525</v>
      </c>
      <c r="B1338" t="s" s="11">
        <v>21</v>
      </c>
      <c r="C1338" t="s" s="12">
        <v>288</v>
      </c>
      <c r="D1338" s="17"/>
      <c r="E1338" s="17">
        <v>1500</v>
      </c>
      <c r="F1338" s="18"/>
      <c r="G1338" s="18"/>
      <c r="H1338" s="18"/>
      <c r="I1338" s="18"/>
    </row>
    <row r="1339" ht="21.25" customHeight="1">
      <c r="A1339" s="10">
        <v>45525</v>
      </c>
      <c r="B1339" t="s" s="11">
        <v>16</v>
      </c>
      <c r="C1339" t="s" s="12">
        <v>288</v>
      </c>
      <c r="D1339" s="13">
        <v>1500</v>
      </c>
      <c r="E1339" s="13"/>
      <c r="F1339" s="14"/>
      <c r="G1339" s="14"/>
      <c r="H1339" s="14"/>
      <c r="I1339" s="14"/>
    </row>
    <row r="1340" ht="20.7" customHeight="1">
      <c r="A1340" s="10">
        <v>45525</v>
      </c>
      <c r="B1340" t="s" s="11">
        <v>8</v>
      </c>
      <c r="C1340" t="s" s="12">
        <v>8</v>
      </c>
      <c r="D1340" s="15" cm="1">
        <f t="array" ref="D1340">SUM(D1338:D1339)</f>
        <v>1500</v>
      </c>
      <c r="E1340" s="15" cm="1">
        <f t="array" ref="E1340">SUM(E1338:E1339)</f>
        <v>1500</v>
      </c>
      <c r="F1340" s="16" cm="1">
        <f t="array" ref="F1340">SUM(F1338:F1339)</f>
        <v>0</v>
      </c>
      <c r="G1340" s="16" cm="1">
        <f t="array" ref="G1340">SUM(G1338:G1339)</f>
        <v>0</v>
      </c>
      <c r="H1340" s="16" cm="1">
        <f t="array" ref="H1340">SUM(H1338:H1339)</f>
        <v>0</v>
      </c>
      <c r="I1340" s="16" cm="1">
        <f t="array" ref="I1340">SUM(I1338:I1339)</f>
        <v>0</v>
      </c>
    </row>
    <row r="1341" ht="20.35" customHeight="1">
      <c r="A1341" s="10">
        <v>45525</v>
      </c>
      <c r="B1341" t="s" s="11">
        <v>5</v>
      </c>
      <c r="C1341" t="s" s="12">
        <v>17</v>
      </c>
      <c r="D1341" s="17">
        <v>100</v>
      </c>
      <c r="E1341" s="17"/>
      <c r="F1341" s="18"/>
      <c r="G1341" s="18"/>
      <c r="H1341" s="18"/>
      <c r="I1341" s="18"/>
    </row>
    <row r="1342" ht="20.35" customHeight="1">
      <c r="A1342" s="10">
        <v>45525</v>
      </c>
      <c r="B1342" t="s" s="11">
        <v>18</v>
      </c>
      <c r="C1342" t="s" s="12">
        <v>17</v>
      </c>
      <c r="D1342" s="13"/>
      <c r="E1342" s="13">
        <v>100</v>
      </c>
      <c r="F1342" s="14"/>
      <c r="G1342" s="14"/>
      <c r="H1342" s="14"/>
      <c r="I1342" s="14"/>
    </row>
    <row r="1343" ht="20.7" customHeight="1">
      <c r="A1343" s="10">
        <v>45525</v>
      </c>
      <c r="B1343" t="s" s="11">
        <v>8</v>
      </c>
      <c r="C1343" t="s" s="12">
        <v>8</v>
      </c>
      <c r="D1343" s="15" cm="1">
        <f t="array" ref="D1343">SUM(D1341:D1342)</f>
        <v>100</v>
      </c>
      <c r="E1343" s="15" cm="1">
        <f t="array" ref="E1343">SUM(E1341:E1342)</f>
        <v>100</v>
      </c>
      <c r="F1343" s="16" cm="1">
        <f t="array" ref="F1343">SUM(F1341:F1342)</f>
        <v>0</v>
      </c>
      <c r="G1343" s="16" cm="1">
        <f t="array" ref="G1343">SUM(G1341:G1342)</f>
        <v>0</v>
      </c>
      <c r="H1343" s="16" cm="1">
        <f t="array" ref="H1343">SUM(H1341:H1342)</f>
        <v>0</v>
      </c>
      <c r="I1343" s="16" cm="1">
        <f t="array" ref="I1343">SUM(I1341:I1342)</f>
        <v>0</v>
      </c>
    </row>
    <row r="1344" ht="20.35" customHeight="1">
      <c r="A1344" s="10">
        <v>45526</v>
      </c>
      <c r="B1344" t="s" s="11">
        <v>5</v>
      </c>
      <c r="C1344" t="s" s="12">
        <v>17</v>
      </c>
      <c r="D1344" s="17">
        <v>100</v>
      </c>
      <c r="E1344" s="17"/>
      <c r="F1344" s="18"/>
      <c r="G1344" s="18"/>
      <c r="H1344" s="18"/>
      <c r="I1344" s="18"/>
    </row>
    <row r="1345" ht="20.35" customHeight="1">
      <c r="A1345" s="10">
        <v>45526</v>
      </c>
      <c r="B1345" t="s" s="11">
        <v>18</v>
      </c>
      <c r="C1345" t="s" s="12">
        <v>17</v>
      </c>
      <c r="D1345" s="13"/>
      <c r="E1345" s="13">
        <v>100</v>
      </c>
      <c r="F1345" s="14"/>
      <c r="G1345" s="14"/>
      <c r="H1345" s="14"/>
      <c r="I1345" s="14"/>
    </row>
    <row r="1346" ht="20.7" customHeight="1">
      <c r="A1346" s="10">
        <v>45526</v>
      </c>
      <c r="B1346" t="s" s="11">
        <v>8</v>
      </c>
      <c r="C1346" t="s" s="12">
        <v>8</v>
      </c>
      <c r="D1346" s="15" cm="1">
        <f t="array" ref="D1346">SUM(D1344:D1345)</f>
        <v>100</v>
      </c>
      <c r="E1346" s="15" cm="1">
        <f t="array" ref="E1346">SUM(E1344:E1345)</f>
        <v>100</v>
      </c>
      <c r="F1346" s="16" cm="1">
        <f t="array" ref="F1346">SUM(F1344:F1345)</f>
        <v>0</v>
      </c>
      <c r="G1346" s="16" cm="1">
        <f t="array" ref="G1346">SUM(G1344:G1345)</f>
        <v>0</v>
      </c>
      <c r="H1346" s="16" cm="1">
        <f t="array" ref="H1346">SUM(H1344:H1345)</f>
        <v>0</v>
      </c>
      <c r="I1346" s="16" cm="1">
        <f t="array" ref="I1346">SUM(I1344:I1345)</f>
        <v>0</v>
      </c>
    </row>
    <row r="1347" ht="21.25" customHeight="1">
      <c r="A1347" s="10">
        <v>45526</v>
      </c>
      <c r="B1347" t="s" s="11">
        <v>21</v>
      </c>
      <c r="C1347" t="s" s="12">
        <v>289</v>
      </c>
      <c r="D1347" s="17"/>
      <c r="E1347" s="17">
        <v>2800</v>
      </c>
      <c r="F1347" s="18"/>
      <c r="G1347" s="18"/>
      <c r="H1347" s="18"/>
      <c r="I1347" s="18"/>
    </row>
    <row r="1348" ht="21.25" customHeight="1">
      <c r="A1348" s="10">
        <v>45526</v>
      </c>
      <c r="B1348" t="s" s="11">
        <v>16</v>
      </c>
      <c r="C1348" t="s" s="12">
        <v>289</v>
      </c>
      <c r="D1348" s="13">
        <v>2800</v>
      </c>
      <c r="E1348" s="13"/>
      <c r="F1348" s="14"/>
      <c r="G1348" s="14"/>
      <c r="H1348" s="14"/>
      <c r="I1348" s="14"/>
    </row>
    <row r="1349" ht="20.7" customHeight="1">
      <c r="A1349" s="10">
        <v>45526</v>
      </c>
      <c r="B1349" t="s" s="11">
        <v>8</v>
      </c>
      <c r="C1349" t="s" s="12">
        <v>8</v>
      </c>
      <c r="D1349" s="15" cm="1">
        <f t="array" ref="D1349">SUM(D1347:D1348)</f>
        <v>2800</v>
      </c>
      <c r="E1349" s="15" cm="1">
        <f t="array" ref="E1349">SUM(E1347:E1348)</f>
        <v>2800</v>
      </c>
      <c r="F1349" s="16" cm="1">
        <f t="array" ref="F1349">SUM(F1347:F1348)</f>
        <v>0</v>
      </c>
      <c r="G1349" s="16" cm="1">
        <f t="array" ref="G1349">SUM(G1347:G1348)</f>
        <v>0</v>
      </c>
      <c r="H1349" s="16" cm="1">
        <f t="array" ref="H1349">SUM(H1347:H1348)</f>
        <v>0</v>
      </c>
      <c r="I1349" s="16" cm="1">
        <f t="array" ref="I1349">SUM(I1347:I1348)</f>
        <v>0</v>
      </c>
    </row>
    <row r="1350" ht="21.25" customHeight="1">
      <c r="A1350" s="10">
        <v>45526</v>
      </c>
      <c r="B1350" t="s" s="11">
        <v>21</v>
      </c>
      <c r="C1350" t="s" s="12">
        <v>290</v>
      </c>
      <c r="D1350" s="17"/>
      <c r="E1350" s="17">
        <v>2800</v>
      </c>
      <c r="F1350" s="18"/>
      <c r="G1350" s="18"/>
      <c r="H1350" s="18"/>
      <c r="I1350" s="18"/>
    </row>
    <row r="1351" ht="21.25" customHeight="1">
      <c r="A1351" s="10">
        <v>45526</v>
      </c>
      <c r="B1351" t="s" s="11">
        <v>16</v>
      </c>
      <c r="C1351" t="s" s="12">
        <v>290</v>
      </c>
      <c r="D1351" s="13">
        <v>2800</v>
      </c>
      <c r="E1351" s="13"/>
      <c r="F1351" s="14"/>
      <c r="G1351" s="14"/>
      <c r="H1351" s="14"/>
      <c r="I1351" s="14"/>
    </row>
    <row r="1352" ht="20.7" customHeight="1">
      <c r="A1352" s="10">
        <v>45526</v>
      </c>
      <c r="B1352" t="s" s="11">
        <v>8</v>
      </c>
      <c r="C1352" t="s" s="12">
        <v>8</v>
      </c>
      <c r="D1352" s="15" cm="1">
        <f t="array" ref="D1352">SUM(D1350:D1351)</f>
        <v>2800</v>
      </c>
      <c r="E1352" s="15" cm="1">
        <f t="array" ref="E1352">SUM(E1350:E1351)</f>
        <v>2800</v>
      </c>
      <c r="F1352" s="16" cm="1">
        <f t="array" ref="F1352">SUM(F1350:F1351)</f>
        <v>0</v>
      </c>
      <c r="G1352" s="16" cm="1">
        <f t="array" ref="G1352">SUM(G1350:G1351)</f>
        <v>0</v>
      </c>
      <c r="H1352" s="16" cm="1">
        <f t="array" ref="H1352">SUM(H1350:H1351)</f>
        <v>0</v>
      </c>
      <c r="I1352" s="16" cm="1">
        <f t="array" ref="I1352">SUM(I1350:I1351)</f>
        <v>0</v>
      </c>
    </row>
    <row r="1353" ht="21.25" customHeight="1">
      <c r="A1353" s="10">
        <v>45526</v>
      </c>
      <c r="B1353" t="s" s="11">
        <v>5</v>
      </c>
      <c r="C1353" t="s" s="12">
        <v>291</v>
      </c>
      <c r="D1353" s="17"/>
      <c r="E1353" s="17">
        <v>7300</v>
      </c>
      <c r="F1353" s="18"/>
      <c r="G1353" s="18"/>
      <c r="H1353" s="18"/>
      <c r="I1353" s="18"/>
    </row>
    <row r="1354" ht="20.9" customHeight="1">
      <c r="A1354" s="10">
        <v>45526</v>
      </c>
      <c r="B1354" t="s" s="11">
        <v>12</v>
      </c>
      <c r="C1354" t="s" s="12">
        <v>291</v>
      </c>
      <c r="D1354" s="19">
        <v>3700</v>
      </c>
      <c r="E1354" s="19"/>
      <c r="F1354" s="20"/>
      <c r="G1354" s="20"/>
      <c r="H1354" s="20"/>
      <c r="I1354" s="20"/>
    </row>
    <row r="1355" ht="21.25" customHeight="1">
      <c r="A1355" s="10">
        <v>45526</v>
      </c>
      <c r="B1355" t="s" s="11">
        <v>10</v>
      </c>
      <c r="C1355" t="s" s="12">
        <v>291</v>
      </c>
      <c r="D1355" s="13">
        <v>3600</v>
      </c>
      <c r="E1355" s="13"/>
      <c r="F1355" s="14"/>
      <c r="G1355" s="14"/>
      <c r="H1355" s="14"/>
      <c r="I1355" s="14"/>
    </row>
    <row r="1356" ht="20.7" customHeight="1">
      <c r="A1356" s="10">
        <v>45526</v>
      </c>
      <c r="B1356" t="s" s="11">
        <v>8</v>
      </c>
      <c r="C1356" t="s" s="12">
        <v>8</v>
      </c>
      <c r="D1356" s="15" cm="1">
        <f t="array" ref="D1356">SUM(D1353:D1355)</f>
        <v>7300</v>
      </c>
      <c r="E1356" s="15" cm="1">
        <f t="array" ref="E1356">SUM(E1353:E1355)</f>
        <v>7300</v>
      </c>
      <c r="F1356" s="16" cm="1">
        <f t="array" ref="F1356">SUM(F1353:F1355)</f>
        <v>0</v>
      </c>
      <c r="G1356" s="16" cm="1">
        <f t="array" ref="G1356">SUM(G1353:G1355)</f>
        <v>0</v>
      </c>
      <c r="H1356" s="16" cm="1">
        <f t="array" ref="H1356">SUM(H1353:H1355)</f>
        <v>0</v>
      </c>
      <c r="I1356" s="16" cm="1">
        <f t="array" ref="I1356">SUM(I1353:I1355)</f>
        <v>0</v>
      </c>
    </row>
    <row r="1357" ht="20.65" customHeight="1">
      <c r="A1357" s="10">
        <v>45527</v>
      </c>
      <c r="B1357" t="s" s="11">
        <v>5</v>
      </c>
      <c r="C1357" t="s" s="12">
        <v>70</v>
      </c>
      <c r="D1357" s="17"/>
      <c r="E1357" s="17">
        <v>20000</v>
      </c>
      <c r="F1357" s="18"/>
      <c r="G1357" s="18"/>
      <c r="H1357" s="18"/>
      <c r="I1357" s="18"/>
    </row>
    <row r="1358" ht="20.65" customHeight="1">
      <c r="A1358" s="10">
        <v>45527</v>
      </c>
      <c r="B1358" t="s" s="11">
        <v>21</v>
      </c>
      <c r="C1358" t="s" s="12">
        <v>70</v>
      </c>
      <c r="D1358" s="13">
        <v>20000</v>
      </c>
      <c r="E1358" s="13"/>
      <c r="F1358" s="14"/>
      <c r="G1358" s="14"/>
      <c r="H1358" s="14"/>
      <c r="I1358" s="14"/>
    </row>
    <row r="1359" ht="20.7" customHeight="1">
      <c r="A1359" s="10">
        <v>45527</v>
      </c>
      <c r="B1359" t="s" s="11">
        <v>8</v>
      </c>
      <c r="C1359" t="s" s="12">
        <v>8</v>
      </c>
      <c r="D1359" s="15" cm="1">
        <f t="array" ref="D1359">SUM(D1357:D1358)</f>
        <v>20000</v>
      </c>
      <c r="E1359" s="15" cm="1">
        <f t="array" ref="E1359">SUM(E1357:E1358)</f>
        <v>20000</v>
      </c>
      <c r="F1359" s="16" cm="1">
        <f t="array" ref="F1359">SUM(F1357:F1358)</f>
        <v>0</v>
      </c>
      <c r="G1359" s="16" cm="1">
        <f t="array" ref="G1359">SUM(G1357:G1358)</f>
        <v>0</v>
      </c>
      <c r="H1359" s="16" cm="1">
        <f t="array" ref="H1359">SUM(H1357:H1358)</f>
        <v>0</v>
      </c>
      <c r="I1359" s="16" cm="1">
        <f t="array" ref="I1359">SUM(I1357:I1358)</f>
        <v>0</v>
      </c>
    </row>
    <row r="1360" ht="20.35" customHeight="1">
      <c r="A1360" s="10">
        <v>45527</v>
      </c>
      <c r="B1360" t="s" s="11">
        <v>39</v>
      </c>
      <c r="C1360" t="s" s="12">
        <v>64</v>
      </c>
      <c r="D1360" s="17"/>
      <c r="E1360" s="17"/>
      <c r="F1360" s="18">
        <v>50</v>
      </c>
      <c r="G1360" s="18"/>
      <c r="H1360" s="18"/>
      <c r="I1360" s="18"/>
    </row>
    <row r="1361" ht="20.35" customHeight="1">
      <c r="A1361" s="10">
        <v>45527</v>
      </c>
      <c r="B1361" t="s" s="11">
        <v>41</v>
      </c>
      <c r="C1361" t="s" s="12">
        <v>64</v>
      </c>
      <c r="D1361" s="13"/>
      <c r="E1361" s="13"/>
      <c r="F1361" s="14"/>
      <c r="G1361" s="14">
        <v>50</v>
      </c>
      <c r="H1361" s="14"/>
      <c r="I1361" s="14"/>
    </row>
    <row r="1362" ht="20.7" customHeight="1">
      <c r="A1362" s="10">
        <v>45527</v>
      </c>
      <c r="B1362" t="s" s="11">
        <v>8</v>
      </c>
      <c r="C1362" t="s" s="12">
        <v>8</v>
      </c>
      <c r="D1362" s="15" cm="1">
        <f t="array" ref="D1362">SUM(D1360:D1361)</f>
        <v>0</v>
      </c>
      <c r="E1362" s="15" cm="1">
        <f t="array" ref="E1362">SUM(E1360:E1361)</f>
        <v>0</v>
      </c>
      <c r="F1362" s="16" cm="1">
        <f t="array" ref="F1362">SUM(F1360:F1361)</f>
        <v>50</v>
      </c>
      <c r="G1362" s="16" cm="1">
        <f t="array" ref="G1362">SUM(G1360:G1361)</f>
        <v>50</v>
      </c>
      <c r="H1362" s="16" cm="1">
        <f t="array" ref="H1362">SUM(H1360:H1361)</f>
        <v>0</v>
      </c>
      <c r="I1362" s="16" cm="1">
        <f t="array" ref="I1362">SUM(I1360:I1361)</f>
        <v>0</v>
      </c>
    </row>
    <row r="1363" ht="20.35" customHeight="1">
      <c r="A1363" s="10">
        <v>45527</v>
      </c>
      <c r="B1363" t="s" s="11">
        <v>39</v>
      </c>
      <c r="C1363" t="s" s="12">
        <v>68</v>
      </c>
      <c r="D1363" s="17"/>
      <c r="E1363" s="17"/>
      <c r="F1363" s="18"/>
      <c r="G1363" s="18">
        <v>8.49</v>
      </c>
      <c r="H1363" s="18"/>
      <c r="I1363" s="18"/>
    </row>
    <row r="1364" ht="20.35" customHeight="1">
      <c r="A1364" s="10">
        <v>45527</v>
      </c>
      <c r="B1364" t="s" s="11">
        <v>44</v>
      </c>
      <c r="C1364" t="s" s="12">
        <v>68</v>
      </c>
      <c r="D1364" s="13"/>
      <c r="E1364" s="13"/>
      <c r="F1364" s="14">
        <v>8.49</v>
      </c>
      <c r="G1364" s="14"/>
      <c r="H1364" s="14"/>
      <c r="I1364" s="14"/>
    </row>
    <row r="1365" ht="20.7" customHeight="1">
      <c r="A1365" s="10">
        <v>45527</v>
      </c>
      <c r="B1365" t="s" s="11">
        <v>8</v>
      </c>
      <c r="C1365" t="s" s="12">
        <v>8</v>
      </c>
      <c r="D1365" s="15" cm="1">
        <f t="array" ref="D1365">SUM(D1363:D1364)</f>
        <v>0</v>
      </c>
      <c r="E1365" s="15" cm="1">
        <f t="array" ref="E1365">SUM(E1363:E1364)</f>
        <v>0</v>
      </c>
      <c r="F1365" s="16" cm="1">
        <f t="array" ref="F1365">SUM(F1363:F1364)</f>
        <v>8.49</v>
      </c>
      <c r="G1365" s="16" cm="1">
        <f t="array" ref="G1365">SUM(G1363:G1364)</f>
        <v>8.49</v>
      </c>
      <c r="H1365" s="16" cm="1">
        <f t="array" ref="H1365">SUM(H1363:H1364)</f>
        <v>0</v>
      </c>
      <c r="I1365" s="16" cm="1">
        <f t="array" ref="I1365">SUM(I1363:I1364)</f>
        <v>0</v>
      </c>
    </row>
    <row r="1366" ht="20.35" customHeight="1">
      <c r="A1366" s="10">
        <v>45527</v>
      </c>
      <c r="B1366" t="s" s="11">
        <v>89</v>
      </c>
      <c r="C1366" t="s" s="12">
        <v>292</v>
      </c>
      <c r="D1366" s="17"/>
      <c r="E1366" s="17">
        <v>100000</v>
      </c>
      <c r="F1366" s="18"/>
      <c r="G1366" s="18"/>
      <c r="H1366" s="18"/>
      <c r="I1366" s="18"/>
    </row>
    <row r="1367" ht="20.35" customHeight="1">
      <c r="A1367" s="10">
        <v>45527</v>
      </c>
      <c r="B1367" t="s" s="11">
        <v>5</v>
      </c>
      <c r="C1367" t="s" s="12">
        <v>292</v>
      </c>
      <c r="D1367" s="13">
        <v>100000</v>
      </c>
      <c r="E1367" s="13"/>
      <c r="F1367" s="14"/>
      <c r="G1367" s="14"/>
      <c r="H1367" s="14"/>
      <c r="I1367" s="14"/>
    </row>
    <row r="1368" ht="20.7" customHeight="1">
      <c r="A1368" s="10">
        <v>45527</v>
      </c>
      <c r="B1368" t="s" s="11">
        <v>8</v>
      </c>
      <c r="C1368" t="s" s="12">
        <v>8</v>
      </c>
      <c r="D1368" s="15" cm="1">
        <f t="array" ref="D1368">SUM(D1366:D1367)</f>
        <v>100000</v>
      </c>
      <c r="E1368" s="15" cm="1">
        <f t="array" ref="E1368">SUM(E1366:E1367)</f>
        <v>100000</v>
      </c>
      <c r="F1368" s="16" cm="1">
        <f t="array" ref="F1368">SUM(F1366:F1367)</f>
        <v>0</v>
      </c>
      <c r="G1368" s="16" cm="1">
        <f t="array" ref="G1368">SUM(G1366:G1367)</f>
        <v>0</v>
      </c>
      <c r="H1368" s="16" cm="1">
        <f t="array" ref="H1368">SUM(H1366:H1367)</f>
        <v>0</v>
      </c>
      <c r="I1368" s="16" cm="1">
        <f t="array" ref="I1368">SUM(I1366:I1367)</f>
        <v>0</v>
      </c>
    </row>
    <row r="1369" ht="21.25" customHeight="1">
      <c r="A1369" s="10">
        <v>45527</v>
      </c>
      <c r="B1369" t="s" s="11">
        <v>5</v>
      </c>
      <c r="C1369" t="s" s="12">
        <v>293</v>
      </c>
      <c r="D1369" s="17"/>
      <c r="E1369" s="17">
        <v>15100</v>
      </c>
      <c r="F1369" s="18"/>
      <c r="G1369" s="18"/>
      <c r="H1369" s="18"/>
      <c r="I1369" s="18"/>
    </row>
    <row r="1370" ht="20.9" customHeight="1">
      <c r="A1370" s="10">
        <v>45527</v>
      </c>
      <c r="B1370" t="s" s="11">
        <v>10</v>
      </c>
      <c r="C1370" t="s" s="12">
        <v>293</v>
      </c>
      <c r="D1370" s="19" cm="1">
        <f t="array" ref="D1370">15100/2</f>
        <v>7550</v>
      </c>
      <c r="E1370" s="19"/>
      <c r="F1370" s="20"/>
      <c r="G1370" s="20"/>
      <c r="H1370" s="20"/>
      <c r="I1370" s="20"/>
    </row>
    <row r="1371" ht="21.25" customHeight="1">
      <c r="A1371" s="10">
        <v>45527</v>
      </c>
      <c r="B1371" t="s" s="11">
        <v>12</v>
      </c>
      <c r="C1371" t="s" s="12">
        <v>293</v>
      </c>
      <c r="D1371" s="13">
        <v>7550</v>
      </c>
      <c r="E1371" s="13"/>
      <c r="F1371" s="14"/>
      <c r="G1371" s="14"/>
      <c r="H1371" s="14"/>
      <c r="I1371" s="14"/>
    </row>
    <row r="1372" ht="20.7" customHeight="1">
      <c r="A1372" s="10">
        <v>45527</v>
      </c>
      <c r="B1372" t="s" s="11">
        <v>8</v>
      </c>
      <c r="C1372" t="s" s="12">
        <v>8</v>
      </c>
      <c r="D1372" s="15" cm="1">
        <f t="array" ref="D1372">SUM(D1369:D1371)</f>
        <v>15100</v>
      </c>
      <c r="E1372" s="15" cm="1">
        <f t="array" ref="E1372">SUM(E1369:E1371)</f>
        <v>15100</v>
      </c>
      <c r="F1372" s="16" cm="1">
        <f t="array" ref="F1372">SUM(F1369:F1371)</f>
        <v>0</v>
      </c>
      <c r="G1372" s="16" cm="1">
        <f t="array" ref="G1372">SUM(G1369:G1371)</f>
        <v>0</v>
      </c>
      <c r="H1372" s="16" cm="1">
        <f t="array" ref="H1372">SUM(H1369:H1371)</f>
        <v>0</v>
      </c>
      <c r="I1372" s="16" cm="1">
        <f t="array" ref="I1372">SUM(I1369:I1371)</f>
        <v>0</v>
      </c>
    </row>
    <row r="1373" ht="21.25" customHeight="1">
      <c r="A1373" s="10">
        <v>45527</v>
      </c>
      <c r="B1373" t="s" s="11">
        <v>5</v>
      </c>
      <c r="C1373" t="s" s="12">
        <v>294</v>
      </c>
      <c r="D1373" s="17"/>
      <c r="E1373" s="17">
        <v>3900</v>
      </c>
      <c r="F1373" s="18"/>
      <c r="G1373" s="18"/>
      <c r="H1373" s="18"/>
      <c r="I1373" s="18"/>
    </row>
    <row r="1374" ht="21.25" customHeight="1">
      <c r="A1374" s="10">
        <v>45527</v>
      </c>
      <c r="B1374" t="s" s="11">
        <v>10</v>
      </c>
      <c r="C1374" t="s" s="12">
        <v>294</v>
      </c>
      <c r="D1374" s="13">
        <v>3900</v>
      </c>
      <c r="E1374" s="13"/>
      <c r="F1374" s="14"/>
      <c r="G1374" s="14"/>
      <c r="H1374" s="14"/>
      <c r="I1374" s="14"/>
    </row>
    <row r="1375" ht="20.7" customHeight="1">
      <c r="A1375" s="10">
        <v>45527</v>
      </c>
      <c r="B1375" t="s" s="11">
        <v>8</v>
      </c>
      <c r="C1375" t="s" s="12">
        <v>8</v>
      </c>
      <c r="D1375" s="15" cm="1">
        <f t="array" ref="D1375">SUM(D1373:D1374)</f>
        <v>3900</v>
      </c>
      <c r="E1375" s="15" cm="1">
        <f t="array" ref="E1375">SUM(E1373:E1374)</f>
        <v>3900</v>
      </c>
      <c r="F1375" s="16" cm="1">
        <f t="array" ref="F1375">SUM(F1373:F1374)</f>
        <v>0</v>
      </c>
      <c r="G1375" s="16" cm="1">
        <f t="array" ref="G1375">SUM(G1373:G1374)</f>
        <v>0</v>
      </c>
      <c r="H1375" s="16" cm="1">
        <f t="array" ref="H1375">SUM(H1373:H1374)</f>
        <v>0</v>
      </c>
      <c r="I1375" s="16" cm="1">
        <f t="array" ref="I1375">SUM(I1373:I1374)</f>
        <v>0</v>
      </c>
    </row>
    <row r="1376" ht="20.65" customHeight="1">
      <c r="A1376" s="10">
        <v>45527</v>
      </c>
      <c r="B1376" t="s" s="11">
        <v>5</v>
      </c>
      <c r="C1376" t="s" s="12">
        <v>295</v>
      </c>
      <c r="D1376" s="17"/>
      <c r="E1376" s="17">
        <v>3900</v>
      </c>
      <c r="F1376" s="18"/>
      <c r="G1376" s="18"/>
      <c r="H1376" s="18"/>
      <c r="I1376" s="18"/>
    </row>
    <row r="1377" ht="20.65" customHeight="1">
      <c r="A1377" s="10">
        <v>45527</v>
      </c>
      <c r="B1377" t="s" s="11">
        <v>12</v>
      </c>
      <c r="C1377" t="s" s="12">
        <v>295</v>
      </c>
      <c r="D1377" s="13">
        <v>3900</v>
      </c>
      <c r="E1377" s="13"/>
      <c r="F1377" s="14"/>
      <c r="G1377" s="14"/>
      <c r="H1377" s="14"/>
      <c r="I1377" s="14"/>
    </row>
    <row r="1378" ht="20.7" customHeight="1">
      <c r="A1378" s="10">
        <v>45527</v>
      </c>
      <c r="B1378" t="s" s="11">
        <v>8</v>
      </c>
      <c r="C1378" t="s" s="12">
        <v>8</v>
      </c>
      <c r="D1378" s="15" cm="1">
        <f t="array" ref="D1378">SUM(D1376:D1377)</f>
        <v>3900</v>
      </c>
      <c r="E1378" s="15" cm="1">
        <f t="array" ref="E1378">SUM(E1376:E1377)</f>
        <v>3900</v>
      </c>
      <c r="F1378" s="16" cm="1">
        <f t="array" ref="F1378">SUM(F1376:F1377)</f>
        <v>0</v>
      </c>
      <c r="G1378" s="16" cm="1">
        <f t="array" ref="G1378">SUM(G1376:G1377)</f>
        <v>0</v>
      </c>
      <c r="H1378" s="16" cm="1">
        <f t="array" ref="H1378">SUM(H1376:H1377)</f>
        <v>0</v>
      </c>
      <c r="I1378" s="16" cm="1">
        <f t="array" ref="I1378">SUM(I1376:I1377)</f>
        <v>0</v>
      </c>
    </row>
    <row r="1379" ht="20.35" customHeight="1">
      <c r="A1379" s="10">
        <v>45527</v>
      </c>
      <c r="B1379" t="s" s="11">
        <v>5</v>
      </c>
      <c r="C1379" t="s" s="12">
        <v>17</v>
      </c>
      <c r="D1379" s="17">
        <v>100</v>
      </c>
      <c r="E1379" s="17"/>
      <c r="F1379" s="18"/>
      <c r="G1379" s="18"/>
      <c r="H1379" s="18"/>
      <c r="I1379" s="18"/>
    </row>
    <row r="1380" ht="20.35" customHeight="1">
      <c r="A1380" s="10">
        <v>45527</v>
      </c>
      <c r="B1380" t="s" s="11">
        <v>18</v>
      </c>
      <c r="C1380" t="s" s="12">
        <v>17</v>
      </c>
      <c r="D1380" s="13"/>
      <c r="E1380" s="13">
        <v>100</v>
      </c>
      <c r="F1380" s="14"/>
      <c r="G1380" s="14"/>
      <c r="H1380" s="14"/>
      <c r="I1380" s="14"/>
    </row>
    <row r="1381" ht="20.7" customHeight="1">
      <c r="A1381" s="10">
        <v>45527</v>
      </c>
      <c r="B1381" t="s" s="11">
        <v>8</v>
      </c>
      <c r="C1381" t="s" s="12">
        <v>8</v>
      </c>
      <c r="D1381" s="15" cm="1">
        <f t="array" ref="D1381">SUM(D1379:D1380)</f>
        <v>100</v>
      </c>
      <c r="E1381" s="15" cm="1">
        <f t="array" ref="E1381">SUM(E1379:E1380)</f>
        <v>100</v>
      </c>
      <c r="F1381" s="16" cm="1">
        <f t="array" ref="F1381">SUM(F1379:F1380)</f>
        <v>0</v>
      </c>
      <c r="G1381" s="16" cm="1">
        <f t="array" ref="G1381">SUM(G1379:G1380)</f>
        <v>0</v>
      </c>
      <c r="H1381" s="16" cm="1">
        <f t="array" ref="H1381">SUM(H1379:H1380)</f>
        <v>0</v>
      </c>
      <c r="I1381" s="16" cm="1">
        <f t="array" ref="I1381">SUM(I1379:I1380)</f>
        <v>0</v>
      </c>
    </row>
    <row r="1382" ht="20.35" customHeight="1">
      <c r="A1382" s="10">
        <v>45527</v>
      </c>
      <c r="B1382" t="s" s="11">
        <v>5</v>
      </c>
      <c r="C1382" t="s" s="12">
        <v>17</v>
      </c>
      <c r="D1382" s="17">
        <v>100</v>
      </c>
      <c r="E1382" s="17"/>
      <c r="F1382" s="18"/>
      <c r="G1382" s="18"/>
      <c r="H1382" s="18"/>
      <c r="I1382" s="18"/>
    </row>
    <row r="1383" ht="20.35" customHeight="1">
      <c r="A1383" s="10">
        <v>45527</v>
      </c>
      <c r="B1383" t="s" s="11">
        <v>18</v>
      </c>
      <c r="C1383" t="s" s="12">
        <v>17</v>
      </c>
      <c r="D1383" s="13"/>
      <c r="E1383" s="13">
        <v>100</v>
      </c>
      <c r="F1383" s="14"/>
      <c r="G1383" s="14"/>
      <c r="H1383" s="14"/>
      <c r="I1383" s="14"/>
    </row>
    <row r="1384" ht="20.7" customHeight="1">
      <c r="A1384" s="10">
        <v>45527</v>
      </c>
      <c r="B1384" t="s" s="11">
        <v>8</v>
      </c>
      <c r="C1384" t="s" s="12">
        <v>8</v>
      </c>
      <c r="D1384" s="15" cm="1">
        <f t="array" ref="D1384">SUM(D1382:D1383)</f>
        <v>100</v>
      </c>
      <c r="E1384" s="15" cm="1">
        <f t="array" ref="E1384">SUM(E1382:E1383)</f>
        <v>100</v>
      </c>
      <c r="F1384" s="16" cm="1">
        <f t="array" ref="F1384">SUM(F1382:F1383)</f>
        <v>0</v>
      </c>
      <c r="G1384" s="16" cm="1">
        <f t="array" ref="G1384">SUM(G1382:G1383)</f>
        <v>0</v>
      </c>
      <c r="H1384" s="16" cm="1">
        <f t="array" ref="H1384">SUM(H1382:H1383)</f>
        <v>0</v>
      </c>
      <c r="I1384" s="16" cm="1">
        <f t="array" ref="I1384">SUM(I1382:I1383)</f>
        <v>0</v>
      </c>
    </row>
    <row r="1385" ht="21.25" customHeight="1">
      <c r="A1385" s="10">
        <v>45527</v>
      </c>
      <c r="B1385" t="s" s="11">
        <v>5</v>
      </c>
      <c r="C1385" t="s" s="12">
        <v>296</v>
      </c>
      <c r="D1385" s="17"/>
      <c r="E1385" s="17">
        <v>60600</v>
      </c>
      <c r="F1385" s="18"/>
      <c r="G1385" s="18"/>
      <c r="H1385" s="18"/>
      <c r="I1385" s="18"/>
    </row>
    <row r="1386" ht="20.9" customHeight="1">
      <c r="A1386" s="10">
        <v>45527</v>
      </c>
      <c r="B1386" t="s" s="11">
        <v>10</v>
      </c>
      <c r="C1386" t="s" s="12">
        <v>296</v>
      </c>
      <c r="D1386" s="19" cm="1">
        <f t="array" ref="D1386">60600*2/3</f>
        <v>40400</v>
      </c>
      <c r="E1386" s="19"/>
      <c r="F1386" s="20"/>
      <c r="G1386" s="20"/>
      <c r="H1386" s="20"/>
      <c r="I1386" s="20"/>
    </row>
    <row r="1387" ht="21.25" customHeight="1">
      <c r="A1387" s="10">
        <v>45527</v>
      </c>
      <c r="B1387" t="s" s="11">
        <v>12</v>
      </c>
      <c r="C1387" t="s" s="12">
        <v>296</v>
      </c>
      <c r="D1387" s="13">
        <v>20200</v>
      </c>
      <c r="E1387" s="13"/>
      <c r="F1387" s="14"/>
      <c r="G1387" s="14"/>
      <c r="H1387" s="14"/>
      <c r="I1387" s="14"/>
    </row>
    <row r="1388" ht="20.7" customHeight="1">
      <c r="A1388" s="10">
        <v>45527</v>
      </c>
      <c r="B1388" t="s" s="11">
        <v>8</v>
      </c>
      <c r="C1388" t="s" s="12">
        <v>8</v>
      </c>
      <c r="D1388" s="15" cm="1">
        <f t="array" ref="D1388">SUM(D1385:D1387)</f>
        <v>60600</v>
      </c>
      <c r="E1388" s="15" cm="1">
        <f t="array" ref="E1388">SUM(E1385:E1387)</f>
        <v>60600</v>
      </c>
      <c r="F1388" s="16" cm="1">
        <f t="array" ref="F1388">SUM(F1385:F1387)</f>
        <v>0</v>
      </c>
      <c r="G1388" s="16" cm="1">
        <f t="array" ref="G1388">SUM(G1385:G1387)</f>
        <v>0</v>
      </c>
      <c r="H1388" s="16" cm="1">
        <f t="array" ref="H1388">SUM(H1385:H1387)</f>
        <v>0</v>
      </c>
      <c r="I1388" s="16" cm="1">
        <f t="array" ref="I1388">SUM(I1385:I1387)</f>
        <v>0</v>
      </c>
    </row>
    <row r="1389" ht="21.25" customHeight="1">
      <c r="A1389" s="10">
        <v>45527</v>
      </c>
      <c r="B1389" t="s" s="11">
        <v>5</v>
      </c>
      <c r="C1389" t="s" s="12">
        <v>252</v>
      </c>
      <c r="D1389" s="17"/>
      <c r="E1389" s="17">
        <v>10000</v>
      </c>
      <c r="F1389" s="18"/>
      <c r="G1389" s="18"/>
      <c r="H1389" s="18"/>
      <c r="I1389" s="18"/>
    </row>
    <row r="1390" ht="21.25" customHeight="1">
      <c r="A1390" s="10">
        <v>45527</v>
      </c>
      <c r="B1390" t="s" s="11">
        <v>28</v>
      </c>
      <c r="C1390" t="s" s="12">
        <v>252</v>
      </c>
      <c r="D1390" s="13">
        <v>10000</v>
      </c>
      <c r="E1390" s="13"/>
      <c r="F1390" s="14"/>
      <c r="G1390" s="14"/>
      <c r="H1390" s="14"/>
      <c r="I1390" s="14"/>
    </row>
    <row r="1391" ht="20.7" customHeight="1">
      <c r="A1391" s="10">
        <v>45527</v>
      </c>
      <c r="B1391" t="s" s="11">
        <v>8</v>
      </c>
      <c r="C1391" t="s" s="12">
        <v>8</v>
      </c>
      <c r="D1391" s="15" cm="1">
        <f t="array" ref="D1391">SUM(D1389:D1390)</f>
        <v>10000</v>
      </c>
      <c r="E1391" s="15" cm="1">
        <f t="array" ref="E1391">SUM(E1389:E1390)</f>
        <v>10000</v>
      </c>
      <c r="F1391" s="16" cm="1">
        <f t="array" ref="F1391">SUM(F1389:F1390)</f>
        <v>0</v>
      </c>
      <c r="G1391" s="16" cm="1">
        <f t="array" ref="G1391">SUM(G1389:G1390)</f>
        <v>0</v>
      </c>
      <c r="H1391" s="16" cm="1">
        <f t="array" ref="H1391">SUM(H1389:H1390)</f>
        <v>0</v>
      </c>
      <c r="I1391" s="16" cm="1">
        <f t="array" ref="I1391">SUM(I1389:I1390)</f>
        <v>0</v>
      </c>
    </row>
    <row r="1392" ht="20.35" customHeight="1">
      <c r="A1392" s="10">
        <v>45528</v>
      </c>
      <c r="B1392" t="s" s="11">
        <v>5</v>
      </c>
      <c r="C1392" t="s" s="12">
        <v>202</v>
      </c>
      <c r="D1392" s="17"/>
      <c r="E1392" s="17">
        <v>10000</v>
      </c>
      <c r="F1392" s="18"/>
      <c r="G1392" s="18"/>
      <c r="H1392" s="18"/>
      <c r="I1392" s="18"/>
    </row>
    <row r="1393" ht="20.35" customHeight="1">
      <c r="A1393" s="10">
        <v>45528</v>
      </c>
      <c r="B1393" t="s" s="11">
        <v>93</v>
      </c>
      <c r="C1393" t="s" s="12">
        <v>202</v>
      </c>
      <c r="D1393" s="13">
        <v>10000</v>
      </c>
      <c r="E1393" s="13"/>
      <c r="F1393" s="14"/>
      <c r="G1393" s="14"/>
      <c r="H1393" s="14"/>
      <c r="I1393" s="14"/>
    </row>
    <row r="1394" ht="20.7" customHeight="1">
      <c r="A1394" s="10">
        <v>45528</v>
      </c>
      <c r="B1394" t="s" s="11">
        <v>8</v>
      </c>
      <c r="C1394" t="s" s="12">
        <v>8</v>
      </c>
      <c r="D1394" s="15" cm="1">
        <f t="array" ref="D1394">SUM(D1392:D1393)</f>
        <v>10000</v>
      </c>
      <c r="E1394" s="15" cm="1">
        <f t="array" ref="E1394">SUM(E1392:E1393)</f>
        <v>10000</v>
      </c>
      <c r="F1394" s="16" cm="1">
        <f t="array" ref="F1394">SUM(F1392:F1393)</f>
        <v>0</v>
      </c>
      <c r="G1394" s="16" cm="1">
        <f t="array" ref="G1394">SUM(G1392:G1393)</f>
        <v>0</v>
      </c>
      <c r="H1394" s="16" cm="1">
        <f t="array" ref="H1394">SUM(H1392:H1393)</f>
        <v>0</v>
      </c>
      <c r="I1394" s="16" cm="1">
        <f t="array" ref="I1394">SUM(I1392:I1393)</f>
        <v>0</v>
      </c>
    </row>
    <row r="1395" ht="20.65" customHeight="1">
      <c r="A1395" s="10">
        <v>45528</v>
      </c>
      <c r="B1395" t="s" s="11">
        <v>28</v>
      </c>
      <c r="C1395" t="s" s="12">
        <v>272</v>
      </c>
      <c r="D1395" s="17"/>
      <c r="E1395" s="17">
        <v>2000</v>
      </c>
      <c r="F1395" s="18"/>
      <c r="G1395" s="18"/>
      <c r="H1395" s="18"/>
      <c r="I1395" s="18"/>
    </row>
    <row r="1396" ht="20.65" customHeight="1">
      <c r="A1396" s="10">
        <v>45528</v>
      </c>
      <c r="B1396" t="s" s="11">
        <v>10</v>
      </c>
      <c r="C1396" t="s" s="12">
        <v>272</v>
      </c>
      <c r="D1396" s="13">
        <v>2000</v>
      </c>
      <c r="E1396" s="13"/>
      <c r="F1396" s="14"/>
      <c r="G1396" s="14"/>
      <c r="H1396" s="14"/>
      <c r="I1396" s="14"/>
    </row>
    <row r="1397" ht="20.7" customHeight="1">
      <c r="A1397" s="10">
        <v>45528</v>
      </c>
      <c r="B1397" t="s" s="11">
        <v>8</v>
      </c>
      <c r="C1397" t="s" s="12">
        <v>8</v>
      </c>
      <c r="D1397" s="15" cm="1">
        <f t="array" ref="D1397">SUM(D1395:D1396)</f>
        <v>2000</v>
      </c>
      <c r="E1397" s="15" cm="1">
        <f t="array" ref="E1397">SUM(E1395:E1396)</f>
        <v>2000</v>
      </c>
      <c r="F1397" s="16" cm="1">
        <f t="array" ref="F1397">SUM(F1395:F1396)</f>
        <v>0</v>
      </c>
      <c r="G1397" s="16" cm="1">
        <f t="array" ref="G1397">SUM(G1395:G1396)</f>
        <v>0</v>
      </c>
      <c r="H1397" s="16" cm="1">
        <f t="array" ref="H1397">SUM(H1395:H1396)</f>
        <v>0</v>
      </c>
      <c r="I1397" s="16" cm="1">
        <f t="array" ref="I1397">SUM(I1395:I1396)</f>
        <v>0</v>
      </c>
    </row>
    <row r="1398" ht="20.35" customHeight="1">
      <c r="A1398" s="10">
        <v>45528</v>
      </c>
      <c r="B1398" t="s" s="11">
        <v>93</v>
      </c>
      <c r="C1398" t="s" s="12">
        <v>53</v>
      </c>
      <c r="D1398" s="17"/>
      <c r="E1398" s="17">
        <v>5445</v>
      </c>
      <c r="F1398" s="18"/>
      <c r="G1398" s="18"/>
      <c r="H1398" s="18"/>
      <c r="I1398" s="18"/>
    </row>
    <row r="1399" ht="20.35" customHeight="1">
      <c r="A1399" s="10">
        <v>45528</v>
      </c>
      <c r="B1399" t="s" s="11">
        <v>12</v>
      </c>
      <c r="C1399" t="s" s="12">
        <v>53</v>
      </c>
      <c r="D1399" s="13">
        <v>5445</v>
      </c>
      <c r="E1399" s="13"/>
      <c r="F1399" s="14"/>
      <c r="G1399" s="14"/>
      <c r="H1399" s="14"/>
      <c r="I1399" s="14"/>
    </row>
    <row r="1400" ht="20.7" customHeight="1">
      <c r="A1400" s="10">
        <v>45528</v>
      </c>
      <c r="B1400" t="s" s="11">
        <v>8</v>
      </c>
      <c r="C1400" t="s" s="12">
        <v>8</v>
      </c>
      <c r="D1400" s="15" cm="1">
        <f t="array" ref="D1400">SUM(D1398:D1399)</f>
        <v>5445</v>
      </c>
      <c r="E1400" s="15" cm="1">
        <f t="array" ref="E1400">SUM(E1398:E1399)</f>
        <v>5445</v>
      </c>
      <c r="F1400" s="16" cm="1">
        <f t="array" ref="F1400">SUM(F1398:F1399)</f>
        <v>0</v>
      </c>
      <c r="G1400" s="16" cm="1">
        <f t="array" ref="G1400">SUM(G1398:G1399)</f>
        <v>0</v>
      </c>
      <c r="H1400" s="16" cm="1">
        <f t="array" ref="H1400">SUM(H1398:H1399)</f>
        <v>0</v>
      </c>
      <c r="I1400" s="16" cm="1">
        <f t="array" ref="I1400">SUM(I1398:I1399)</f>
        <v>0</v>
      </c>
    </row>
    <row r="1401" ht="20.35" customHeight="1">
      <c r="A1401" s="10">
        <v>45529</v>
      </c>
      <c r="B1401" t="s" s="11">
        <v>39</v>
      </c>
      <c r="C1401" t="s" s="12">
        <v>64</v>
      </c>
      <c r="D1401" s="17"/>
      <c r="E1401" s="17"/>
      <c r="F1401" s="18">
        <v>2500</v>
      </c>
      <c r="G1401" s="18"/>
      <c r="H1401" s="18"/>
      <c r="I1401" s="18"/>
    </row>
    <row r="1402" ht="20.35" customHeight="1">
      <c r="A1402" s="10">
        <v>45529</v>
      </c>
      <c r="B1402" t="s" s="11">
        <v>41</v>
      </c>
      <c r="C1402" t="s" s="12">
        <v>64</v>
      </c>
      <c r="D1402" s="13"/>
      <c r="E1402" s="13"/>
      <c r="F1402" s="14"/>
      <c r="G1402" s="14">
        <v>2500</v>
      </c>
      <c r="H1402" s="14"/>
      <c r="I1402" s="14"/>
    </row>
    <row r="1403" ht="20.7" customHeight="1">
      <c r="A1403" s="10">
        <v>45529</v>
      </c>
      <c r="B1403" t="s" s="11">
        <v>8</v>
      </c>
      <c r="C1403" t="s" s="12">
        <v>8</v>
      </c>
      <c r="D1403" s="15" cm="1">
        <f t="array" ref="D1403">SUM(D1401:D1402)</f>
        <v>0</v>
      </c>
      <c r="E1403" s="15" cm="1">
        <f t="array" ref="E1403">SUM(E1401:E1402)</f>
        <v>0</v>
      </c>
      <c r="F1403" s="16" cm="1">
        <f t="array" ref="F1403">SUM(F1401:F1402)</f>
        <v>2500</v>
      </c>
      <c r="G1403" s="16" cm="1">
        <f t="array" ref="G1403">SUM(G1401:G1402)</f>
        <v>2500</v>
      </c>
      <c r="H1403" s="16" cm="1">
        <f t="array" ref="H1403">SUM(H1401:H1402)</f>
        <v>0</v>
      </c>
      <c r="I1403" s="16" cm="1">
        <f t="array" ref="I1403">SUM(I1401:I1402)</f>
        <v>0</v>
      </c>
    </row>
    <row r="1404" ht="20.35" customHeight="1">
      <c r="A1404" s="10">
        <v>45529</v>
      </c>
      <c r="B1404" t="s" s="11">
        <v>39</v>
      </c>
      <c r="C1404" t="s" s="12">
        <v>297</v>
      </c>
      <c r="D1404" s="17"/>
      <c r="E1404" s="17"/>
      <c r="F1404" s="18"/>
      <c r="G1404" s="18">
        <v>2541.51</v>
      </c>
      <c r="H1404" s="18"/>
      <c r="I1404" s="18"/>
    </row>
    <row r="1405" ht="20.05" customHeight="1">
      <c r="A1405" s="10">
        <v>45529</v>
      </c>
      <c r="B1405" t="s" s="11">
        <v>44</v>
      </c>
      <c r="C1405" t="s" s="12">
        <v>297</v>
      </c>
      <c r="D1405" s="19"/>
      <c r="E1405" s="19"/>
      <c r="F1405" s="20">
        <v>2513.47</v>
      </c>
      <c r="G1405" s="20"/>
      <c r="H1405" s="20"/>
      <c r="I1405" s="20"/>
    </row>
    <row r="1406" ht="20.05" customHeight="1">
      <c r="A1406" s="10">
        <v>45529</v>
      </c>
      <c r="B1406" t="s" s="11">
        <v>43</v>
      </c>
      <c r="C1406" t="s" s="12">
        <v>297</v>
      </c>
      <c r="D1406" s="19"/>
      <c r="E1406" s="19"/>
      <c r="F1406" s="20">
        <v>28.04</v>
      </c>
      <c r="G1406" s="20"/>
      <c r="H1406" s="20"/>
      <c r="I1406" s="20"/>
    </row>
    <row r="1407" ht="20.05" customHeight="1">
      <c r="A1407" s="10">
        <v>45529</v>
      </c>
      <c r="B1407" t="s" s="11">
        <v>5</v>
      </c>
      <c r="C1407" t="s" s="12">
        <v>297</v>
      </c>
      <c r="D1407" s="19">
        <v>760707</v>
      </c>
      <c r="E1407" s="19"/>
      <c r="F1407" s="20"/>
      <c r="G1407" s="20"/>
      <c r="H1407" s="20"/>
      <c r="I1407" s="20"/>
    </row>
    <row r="1408" ht="20.35" customHeight="1">
      <c r="A1408" s="10">
        <v>45529</v>
      </c>
      <c r="B1408" t="s" s="11">
        <v>46</v>
      </c>
      <c r="C1408" t="s" s="12">
        <v>297</v>
      </c>
      <c r="D1408" s="13"/>
      <c r="E1408" s="13">
        <v>760707</v>
      </c>
      <c r="F1408" s="14"/>
      <c r="G1408" s="14"/>
      <c r="H1408" s="14"/>
      <c r="I1408" s="14"/>
    </row>
    <row r="1409" ht="20.7" customHeight="1">
      <c r="A1409" s="10">
        <v>45529</v>
      </c>
      <c r="B1409" t="s" s="11">
        <v>8</v>
      </c>
      <c r="C1409" t="s" s="12">
        <v>8</v>
      </c>
      <c r="D1409" s="15" cm="1">
        <f t="array" ref="D1409">SUM(D1404:D1408)</f>
        <v>760707</v>
      </c>
      <c r="E1409" s="15" cm="1">
        <f t="array" ref="E1409">SUM(E1404:E1408)</f>
        <v>760707</v>
      </c>
      <c r="F1409" s="16" cm="1">
        <f t="array" ref="F1409">SUM(F1404:F1408)</f>
        <v>2541.51</v>
      </c>
      <c r="G1409" s="16" cm="1">
        <f t="array" ref="G1409">SUM(G1404:G1408)</f>
        <v>2541.51</v>
      </c>
      <c r="H1409" s="16" cm="1">
        <f t="array" ref="H1409">SUM(H1404:H1408)</f>
        <v>0</v>
      </c>
      <c r="I1409" s="16" cm="1">
        <f t="array" ref="I1409">SUM(I1404:I1408)</f>
        <v>0</v>
      </c>
    </row>
    <row r="1410" ht="20.35" customHeight="1">
      <c r="A1410" s="10">
        <v>45529</v>
      </c>
      <c r="B1410" t="s" s="11">
        <v>74</v>
      </c>
      <c r="C1410" t="s" s="12">
        <v>75</v>
      </c>
      <c r="D1410" s="17">
        <v>410000</v>
      </c>
      <c r="E1410" s="17"/>
      <c r="F1410" s="18"/>
      <c r="G1410" s="18"/>
      <c r="H1410" s="18"/>
      <c r="I1410" s="18"/>
    </row>
    <row r="1411" ht="20.35" customHeight="1">
      <c r="A1411" s="10">
        <v>45529</v>
      </c>
      <c r="B1411" t="s" s="11">
        <v>5</v>
      </c>
      <c r="C1411" t="s" s="12">
        <v>75</v>
      </c>
      <c r="D1411" s="13"/>
      <c r="E1411" s="13">
        <v>410000</v>
      </c>
      <c r="F1411" s="14"/>
      <c r="G1411" s="14"/>
      <c r="H1411" s="14"/>
      <c r="I1411" s="14"/>
    </row>
    <row r="1412" ht="20.7" customHeight="1">
      <c r="A1412" s="10">
        <v>45529</v>
      </c>
      <c r="B1412" t="s" s="11">
        <v>8</v>
      </c>
      <c r="C1412" t="s" s="12">
        <v>8</v>
      </c>
      <c r="D1412" s="15" cm="1">
        <f t="array" ref="D1412">SUM(D1410:D1411)</f>
        <v>410000</v>
      </c>
      <c r="E1412" s="15" cm="1">
        <f t="array" ref="E1412">SUM(E1410:E1411)</f>
        <v>410000</v>
      </c>
      <c r="F1412" s="16" cm="1">
        <f t="array" ref="F1412">SUM(F1410:F1411)</f>
        <v>0</v>
      </c>
      <c r="G1412" s="16" cm="1">
        <f t="array" ref="G1412">SUM(G1410:G1411)</f>
        <v>0</v>
      </c>
      <c r="H1412" s="16" cm="1">
        <f t="array" ref="H1412">SUM(H1410:H1411)</f>
        <v>0</v>
      </c>
      <c r="I1412" s="16" cm="1">
        <f t="array" ref="I1412">SUM(I1410:I1411)</f>
        <v>0</v>
      </c>
    </row>
    <row r="1413" ht="20.35" customHeight="1">
      <c r="A1413" s="10">
        <v>45529</v>
      </c>
      <c r="B1413" t="s" s="11">
        <v>5</v>
      </c>
      <c r="C1413" t="s" s="12">
        <v>202</v>
      </c>
      <c r="D1413" s="17"/>
      <c r="E1413" s="17">
        <v>70935</v>
      </c>
      <c r="F1413" s="18"/>
      <c r="G1413" s="18"/>
      <c r="H1413" s="18"/>
      <c r="I1413" s="18"/>
    </row>
    <row r="1414" ht="20.35" customHeight="1">
      <c r="A1414" s="10">
        <v>45529</v>
      </c>
      <c r="B1414" t="s" s="11">
        <v>93</v>
      </c>
      <c r="C1414" t="s" s="12">
        <v>202</v>
      </c>
      <c r="D1414" s="13">
        <v>70935</v>
      </c>
      <c r="E1414" s="13"/>
      <c r="F1414" s="14"/>
      <c r="G1414" s="14"/>
      <c r="H1414" s="14"/>
      <c r="I1414" s="14"/>
    </row>
    <row r="1415" ht="20.7" customHeight="1">
      <c r="A1415" s="10">
        <v>45529</v>
      </c>
      <c r="B1415" t="s" s="11">
        <v>8</v>
      </c>
      <c r="C1415" t="s" s="12">
        <v>8</v>
      </c>
      <c r="D1415" s="15" cm="1">
        <f t="array" ref="D1415">SUM(D1413:D1414)</f>
        <v>70935</v>
      </c>
      <c r="E1415" s="15" cm="1">
        <f t="array" ref="E1415">SUM(E1413:E1414)</f>
        <v>70935</v>
      </c>
      <c r="F1415" s="16" cm="1">
        <f t="array" ref="F1415">SUM(F1413:F1414)</f>
        <v>0</v>
      </c>
      <c r="G1415" s="16" cm="1">
        <f t="array" ref="G1415">SUM(G1413:G1414)</f>
        <v>0</v>
      </c>
      <c r="H1415" s="16" cm="1">
        <f t="array" ref="H1415">SUM(H1413:H1414)</f>
        <v>0</v>
      </c>
      <c r="I1415" s="16" cm="1">
        <f t="array" ref="I1415">SUM(I1413:I1414)</f>
        <v>0</v>
      </c>
    </row>
    <row r="1416" ht="21.25" customHeight="1">
      <c r="A1416" s="10">
        <v>45529</v>
      </c>
      <c r="B1416" t="s" s="11">
        <v>86</v>
      </c>
      <c r="C1416" t="s" s="12">
        <v>298</v>
      </c>
      <c r="D1416" s="17">
        <v>75490</v>
      </c>
      <c r="E1416" s="17"/>
      <c r="F1416" s="18"/>
      <c r="G1416" s="18"/>
      <c r="H1416" s="18"/>
      <c r="I1416" s="18"/>
    </row>
    <row r="1417" ht="21.25" customHeight="1">
      <c r="A1417" s="10">
        <v>45529</v>
      </c>
      <c r="B1417" t="s" s="11">
        <v>93</v>
      </c>
      <c r="C1417" t="s" s="12">
        <v>298</v>
      </c>
      <c r="D1417" s="13"/>
      <c r="E1417" s="13">
        <v>75490</v>
      </c>
      <c r="F1417" s="14"/>
      <c r="G1417" s="14"/>
      <c r="H1417" s="14"/>
      <c r="I1417" s="14"/>
    </row>
    <row r="1418" ht="20.7" customHeight="1">
      <c r="A1418" s="10">
        <v>45529</v>
      </c>
      <c r="B1418" t="s" s="11">
        <v>8</v>
      </c>
      <c r="C1418" t="s" s="12">
        <v>8</v>
      </c>
      <c r="D1418" s="15" cm="1">
        <f t="array" ref="D1418">SUM(D1416:D1417)</f>
        <v>75490</v>
      </c>
      <c r="E1418" s="15" cm="1">
        <f t="array" ref="E1418">SUM(E1416:E1417)</f>
        <v>75490</v>
      </c>
      <c r="F1418" s="16" cm="1">
        <f t="array" ref="F1418">SUM(F1416:F1417)</f>
        <v>0</v>
      </c>
      <c r="G1418" s="16" cm="1">
        <f t="array" ref="G1418">SUM(G1416:G1417)</f>
        <v>0</v>
      </c>
      <c r="H1418" s="16" cm="1">
        <f t="array" ref="H1418">SUM(H1416:H1417)</f>
        <v>0</v>
      </c>
      <c r="I1418" s="16" cm="1">
        <f t="array" ref="I1418">SUM(I1416:I1417)</f>
        <v>0</v>
      </c>
    </row>
    <row r="1419" ht="21.25" customHeight="1">
      <c r="A1419" s="10">
        <v>45529</v>
      </c>
      <c r="B1419" t="s" s="11">
        <v>5</v>
      </c>
      <c r="C1419" t="s" s="12">
        <v>260</v>
      </c>
      <c r="D1419" s="17"/>
      <c r="E1419" s="17">
        <v>100000</v>
      </c>
      <c r="F1419" s="18"/>
      <c r="G1419" s="18"/>
      <c r="H1419" s="18"/>
      <c r="I1419" s="18"/>
    </row>
    <row r="1420" ht="20.9" customHeight="1">
      <c r="A1420" s="10">
        <v>45529</v>
      </c>
      <c r="B1420" t="s" s="11">
        <v>261</v>
      </c>
      <c r="C1420" t="s" s="12">
        <v>260</v>
      </c>
      <c r="D1420" s="19">
        <v>41000</v>
      </c>
      <c r="E1420" s="19"/>
      <c r="F1420" s="20"/>
      <c r="G1420" s="20"/>
      <c r="H1420" s="20"/>
      <c r="I1420" s="20"/>
    </row>
    <row r="1421" ht="20.9" customHeight="1">
      <c r="A1421" s="10">
        <v>45529</v>
      </c>
      <c r="B1421" t="s" s="11">
        <v>258</v>
      </c>
      <c r="C1421" t="s" s="12">
        <v>260</v>
      </c>
      <c r="D1421" s="19">
        <v>18000</v>
      </c>
      <c r="E1421" s="19"/>
      <c r="F1421" s="20"/>
      <c r="G1421" s="20"/>
      <c r="H1421" s="20"/>
      <c r="I1421" s="20"/>
    </row>
    <row r="1422" ht="20.9" customHeight="1">
      <c r="A1422" s="10">
        <v>45529</v>
      </c>
      <c r="B1422" t="s" s="11">
        <v>257</v>
      </c>
      <c r="C1422" t="s" s="12">
        <v>260</v>
      </c>
      <c r="D1422" s="19">
        <v>7549</v>
      </c>
      <c r="E1422" s="19"/>
      <c r="F1422" s="20"/>
      <c r="G1422" s="20"/>
      <c r="H1422" s="20"/>
      <c r="I1422" s="20"/>
    </row>
    <row r="1423" ht="20.9" customHeight="1">
      <c r="A1423" s="10">
        <v>45529</v>
      </c>
      <c r="B1423" t="s" s="11">
        <v>72</v>
      </c>
      <c r="C1423" t="s" s="12">
        <v>260</v>
      </c>
      <c r="D1423" s="19">
        <v>6842</v>
      </c>
      <c r="E1423" s="19"/>
      <c r="F1423" s="20"/>
      <c r="G1423" s="20"/>
      <c r="H1423" s="20"/>
      <c r="I1423" s="20"/>
    </row>
    <row r="1424" ht="20.9" customHeight="1">
      <c r="A1424" s="10">
        <v>45529</v>
      </c>
      <c r="B1424" t="s" s="11">
        <v>255</v>
      </c>
      <c r="C1424" t="s" s="12">
        <v>260</v>
      </c>
      <c r="D1424" s="19">
        <v>5600</v>
      </c>
      <c r="E1424" s="19"/>
      <c r="F1424" s="20"/>
      <c r="G1424" s="20"/>
      <c r="H1424" s="20"/>
      <c r="I1424" s="20"/>
    </row>
    <row r="1425" ht="21.25" customHeight="1">
      <c r="A1425" s="10">
        <v>45529</v>
      </c>
      <c r="B1425" t="s" s="11">
        <v>259</v>
      </c>
      <c r="C1425" t="s" s="12">
        <v>260</v>
      </c>
      <c r="D1425" s="13">
        <v>21009</v>
      </c>
      <c r="E1425" s="13"/>
      <c r="F1425" s="14"/>
      <c r="G1425" s="14"/>
      <c r="H1425" s="14"/>
      <c r="I1425" s="14"/>
    </row>
    <row r="1426" ht="20.7" customHeight="1">
      <c r="A1426" s="10">
        <v>45529</v>
      </c>
      <c r="B1426" t="s" s="11">
        <v>8</v>
      </c>
      <c r="C1426" t="s" s="12">
        <v>8</v>
      </c>
      <c r="D1426" s="15" cm="1">
        <f t="array" ref="D1426">SUM(D1419:D1425)</f>
        <v>100000</v>
      </c>
      <c r="E1426" s="15" cm="1">
        <f t="array" ref="E1426">SUM(E1419:E1425)</f>
        <v>100000</v>
      </c>
      <c r="F1426" s="16" cm="1">
        <f t="array" ref="F1426">SUM(F1419:F1425)</f>
        <v>0</v>
      </c>
      <c r="G1426" s="16" cm="1">
        <f t="array" ref="G1426">SUM(G1419:G1425)</f>
        <v>0</v>
      </c>
      <c r="H1426" s="16" cm="1">
        <f t="array" ref="H1426">SUM(H1419:H1425)</f>
        <v>0</v>
      </c>
      <c r="I1426" s="16" cm="1">
        <f t="array" ref="I1426">SUM(I1419:I1425)</f>
        <v>0</v>
      </c>
    </row>
    <row r="1427" ht="21.25" customHeight="1">
      <c r="A1427" s="10">
        <v>45529</v>
      </c>
      <c r="B1427" t="s" s="11">
        <v>5</v>
      </c>
      <c r="C1427" t="s" s="12">
        <v>299</v>
      </c>
      <c r="D1427" s="17"/>
      <c r="E1427" s="17">
        <v>60000</v>
      </c>
      <c r="F1427" s="18"/>
      <c r="G1427" s="18"/>
      <c r="H1427" s="18"/>
      <c r="I1427" s="18"/>
    </row>
    <row r="1428" ht="21.25" customHeight="1">
      <c r="A1428" s="10">
        <v>45529</v>
      </c>
      <c r="B1428" t="s" s="11">
        <v>28</v>
      </c>
      <c r="C1428" t="s" s="12">
        <v>299</v>
      </c>
      <c r="D1428" s="13">
        <v>60000</v>
      </c>
      <c r="E1428" s="13"/>
      <c r="F1428" s="14"/>
      <c r="G1428" s="14"/>
      <c r="H1428" s="14"/>
      <c r="I1428" s="14"/>
    </row>
    <row r="1429" ht="20.7" customHeight="1">
      <c r="A1429" s="10">
        <v>45529</v>
      </c>
      <c r="B1429" t="s" s="11">
        <v>8</v>
      </c>
      <c r="C1429" t="s" s="12">
        <v>8</v>
      </c>
      <c r="D1429" s="15" cm="1">
        <f t="array" ref="D1429">SUM(D1427:D1428)</f>
        <v>60000</v>
      </c>
      <c r="E1429" s="15" cm="1">
        <f t="array" ref="E1429">SUM(E1427:E1428)</f>
        <v>60000</v>
      </c>
      <c r="F1429" s="16" cm="1">
        <f t="array" ref="F1429">SUM(F1427:F1428)</f>
        <v>0</v>
      </c>
      <c r="G1429" s="16" cm="1">
        <f t="array" ref="G1429">SUM(G1427:G1428)</f>
        <v>0</v>
      </c>
      <c r="H1429" s="16" cm="1">
        <f t="array" ref="H1429">SUM(H1427:H1428)</f>
        <v>0</v>
      </c>
      <c r="I1429" s="16" cm="1">
        <f t="array" ref="I1429">SUM(I1427:I1428)</f>
        <v>0</v>
      </c>
    </row>
    <row r="1430" ht="20.65" customHeight="1">
      <c r="A1430" s="10">
        <v>45529</v>
      </c>
      <c r="B1430" t="s" s="11">
        <v>28</v>
      </c>
      <c r="C1430" t="s" s="12">
        <v>218</v>
      </c>
      <c r="D1430" s="17"/>
      <c r="E1430" s="17">
        <v>5000</v>
      </c>
      <c r="F1430" s="18"/>
      <c r="G1430" s="18"/>
      <c r="H1430" s="18"/>
      <c r="I1430" s="18"/>
    </row>
    <row r="1431" ht="20.65" customHeight="1">
      <c r="A1431" s="10">
        <v>45529</v>
      </c>
      <c r="B1431" t="s" s="11">
        <v>12</v>
      </c>
      <c r="C1431" t="s" s="12">
        <v>218</v>
      </c>
      <c r="D1431" s="13">
        <v>5000</v>
      </c>
      <c r="E1431" s="13"/>
      <c r="F1431" s="14"/>
      <c r="G1431" s="14"/>
      <c r="H1431" s="14"/>
      <c r="I1431" s="14"/>
    </row>
    <row r="1432" ht="20.7" customHeight="1">
      <c r="A1432" s="10">
        <v>45529</v>
      </c>
      <c r="B1432" t="s" s="11">
        <v>8</v>
      </c>
      <c r="C1432" t="s" s="12">
        <v>8</v>
      </c>
      <c r="D1432" s="15" cm="1">
        <f t="array" ref="D1432">SUM(D1430:D1431)</f>
        <v>5000</v>
      </c>
      <c r="E1432" s="15" cm="1">
        <f t="array" ref="E1432">SUM(E1430:E1431)</f>
        <v>5000</v>
      </c>
      <c r="F1432" s="16" cm="1">
        <f t="array" ref="F1432">SUM(F1430:F1431)</f>
        <v>0</v>
      </c>
      <c r="G1432" s="16" cm="1">
        <f t="array" ref="G1432">SUM(G1430:G1431)</f>
        <v>0</v>
      </c>
      <c r="H1432" s="16" cm="1">
        <f t="array" ref="H1432">SUM(H1430:H1431)</f>
        <v>0</v>
      </c>
      <c r="I1432" s="16" cm="1">
        <f t="array" ref="I1432">SUM(I1430:I1431)</f>
        <v>0</v>
      </c>
    </row>
    <row r="1433" ht="21.25" customHeight="1">
      <c r="A1433" s="10">
        <v>45529</v>
      </c>
      <c r="B1433" t="s" s="11">
        <v>5</v>
      </c>
      <c r="C1433" t="s" s="12">
        <v>300</v>
      </c>
      <c r="D1433" s="17"/>
      <c r="E1433" s="17">
        <v>42200</v>
      </c>
      <c r="F1433" s="18"/>
      <c r="G1433" s="18"/>
      <c r="H1433" s="18"/>
      <c r="I1433" s="18"/>
    </row>
    <row r="1434" ht="21.25" customHeight="1">
      <c r="A1434" s="10">
        <v>45529</v>
      </c>
      <c r="B1434" t="s" s="11">
        <v>10</v>
      </c>
      <c r="C1434" t="s" s="12">
        <v>300</v>
      </c>
      <c r="D1434" s="13">
        <v>42200</v>
      </c>
      <c r="E1434" s="13"/>
      <c r="F1434" s="14"/>
      <c r="G1434" s="14"/>
      <c r="H1434" s="14"/>
      <c r="I1434" s="14"/>
    </row>
    <row r="1435" ht="20.7" customHeight="1">
      <c r="A1435" s="10">
        <v>45529</v>
      </c>
      <c r="B1435" t="s" s="11">
        <v>8</v>
      </c>
      <c r="C1435" t="s" s="12">
        <v>8</v>
      </c>
      <c r="D1435" s="15" cm="1">
        <f t="array" ref="D1435">SUM(D1433:D1434)</f>
        <v>42200</v>
      </c>
      <c r="E1435" s="15" cm="1">
        <f t="array" ref="E1435">SUM(E1433:E1434)</f>
        <v>42200</v>
      </c>
      <c r="F1435" s="16" cm="1">
        <f t="array" ref="F1435">SUM(F1433:F1434)</f>
        <v>0</v>
      </c>
      <c r="G1435" s="16" cm="1">
        <f t="array" ref="G1435">SUM(G1433:G1434)</f>
        <v>0</v>
      </c>
      <c r="H1435" s="16" cm="1">
        <f t="array" ref="H1435">SUM(H1433:H1434)</f>
        <v>0</v>
      </c>
      <c r="I1435" s="16" cm="1">
        <f t="array" ref="I1435">SUM(I1433:I1434)</f>
        <v>0</v>
      </c>
    </row>
    <row r="1436" ht="20.35" customHeight="1">
      <c r="A1436" s="10">
        <v>45529</v>
      </c>
      <c r="B1436" t="s" s="11">
        <v>106</v>
      </c>
      <c r="C1436" t="s" s="12">
        <v>301</v>
      </c>
      <c r="D1436" s="17"/>
      <c r="E1436" s="17">
        <v>20000</v>
      </c>
      <c r="F1436" s="18"/>
      <c r="G1436" s="18"/>
      <c r="H1436" s="18"/>
      <c r="I1436" s="18"/>
    </row>
    <row r="1437" ht="20.35" customHeight="1">
      <c r="A1437" s="10">
        <v>45529</v>
      </c>
      <c r="B1437" t="s" s="11">
        <v>10</v>
      </c>
      <c r="C1437" t="s" s="12">
        <v>301</v>
      </c>
      <c r="D1437" s="13">
        <v>20000</v>
      </c>
      <c r="E1437" s="13"/>
      <c r="F1437" s="14"/>
      <c r="G1437" s="14"/>
      <c r="H1437" s="14"/>
      <c r="I1437" s="14"/>
    </row>
    <row r="1438" ht="20.7" customHeight="1">
      <c r="A1438" s="10">
        <v>45529</v>
      </c>
      <c r="B1438" t="s" s="11">
        <v>8</v>
      </c>
      <c r="C1438" t="s" s="12">
        <v>8</v>
      </c>
      <c r="D1438" s="15" cm="1">
        <f t="array" ref="D1438">SUM(D1436:D1437)</f>
        <v>20000</v>
      </c>
      <c r="E1438" s="15" cm="1">
        <f t="array" ref="E1438">SUM(E1436:E1437)</f>
        <v>20000</v>
      </c>
      <c r="F1438" s="16" cm="1">
        <f t="array" ref="F1438">SUM(F1436:F1437)</f>
        <v>0</v>
      </c>
      <c r="G1438" s="16" cm="1">
        <f t="array" ref="G1438">SUM(G1436:G1437)</f>
        <v>0</v>
      </c>
      <c r="H1438" s="16" cm="1">
        <f t="array" ref="H1438">SUM(H1436:H1437)</f>
        <v>0</v>
      </c>
      <c r="I1438" s="16" cm="1">
        <f t="array" ref="I1438">SUM(I1436:I1437)</f>
        <v>0</v>
      </c>
    </row>
    <row r="1439" ht="21.25" customHeight="1">
      <c r="A1439" s="10">
        <v>45529</v>
      </c>
      <c r="B1439" t="s" s="11">
        <v>5</v>
      </c>
      <c r="C1439" t="s" s="12">
        <v>302</v>
      </c>
      <c r="D1439" s="17"/>
      <c r="E1439" s="17">
        <v>26080</v>
      </c>
      <c r="F1439" s="18"/>
      <c r="G1439" s="18"/>
      <c r="H1439" s="18"/>
      <c r="I1439" s="18"/>
    </row>
    <row r="1440" ht="21.25" customHeight="1">
      <c r="A1440" s="10">
        <v>45529</v>
      </c>
      <c r="B1440" t="s" s="11">
        <v>10</v>
      </c>
      <c r="C1440" t="s" s="12">
        <v>302</v>
      </c>
      <c r="D1440" s="13">
        <v>26080</v>
      </c>
      <c r="E1440" s="13"/>
      <c r="F1440" s="14"/>
      <c r="G1440" s="14"/>
      <c r="H1440" s="14"/>
      <c r="I1440" s="14"/>
    </row>
    <row r="1441" ht="20.7" customHeight="1">
      <c r="A1441" s="10">
        <v>45529</v>
      </c>
      <c r="B1441" t="s" s="11">
        <v>8</v>
      </c>
      <c r="C1441" t="s" s="12">
        <v>8</v>
      </c>
      <c r="D1441" s="15" cm="1">
        <f t="array" ref="D1441">SUM(D1439:D1440)</f>
        <v>26080</v>
      </c>
      <c r="E1441" s="15" cm="1">
        <f t="array" ref="E1441">SUM(E1439:E1440)</f>
        <v>26080</v>
      </c>
      <c r="F1441" s="16" cm="1">
        <f t="array" ref="F1441">SUM(F1439:F1440)</f>
        <v>0</v>
      </c>
      <c r="G1441" s="16" cm="1">
        <f t="array" ref="G1441">SUM(G1439:G1440)</f>
        <v>0</v>
      </c>
      <c r="H1441" s="16" cm="1">
        <f t="array" ref="H1441">SUM(H1439:H1440)</f>
        <v>0</v>
      </c>
      <c r="I1441" s="16" cm="1">
        <f t="array" ref="I1441">SUM(I1439:I1440)</f>
        <v>0</v>
      </c>
    </row>
    <row r="1442" ht="21.25" customHeight="1">
      <c r="A1442" s="10">
        <v>45529</v>
      </c>
      <c r="B1442" t="s" s="11">
        <v>5</v>
      </c>
      <c r="C1442" t="s" s="12">
        <v>303</v>
      </c>
      <c r="D1442" s="17"/>
      <c r="E1442" s="17">
        <v>17000</v>
      </c>
      <c r="F1442" s="18"/>
      <c r="G1442" s="18"/>
      <c r="H1442" s="18"/>
      <c r="I1442" s="18"/>
    </row>
    <row r="1443" ht="21.25" customHeight="1">
      <c r="A1443" s="10">
        <v>45529</v>
      </c>
      <c r="B1443" t="s" s="11">
        <v>10</v>
      </c>
      <c r="C1443" t="s" s="12">
        <v>303</v>
      </c>
      <c r="D1443" s="13">
        <v>17000</v>
      </c>
      <c r="E1443" s="13"/>
      <c r="F1443" s="14"/>
      <c r="G1443" s="14"/>
      <c r="H1443" s="14"/>
      <c r="I1443" s="14"/>
    </row>
    <row r="1444" ht="20.7" customHeight="1">
      <c r="A1444" s="10">
        <v>45529</v>
      </c>
      <c r="B1444" t="s" s="11">
        <v>8</v>
      </c>
      <c r="C1444" t="s" s="12">
        <v>8</v>
      </c>
      <c r="D1444" s="15" cm="1">
        <f t="array" ref="D1444">SUM(D1442:D1443)</f>
        <v>17000</v>
      </c>
      <c r="E1444" s="15" cm="1">
        <f t="array" ref="E1444">SUM(E1442:E1443)</f>
        <v>17000</v>
      </c>
      <c r="F1444" s="16" cm="1">
        <f t="array" ref="F1444">SUM(F1442:F1443)</f>
        <v>0</v>
      </c>
      <c r="G1444" s="16" cm="1">
        <f t="array" ref="G1444">SUM(G1442:G1443)</f>
        <v>0</v>
      </c>
      <c r="H1444" s="16" cm="1">
        <f t="array" ref="H1444">SUM(H1442:H1443)</f>
        <v>0</v>
      </c>
      <c r="I1444" s="16" cm="1">
        <f t="array" ref="I1444">SUM(I1442:I1443)</f>
        <v>0</v>
      </c>
    </row>
    <row r="1445" ht="20.35" customHeight="1">
      <c r="A1445" s="10">
        <v>45530</v>
      </c>
      <c r="B1445" t="s" s="11">
        <v>5</v>
      </c>
      <c r="C1445" t="s" s="12">
        <v>304</v>
      </c>
      <c r="D1445" s="17"/>
      <c r="E1445" s="17">
        <v>6100</v>
      </c>
      <c r="F1445" s="18"/>
      <c r="G1445" s="18"/>
      <c r="H1445" s="18"/>
      <c r="I1445" s="18"/>
    </row>
    <row r="1446" ht="20.05" customHeight="1">
      <c r="A1446" s="10">
        <v>45530</v>
      </c>
      <c r="B1446" t="s" s="11">
        <v>10</v>
      </c>
      <c r="C1446" t="s" s="12">
        <v>304</v>
      </c>
      <c r="D1446" s="19" cm="1">
        <f t="array" ref="D1446">6100*5/6</f>
        <v>5083.333333333330</v>
      </c>
      <c r="E1446" s="19"/>
      <c r="F1446" s="20"/>
      <c r="G1446" s="20"/>
      <c r="H1446" s="20"/>
      <c r="I1446" s="20"/>
    </row>
    <row r="1447" ht="20.35" customHeight="1">
      <c r="A1447" s="10">
        <v>45530</v>
      </c>
      <c r="B1447" t="s" s="11">
        <v>12</v>
      </c>
      <c r="C1447" t="s" s="12">
        <v>304</v>
      </c>
      <c r="D1447" s="13" cm="1">
        <f t="array" ref="D1447">6100/6</f>
        <v>1016.666666666670</v>
      </c>
      <c r="E1447" s="13"/>
      <c r="F1447" s="14"/>
      <c r="G1447" s="14"/>
      <c r="H1447" s="14"/>
      <c r="I1447" s="14"/>
    </row>
    <row r="1448" ht="20.7" customHeight="1">
      <c r="A1448" s="10">
        <v>45530</v>
      </c>
      <c r="B1448" t="s" s="11">
        <v>8</v>
      </c>
      <c r="C1448" t="s" s="12">
        <v>8</v>
      </c>
      <c r="D1448" s="15" cm="1">
        <f t="array" ref="D1448">SUM(D1445:D1447)</f>
        <v>6100</v>
      </c>
      <c r="E1448" s="15" cm="1">
        <f t="array" ref="E1448">SUM(E1445:E1447)</f>
        <v>6100</v>
      </c>
      <c r="F1448" s="16" cm="1">
        <f t="array" ref="F1448">SUM(F1445:F1447)</f>
        <v>0</v>
      </c>
      <c r="G1448" s="16" cm="1">
        <f t="array" ref="G1448">SUM(G1445:G1447)</f>
        <v>0</v>
      </c>
      <c r="H1448" s="16" cm="1">
        <f t="array" ref="H1448">SUM(H1445:H1447)</f>
        <v>0</v>
      </c>
      <c r="I1448" s="16" cm="1">
        <f t="array" ref="I1448">SUM(I1445:I1447)</f>
        <v>0</v>
      </c>
    </row>
    <row r="1449" ht="20.35" customHeight="1">
      <c r="A1449" s="10">
        <v>45530</v>
      </c>
      <c r="B1449" t="s" s="11">
        <v>5</v>
      </c>
      <c r="C1449" t="s" s="12">
        <v>53</v>
      </c>
      <c r="D1449" s="17"/>
      <c r="E1449" s="17">
        <v>1200</v>
      </c>
      <c r="F1449" s="18"/>
      <c r="G1449" s="18"/>
      <c r="H1449" s="18"/>
      <c r="I1449" s="18"/>
    </row>
    <row r="1450" ht="20.35" customHeight="1">
      <c r="A1450" s="10">
        <v>45530</v>
      </c>
      <c r="B1450" t="s" s="11">
        <v>12</v>
      </c>
      <c r="C1450" t="s" s="12">
        <v>53</v>
      </c>
      <c r="D1450" s="13">
        <v>1200</v>
      </c>
      <c r="E1450" s="13"/>
      <c r="F1450" s="14"/>
      <c r="G1450" s="14"/>
      <c r="H1450" s="14"/>
      <c r="I1450" s="14"/>
    </row>
    <row r="1451" ht="20.7" customHeight="1">
      <c r="A1451" s="10">
        <v>45530</v>
      </c>
      <c r="B1451" t="s" s="11">
        <v>8</v>
      </c>
      <c r="C1451" t="s" s="12">
        <v>8</v>
      </c>
      <c r="D1451" s="15" cm="1">
        <f t="array" ref="D1451">SUM(D1449:D1450)</f>
        <v>1200</v>
      </c>
      <c r="E1451" s="15" cm="1">
        <f t="array" ref="E1451">SUM(E1449:E1450)</f>
        <v>1200</v>
      </c>
      <c r="F1451" s="16" cm="1">
        <f t="array" ref="F1451">SUM(F1449:F1450)</f>
        <v>0</v>
      </c>
      <c r="G1451" s="16" cm="1">
        <f t="array" ref="G1451">SUM(G1449:G1450)</f>
        <v>0</v>
      </c>
      <c r="H1451" s="16" cm="1">
        <f t="array" ref="H1451">SUM(H1449:H1450)</f>
        <v>0</v>
      </c>
      <c r="I1451" s="16" cm="1">
        <f t="array" ref="I1451">SUM(I1449:I1450)</f>
        <v>0</v>
      </c>
    </row>
    <row r="1452" ht="21.25" customHeight="1">
      <c r="A1452" s="10">
        <v>45530</v>
      </c>
      <c r="B1452" t="s" s="11">
        <v>5</v>
      </c>
      <c r="C1452" t="s" s="12">
        <v>305</v>
      </c>
      <c r="D1452" s="17"/>
      <c r="E1452" s="17">
        <v>3000</v>
      </c>
      <c r="F1452" s="18"/>
      <c r="G1452" s="18"/>
      <c r="H1452" s="18"/>
      <c r="I1452" s="18"/>
    </row>
    <row r="1453" ht="21.25" customHeight="1">
      <c r="A1453" s="10">
        <v>45530</v>
      </c>
      <c r="B1453" t="s" s="11">
        <v>12</v>
      </c>
      <c r="C1453" t="s" s="12">
        <v>305</v>
      </c>
      <c r="D1453" s="13">
        <v>3000</v>
      </c>
      <c r="E1453" s="13"/>
      <c r="F1453" s="14"/>
      <c r="G1453" s="14"/>
      <c r="H1453" s="14"/>
      <c r="I1453" s="14"/>
    </row>
    <row r="1454" ht="20.7" customHeight="1">
      <c r="A1454" s="10">
        <v>45530</v>
      </c>
      <c r="B1454" t="s" s="11">
        <v>8</v>
      </c>
      <c r="C1454" t="s" s="12">
        <v>8</v>
      </c>
      <c r="D1454" s="15" cm="1">
        <f t="array" ref="D1454">SUM(D1452:D1453)</f>
        <v>3000</v>
      </c>
      <c r="E1454" s="15" cm="1">
        <f t="array" ref="E1454">SUM(E1452:E1453)</f>
        <v>3000</v>
      </c>
      <c r="F1454" s="16" cm="1">
        <f t="array" ref="F1454">SUM(F1452:F1453)</f>
        <v>0</v>
      </c>
      <c r="G1454" s="16" cm="1">
        <f t="array" ref="G1454">SUM(G1452:G1453)</f>
        <v>0</v>
      </c>
      <c r="H1454" s="16" cm="1">
        <f t="array" ref="H1454">SUM(H1452:H1453)</f>
        <v>0</v>
      </c>
      <c r="I1454" s="16" cm="1">
        <f t="array" ref="I1454">SUM(I1452:I1453)</f>
        <v>0</v>
      </c>
    </row>
    <row r="1455" ht="21.25" customHeight="1">
      <c r="A1455" s="10">
        <v>45530</v>
      </c>
      <c r="B1455" t="s" s="11">
        <v>21</v>
      </c>
      <c r="C1455" t="s" s="12">
        <v>306</v>
      </c>
      <c r="D1455" s="17"/>
      <c r="E1455" s="17">
        <v>2100</v>
      </c>
      <c r="F1455" s="18"/>
      <c r="G1455" s="18"/>
      <c r="H1455" s="18"/>
      <c r="I1455" s="18"/>
    </row>
    <row r="1456" ht="21.25" customHeight="1">
      <c r="A1456" s="10">
        <v>45530</v>
      </c>
      <c r="B1456" t="s" s="11">
        <v>16</v>
      </c>
      <c r="C1456" t="s" s="12">
        <v>306</v>
      </c>
      <c r="D1456" s="13">
        <v>2100</v>
      </c>
      <c r="E1456" s="13"/>
      <c r="F1456" s="14"/>
      <c r="G1456" s="14"/>
      <c r="H1456" s="14"/>
      <c r="I1456" s="14"/>
    </row>
    <row r="1457" ht="20.7" customHeight="1">
      <c r="A1457" s="10">
        <v>45530</v>
      </c>
      <c r="B1457" t="s" s="11">
        <v>8</v>
      </c>
      <c r="C1457" t="s" s="12">
        <v>8</v>
      </c>
      <c r="D1457" s="15" cm="1">
        <f t="array" ref="D1457">SUM(D1455:D1456)</f>
        <v>2100</v>
      </c>
      <c r="E1457" s="15" cm="1">
        <f t="array" ref="E1457">SUM(E1455:E1456)</f>
        <v>2100</v>
      </c>
      <c r="F1457" s="16" cm="1">
        <f t="array" ref="F1457">SUM(F1455:F1456)</f>
        <v>0</v>
      </c>
      <c r="G1457" s="16" cm="1">
        <f t="array" ref="G1457">SUM(G1455:G1456)</f>
        <v>0</v>
      </c>
      <c r="H1457" s="16" cm="1">
        <f t="array" ref="H1457">SUM(H1455:H1456)</f>
        <v>0</v>
      </c>
      <c r="I1457" s="16" cm="1">
        <f t="array" ref="I1457">SUM(I1455:I1456)</f>
        <v>0</v>
      </c>
    </row>
    <row r="1458" ht="21.25" customHeight="1">
      <c r="A1458" s="10">
        <v>45530</v>
      </c>
      <c r="B1458" t="s" s="11">
        <v>21</v>
      </c>
      <c r="C1458" t="s" s="12">
        <v>306</v>
      </c>
      <c r="D1458" s="17"/>
      <c r="E1458" s="17">
        <v>1450</v>
      </c>
      <c r="F1458" s="18"/>
      <c r="G1458" s="18"/>
      <c r="H1458" s="18"/>
      <c r="I1458" s="18"/>
    </row>
    <row r="1459" ht="21.25" customHeight="1">
      <c r="A1459" s="10">
        <v>45530</v>
      </c>
      <c r="B1459" t="s" s="11">
        <v>16</v>
      </c>
      <c r="C1459" t="s" s="12">
        <v>306</v>
      </c>
      <c r="D1459" s="13">
        <v>1450</v>
      </c>
      <c r="E1459" s="13"/>
      <c r="F1459" s="14"/>
      <c r="G1459" s="14"/>
      <c r="H1459" s="14"/>
      <c r="I1459" s="14"/>
    </row>
    <row r="1460" ht="20.7" customHeight="1">
      <c r="A1460" s="10">
        <v>45530</v>
      </c>
      <c r="B1460" t="s" s="11">
        <v>8</v>
      </c>
      <c r="C1460" t="s" s="12">
        <v>8</v>
      </c>
      <c r="D1460" s="15" cm="1">
        <f t="array" ref="D1460">SUM(D1458:D1459)</f>
        <v>1450</v>
      </c>
      <c r="E1460" s="15" cm="1">
        <f t="array" ref="E1460">SUM(E1458:E1459)</f>
        <v>1450</v>
      </c>
      <c r="F1460" s="16" cm="1">
        <f t="array" ref="F1460">SUM(F1458:F1459)</f>
        <v>0</v>
      </c>
      <c r="G1460" s="16" cm="1">
        <f t="array" ref="G1460">SUM(G1458:G1459)</f>
        <v>0</v>
      </c>
      <c r="H1460" s="16" cm="1">
        <f t="array" ref="H1460">SUM(H1458:H1459)</f>
        <v>0</v>
      </c>
      <c r="I1460" s="16" cm="1">
        <f t="array" ref="I1460">SUM(I1458:I1459)</f>
        <v>0</v>
      </c>
    </row>
    <row r="1461" ht="21.25" customHeight="1">
      <c r="A1461" s="10">
        <v>45530</v>
      </c>
      <c r="B1461" t="s" s="11">
        <v>21</v>
      </c>
      <c r="C1461" t="s" s="12">
        <v>306</v>
      </c>
      <c r="D1461" s="17"/>
      <c r="E1461" s="17">
        <v>2250</v>
      </c>
      <c r="F1461" s="18"/>
      <c r="G1461" s="18"/>
      <c r="H1461" s="18"/>
      <c r="I1461" s="18"/>
    </row>
    <row r="1462" ht="21.25" customHeight="1">
      <c r="A1462" s="10">
        <v>45530</v>
      </c>
      <c r="B1462" t="s" s="11">
        <v>16</v>
      </c>
      <c r="C1462" t="s" s="12">
        <v>306</v>
      </c>
      <c r="D1462" s="13">
        <v>2250</v>
      </c>
      <c r="E1462" s="13"/>
      <c r="F1462" s="14"/>
      <c r="G1462" s="14"/>
      <c r="H1462" s="14"/>
      <c r="I1462" s="14"/>
    </row>
    <row r="1463" ht="20.7" customHeight="1">
      <c r="A1463" s="10">
        <v>45530</v>
      </c>
      <c r="B1463" t="s" s="11">
        <v>8</v>
      </c>
      <c r="C1463" t="s" s="12">
        <v>8</v>
      </c>
      <c r="D1463" s="15" cm="1">
        <f t="array" ref="D1463">SUM(D1461:D1462)</f>
        <v>2250</v>
      </c>
      <c r="E1463" s="15" cm="1">
        <f t="array" ref="E1463">SUM(E1461:E1462)</f>
        <v>2250</v>
      </c>
      <c r="F1463" s="16" cm="1">
        <f t="array" ref="F1463">SUM(F1461:F1462)</f>
        <v>0</v>
      </c>
      <c r="G1463" s="16" cm="1">
        <f t="array" ref="G1463">SUM(G1461:G1462)</f>
        <v>0</v>
      </c>
      <c r="H1463" s="16" cm="1">
        <f t="array" ref="H1463">SUM(H1461:H1462)</f>
        <v>0</v>
      </c>
      <c r="I1463" s="16" cm="1">
        <f t="array" ref="I1463">SUM(I1461:I1462)</f>
        <v>0</v>
      </c>
    </row>
    <row r="1464" ht="21.25" customHeight="1">
      <c r="A1464" s="10">
        <v>45531</v>
      </c>
      <c r="B1464" t="s" s="11">
        <v>21</v>
      </c>
      <c r="C1464" t="s" s="12">
        <v>307</v>
      </c>
      <c r="D1464" s="17"/>
      <c r="E1464" s="17">
        <v>3100</v>
      </c>
      <c r="F1464" s="18"/>
      <c r="G1464" s="18"/>
      <c r="H1464" s="18"/>
      <c r="I1464" s="18"/>
    </row>
    <row r="1465" ht="21.25" customHeight="1">
      <c r="A1465" s="10">
        <v>45531</v>
      </c>
      <c r="B1465" t="s" s="11">
        <v>16</v>
      </c>
      <c r="C1465" t="s" s="12">
        <v>307</v>
      </c>
      <c r="D1465" s="13">
        <v>3100</v>
      </c>
      <c r="E1465" s="13"/>
      <c r="F1465" s="14"/>
      <c r="G1465" s="14"/>
      <c r="H1465" s="14"/>
      <c r="I1465" s="14"/>
    </row>
    <row r="1466" ht="20.7" customHeight="1">
      <c r="A1466" s="10">
        <v>45531</v>
      </c>
      <c r="B1466" t="s" s="11">
        <v>8</v>
      </c>
      <c r="C1466" t="s" s="12">
        <v>8</v>
      </c>
      <c r="D1466" s="15" cm="1">
        <f t="array" ref="D1466">SUM(D1464:D1465)</f>
        <v>3100</v>
      </c>
      <c r="E1466" s="15" cm="1">
        <f t="array" ref="E1466">SUM(E1464:E1465)</f>
        <v>3100</v>
      </c>
      <c r="F1466" s="16" cm="1">
        <f t="array" ref="F1466">SUM(F1464:F1465)</f>
        <v>0</v>
      </c>
      <c r="G1466" s="16" cm="1">
        <f t="array" ref="G1466">SUM(G1464:G1465)</f>
        <v>0</v>
      </c>
      <c r="H1466" s="16" cm="1">
        <f t="array" ref="H1466">SUM(H1464:H1465)</f>
        <v>0</v>
      </c>
      <c r="I1466" s="16" cm="1">
        <f t="array" ref="I1466">SUM(I1464:I1465)</f>
        <v>0</v>
      </c>
    </row>
    <row r="1467" ht="20.35" customHeight="1">
      <c r="A1467" s="10">
        <v>45531</v>
      </c>
      <c r="B1467" t="s" s="11">
        <v>5</v>
      </c>
      <c r="C1467" t="s" s="12">
        <v>17</v>
      </c>
      <c r="D1467" s="17">
        <v>100</v>
      </c>
      <c r="E1467" s="17"/>
      <c r="F1467" s="18"/>
      <c r="G1467" s="18"/>
      <c r="H1467" s="18"/>
      <c r="I1467" s="18"/>
    </row>
    <row r="1468" ht="20.35" customHeight="1">
      <c r="A1468" s="10">
        <v>45531</v>
      </c>
      <c r="B1468" t="s" s="11">
        <v>18</v>
      </c>
      <c r="C1468" t="s" s="12">
        <v>17</v>
      </c>
      <c r="D1468" s="13"/>
      <c r="E1468" s="13">
        <v>100</v>
      </c>
      <c r="F1468" s="14"/>
      <c r="G1468" s="14"/>
      <c r="H1468" s="14"/>
      <c r="I1468" s="14"/>
    </row>
    <row r="1469" ht="20.7" customHeight="1">
      <c r="A1469" s="10">
        <v>45531</v>
      </c>
      <c r="B1469" t="s" s="11">
        <v>8</v>
      </c>
      <c r="C1469" t="s" s="12">
        <v>8</v>
      </c>
      <c r="D1469" s="15" cm="1">
        <f t="array" ref="D1469">SUM(D1467:D1468)</f>
        <v>100</v>
      </c>
      <c r="E1469" s="15" cm="1">
        <f t="array" ref="E1469">SUM(E1467:E1468)</f>
        <v>100</v>
      </c>
      <c r="F1469" s="16" cm="1">
        <f t="array" ref="F1469">SUM(F1467:F1468)</f>
        <v>0</v>
      </c>
      <c r="G1469" s="16" cm="1">
        <f t="array" ref="G1469">SUM(G1467:G1468)</f>
        <v>0</v>
      </c>
      <c r="H1469" s="16" cm="1">
        <f t="array" ref="H1469">SUM(H1467:H1468)</f>
        <v>0</v>
      </c>
      <c r="I1469" s="16" cm="1">
        <f t="array" ref="I1469">SUM(I1467:I1468)</f>
        <v>0</v>
      </c>
    </row>
    <row r="1470" ht="21.25" customHeight="1">
      <c r="A1470" s="10">
        <v>45531</v>
      </c>
      <c r="B1470" t="s" s="11">
        <v>5</v>
      </c>
      <c r="C1470" t="s" s="12">
        <v>260</v>
      </c>
      <c r="D1470" s="17">
        <v>90000</v>
      </c>
      <c r="E1470" s="17"/>
      <c r="F1470" s="18"/>
      <c r="G1470" s="18"/>
      <c r="H1470" s="18"/>
      <c r="I1470" s="18"/>
    </row>
    <row r="1471" ht="20.9" customHeight="1">
      <c r="A1471" s="10">
        <v>45531</v>
      </c>
      <c r="B1471" t="s" s="11">
        <v>261</v>
      </c>
      <c r="C1471" t="s" s="12">
        <v>260</v>
      </c>
      <c r="D1471" s="19"/>
      <c r="E1471" s="19">
        <v>41000</v>
      </c>
      <c r="F1471" s="20"/>
      <c r="G1471" s="20"/>
      <c r="H1471" s="20"/>
      <c r="I1471" s="20"/>
    </row>
    <row r="1472" ht="20.9" customHeight="1">
      <c r="A1472" s="10">
        <v>45531</v>
      </c>
      <c r="B1472" t="s" s="11">
        <v>258</v>
      </c>
      <c r="C1472" t="s" s="12">
        <v>260</v>
      </c>
      <c r="D1472" s="19"/>
      <c r="E1472" s="19">
        <v>18000</v>
      </c>
      <c r="F1472" s="20"/>
      <c r="G1472" s="20"/>
      <c r="H1472" s="20"/>
      <c r="I1472" s="20"/>
    </row>
    <row r="1473" ht="20.9" customHeight="1">
      <c r="A1473" s="10">
        <v>45531</v>
      </c>
      <c r="B1473" t="s" s="11">
        <v>72</v>
      </c>
      <c r="C1473" t="s" s="12">
        <v>260</v>
      </c>
      <c r="D1473" s="19"/>
      <c r="E1473" s="19">
        <v>6000</v>
      </c>
      <c r="F1473" s="20"/>
      <c r="G1473" s="20"/>
      <c r="H1473" s="20"/>
      <c r="I1473" s="20"/>
    </row>
    <row r="1474" ht="20.9" customHeight="1">
      <c r="A1474" s="10">
        <v>45531</v>
      </c>
      <c r="B1474" t="s" s="11">
        <v>255</v>
      </c>
      <c r="C1474" t="s" s="12">
        <v>260</v>
      </c>
      <c r="D1474" s="19"/>
      <c r="E1474" s="19">
        <v>4000</v>
      </c>
      <c r="F1474" s="20"/>
      <c r="G1474" s="20"/>
      <c r="H1474" s="20"/>
      <c r="I1474" s="20"/>
    </row>
    <row r="1475" ht="21.25" customHeight="1">
      <c r="A1475" s="10">
        <v>45531</v>
      </c>
      <c r="B1475" t="s" s="11">
        <v>259</v>
      </c>
      <c r="C1475" t="s" s="12">
        <v>260</v>
      </c>
      <c r="D1475" s="13"/>
      <c r="E1475" s="13">
        <v>21000</v>
      </c>
      <c r="F1475" s="14"/>
      <c r="G1475" s="14"/>
      <c r="H1475" s="14"/>
      <c r="I1475" s="14"/>
    </row>
    <row r="1476" ht="20.7" customHeight="1">
      <c r="A1476" s="10">
        <v>45531</v>
      </c>
      <c r="B1476" t="s" s="11">
        <v>8</v>
      </c>
      <c r="C1476" t="s" s="12">
        <v>8</v>
      </c>
      <c r="D1476" s="15" cm="1">
        <f t="array" ref="D1476">SUM(D1470:D1475)</f>
        <v>90000</v>
      </c>
      <c r="E1476" s="15" cm="1">
        <f t="array" ref="E1476">SUM(E1470:E1475)</f>
        <v>90000</v>
      </c>
      <c r="F1476" s="16" cm="1">
        <f t="array" ref="F1476">SUM(F1470:F1475)</f>
        <v>0</v>
      </c>
      <c r="G1476" s="16" cm="1">
        <f t="array" ref="G1476">SUM(G1470:G1475)</f>
        <v>0</v>
      </c>
      <c r="H1476" s="16" cm="1">
        <f t="array" ref="H1476">SUM(H1470:H1475)</f>
        <v>0</v>
      </c>
      <c r="I1476" s="16" cm="1">
        <f t="array" ref="I1476">SUM(I1470:I1475)</f>
        <v>0</v>
      </c>
    </row>
    <row r="1477" ht="21.25" customHeight="1">
      <c r="A1477" s="10">
        <v>45532</v>
      </c>
      <c r="B1477" t="s" s="11">
        <v>21</v>
      </c>
      <c r="C1477" t="s" s="12">
        <v>289</v>
      </c>
      <c r="D1477" s="17"/>
      <c r="E1477" s="17">
        <v>2800</v>
      </c>
      <c r="F1477" s="18"/>
      <c r="G1477" s="18"/>
      <c r="H1477" s="18"/>
      <c r="I1477" s="18"/>
    </row>
    <row r="1478" ht="21.25" customHeight="1">
      <c r="A1478" s="10">
        <v>45532</v>
      </c>
      <c r="B1478" t="s" s="11">
        <v>16</v>
      </c>
      <c r="C1478" t="s" s="12">
        <v>289</v>
      </c>
      <c r="D1478" s="13">
        <v>2800</v>
      </c>
      <c r="E1478" s="13"/>
      <c r="F1478" s="14"/>
      <c r="G1478" s="14"/>
      <c r="H1478" s="14"/>
      <c r="I1478" s="14"/>
    </row>
    <row r="1479" ht="20.7" customHeight="1">
      <c r="A1479" s="10">
        <v>45532</v>
      </c>
      <c r="B1479" t="s" s="11">
        <v>8</v>
      </c>
      <c r="C1479" t="s" s="12">
        <v>8</v>
      </c>
      <c r="D1479" s="15" cm="1">
        <f t="array" ref="D1479">SUM(D1477:D1478)</f>
        <v>2800</v>
      </c>
      <c r="E1479" s="15" cm="1">
        <f t="array" ref="E1479">SUM(E1477:E1478)</f>
        <v>2800</v>
      </c>
      <c r="F1479" s="16" cm="1">
        <f t="array" ref="F1479">SUM(F1477:F1478)</f>
        <v>0</v>
      </c>
      <c r="G1479" s="16" cm="1">
        <f t="array" ref="G1479">SUM(G1477:G1478)</f>
        <v>0</v>
      </c>
      <c r="H1479" s="16" cm="1">
        <f t="array" ref="H1479">SUM(H1477:H1478)</f>
        <v>0</v>
      </c>
      <c r="I1479" s="16" cm="1">
        <f t="array" ref="I1479">SUM(I1477:I1478)</f>
        <v>0</v>
      </c>
    </row>
    <row r="1480" ht="21.25" customHeight="1">
      <c r="A1480" s="10">
        <v>45532</v>
      </c>
      <c r="B1480" t="s" s="11">
        <v>21</v>
      </c>
      <c r="C1480" t="s" s="12">
        <v>308</v>
      </c>
      <c r="D1480" s="17"/>
      <c r="E1480" s="17">
        <v>1200</v>
      </c>
      <c r="F1480" s="18"/>
      <c r="G1480" s="18"/>
      <c r="H1480" s="18"/>
      <c r="I1480" s="18"/>
    </row>
    <row r="1481" ht="21.25" customHeight="1">
      <c r="A1481" s="10">
        <v>45532</v>
      </c>
      <c r="B1481" t="s" s="11">
        <v>16</v>
      </c>
      <c r="C1481" t="s" s="12">
        <v>308</v>
      </c>
      <c r="D1481" s="13">
        <v>1200</v>
      </c>
      <c r="E1481" s="13"/>
      <c r="F1481" s="14"/>
      <c r="G1481" s="14"/>
      <c r="H1481" s="14"/>
      <c r="I1481" s="14"/>
    </row>
    <row r="1482" ht="20.7" customHeight="1">
      <c r="A1482" s="10">
        <v>45532</v>
      </c>
      <c r="B1482" t="s" s="11">
        <v>8</v>
      </c>
      <c r="C1482" t="s" s="12">
        <v>8</v>
      </c>
      <c r="D1482" s="15" cm="1">
        <f t="array" ref="D1482">SUM(D1480:D1481)</f>
        <v>1200</v>
      </c>
      <c r="E1482" s="15" cm="1">
        <f t="array" ref="E1482">SUM(E1480:E1481)</f>
        <v>1200</v>
      </c>
      <c r="F1482" s="16" cm="1">
        <f t="array" ref="F1482">SUM(F1480:F1481)</f>
        <v>0</v>
      </c>
      <c r="G1482" s="16" cm="1">
        <f t="array" ref="G1482">SUM(G1480:G1481)</f>
        <v>0</v>
      </c>
      <c r="H1482" s="16" cm="1">
        <f t="array" ref="H1482">SUM(H1480:H1481)</f>
        <v>0</v>
      </c>
      <c r="I1482" s="16" cm="1">
        <f t="array" ref="I1482">SUM(I1480:I1481)</f>
        <v>0</v>
      </c>
    </row>
    <row r="1483" ht="21.25" customHeight="1">
      <c r="A1483" s="10">
        <v>45532</v>
      </c>
      <c r="B1483" t="s" s="11">
        <v>5</v>
      </c>
      <c r="C1483" t="s" s="12">
        <v>309</v>
      </c>
      <c r="D1483" s="17"/>
      <c r="E1483" s="17">
        <v>8850</v>
      </c>
      <c r="F1483" s="18"/>
      <c r="G1483" s="18"/>
      <c r="H1483" s="18"/>
      <c r="I1483" s="18"/>
    </row>
    <row r="1484" ht="21.25" customHeight="1">
      <c r="A1484" s="10">
        <v>45532</v>
      </c>
      <c r="B1484" t="s" s="11">
        <v>10</v>
      </c>
      <c r="C1484" t="s" s="12">
        <v>309</v>
      </c>
      <c r="D1484" s="13">
        <v>8850</v>
      </c>
      <c r="E1484" s="13"/>
      <c r="F1484" s="14"/>
      <c r="G1484" s="14"/>
      <c r="H1484" s="14"/>
      <c r="I1484" s="14"/>
    </row>
    <row r="1485" ht="20.7" customHeight="1">
      <c r="A1485" s="10">
        <v>45532</v>
      </c>
      <c r="B1485" t="s" s="11">
        <v>8</v>
      </c>
      <c r="C1485" t="s" s="12">
        <v>8</v>
      </c>
      <c r="D1485" s="15" cm="1">
        <f t="array" ref="D1485">SUM(D1483:D1484)</f>
        <v>8850</v>
      </c>
      <c r="E1485" s="15" cm="1">
        <f t="array" ref="E1485">SUM(E1483:E1484)</f>
        <v>8850</v>
      </c>
      <c r="F1485" s="16" cm="1">
        <f t="array" ref="F1485">SUM(F1483:F1484)</f>
        <v>0</v>
      </c>
      <c r="G1485" s="16" cm="1">
        <f t="array" ref="G1485">SUM(G1483:G1484)</f>
        <v>0</v>
      </c>
      <c r="H1485" s="16" cm="1">
        <f t="array" ref="H1485">SUM(H1483:H1484)</f>
        <v>0</v>
      </c>
      <c r="I1485" s="16" cm="1">
        <f t="array" ref="I1485">SUM(I1483:I1484)</f>
        <v>0</v>
      </c>
    </row>
    <row r="1486" ht="20.35" customHeight="1">
      <c r="A1486" s="10">
        <v>45532</v>
      </c>
      <c r="B1486" t="s" s="11">
        <v>5</v>
      </c>
      <c r="C1486" t="s" s="12">
        <v>17</v>
      </c>
      <c r="D1486" s="17">
        <v>100</v>
      </c>
      <c r="E1486" s="17"/>
      <c r="F1486" s="18"/>
      <c r="G1486" s="18"/>
      <c r="H1486" s="18"/>
      <c r="I1486" s="18"/>
    </row>
    <row r="1487" ht="20.35" customHeight="1">
      <c r="A1487" s="10">
        <v>45532</v>
      </c>
      <c r="B1487" t="s" s="11">
        <v>18</v>
      </c>
      <c r="C1487" t="s" s="12">
        <v>17</v>
      </c>
      <c r="D1487" s="13"/>
      <c r="E1487" s="13">
        <v>100</v>
      </c>
      <c r="F1487" s="14"/>
      <c r="G1487" s="14"/>
      <c r="H1487" s="14"/>
      <c r="I1487" s="14"/>
    </row>
    <row r="1488" ht="20.7" customHeight="1">
      <c r="A1488" s="10">
        <v>45532</v>
      </c>
      <c r="B1488" t="s" s="11">
        <v>8</v>
      </c>
      <c r="C1488" t="s" s="12">
        <v>8</v>
      </c>
      <c r="D1488" s="15" cm="1">
        <f t="array" ref="D1488">SUM(D1486:D1487)</f>
        <v>100</v>
      </c>
      <c r="E1488" s="15" cm="1">
        <f t="array" ref="E1488">SUM(E1486:E1487)</f>
        <v>100</v>
      </c>
      <c r="F1488" s="16" cm="1">
        <f t="array" ref="F1488">SUM(F1486:F1487)</f>
        <v>0</v>
      </c>
      <c r="G1488" s="16" cm="1">
        <f t="array" ref="G1488">SUM(G1486:G1487)</f>
        <v>0</v>
      </c>
      <c r="H1488" s="16" cm="1">
        <f t="array" ref="H1488">SUM(H1486:H1487)</f>
        <v>0</v>
      </c>
      <c r="I1488" s="16" cm="1">
        <f t="array" ref="I1488">SUM(I1486:I1487)</f>
        <v>0</v>
      </c>
    </row>
    <row r="1489" ht="20.35" customHeight="1">
      <c r="A1489" s="10">
        <v>45532</v>
      </c>
      <c r="B1489" t="s" s="11">
        <v>5</v>
      </c>
      <c r="C1489" t="s" s="12">
        <v>53</v>
      </c>
      <c r="D1489" s="17"/>
      <c r="E1489" s="17">
        <v>14300</v>
      </c>
      <c r="F1489" s="18"/>
      <c r="G1489" s="18"/>
      <c r="H1489" s="18"/>
      <c r="I1489" s="18"/>
    </row>
    <row r="1490" ht="20.35" customHeight="1">
      <c r="A1490" s="10">
        <v>45532</v>
      </c>
      <c r="B1490" t="s" s="11">
        <v>12</v>
      </c>
      <c r="C1490" t="s" s="12">
        <v>53</v>
      </c>
      <c r="D1490" s="13">
        <v>14300</v>
      </c>
      <c r="E1490" s="13"/>
      <c r="F1490" s="14"/>
      <c r="G1490" s="14"/>
      <c r="H1490" s="14"/>
      <c r="I1490" s="14"/>
    </row>
    <row r="1491" ht="20.7" customHeight="1">
      <c r="A1491" s="10">
        <v>45532</v>
      </c>
      <c r="B1491" t="s" s="11">
        <v>8</v>
      </c>
      <c r="C1491" t="s" s="12">
        <v>8</v>
      </c>
      <c r="D1491" s="15" cm="1">
        <f t="array" ref="D1491">SUM(D1489:D1490)</f>
        <v>14300</v>
      </c>
      <c r="E1491" s="15" cm="1">
        <f t="array" ref="E1491">SUM(E1489:E1490)</f>
        <v>14300</v>
      </c>
      <c r="F1491" s="16" cm="1">
        <f t="array" ref="F1491">SUM(F1489:F1490)</f>
        <v>0</v>
      </c>
      <c r="G1491" s="16" cm="1">
        <f t="array" ref="G1491">SUM(G1489:G1490)</f>
        <v>0</v>
      </c>
      <c r="H1491" s="16" cm="1">
        <f t="array" ref="H1491">SUM(H1489:H1490)</f>
        <v>0</v>
      </c>
      <c r="I1491" s="16" cm="1">
        <f t="array" ref="I1491">SUM(I1489:I1490)</f>
        <v>0</v>
      </c>
    </row>
    <row r="1492" ht="20.35" customHeight="1">
      <c r="A1492" s="10">
        <v>45532</v>
      </c>
      <c r="B1492" t="s" s="11">
        <v>5</v>
      </c>
      <c r="C1492" t="s" s="12">
        <v>17</v>
      </c>
      <c r="D1492" s="17">
        <v>500</v>
      </c>
      <c r="E1492" s="17"/>
      <c r="F1492" s="18"/>
      <c r="G1492" s="18"/>
      <c r="H1492" s="18"/>
      <c r="I1492" s="18"/>
    </row>
    <row r="1493" ht="20.35" customHeight="1">
      <c r="A1493" s="10">
        <v>45532</v>
      </c>
      <c r="B1493" t="s" s="11">
        <v>18</v>
      </c>
      <c r="C1493" t="s" s="12">
        <v>17</v>
      </c>
      <c r="D1493" s="13"/>
      <c r="E1493" s="13">
        <v>500</v>
      </c>
      <c r="F1493" s="14"/>
      <c r="G1493" s="14"/>
      <c r="H1493" s="14"/>
      <c r="I1493" s="14"/>
    </row>
    <row r="1494" ht="20.7" customHeight="1">
      <c r="A1494" s="10">
        <v>45532</v>
      </c>
      <c r="B1494" t="s" s="11">
        <v>8</v>
      </c>
      <c r="C1494" t="s" s="12">
        <v>8</v>
      </c>
      <c r="D1494" s="15" cm="1">
        <f t="array" ref="D1494">SUM(D1492:D1493)</f>
        <v>500</v>
      </c>
      <c r="E1494" s="15" cm="1">
        <f t="array" ref="E1494">SUM(E1492:E1493)</f>
        <v>500</v>
      </c>
      <c r="F1494" s="16" cm="1">
        <f t="array" ref="F1494">SUM(F1492:F1493)</f>
        <v>0</v>
      </c>
      <c r="G1494" s="16" cm="1">
        <f t="array" ref="G1494">SUM(G1492:G1493)</f>
        <v>0</v>
      </c>
      <c r="H1494" s="16" cm="1">
        <f t="array" ref="H1494">SUM(H1492:H1493)</f>
        <v>0</v>
      </c>
      <c r="I1494" s="16" cm="1">
        <f t="array" ref="I1494">SUM(I1492:I1493)</f>
        <v>0</v>
      </c>
    </row>
    <row r="1495" ht="20.35" customHeight="1">
      <c r="A1495" s="10">
        <v>45533</v>
      </c>
      <c r="B1495" t="s" s="11">
        <v>5</v>
      </c>
      <c r="C1495" t="s" s="12">
        <v>202</v>
      </c>
      <c r="D1495" s="17"/>
      <c r="E1495" s="17">
        <v>40000</v>
      </c>
      <c r="F1495" s="18"/>
      <c r="G1495" s="18"/>
      <c r="H1495" s="18"/>
      <c r="I1495" s="18"/>
    </row>
    <row r="1496" ht="20.35" customHeight="1">
      <c r="A1496" s="10">
        <v>45533</v>
      </c>
      <c r="B1496" t="s" s="11">
        <v>93</v>
      </c>
      <c r="C1496" t="s" s="12">
        <v>202</v>
      </c>
      <c r="D1496" s="13">
        <v>40000</v>
      </c>
      <c r="E1496" s="13"/>
      <c r="F1496" s="14"/>
      <c r="G1496" s="14"/>
      <c r="H1496" s="14"/>
      <c r="I1496" s="14"/>
    </row>
    <row r="1497" ht="20.7" customHeight="1">
      <c r="A1497" s="10">
        <v>45533</v>
      </c>
      <c r="B1497" t="s" s="11">
        <v>8</v>
      </c>
      <c r="C1497" t="s" s="12">
        <v>8</v>
      </c>
      <c r="D1497" s="15" cm="1">
        <f t="array" ref="D1497">SUM(D1495:D1496)</f>
        <v>40000</v>
      </c>
      <c r="E1497" s="15" cm="1">
        <f t="array" ref="E1497">SUM(E1495:E1496)</f>
        <v>40000</v>
      </c>
      <c r="F1497" s="16" cm="1">
        <f t="array" ref="F1497">SUM(F1495:F1496)</f>
        <v>0</v>
      </c>
      <c r="G1497" s="16" cm="1">
        <f t="array" ref="G1497">SUM(G1495:G1496)</f>
        <v>0</v>
      </c>
      <c r="H1497" s="16" cm="1">
        <f t="array" ref="H1497">SUM(H1495:H1496)</f>
        <v>0</v>
      </c>
      <c r="I1497" s="16" cm="1">
        <f t="array" ref="I1497">SUM(I1495:I1496)</f>
        <v>0</v>
      </c>
    </row>
    <row r="1498" ht="21.25" customHeight="1">
      <c r="A1498" s="10">
        <v>45533</v>
      </c>
      <c r="B1498" t="s" s="11">
        <v>93</v>
      </c>
      <c r="C1498" t="s" s="12">
        <v>310</v>
      </c>
      <c r="D1498" s="17"/>
      <c r="E1498" s="17">
        <v>40000</v>
      </c>
      <c r="F1498" s="18"/>
      <c r="G1498" s="18"/>
      <c r="H1498" s="18"/>
      <c r="I1498" s="18"/>
    </row>
    <row r="1499" ht="21.25" customHeight="1">
      <c r="A1499" s="10">
        <v>45533</v>
      </c>
      <c r="B1499" t="s" s="11">
        <v>89</v>
      </c>
      <c r="C1499" t="s" s="12">
        <v>310</v>
      </c>
      <c r="D1499" s="13">
        <v>40000</v>
      </c>
      <c r="E1499" s="13"/>
      <c r="F1499" s="14"/>
      <c r="G1499" s="14"/>
      <c r="H1499" s="14"/>
      <c r="I1499" s="14"/>
    </row>
    <row r="1500" ht="20.7" customHeight="1">
      <c r="A1500" s="10">
        <v>45533</v>
      </c>
      <c r="B1500" t="s" s="11">
        <v>8</v>
      </c>
      <c r="C1500" t="s" s="12">
        <v>8</v>
      </c>
      <c r="D1500" s="15" cm="1">
        <f t="array" ref="D1500">SUM(D1498:D1499)</f>
        <v>40000</v>
      </c>
      <c r="E1500" s="15" cm="1">
        <f t="array" ref="E1500">SUM(E1498:E1499)</f>
        <v>40000</v>
      </c>
      <c r="F1500" s="16" cm="1">
        <f t="array" ref="F1500">SUM(F1498:F1499)</f>
        <v>0</v>
      </c>
      <c r="G1500" s="16" cm="1">
        <f t="array" ref="G1500">SUM(G1498:G1499)</f>
        <v>0</v>
      </c>
      <c r="H1500" s="16" cm="1">
        <f t="array" ref="H1500">SUM(H1498:H1499)</f>
        <v>0</v>
      </c>
      <c r="I1500" s="16" cm="1">
        <f t="array" ref="I1500">SUM(I1498:I1499)</f>
        <v>0</v>
      </c>
    </row>
    <row r="1501" ht="21.25" customHeight="1">
      <c r="A1501" s="10">
        <v>45533</v>
      </c>
      <c r="B1501" t="s" s="11">
        <v>93</v>
      </c>
      <c r="C1501" t="s" s="12">
        <v>310</v>
      </c>
      <c r="D1501" s="17">
        <v>5000</v>
      </c>
      <c r="E1501" s="17"/>
      <c r="F1501" s="18"/>
      <c r="G1501" s="18"/>
      <c r="H1501" s="18"/>
      <c r="I1501" s="18"/>
    </row>
    <row r="1502" ht="21.25" customHeight="1">
      <c r="A1502" s="10">
        <v>45533</v>
      </c>
      <c r="B1502" t="s" s="11">
        <v>89</v>
      </c>
      <c r="C1502" t="s" s="12">
        <v>310</v>
      </c>
      <c r="D1502" s="13"/>
      <c r="E1502" s="13">
        <v>5000</v>
      </c>
      <c r="F1502" s="14"/>
      <c r="G1502" s="14"/>
      <c r="H1502" s="14"/>
      <c r="I1502" s="14"/>
    </row>
    <row r="1503" ht="20.7" customHeight="1">
      <c r="A1503" s="10">
        <v>45533</v>
      </c>
      <c r="B1503" t="s" s="11">
        <v>8</v>
      </c>
      <c r="C1503" t="s" s="12">
        <v>8</v>
      </c>
      <c r="D1503" s="15" cm="1">
        <f t="array" ref="D1503">SUM(D1501:D1502)</f>
        <v>5000</v>
      </c>
      <c r="E1503" s="15" cm="1">
        <f t="array" ref="E1503">SUM(E1501:E1502)</f>
        <v>5000</v>
      </c>
      <c r="F1503" s="16" cm="1">
        <f t="array" ref="F1503">SUM(F1501:F1502)</f>
        <v>0</v>
      </c>
      <c r="G1503" s="16" cm="1">
        <f t="array" ref="G1503">SUM(G1501:G1502)</f>
        <v>0</v>
      </c>
      <c r="H1503" s="16" cm="1">
        <f t="array" ref="H1503">SUM(H1501:H1502)</f>
        <v>0</v>
      </c>
      <c r="I1503" s="16" cm="1">
        <f t="array" ref="I1503">SUM(I1501:I1502)</f>
        <v>0</v>
      </c>
    </row>
    <row r="1504" ht="20.35" customHeight="1">
      <c r="A1504" s="10">
        <v>45533</v>
      </c>
      <c r="B1504" t="s" s="11">
        <v>5</v>
      </c>
      <c r="C1504" t="s" s="12">
        <v>17</v>
      </c>
      <c r="D1504" s="17">
        <v>100</v>
      </c>
      <c r="E1504" s="17"/>
      <c r="F1504" s="18"/>
      <c r="G1504" s="18"/>
      <c r="H1504" s="18"/>
      <c r="I1504" s="18"/>
    </row>
    <row r="1505" ht="20.35" customHeight="1">
      <c r="A1505" s="10">
        <v>45533</v>
      </c>
      <c r="B1505" t="s" s="11">
        <v>18</v>
      </c>
      <c r="C1505" t="s" s="12">
        <v>17</v>
      </c>
      <c r="D1505" s="13"/>
      <c r="E1505" s="13">
        <v>100</v>
      </c>
      <c r="F1505" s="14"/>
      <c r="G1505" s="14"/>
      <c r="H1505" s="14"/>
      <c r="I1505" s="14"/>
    </row>
    <row r="1506" ht="20.7" customHeight="1">
      <c r="A1506" s="10">
        <v>45533</v>
      </c>
      <c r="B1506" t="s" s="11">
        <v>8</v>
      </c>
      <c r="C1506" t="s" s="12">
        <v>8</v>
      </c>
      <c r="D1506" s="15" cm="1">
        <f t="array" ref="D1506">SUM(D1504:D1505)</f>
        <v>100</v>
      </c>
      <c r="E1506" s="15" cm="1">
        <f t="array" ref="E1506">SUM(E1504:E1505)</f>
        <v>100</v>
      </c>
      <c r="F1506" s="16" cm="1">
        <f t="array" ref="F1506">SUM(F1504:F1505)</f>
        <v>0</v>
      </c>
      <c r="G1506" s="16" cm="1">
        <f t="array" ref="G1506">SUM(G1504:G1505)</f>
        <v>0</v>
      </c>
      <c r="H1506" s="16" cm="1">
        <f t="array" ref="H1506">SUM(H1504:H1505)</f>
        <v>0</v>
      </c>
      <c r="I1506" s="16" cm="1">
        <f t="array" ref="I1506">SUM(I1504:I1505)</f>
        <v>0</v>
      </c>
    </row>
    <row r="1507" ht="21.25" customHeight="1">
      <c r="A1507" s="10">
        <v>45533</v>
      </c>
      <c r="B1507" t="s" s="11">
        <v>21</v>
      </c>
      <c r="C1507" t="s" s="12">
        <v>289</v>
      </c>
      <c r="D1507" s="17"/>
      <c r="E1507" s="17">
        <v>2800</v>
      </c>
      <c r="F1507" s="18"/>
      <c r="G1507" s="18"/>
      <c r="H1507" s="18"/>
      <c r="I1507" s="18"/>
    </row>
    <row r="1508" ht="21.25" customHeight="1">
      <c r="A1508" s="10">
        <v>45533</v>
      </c>
      <c r="B1508" t="s" s="11">
        <v>16</v>
      </c>
      <c r="C1508" t="s" s="12">
        <v>289</v>
      </c>
      <c r="D1508" s="13">
        <v>2800</v>
      </c>
      <c r="E1508" s="13"/>
      <c r="F1508" s="14"/>
      <c r="G1508" s="14"/>
      <c r="H1508" s="14"/>
      <c r="I1508" s="14"/>
    </row>
    <row r="1509" ht="20.7" customHeight="1">
      <c r="A1509" s="10">
        <v>45533</v>
      </c>
      <c r="B1509" t="s" s="11">
        <v>8</v>
      </c>
      <c r="C1509" t="s" s="12">
        <v>8</v>
      </c>
      <c r="D1509" s="15" cm="1">
        <f t="array" ref="D1509">SUM(D1507:D1508)</f>
        <v>2800</v>
      </c>
      <c r="E1509" s="15" cm="1">
        <f t="array" ref="E1509">SUM(E1507:E1508)</f>
        <v>2800</v>
      </c>
      <c r="F1509" s="16" cm="1">
        <f t="array" ref="F1509">SUM(F1507:F1508)</f>
        <v>0</v>
      </c>
      <c r="G1509" s="16" cm="1">
        <f t="array" ref="G1509">SUM(G1507:G1508)</f>
        <v>0</v>
      </c>
      <c r="H1509" s="16" cm="1">
        <f t="array" ref="H1509">SUM(H1507:H1508)</f>
        <v>0</v>
      </c>
      <c r="I1509" s="16" cm="1">
        <f t="array" ref="I1509">SUM(I1507:I1508)</f>
        <v>0</v>
      </c>
    </row>
    <row r="1510" ht="21.25" customHeight="1">
      <c r="A1510" s="10">
        <v>45534</v>
      </c>
      <c r="B1510" t="s" s="11">
        <v>5</v>
      </c>
      <c r="C1510" t="s" s="12">
        <v>311</v>
      </c>
      <c r="D1510" s="17"/>
      <c r="E1510" s="17">
        <v>33480</v>
      </c>
      <c r="F1510" s="18"/>
      <c r="G1510" s="18"/>
      <c r="H1510" s="18"/>
      <c r="I1510" s="18"/>
    </row>
    <row r="1511" ht="21.25" customHeight="1">
      <c r="A1511" s="10">
        <v>45534</v>
      </c>
      <c r="B1511" t="s" s="11">
        <v>10</v>
      </c>
      <c r="C1511" t="s" s="12">
        <v>311</v>
      </c>
      <c r="D1511" s="13">
        <v>33480</v>
      </c>
      <c r="E1511" s="13"/>
      <c r="F1511" s="14"/>
      <c r="G1511" s="14"/>
      <c r="H1511" s="14"/>
      <c r="I1511" s="14"/>
    </row>
    <row r="1512" ht="20.7" customHeight="1">
      <c r="A1512" s="10">
        <v>45534</v>
      </c>
      <c r="B1512" t="s" s="11">
        <v>8</v>
      </c>
      <c r="C1512" t="s" s="12">
        <v>8</v>
      </c>
      <c r="D1512" s="15" cm="1">
        <f t="array" ref="D1512">SUM(D1510:D1511)</f>
        <v>33480</v>
      </c>
      <c r="E1512" s="15" cm="1">
        <f t="array" ref="E1512">SUM(E1510:E1511)</f>
        <v>33480</v>
      </c>
      <c r="F1512" s="16" cm="1">
        <f t="array" ref="F1512">SUM(F1510:F1511)</f>
        <v>0</v>
      </c>
      <c r="G1512" s="16" cm="1">
        <f t="array" ref="G1512">SUM(G1510:G1511)</f>
        <v>0</v>
      </c>
      <c r="H1512" s="16" cm="1">
        <f t="array" ref="H1512">SUM(H1510:H1511)</f>
        <v>0</v>
      </c>
      <c r="I1512" s="16" cm="1">
        <f t="array" ref="I1512">SUM(I1510:I1511)</f>
        <v>0</v>
      </c>
    </row>
    <row r="1513" ht="20.35" customHeight="1">
      <c r="A1513" s="10">
        <v>45534</v>
      </c>
      <c r="B1513" t="s" s="11">
        <v>5</v>
      </c>
      <c r="C1513" t="s" s="12">
        <v>202</v>
      </c>
      <c r="D1513" s="17"/>
      <c r="E1513" s="17">
        <v>10000</v>
      </c>
      <c r="F1513" s="18"/>
      <c r="G1513" s="18"/>
      <c r="H1513" s="18"/>
      <c r="I1513" s="18"/>
    </row>
    <row r="1514" ht="20.35" customHeight="1">
      <c r="A1514" s="10">
        <v>45534</v>
      </c>
      <c r="B1514" t="s" s="11">
        <v>93</v>
      </c>
      <c r="C1514" t="s" s="12">
        <v>202</v>
      </c>
      <c r="D1514" s="13">
        <v>10000</v>
      </c>
      <c r="E1514" s="13"/>
      <c r="F1514" s="14"/>
      <c r="G1514" s="14"/>
      <c r="H1514" s="14"/>
      <c r="I1514" s="14"/>
    </row>
    <row r="1515" ht="20.7" customHeight="1">
      <c r="A1515" s="10">
        <v>45534</v>
      </c>
      <c r="B1515" t="s" s="11">
        <v>8</v>
      </c>
      <c r="C1515" t="s" s="12">
        <v>8</v>
      </c>
      <c r="D1515" s="15" cm="1">
        <f t="array" ref="D1515">SUM(D1513:D1514)</f>
        <v>10000</v>
      </c>
      <c r="E1515" s="15" cm="1">
        <f t="array" ref="E1515">SUM(E1513:E1514)</f>
        <v>10000</v>
      </c>
      <c r="F1515" s="16" cm="1">
        <f t="array" ref="F1515">SUM(F1513:F1514)</f>
        <v>0</v>
      </c>
      <c r="G1515" s="16" cm="1">
        <f t="array" ref="G1515">SUM(G1513:G1514)</f>
        <v>0</v>
      </c>
      <c r="H1515" s="16" cm="1">
        <f t="array" ref="H1515">SUM(H1513:H1514)</f>
        <v>0</v>
      </c>
      <c r="I1515" s="16" cm="1">
        <f t="array" ref="I1515">SUM(I1513:I1514)</f>
        <v>0</v>
      </c>
    </row>
    <row r="1516" ht="20.35" customHeight="1">
      <c r="A1516" s="10">
        <v>45534</v>
      </c>
      <c r="B1516" t="s" s="11">
        <v>93</v>
      </c>
      <c r="C1516" t="s" s="12">
        <v>273</v>
      </c>
      <c r="D1516" s="17"/>
      <c r="E1516" s="17">
        <v>6000</v>
      </c>
      <c r="F1516" s="18"/>
      <c r="G1516" s="18"/>
      <c r="H1516" s="18"/>
      <c r="I1516" s="18"/>
    </row>
    <row r="1517" ht="20.35" customHeight="1">
      <c r="A1517" s="10">
        <v>45534</v>
      </c>
      <c r="B1517" t="s" s="11">
        <v>21</v>
      </c>
      <c r="C1517" t="s" s="12">
        <v>273</v>
      </c>
      <c r="D1517" s="13">
        <v>6000</v>
      </c>
      <c r="E1517" s="13"/>
      <c r="F1517" s="14"/>
      <c r="G1517" s="14"/>
      <c r="H1517" s="14"/>
      <c r="I1517" s="14"/>
    </row>
    <row r="1518" ht="20.7" customHeight="1">
      <c r="A1518" s="10">
        <v>45534</v>
      </c>
      <c r="B1518" t="s" s="11">
        <v>8</v>
      </c>
      <c r="C1518" t="s" s="12">
        <v>8</v>
      </c>
      <c r="D1518" s="15" cm="1">
        <f t="array" ref="D1518">SUM(D1516:D1517)</f>
        <v>6000</v>
      </c>
      <c r="E1518" s="15" cm="1">
        <f t="array" ref="E1518">SUM(E1516:E1517)</f>
        <v>6000</v>
      </c>
      <c r="F1518" s="16" cm="1">
        <f t="array" ref="F1518">SUM(F1516:F1517)</f>
        <v>0</v>
      </c>
      <c r="G1518" s="16" cm="1">
        <f t="array" ref="G1518">SUM(G1516:G1517)</f>
        <v>0</v>
      </c>
      <c r="H1518" s="16" cm="1">
        <f t="array" ref="H1518">SUM(H1516:H1517)</f>
        <v>0</v>
      </c>
      <c r="I1518" s="16" cm="1">
        <f t="array" ref="I1518">SUM(I1516:I1517)</f>
        <v>0</v>
      </c>
    </row>
    <row r="1519" ht="20.35" customHeight="1">
      <c r="A1519" s="10">
        <v>45534</v>
      </c>
      <c r="B1519" t="s" s="11">
        <v>5</v>
      </c>
      <c r="C1519" t="s" s="12">
        <v>36</v>
      </c>
      <c r="D1519" s="17"/>
      <c r="E1519" s="17">
        <v>6000</v>
      </c>
      <c r="F1519" s="18"/>
      <c r="G1519" s="18"/>
      <c r="H1519" s="18"/>
      <c r="I1519" s="18"/>
    </row>
    <row r="1520" ht="20.35" customHeight="1">
      <c r="A1520" s="10">
        <v>45534</v>
      </c>
      <c r="B1520" t="s" s="11">
        <v>21</v>
      </c>
      <c r="C1520" t="s" s="12">
        <v>36</v>
      </c>
      <c r="D1520" s="13">
        <v>6000</v>
      </c>
      <c r="E1520" s="13"/>
      <c r="F1520" s="14"/>
      <c r="G1520" s="14"/>
      <c r="H1520" s="14"/>
      <c r="I1520" s="14"/>
    </row>
    <row r="1521" ht="20.7" customHeight="1">
      <c r="A1521" s="10">
        <v>45534</v>
      </c>
      <c r="B1521" t="s" s="11">
        <v>8</v>
      </c>
      <c r="C1521" t="s" s="12">
        <v>8</v>
      </c>
      <c r="D1521" s="15" cm="1">
        <f t="array" ref="D1521">SUM(D1519:D1520)</f>
        <v>6000</v>
      </c>
      <c r="E1521" s="15" cm="1">
        <f t="array" ref="E1521">SUM(E1519:E1520)</f>
        <v>6000</v>
      </c>
      <c r="F1521" s="16" cm="1">
        <f t="array" ref="F1521">SUM(F1519:F1520)</f>
        <v>0</v>
      </c>
      <c r="G1521" s="16" cm="1">
        <f t="array" ref="G1521">SUM(G1519:G1520)</f>
        <v>0</v>
      </c>
      <c r="H1521" s="16" cm="1">
        <f t="array" ref="H1521">SUM(H1519:H1520)</f>
        <v>0</v>
      </c>
      <c r="I1521" s="16" cm="1">
        <f t="array" ref="I1521">SUM(I1519:I1520)</f>
        <v>0</v>
      </c>
    </row>
    <row r="1522" ht="20.35" customHeight="1">
      <c r="A1522" s="10">
        <v>45534</v>
      </c>
      <c r="B1522" t="s" s="11">
        <v>5</v>
      </c>
      <c r="C1522" t="s" s="12">
        <v>96</v>
      </c>
      <c r="D1522" s="17">
        <v>9000</v>
      </c>
      <c r="E1522" s="17"/>
      <c r="F1522" s="18"/>
      <c r="G1522" s="18"/>
      <c r="H1522" s="18"/>
      <c r="I1522" s="18"/>
    </row>
    <row r="1523" ht="20.35" customHeight="1">
      <c r="A1523" s="10">
        <v>45534</v>
      </c>
      <c r="B1523" t="s" s="11">
        <v>93</v>
      </c>
      <c r="C1523" t="s" s="12">
        <v>96</v>
      </c>
      <c r="D1523" s="13"/>
      <c r="E1523" s="13">
        <v>9000</v>
      </c>
      <c r="F1523" s="14"/>
      <c r="G1523" s="14"/>
      <c r="H1523" s="14"/>
      <c r="I1523" s="14"/>
    </row>
    <row r="1524" ht="20.7" customHeight="1">
      <c r="A1524" s="10">
        <v>45534</v>
      </c>
      <c r="B1524" t="s" s="11">
        <v>8</v>
      </c>
      <c r="C1524" t="s" s="12">
        <v>8</v>
      </c>
      <c r="D1524" s="15" cm="1">
        <f t="array" ref="D1524">SUM(D1522:D1523)</f>
        <v>9000</v>
      </c>
      <c r="E1524" s="15" cm="1">
        <f t="array" ref="E1524">SUM(E1522:E1523)</f>
        <v>9000</v>
      </c>
      <c r="F1524" s="16" cm="1">
        <f t="array" ref="F1524">SUM(F1522:F1523)</f>
        <v>0</v>
      </c>
      <c r="G1524" s="16" cm="1">
        <f t="array" ref="G1524">SUM(G1522:G1523)</f>
        <v>0</v>
      </c>
      <c r="H1524" s="16" cm="1">
        <f t="array" ref="H1524">SUM(H1522:H1523)</f>
        <v>0</v>
      </c>
      <c r="I1524" s="16" cm="1">
        <f t="array" ref="I1524">SUM(I1522:I1523)</f>
        <v>0</v>
      </c>
    </row>
    <row r="1525" ht="20.65" customHeight="1">
      <c r="A1525" s="10">
        <v>45534</v>
      </c>
      <c r="B1525" t="s" s="11">
        <v>28</v>
      </c>
      <c r="C1525" t="s" s="12">
        <v>218</v>
      </c>
      <c r="D1525" s="17"/>
      <c r="E1525" s="17">
        <v>5000</v>
      </c>
      <c r="F1525" s="18"/>
      <c r="G1525" s="18"/>
      <c r="H1525" s="18"/>
      <c r="I1525" s="18"/>
    </row>
    <row r="1526" ht="20.65" customHeight="1">
      <c r="A1526" s="10">
        <v>45534</v>
      </c>
      <c r="B1526" t="s" s="11">
        <v>12</v>
      </c>
      <c r="C1526" t="s" s="12">
        <v>218</v>
      </c>
      <c r="D1526" s="13">
        <v>5000</v>
      </c>
      <c r="E1526" s="13"/>
      <c r="F1526" s="14"/>
      <c r="G1526" s="14"/>
      <c r="H1526" s="14"/>
      <c r="I1526" s="14"/>
    </row>
    <row r="1527" ht="20.7" customHeight="1">
      <c r="A1527" s="10">
        <v>45534</v>
      </c>
      <c r="B1527" t="s" s="11">
        <v>8</v>
      </c>
      <c r="C1527" t="s" s="12">
        <v>8</v>
      </c>
      <c r="D1527" s="15" cm="1">
        <f t="array" ref="D1527">SUM(D1525:D1526)</f>
        <v>5000</v>
      </c>
      <c r="E1527" s="15" cm="1">
        <f t="array" ref="E1527">SUM(E1525:E1526)</f>
        <v>5000</v>
      </c>
      <c r="F1527" s="16" cm="1">
        <f t="array" ref="F1527">SUM(F1525:F1526)</f>
        <v>0</v>
      </c>
      <c r="G1527" s="16" cm="1">
        <f t="array" ref="G1527">SUM(G1525:G1526)</f>
        <v>0</v>
      </c>
      <c r="H1527" s="16" cm="1">
        <f t="array" ref="H1527">SUM(H1525:H1526)</f>
        <v>0</v>
      </c>
      <c r="I1527" s="16" cm="1">
        <f t="array" ref="I1527">SUM(I1525:I1526)</f>
        <v>0</v>
      </c>
    </row>
    <row r="1528" ht="20.35" customHeight="1">
      <c r="A1528" s="10">
        <v>45534</v>
      </c>
      <c r="B1528" t="s" s="11">
        <v>5</v>
      </c>
      <c r="C1528" t="s" s="12">
        <v>17</v>
      </c>
      <c r="D1528" s="17">
        <v>100</v>
      </c>
      <c r="E1528" s="17"/>
      <c r="F1528" s="18"/>
      <c r="G1528" s="18"/>
      <c r="H1528" s="18"/>
      <c r="I1528" s="18"/>
    </row>
    <row r="1529" ht="20.35" customHeight="1">
      <c r="A1529" s="10">
        <v>45534</v>
      </c>
      <c r="B1529" t="s" s="11">
        <v>18</v>
      </c>
      <c r="C1529" t="s" s="12">
        <v>17</v>
      </c>
      <c r="D1529" s="13"/>
      <c r="E1529" s="13">
        <v>100</v>
      </c>
      <c r="F1529" s="14"/>
      <c r="G1529" s="14"/>
      <c r="H1529" s="14"/>
      <c r="I1529" s="14"/>
    </row>
    <row r="1530" ht="20.7" customHeight="1">
      <c r="A1530" s="10">
        <v>45534</v>
      </c>
      <c r="B1530" t="s" s="11">
        <v>8</v>
      </c>
      <c r="C1530" t="s" s="12">
        <v>8</v>
      </c>
      <c r="D1530" s="15" cm="1">
        <f t="array" ref="D1530">SUM(D1528:D1529)</f>
        <v>100</v>
      </c>
      <c r="E1530" s="15" cm="1">
        <f t="array" ref="E1530">SUM(E1528:E1529)</f>
        <v>100</v>
      </c>
      <c r="F1530" s="16" cm="1">
        <f t="array" ref="F1530">SUM(F1528:F1529)</f>
        <v>0</v>
      </c>
      <c r="G1530" s="16" cm="1">
        <f t="array" ref="G1530">SUM(G1528:G1529)</f>
        <v>0</v>
      </c>
      <c r="H1530" s="16" cm="1">
        <f t="array" ref="H1530">SUM(H1528:H1529)</f>
        <v>0</v>
      </c>
      <c r="I1530" s="16" cm="1">
        <f t="array" ref="I1530">SUM(I1528:I1529)</f>
        <v>0</v>
      </c>
    </row>
    <row r="1531" ht="20.35" customHeight="1">
      <c r="A1531" s="10">
        <v>45534</v>
      </c>
      <c r="B1531" t="s" s="11">
        <v>60</v>
      </c>
      <c r="C1531" t="s" s="12">
        <v>246</v>
      </c>
      <c r="D1531" s="17"/>
      <c r="E1531" s="17"/>
      <c r="F1531" s="18">
        <v>0.01</v>
      </c>
      <c r="G1531" s="18"/>
      <c r="H1531" s="18"/>
      <c r="I1531" s="18"/>
    </row>
    <row r="1532" ht="20.35" customHeight="1">
      <c r="A1532" s="10">
        <v>45534</v>
      </c>
      <c r="B1532" t="s" s="11">
        <v>104</v>
      </c>
      <c r="C1532" t="s" s="12">
        <v>246</v>
      </c>
      <c r="D1532" s="13"/>
      <c r="E1532" s="13"/>
      <c r="F1532" s="14"/>
      <c r="G1532" s="14">
        <v>0.01</v>
      </c>
      <c r="H1532" s="14"/>
      <c r="I1532" s="14"/>
    </row>
    <row r="1533" ht="20.7" customHeight="1">
      <c r="A1533" s="10">
        <v>45534</v>
      </c>
      <c r="B1533" t="s" s="11">
        <v>8</v>
      </c>
      <c r="C1533" t="s" s="12">
        <v>8</v>
      </c>
      <c r="D1533" s="15" cm="1">
        <f t="array" ref="D1533">SUM(D1531:D1532)</f>
        <v>0</v>
      </c>
      <c r="E1533" s="15" cm="1">
        <f t="array" ref="E1533">SUM(E1531:E1532)</f>
        <v>0</v>
      </c>
      <c r="F1533" s="16" cm="1">
        <f t="array" ref="F1533">SUM(F1531:F1532)</f>
        <v>0.01</v>
      </c>
      <c r="G1533" s="16" cm="1">
        <f t="array" ref="G1533">SUM(G1531:G1532)</f>
        <v>0.01</v>
      </c>
      <c r="H1533" s="16" cm="1">
        <f t="array" ref="H1533">SUM(H1531:H1532)</f>
        <v>0</v>
      </c>
      <c r="I1533" s="16" cm="1">
        <f t="array" ref="I1533">SUM(I1531:I1532)</f>
        <v>0</v>
      </c>
    </row>
    <row r="1534" ht="21.25" customHeight="1">
      <c r="A1534" s="10">
        <v>45536</v>
      </c>
      <c r="B1534" t="s" s="11">
        <v>32</v>
      </c>
      <c r="C1534" t="s" s="12">
        <v>312</v>
      </c>
      <c r="D1534" s="17"/>
      <c r="E1534" s="17">
        <v>150000</v>
      </c>
      <c r="F1534" s="18"/>
      <c r="G1534" s="18"/>
      <c r="H1534" s="18"/>
      <c r="I1534" s="18"/>
    </row>
    <row r="1535" ht="21.25" customHeight="1">
      <c r="A1535" s="10">
        <v>45536</v>
      </c>
      <c r="B1535" t="s" s="11">
        <v>101</v>
      </c>
      <c r="C1535" t="s" s="12">
        <v>312</v>
      </c>
      <c r="D1535" s="13">
        <v>150000</v>
      </c>
      <c r="E1535" s="13"/>
      <c r="F1535" s="14"/>
      <c r="G1535" s="14"/>
      <c r="H1535" s="14"/>
      <c r="I1535" s="14"/>
    </row>
    <row r="1536" ht="20.7" customHeight="1">
      <c r="A1536" s="10">
        <v>45536</v>
      </c>
      <c r="B1536" t="s" s="11">
        <v>8</v>
      </c>
      <c r="C1536" t="s" s="12">
        <v>8</v>
      </c>
      <c r="D1536" s="15" cm="1">
        <f t="array" ref="D1536">SUM(D1534:D1535)</f>
        <v>150000</v>
      </c>
      <c r="E1536" s="15" cm="1">
        <f t="array" ref="E1536">SUM(E1534:E1535)</f>
        <v>150000</v>
      </c>
      <c r="F1536" s="16" cm="1">
        <f t="array" ref="F1536">SUM(F1534:F1535)</f>
        <v>0</v>
      </c>
      <c r="G1536" s="16" cm="1">
        <f t="array" ref="G1536">SUM(G1534:G1535)</f>
        <v>0</v>
      </c>
      <c r="H1536" s="16" cm="1">
        <f t="array" ref="H1536">SUM(H1534:H1535)</f>
        <v>0</v>
      </c>
      <c r="I1536" s="16" cm="1">
        <f t="array" ref="I1536">SUM(I1534:I1535)</f>
        <v>0</v>
      </c>
    </row>
    <row r="1537" ht="21.25" customHeight="1">
      <c r="A1537" s="10">
        <v>45536</v>
      </c>
      <c r="B1537" t="s" s="11">
        <v>97</v>
      </c>
      <c r="C1537" t="s" s="12">
        <v>313</v>
      </c>
      <c r="D1537" s="17"/>
      <c r="E1537" s="17">
        <v>557142</v>
      </c>
      <c r="F1537" s="18"/>
      <c r="G1537" s="18"/>
      <c r="H1537" s="18"/>
      <c r="I1537" s="18"/>
    </row>
    <row r="1538" ht="21.25" customHeight="1">
      <c r="A1538" s="10">
        <v>45536</v>
      </c>
      <c r="B1538" t="s" s="11">
        <v>99</v>
      </c>
      <c r="C1538" t="s" s="12">
        <v>313</v>
      </c>
      <c r="D1538" s="13">
        <v>557142</v>
      </c>
      <c r="E1538" s="13"/>
      <c r="F1538" s="14"/>
      <c r="G1538" s="14"/>
      <c r="H1538" s="14"/>
      <c r="I1538" s="14"/>
    </row>
    <row r="1539" ht="20.7" customHeight="1">
      <c r="A1539" s="10">
        <v>45536</v>
      </c>
      <c r="B1539" t="s" s="11">
        <v>8</v>
      </c>
      <c r="C1539" t="s" s="12">
        <v>8</v>
      </c>
      <c r="D1539" s="15" cm="1">
        <f t="array" ref="D1539">SUM(D1537:D1538)</f>
        <v>557142</v>
      </c>
      <c r="E1539" s="15" cm="1">
        <f t="array" ref="E1539">SUM(E1537:E1538)</f>
        <v>557142</v>
      </c>
      <c r="F1539" s="16" cm="1">
        <f t="array" ref="F1539">SUM(F1537:F1538)</f>
        <v>0</v>
      </c>
      <c r="G1539" s="16" cm="1">
        <f t="array" ref="G1539">SUM(G1537:G1538)</f>
        <v>0</v>
      </c>
      <c r="H1539" s="16" cm="1">
        <f t="array" ref="H1539">SUM(H1537:H1538)</f>
        <v>0</v>
      </c>
      <c r="I1539" s="16" cm="1">
        <f t="array" ref="I1539">SUM(I1537:I1538)</f>
        <v>0</v>
      </c>
    </row>
    <row r="1540" ht="20.35" customHeight="1">
      <c r="A1540" s="10">
        <v>45536</v>
      </c>
      <c r="B1540" t="s" s="11">
        <v>106</v>
      </c>
      <c r="C1540" t="s" s="12">
        <v>301</v>
      </c>
      <c r="D1540" s="17"/>
      <c r="E1540" s="17">
        <v>20000</v>
      </c>
      <c r="F1540" s="18"/>
      <c r="G1540" s="18"/>
      <c r="H1540" s="18"/>
      <c r="I1540" s="18"/>
    </row>
    <row r="1541" ht="20.35" customHeight="1">
      <c r="A1541" s="10">
        <v>45536</v>
      </c>
      <c r="B1541" t="s" s="11">
        <v>10</v>
      </c>
      <c r="C1541" t="s" s="12">
        <v>301</v>
      </c>
      <c r="D1541" s="13">
        <v>20000</v>
      </c>
      <c r="E1541" s="13"/>
      <c r="F1541" s="14"/>
      <c r="G1541" s="14"/>
      <c r="H1541" s="14"/>
      <c r="I1541" s="14"/>
    </row>
    <row r="1542" ht="20.7" customHeight="1">
      <c r="A1542" s="10">
        <v>45536</v>
      </c>
      <c r="B1542" t="s" s="11">
        <v>8</v>
      </c>
      <c r="C1542" t="s" s="12">
        <v>8</v>
      </c>
      <c r="D1542" s="15" cm="1">
        <f t="array" ref="D1542">SUM(D1540:D1541)</f>
        <v>20000</v>
      </c>
      <c r="E1542" s="15" cm="1">
        <f t="array" ref="E1542">SUM(E1540:E1541)</f>
        <v>20000</v>
      </c>
      <c r="F1542" s="16" cm="1">
        <f t="array" ref="F1542">SUM(F1540:F1541)</f>
        <v>0</v>
      </c>
      <c r="G1542" s="16" cm="1">
        <f t="array" ref="G1542">SUM(G1540:G1541)</f>
        <v>0</v>
      </c>
      <c r="H1542" s="16" cm="1">
        <f t="array" ref="H1542">SUM(H1540:H1541)</f>
        <v>0</v>
      </c>
      <c r="I1542" s="16" cm="1">
        <f t="array" ref="I1542">SUM(I1540:I1541)</f>
        <v>0</v>
      </c>
    </row>
    <row r="1543" ht="20.65" customHeight="1">
      <c r="A1543" s="10">
        <v>45536</v>
      </c>
      <c r="B1543" t="s" s="11">
        <v>28</v>
      </c>
      <c r="C1543" t="s" s="12">
        <v>218</v>
      </c>
      <c r="D1543" s="17"/>
      <c r="E1543" s="17">
        <v>5000</v>
      </c>
      <c r="F1543" s="18"/>
      <c r="G1543" s="18"/>
      <c r="H1543" s="18"/>
      <c r="I1543" s="18"/>
    </row>
    <row r="1544" ht="20.65" customHeight="1">
      <c r="A1544" s="10">
        <v>45536</v>
      </c>
      <c r="B1544" t="s" s="11">
        <v>12</v>
      </c>
      <c r="C1544" t="s" s="12">
        <v>218</v>
      </c>
      <c r="D1544" s="13">
        <v>5000</v>
      </c>
      <c r="E1544" s="13"/>
      <c r="F1544" s="14"/>
      <c r="G1544" s="14"/>
      <c r="H1544" s="14"/>
      <c r="I1544" s="14"/>
    </row>
    <row r="1545" ht="20.7" customHeight="1">
      <c r="A1545" s="10">
        <v>45536</v>
      </c>
      <c r="B1545" t="s" s="11">
        <v>8</v>
      </c>
      <c r="C1545" t="s" s="12">
        <v>8</v>
      </c>
      <c r="D1545" s="15" cm="1">
        <f t="array" ref="D1545">SUM(D1543:D1544)</f>
        <v>5000</v>
      </c>
      <c r="E1545" s="15" cm="1">
        <f t="array" ref="E1545">SUM(E1543:E1544)</f>
        <v>5000</v>
      </c>
      <c r="F1545" s="16" cm="1">
        <f t="array" ref="F1545">SUM(F1543:F1544)</f>
        <v>0</v>
      </c>
      <c r="G1545" s="16" cm="1">
        <f t="array" ref="G1545">SUM(G1543:G1544)</f>
        <v>0</v>
      </c>
      <c r="H1545" s="16" cm="1">
        <f t="array" ref="H1545">SUM(H1543:H1544)</f>
        <v>0</v>
      </c>
      <c r="I1545" s="16" cm="1">
        <f t="array" ref="I1545">SUM(I1543:I1544)</f>
        <v>0</v>
      </c>
    </row>
    <row r="1546" ht="20.35" customHeight="1">
      <c r="A1546" s="10">
        <v>45536</v>
      </c>
      <c r="B1546" t="s" s="11">
        <v>107</v>
      </c>
      <c r="C1546" t="s" s="12">
        <v>314</v>
      </c>
      <c r="D1546" s="17">
        <v>35000</v>
      </c>
      <c r="E1546" s="17"/>
      <c r="F1546" s="18"/>
      <c r="G1546" s="18"/>
      <c r="H1546" s="18"/>
      <c r="I1546" s="18"/>
    </row>
    <row r="1547" ht="20.35" customHeight="1">
      <c r="A1547" s="10">
        <v>45536</v>
      </c>
      <c r="B1547" t="s" s="11">
        <v>89</v>
      </c>
      <c r="C1547" t="s" s="12">
        <v>314</v>
      </c>
      <c r="D1547" s="13"/>
      <c r="E1547" s="13">
        <v>35000</v>
      </c>
      <c r="F1547" s="14"/>
      <c r="G1547" s="14"/>
      <c r="H1547" s="14"/>
      <c r="I1547" s="14"/>
    </row>
    <row r="1548" ht="20.7" customHeight="1">
      <c r="A1548" s="10">
        <v>45536</v>
      </c>
      <c r="B1548" t="s" s="11">
        <v>8</v>
      </c>
      <c r="C1548" t="s" s="12">
        <v>8</v>
      </c>
      <c r="D1548" s="15" cm="1">
        <f t="array" ref="D1548">SUM(D1546:D1547)</f>
        <v>35000</v>
      </c>
      <c r="E1548" s="15" cm="1">
        <f t="array" ref="E1548">SUM(E1546:E1547)</f>
        <v>35000</v>
      </c>
      <c r="F1548" s="16" cm="1">
        <f t="array" ref="F1548">SUM(F1546:F1547)</f>
        <v>0</v>
      </c>
      <c r="G1548" s="16" cm="1">
        <f t="array" ref="G1548">SUM(G1546:G1547)</f>
        <v>0</v>
      </c>
      <c r="H1548" s="16" cm="1">
        <f t="array" ref="H1548">SUM(H1546:H1547)</f>
        <v>0</v>
      </c>
      <c r="I1548" s="16" cm="1">
        <f t="array" ref="I1548">SUM(I1546:I1547)</f>
        <v>0</v>
      </c>
    </row>
    <row r="1549" ht="21.25" customHeight="1">
      <c r="A1549" s="10">
        <v>45536</v>
      </c>
      <c r="B1549" t="s" s="11">
        <v>5</v>
      </c>
      <c r="C1549" t="s" s="12">
        <v>315</v>
      </c>
      <c r="D1549" s="17">
        <v>83</v>
      </c>
      <c r="E1549" s="17"/>
      <c r="F1549" s="18"/>
      <c r="G1549" s="18"/>
      <c r="H1549" s="18"/>
      <c r="I1549" s="18"/>
    </row>
    <row r="1550" ht="21.25" customHeight="1">
      <c r="A1550" s="10">
        <v>45536</v>
      </c>
      <c r="B1550" t="s" s="11">
        <v>7</v>
      </c>
      <c r="C1550" t="s" s="12">
        <v>315</v>
      </c>
      <c r="D1550" s="13"/>
      <c r="E1550" s="13">
        <v>83</v>
      </c>
      <c r="F1550" s="14"/>
      <c r="G1550" s="14"/>
      <c r="H1550" s="14"/>
      <c r="I1550" s="14"/>
    </row>
    <row r="1551" ht="20.7" customHeight="1">
      <c r="A1551" s="10">
        <v>45536</v>
      </c>
      <c r="B1551" t="s" s="11">
        <v>8</v>
      </c>
      <c r="C1551" t="s" s="12">
        <v>8</v>
      </c>
      <c r="D1551" s="15" cm="1">
        <f t="array" ref="D1551">SUM(D1549:D1550)</f>
        <v>83</v>
      </c>
      <c r="E1551" s="15" cm="1">
        <f t="array" ref="E1551">SUM(E1549:E1550)</f>
        <v>83</v>
      </c>
      <c r="F1551" s="16" cm="1">
        <f t="array" ref="F1551">SUM(F1549:F1550)</f>
        <v>0</v>
      </c>
      <c r="G1551" s="16" cm="1">
        <f t="array" ref="G1551">SUM(G1549:G1550)</f>
        <v>0</v>
      </c>
      <c r="H1551" s="16" cm="1">
        <f t="array" ref="H1551">SUM(H1549:H1550)</f>
        <v>0</v>
      </c>
      <c r="I1551" s="16" cm="1">
        <f t="array" ref="I1551">SUM(I1549:I1550)</f>
        <v>0</v>
      </c>
    </row>
    <row r="1552" ht="20.35" customHeight="1">
      <c r="A1552" s="10">
        <v>45536</v>
      </c>
      <c r="B1552" t="s" s="11">
        <v>107</v>
      </c>
      <c r="C1552" t="s" s="12">
        <v>96</v>
      </c>
      <c r="D1552" s="17"/>
      <c r="E1552" s="17">
        <v>35000</v>
      </c>
      <c r="F1552" s="18"/>
      <c r="G1552" s="18"/>
      <c r="H1552" s="18"/>
      <c r="I1552" s="18"/>
    </row>
    <row r="1553" ht="20.35" customHeight="1">
      <c r="A1553" s="10">
        <v>45536</v>
      </c>
      <c r="B1553" t="s" s="11">
        <v>5</v>
      </c>
      <c r="C1553" t="s" s="12">
        <v>96</v>
      </c>
      <c r="D1553" s="13">
        <v>35000</v>
      </c>
      <c r="E1553" s="13"/>
      <c r="F1553" s="14"/>
      <c r="G1553" s="14"/>
      <c r="H1553" s="14"/>
      <c r="I1553" s="14"/>
    </row>
    <row r="1554" ht="20.7" customHeight="1">
      <c r="A1554" s="10">
        <v>45536</v>
      </c>
      <c r="B1554" t="s" s="11">
        <v>8</v>
      </c>
      <c r="C1554" t="s" s="12">
        <v>8</v>
      </c>
      <c r="D1554" s="15" cm="1">
        <f t="array" ref="D1554">SUM(D1552:D1553)</f>
        <v>35000</v>
      </c>
      <c r="E1554" s="15" cm="1">
        <f t="array" ref="E1554">SUM(E1552:E1553)</f>
        <v>35000</v>
      </c>
      <c r="F1554" s="16" cm="1">
        <f t="array" ref="F1554">SUM(F1552:F1553)</f>
        <v>0</v>
      </c>
      <c r="G1554" s="16" cm="1">
        <f t="array" ref="G1554">SUM(G1552:G1553)</f>
        <v>0</v>
      </c>
      <c r="H1554" s="16" cm="1">
        <f t="array" ref="H1554">SUM(H1552:H1553)</f>
        <v>0</v>
      </c>
      <c r="I1554" s="16" cm="1">
        <f t="array" ref="I1554">SUM(I1552:I1553)</f>
        <v>0</v>
      </c>
    </row>
    <row r="1555" ht="21.25" customHeight="1">
      <c r="A1555" s="10">
        <v>45536</v>
      </c>
      <c r="B1555" t="s" s="11">
        <v>5</v>
      </c>
      <c r="C1555" t="s" s="12">
        <v>265</v>
      </c>
      <c r="D1555" s="17"/>
      <c r="E1555" s="17">
        <v>16700</v>
      </c>
      <c r="F1555" s="18"/>
      <c r="G1555" s="18"/>
      <c r="H1555" s="18"/>
      <c r="I1555" s="18"/>
    </row>
    <row r="1556" ht="21.25" customHeight="1">
      <c r="A1556" s="10">
        <v>45536</v>
      </c>
      <c r="B1556" t="s" s="11">
        <v>21</v>
      </c>
      <c r="C1556" t="s" s="12">
        <v>265</v>
      </c>
      <c r="D1556" s="13">
        <v>16700</v>
      </c>
      <c r="E1556" s="13"/>
      <c r="F1556" s="14"/>
      <c r="G1556" s="14"/>
      <c r="H1556" s="14"/>
      <c r="I1556" s="14"/>
    </row>
    <row r="1557" ht="20.7" customHeight="1">
      <c r="A1557" s="10">
        <v>45536</v>
      </c>
      <c r="B1557" t="s" s="11">
        <v>8</v>
      </c>
      <c r="C1557" t="s" s="12">
        <v>8</v>
      </c>
      <c r="D1557" s="15" cm="1">
        <f t="array" ref="D1557">SUM(D1555:D1556)</f>
        <v>16700</v>
      </c>
      <c r="E1557" s="15" cm="1">
        <f t="array" ref="E1557">SUM(E1555:E1556)</f>
        <v>16700</v>
      </c>
      <c r="F1557" s="16" cm="1">
        <f t="array" ref="F1557">SUM(F1555:F1556)</f>
        <v>0</v>
      </c>
      <c r="G1557" s="16" cm="1">
        <f t="array" ref="G1557">SUM(G1555:G1556)</f>
        <v>0</v>
      </c>
      <c r="H1557" s="16" cm="1">
        <f t="array" ref="H1557">SUM(H1555:H1556)</f>
        <v>0</v>
      </c>
      <c r="I1557" s="16" cm="1">
        <f t="array" ref="I1557">SUM(I1555:I1556)</f>
        <v>0</v>
      </c>
    </row>
    <row r="1558" ht="21.25" customHeight="1">
      <c r="A1558" s="10">
        <v>45536</v>
      </c>
      <c r="B1558" t="s" s="11">
        <v>21</v>
      </c>
      <c r="C1558" t="s" s="12">
        <v>316</v>
      </c>
      <c r="D1558" s="17"/>
      <c r="E1558" s="17">
        <v>3000</v>
      </c>
      <c r="F1558" s="18"/>
      <c r="G1558" s="18"/>
      <c r="H1558" s="18"/>
      <c r="I1558" s="18"/>
    </row>
    <row r="1559" ht="21.25" customHeight="1">
      <c r="A1559" s="10">
        <v>45536</v>
      </c>
      <c r="B1559" t="s" s="11">
        <v>16</v>
      </c>
      <c r="C1559" t="s" s="12">
        <v>316</v>
      </c>
      <c r="D1559" s="13">
        <v>3000</v>
      </c>
      <c r="E1559" s="13"/>
      <c r="F1559" s="14"/>
      <c r="G1559" s="14"/>
      <c r="H1559" s="14"/>
      <c r="I1559" s="14"/>
    </row>
    <row r="1560" ht="20.7" customHeight="1">
      <c r="A1560" s="10">
        <v>45536</v>
      </c>
      <c r="B1560" t="s" s="11">
        <v>8</v>
      </c>
      <c r="C1560" t="s" s="12">
        <v>8</v>
      </c>
      <c r="D1560" s="15" cm="1">
        <f t="array" ref="D1560">SUM(D1558:D1559)</f>
        <v>3000</v>
      </c>
      <c r="E1560" s="15" cm="1">
        <f t="array" ref="E1560">SUM(E1558:E1559)</f>
        <v>3000</v>
      </c>
      <c r="F1560" s="16" cm="1">
        <f t="array" ref="F1560">SUM(F1558:F1559)</f>
        <v>0</v>
      </c>
      <c r="G1560" s="16" cm="1">
        <f t="array" ref="G1560">SUM(G1558:G1559)</f>
        <v>0</v>
      </c>
      <c r="H1560" s="16" cm="1">
        <f t="array" ref="H1560">SUM(H1558:H1559)</f>
        <v>0</v>
      </c>
      <c r="I1560" s="16" cm="1">
        <f t="array" ref="I1560">SUM(I1558:I1559)</f>
        <v>0</v>
      </c>
    </row>
    <row r="1561" ht="20.35" customHeight="1">
      <c r="A1561" s="10">
        <v>45537</v>
      </c>
      <c r="B1561" t="s" s="11">
        <v>5</v>
      </c>
      <c r="C1561" t="s" s="12">
        <v>27</v>
      </c>
      <c r="D1561" s="17">
        <v>40000</v>
      </c>
      <c r="E1561" s="17"/>
      <c r="F1561" s="18"/>
      <c r="G1561" s="18"/>
      <c r="H1561" s="18"/>
      <c r="I1561" s="18"/>
    </row>
    <row r="1562" ht="20.35" customHeight="1">
      <c r="A1562" s="10">
        <v>45537</v>
      </c>
      <c r="B1562" t="s" s="11">
        <v>28</v>
      </c>
      <c r="C1562" t="s" s="12">
        <v>27</v>
      </c>
      <c r="D1562" s="13"/>
      <c r="E1562" s="13">
        <v>40000</v>
      </c>
      <c r="F1562" s="14"/>
      <c r="G1562" s="14"/>
      <c r="H1562" s="14"/>
      <c r="I1562" s="14"/>
    </row>
    <row r="1563" ht="20.7" customHeight="1">
      <c r="A1563" s="10">
        <v>45537</v>
      </c>
      <c r="B1563" t="s" s="11">
        <v>8</v>
      </c>
      <c r="C1563" t="s" s="12">
        <v>8</v>
      </c>
      <c r="D1563" s="15" cm="1">
        <f t="array" ref="D1563">SUM(D1561:D1562)</f>
        <v>40000</v>
      </c>
      <c r="E1563" s="15" cm="1">
        <f t="array" ref="E1563">SUM(E1561:E1562)</f>
        <v>40000</v>
      </c>
      <c r="F1563" s="16" cm="1">
        <f t="array" ref="F1563">SUM(F1561:F1562)</f>
        <v>0</v>
      </c>
      <c r="G1563" s="16" cm="1">
        <f t="array" ref="G1563">SUM(G1561:G1562)</f>
        <v>0</v>
      </c>
      <c r="H1563" s="16" cm="1">
        <f t="array" ref="H1563">SUM(H1561:H1562)</f>
        <v>0</v>
      </c>
      <c r="I1563" s="16" cm="1">
        <f t="array" ref="I1563">SUM(I1561:I1562)</f>
        <v>0</v>
      </c>
    </row>
    <row r="1564" ht="20.35" customHeight="1">
      <c r="A1564" s="10">
        <v>45537</v>
      </c>
      <c r="B1564" t="s" s="11">
        <v>5</v>
      </c>
      <c r="C1564" t="s" s="12">
        <v>317</v>
      </c>
      <c r="D1564" s="17"/>
      <c r="E1564" s="17">
        <v>22000</v>
      </c>
      <c r="F1564" s="18"/>
      <c r="G1564" s="18"/>
      <c r="H1564" s="18"/>
      <c r="I1564" s="18"/>
    </row>
    <row r="1565" ht="20.05" customHeight="1">
      <c r="A1565" s="10">
        <v>45537</v>
      </c>
      <c r="B1565" t="s" s="11">
        <v>10</v>
      </c>
      <c r="C1565" t="s" s="12">
        <v>317</v>
      </c>
      <c r="D1565" s="19">
        <v>16500</v>
      </c>
      <c r="E1565" s="19"/>
      <c r="F1565" s="20"/>
      <c r="G1565" s="20"/>
      <c r="H1565" s="20"/>
      <c r="I1565" s="20"/>
    </row>
    <row r="1566" ht="20.35" customHeight="1">
      <c r="A1566" s="10">
        <v>45537</v>
      </c>
      <c r="B1566" t="s" s="11">
        <v>12</v>
      </c>
      <c r="C1566" t="s" s="12">
        <v>317</v>
      </c>
      <c r="D1566" s="13">
        <v>5500</v>
      </c>
      <c r="E1566" s="13"/>
      <c r="F1566" s="14"/>
      <c r="G1566" s="14"/>
      <c r="H1566" s="14"/>
      <c r="I1566" s="14"/>
    </row>
    <row r="1567" ht="20.7" customHeight="1">
      <c r="A1567" s="10">
        <v>45537</v>
      </c>
      <c r="B1567" t="s" s="11">
        <v>8</v>
      </c>
      <c r="C1567" t="s" s="12">
        <v>8</v>
      </c>
      <c r="D1567" s="15" cm="1">
        <f t="array" ref="D1567">SUM(D1564:D1566)</f>
        <v>22000</v>
      </c>
      <c r="E1567" s="15" cm="1">
        <f t="array" ref="E1567">SUM(E1564:E1566)</f>
        <v>22000</v>
      </c>
      <c r="F1567" s="16" cm="1">
        <f t="array" ref="F1567">SUM(F1564:F1566)</f>
        <v>0</v>
      </c>
      <c r="G1567" s="16" cm="1">
        <f t="array" ref="G1567">SUM(G1564:G1566)</f>
        <v>0</v>
      </c>
      <c r="H1567" s="16" cm="1">
        <f t="array" ref="H1567">SUM(H1564:H1566)</f>
        <v>0</v>
      </c>
      <c r="I1567" s="16" cm="1">
        <f t="array" ref="I1567">SUM(I1564:I1566)</f>
        <v>0</v>
      </c>
    </row>
    <row r="1568" ht="20.35" customHeight="1">
      <c r="A1568" s="10">
        <v>45537</v>
      </c>
      <c r="B1568" t="s" s="11">
        <v>5</v>
      </c>
      <c r="C1568" t="s" s="12">
        <v>53</v>
      </c>
      <c r="D1568" s="17"/>
      <c r="E1568" s="17">
        <v>7490</v>
      </c>
      <c r="F1568" s="18"/>
      <c r="G1568" s="18"/>
      <c r="H1568" s="18"/>
      <c r="I1568" s="18"/>
    </row>
    <row r="1569" ht="20.35" customHeight="1">
      <c r="A1569" s="10">
        <v>45537</v>
      </c>
      <c r="B1569" t="s" s="11">
        <v>12</v>
      </c>
      <c r="C1569" t="s" s="12">
        <v>53</v>
      </c>
      <c r="D1569" s="13">
        <v>7490</v>
      </c>
      <c r="E1569" s="13"/>
      <c r="F1569" s="14"/>
      <c r="G1569" s="14"/>
      <c r="H1569" s="14"/>
      <c r="I1569" s="14"/>
    </row>
    <row r="1570" ht="20.7" customHeight="1">
      <c r="A1570" s="10">
        <v>45537</v>
      </c>
      <c r="B1570" t="s" s="11">
        <v>8</v>
      </c>
      <c r="C1570" t="s" s="12">
        <v>8</v>
      </c>
      <c r="D1570" s="15" cm="1">
        <f t="array" ref="D1570">SUM(D1568:D1569)</f>
        <v>7490</v>
      </c>
      <c r="E1570" s="15" cm="1">
        <f t="array" ref="E1570">SUM(E1568:E1569)</f>
        <v>7490</v>
      </c>
      <c r="F1570" s="16" cm="1">
        <f t="array" ref="F1570">SUM(F1568:F1569)</f>
        <v>0</v>
      </c>
      <c r="G1570" s="16" cm="1">
        <f t="array" ref="G1570">SUM(G1568:G1569)</f>
        <v>0</v>
      </c>
      <c r="H1570" s="16" cm="1">
        <f t="array" ref="H1570">SUM(H1568:H1569)</f>
        <v>0</v>
      </c>
      <c r="I1570" s="16" cm="1">
        <f t="array" ref="I1570">SUM(I1568:I1569)</f>
        <v>0</v>
      </c>
    </row>
    <row r="1571" ht="20.35" customHeight="1">
      <c r="A1571" s="10">
        <v>45537</v>
      </c>
      <c r="B1571" t="s" s="11">
        <v>5</v>
      </c>
      <c r="C1571" t="s" s="12">
        <v>17</v>
      </c>
      <c r="D1571" s="17">
        <v>100</v>
      </c>
      <c r="E1571" s="17"/>
      <c r="F1571" s="18"/>
      <c r="G1571" s="18"/>
      <c r="H1571" s="18"/>
      <c r="I1571" s="18"/>
    </row>
    <row r="1572" ht="20.35" customHeight="1">
      <c r="A1572" s="10">
        <v>45537</v>
      </c>
      <c r="B1572" t="s" s="11">
        <v>18</v>
      </c>
      <c r="C1572" t="s" s="12">
        <v>17</v>
      </c>
      <c r="D1572" s="13"/>
      <c r="E1572" s="13">
        <v>100</v>
      </c>
      <c r="F1572" s="14"/>
      <c r="G1572" s="14"/>
      <c r="H1572" s="14"/>
      <c r="I1572" s="14"/>
    </row>
    <row r="1573" ht="20.7" customHeight="1">
      <c r="A1573" s="10">
        <v>45537</v>
      </c>
      <c r="B1573" t="s" s="11">
        <v>8</v>
      </c>
      <c r="C1573" t="s" s="12">
        <v>8</v>
      </c>
      <c r="D1573" s="15" cm="1">
        <f t="array" ref="D1573">SUM(D1571:D1572)</f>
        <v>100</v>
      </c>
      <c r="E1573" s="15" cm="1">
        <f t="array" ref="E1573">SUM(E1571:E1572)</f>
        <v>100</v>
      </c>
      <c r="F1573" s="16" cm="1">
        <f t="array" ref="F1573">SUM(F1571:F1572)</f>
        <v>0</v>
      </c>
      <c r="G1573" s="16" cm="1">
        <f t="array" ref="G1573">SUM(G1571:G1572)</f>
        <v>0</v>
      </c>
      <c r="H1573" s="16" cm="1">
        <f t="array" ref="H1573">SUM(H1571:H1572)</f>
        <v>0</v>
      </c>
      <c r="I1573" s="16" cm="1">
        <f t="array" ref="I1573">SUM(I1571:I1572)</f>
        <v>0</v>
      </c>
    </row>
    <row r="1574" ht="20.35" customHeight="1">
      <c r="A1574" s="10">
        <v>45537</v>
      </c>
      <c r="B1574" t="s" s="11">
        <v>5</v>
      </c>
      <c r="C1574" t="s" s="12">
        <v>17</v>
      </c>
      <c r="D1574" s="17">
        <v>100</v>
      </c>
      <c r="E1574" s="17"/>
      <c r="F1574" s="18"/>
      <c r="G1574" s="18"/>
      <c r="H1574" s="18"/>
      <c r="I1574" s="18"/>
    </row>
    <row r="1575" ht="20.35" customHeight="1">
      <c r="A1575" s="10">
        <v>45537</v>
      </c>
      <c r="B1575" t="s" s="11">
        <v>18</v>
      </c>
      <c r="C1575" t="s" s="12">
        <v>17</v>
      </c>
      <c r="D1575" s="13"/>
      <c r="E1575" s="13">
        <v>100</v>
      </c>
      <c r="F1575" s="14"/>
      <c r="G1575" s="14"/>
      <c r="H1575" s="14"/>
      <c r="I1575" s="14"/>
    </row>
    <row r="1576" ht="20.7" customHeight="1">
      <c r="A1576" s="10">
        <v>45537</v>
      </c>
      <c r="B1576" t="s" s="11">
        <v>8</v>
      </c>
      <c r="C1576" t="s" s="12">
        <v>8</v>
      </c>
      <c r="D1576" s="15" cm="1">
        <f t="array" ref="D1576">SUM(D1574:D1575)</f>
        <v>100</v>
      </c>
      <c r="E1576" s="15" cm="1">
        <f t="array" ref="E1576">SUM(E1574:E1575)</f>
        <v>100</v>
      </c>
      <c r="F1576" s="16" cm="1">
        <f t="array" ref="F1576">SUM(F1574:F1575)</f>
        <v>0</v>
      </c>
      <c r="G1576" s="16" cm="1">
        <f t="array" ref="G1576">SUM(G1574:G1575)</f>
        <v>0</v>
      </c>
      <c r="H1576" s="16" cm="1">
        <f t="array" ref="H1576">SUM(H1574:H1575)</f>
        <v>0</v>
      </c>
      <c r="I1576" s="16" cm="1">
        <f t="array" ref="I1576">SUM(I1574:I1575)</f>
        <v>0</v>
      </c>
    </row>
    <row r="1577" ht="20.35" customHeight="1">
      <c r="A1577" s="10">
        <v>45538</v>
      </c>
      <c r="B1577" t="s" s="11">
        <v>5</v>
      </c>
      <c r="C1577" t="s" s="12">
        <v>318</v>
      </c>
      <c r="D1577" s="17"/>
      <c r="E1577" s="17">
        <v>3000</v>
      </c>
      <c r="F1577" s="18"/>
      <c r="G1577" s="18"/>
      <c r="H1577" s="18"/>
      <c r="I1577" s="18"/>
    </row>
    <row r="1578" ht="20.05" customHeight="1">
      <c r="A1578" s="10">
        <v>45538</v>
      </c>
      <c r="B1578" t="s" s="11">
        <v>10</v>
      </c>
      <c r="C1578" t="s" s="12">
        <v>318</v>
      </c>
      <c r="D1578" s="19">
        <v>800</v>
      </c>
      <c r="E1578" s="19"/>
      <c r="F1578" s="20"/>
      <c r="G1578" s="20"/>
      <c r="H1578" s="20"/>
      <c r="I1578" s="20"/>
    </row>
    <row r="1579" ht="20.35" customHeight="1">
      <c r="A1579" s="10">
        <v>45538</v>
      </c>
      <c r="B1579" t="s" s="11">
        <v>12</v>
      </c>
      <c r="C1579" t="s" s="12">
        <v>318</v>
      </c>
      <c r="D1579" s="13">
        <v>2200</v>
      </c>
      <c r="E1579" s="13"/>
      <c r="F1579" s="14"/>
      <c r="G1579" s="14"/>
      <c r="H1579" s="14"/>
      <c r="I1579" s="14"/>
    </row>
    <row r="1580" ht="20.7" customHeight="1">
      <c r="A1580" s="10">
        <v>45538</v>
      </c>
      <c r="B1580" t="s" s="11">
        <v>8</v>
      </c>
      <c r="C1580" t="s" s="12">
        <v>8</v>
      </c>
      <c r="D1580" s="15" cm="1">
        <f t="array" ref="D1580">SUM(D1577:D1579)</f>
        <v>3000</v>
      </c>
      <c r="E1580" s="15" cm="1">
        <f t="array" ref="E1580">SUM(E1577:E1579)</f>
        <v>3000</v>
      </c>
      <c r="F1580" s="16" cm="1">
        <f t="array" ref="F1580">SUM(F1577:F1579)</f>
        <v>0</v>
      </c>
      <c r="G1580" s="16" cm="1">
        <f t="array" ref="G1580">SUM(G1577:G1579)</f>
        <v>0</v>
      </c>
      <c r="H1580" s="16" cm="1">
        <f t="array" ref="H1580">SUM(H1577:H1579)</f>
        <v>0</v>
      </c>
      <c r="I1580" s="16" cm="1">
        <f t="array" ref="I1580">SUM(I1577:I1579)</f>
        <v>0</v>
      </c>
    </row>
    <row r="1581" ht="20.35" customHeight="1">
      <c r="A1581" s="10">
        <v>45538</v>
      </c>
      <c r="B1581" t="s" s="11">
        <v>5</v>
      </c>
      <c r="C1581" t="s" s="12">
        <v>17</v>
      </c>
      <c r="D1581" s="17">
        <v>100</v>
      </c>
      <c r="E1581" s="17"/>
      <c r="F1581" s="18"/>
      <c r="G1581" s="18"/>
      <c r="H1581" s="18"/>
      <c r="I1581" s="18"/>
    </row>
    <row r="1582" ht="20.35" customHeight="1">
      <c r="A1582" s="10">
        <v>45538</v>
      </c>
      <c r="B1582" t="s" s="11">
        <v>18</v>
      </c>
      <c r="C1582" t="s" s="12">
        <v>17</v>
      </c>
      <c r="D1582" s="13"/>
      <c r="E1582" s="13">
        <v>100</v>
      </c>
      <c r="F1582" s="14"/>
      <c r="G1582" s="14"/>
      <c r="H1582" s="14"/>
      <c r="I1582" s="14"/>
    </row>
    <row r="1583" ht="20.7" customHeight="1">
      <c r="A1583" s="10">
        <v>45538</v>
      </c>
      <c r="B1583" t="s" s="11">
        <v>8</v>
      </c>
      <c r="C1583" t="s" s="12">
        <v>8</v>
      </c>
      <c r="D1583" s="15" cm="1">
        <f t="array" ref="D1583">SUM(D1581:D1582)</f>
        <v>100</v>
      </c>
      <c r="E1583" s="15" cm="1">
        <f t="array" ref="E1583">SUM(E1581:E1582)</f>
        <v>100</v>
      </c>
      <c r="F1583" s="16" cm="1">
        <f t="array" ref="F1583">SUM(F1581:F1582)</f>
        <v>0</v>
      </c>
      <c r="G1583" s="16" cm="1">
        <f t="array" ref="G1583">SUM(G1581:G1582)</f>
        <v>0</v>
      </c>
      <c r="H1583" s="16" cm="1">
        <f t="array" ref="H1583">SUM(H1581:H1582)</f>
        <v>0</v>
      </c>
      <c r="I1583" s="16" cm="1">
        <f t="array" ref="I1583">SUM(I1581:I1582)</f>
        <v>0</v>
      </c>
    </row>
    <row r="1584" ht="20.35" customHeight="1">
      <c r="A1584" s="10">
        <v>45538</v>
      </c>
      <c r="B1584" t="s" s="11">
        <v>5</v>
      </c>
      <c r="C1584" t="s" s="12">
        <v>202</v>
      </c>
      <c r="D1584" s="17"/>
      <c r="E1584" s="17">
        <v>10000</v>
      </c>
      <c r="F1584" s="18"/>
      <c r="G1584" s="18"/>
      <c r="H1584" s="18"/>
      <c r="I1584" s="18"/>
    </row>
    <row r="1585" ht="20.35" customHeight="1">
      <c r="A1585" s="10">
        <v>45538</v>
      </c>
      <c r="B1585" t="s" s="11">
        <v>93</v>
      </c>
      <c r="C1585" t="s" s="12">
        <v>202</v>
      </c>
      <c r="D1585" s="13">
        <v>10000</v>
      </c>
      <c r="E1585" s="13"/>
      <c r="F1585" s="14"/>
      <c r="G1585" s="14"/>
      <c r="H1585" s="14"/>
      <c r="I1585" s="14"/>
    </row>
    <row r="1586" ht="20.7" customHeight="1">
      <c r="A1586" s="10">
        <v>45538</v>
      </c>
      <c r="B1586" t="s" s="11">
        <v>8</v>
      </c>
      <c r="C1586" t="s" s="12">
        <v>8</v>
      </c>
      <c r="D1586" s="15" cm="1">
        <f t="array" ref="D1586">SUM(D1584:D1585)</f>
        <v>10000</v>
      </c>
      <c r="E1586" s="15" cm="1">
        <f t="array" ref="E1586">SUM(E1584:E1585)</f>
        <v>10000</v>
      </c>
      <c r="F1586" s="16" cm="1">
        <f t="array" ref="F1586">SUM(F1584:F1585)</f>
        <v>0</v>
      </c>
      <c r="G1586" s="16" cm="1">
        <f t="array" ref="G1586">SUM(G1584:G1585)</f>
        <v>0</v>
      </c>
      <c r="H1586" s="16" cm="1">
        <f t="array" ref="H1586">SUM(H1584:H1585)</f>
        <v>0</v>
      </c>
      <c r="I1586" s="16" cm="1">
        <f t="array" ref="I1586">SUM(I1584:I1585)</f>
        <v>0</v>
      </c>
    </row>
    <row r="1587" ht="20.35" customHeight="1">
      <c r="A1587" s="10">
        <v>45538</v>
      </c>
      <c r="B1587" t="s" s="11">
        <v>93</v>
      </c>
      <c r="C1587" t="s" s="12">
        <v>13</v>
      </c>
      <c r="D1587" s="17"/>
      <c r="E1587" s="17">
        <v>8900</v>
      </c>
      <c r="F1587" s="18"/>
      <c r="G1587" s="18"/>
      <c r="H1587" s="18"/>
      <c r="I1587" s="18"/>
    </row>
    <row r="1588" ht="20.35" customHeight="1">
      <c r="A1588" s="10">
        <v>45538</v>
      </c>
      <c r="B1588" t="s" s="11">
        <v>10</v>
      </c>
      <c r="C1588" t="s" s="12">
        <v>13</v>
      </c>
      <c r="D1588" s="13">
        <v>8900</v>
      </c>
      <c r="E1588" s="13"/>
      <c r="F1588" s="14"/>
      <c r="G1588" s="14"/>
      <c r="H1588" s="14"/>
      <c r="I1588" s="14"/>
    </row>
    <row r="1589" ht="20.7" customHeight="1">
      <c r="A1589" s="10">
        <v>45538</v>
      </c>
      <c r="B1589" t="s" s="11">
        <v>8</v>
      </c>
      <c r="C1589" t="s" s="12">
        <v>8</v>
      </c>
      <c r="D1589" s="15" cm="1">
        <f t="array" ref="D1589">SUM(D1587:D1588)</f>
        <v>8900</v>
      </c>
      <c r="E1589" s="15" cm="1">
        <f t="array" ref="E1589">SUM(E1587:E1588)</f>
        <v>8900</v>
      </c>
      <c r="F1589" s="16" cm="1">
        <f t="array" ref="F1589">SUM(F1587:F1588)</f>
        <v>0</v>
      </c>
      <c r="G1589" s="16" cm="1">
        <f t="array" ref="G1589">SUM(G1587:G1588)</f>
        <v>0</v>
      </c>
      <c r="H1589" s="16" cm="1">
        <f t="array" ref="H1589">SUM(H1587:H1588)</f>
        <v>0</v>
      </c>
      <c r="I1589" s="16" cm="1">
        <f t="array" ref="I1589">SUM(I1587:I1588)</f>
        <v>0</v>
      </c>
    </row>
    <row r="1590" ht="20.35" customHeight="1">
      <c r="A1590" s="10">
        <v>45538</v>
      </c>
      <c r="B1590" t="s" s="11">
        <v>93</v>
      </c>
      <c r="C1590" t="s" s="12">
        <v>319</v>
      </c>
      <c r="D1590" s="17">
        <v>10000</v>
      </c>
      <c r="E1590" s="17"/>
      <c r="F1590" s="18"/>
      <c r="G1590" s="18"/>
      <c r="H1590" s="18"/>
      <c r="I1590" s="18"/>
    </row>
    <row r="1591" ht="20.35" customHeight="1">
      <c r="A1591" s="10">
        <v>45538</v>
      </c>
      <c r="B1591" t="s" s="11">
        <v>91</v>
      </c>
      <c r="C1591" t="s" s="12">
        <v>319</v>
      </c>
      <c r="D1591" s="13"/>
      <c r="E1591" s="13">
        <v>10000</v>
      </c>
      <c r="F1591" s="14"/>
      <c r="G1591" s="14"/>
      <c r="H1591" s="14"/>
      <c r="I1591" s="14"/>
    </row>
    <row r="1592" ht="20.7" customHeight="1">
      <c r="A1592" s="10">
        <v>45538</v>
      </c>
      <c r="B1592" t="s" s="11">
        <v>8</v>
      </c>
      <c r="C1592" t="s" s="12">
        <v>8</v>
      </c>
      <c r="D1592" s="15" cm="1">
        <f t="array" ref="D1592">SUM(D1590:D1591)</f>
        <v>10000</v>
      </c>
      <c r="E1592" s="15" cm="1">
        <f t="array" ref="E1592">SUM(E1590:E1591)</f>
        <v>10000</v>
      </c>
      <c r="F1592" s="16" cm="1">
        <f t="array" ref="F1592">SUM(F1590:F1591)</f>
        <v>0</v>
      </c>
      <c r="G1592" s="16" cm="1">
        <f t="array" ref="G1592">SUM(G1590:G1591)</f>
        <v>0</v>
      </c>
      <c r="H1592" s="16" cm="1">
        <f t="array" ref="H1592">SUM(H1590:H1591)</f>
        <v>0</v>
      </c>
      <c r="I1592" s="16" cm="1">
        <f t="array" ref="I1592">SUM(I1590:I1591)</f>
        <v>0</v>
      </c>
    </row>
    <row r="1593" ht="20.35" customHeight="1">
      <c r="A1593" s="10">
        <v>45538</v>
      </c>
      <c r="B1593" t="s" s="11">
        <v>93</v>
      </c>
      <c r="C1593" t="s" s="12">
        <v>96</v>
      </c>
      <c r="D1593" s="17"/>
      <c r="E1593" s="17">
        <v>11100</v>
      </c>
      <c r="F1593" s="18"/>
      <c r="G1593" s="18"/>
      <c r="H1593" s="18"/>
      <c r="I1593" s="18"/>
    </row>
    <row r="1594" ht="20.35" customHeight="1">
      <c r="A1594" s="10">
        <v>45538</v>
      </c>
      <c r="B1594" t="s" s="11">
        <v>5</v>
      </c>
      <c r="C1594" t="s" s="12">
        <v>96</v>
      </c>
      <c r="D1594" s="13">
        <v>11100</v>
      </c>
      <c r="E1594" s="13"/>
      <c r="F1594" s="14"/>
      <c r="G1594" s="14"/>
      <c r="H1594" s="14"/>
      <c r="I1594" s="14"/>
    </row>
    <row r="1595" ht="20.7" customHeight="1">
      <c r="A1595" s="10">
        <v>45538</v>
      </c>
      <c r="B1595" t="s" s="11">
        <v>8</v>
      </c>
      <c r="C1595" t="s" s="12">
        <v>8</v>
      </c>
      <c r="D1595" s="15" cm="1">
        <f t="array" ref="D1595">SUM(D1593:D1594)</f>
        <v>11100</v>
      </c>
      <c r="E1595" s="15" cm="1">
        <f t="array" ref="E1595">SUM(E1593:E1594)</f>
        <v>11100</v>
      </c>
      <c r="F1595" s="16" cm="1">
        <f t="array" ref="F1595">SUM(F1593:F1594)</f>
        <v>0</v>
      </c>
      <c r="G1595" s="16" cm="1">
        <f t="array" ref="G1595">SUM(G1593:G1594)</f>
        <v>0</v>
      </c>
      <c r="H1595" s="16" cm="1">
        <f t="array" ref="H1595">SUM(H1593:H1594)</f>
        <v>0</v>
      </c>
      <c r="I1595" s="16" cm="1">
        <f t="array" ref="I1595">SUM(I1593:I1594)</f>
        <v>0</v>
      </c>
    </row>
    <row r="1596" ht="20.35" customHeight="1">
      <c r="A1596" s="10">
        <v>45539</v>
      </c>
      <c r="B1596" t="s" s="11">
        <v>5</v>
      </c>
      <c r="C1596" t="s" s="12">
        <v>320</v>
      </c>
      <c r="D1596" s="17"/>
      <c r="E1596" s="17">
        <v>500</v>
      </c>
      <c r="F1596" s="18"/>
      <c r="G1596" s="18"/>
      <c r="H1596" s="18"/>
      <c r="I1596" s="18"/>
    </row>
    <row r="1597" ht="20.35" customHeight="1">
      <c r="A1597" s="10">
        <v>45539</v>
      </c>
      <c r="B1597" t="s" s="11">
        <v>10</v>
      </c>
      <c r="C1597" t="s" s="12">
        <v>320</v>
      </c>
      <c r="D1597" s="13">
        <v>500</v>
      </c>
      <c r="E1597" s="13"/>
      <c r="F1597" s="14"/>
      <c r="G1597" s="14"/>
      <c r="H1597" s="14"/>
      <c r="I1597" s="14"/>
    </row>
    <row r="1598" ht="20.7" customHeight="1">
      <c r="A1598" s="10">
        <v>45539</v>
      </c>
      <c r="B1598" t="s" s="11">
        <v>8</v>
      </c>
      <c r="C1598" t="s" s="12">
        <v>8</v>
      </c>
      <c r="D1598" s="15" cm="1">
        <f t="array" ref="D1598">SUM(D1596:D1597)</f>
        <v>500</v>
      </c>
      <c r="E1598" s="15" cm="1">
        <f t="array" ref="E1598">SUM(E1596:E1597)</f>
        <v>500</v>
      </c>
      <c r="F1598" s="16" cm="1">
        <f t="array" ref="F1598">SUM(F1596:F1597)</f>
        <v>0</v>
      </c>
      <c r="G1598" s="16" cm="1">
        <f t="array" ref="G1598">SUM(G1596:G1597)</f>
        <v>0</v>
      </c>
      <c r="H1598" s="16" cm="1">
        <f t="array" ref="H1598">SUM(H1596:H1597)</f>
        <v>0</v>
      </c>
      <c r="I1598" s="16" cm="1">
        <f t="array" ref="I1598">SUM(I1596:I1597)</f>
        <v>0</v>
      </c>
    </row>
    <row r="1599" ht="20.35" customHeight="1">
      <c r="A1599" s="10">
        <v>45539</v>
      </c>
      <c r="B1599" t="s" s="11">
        <v>5</v>
      </c>
      <c r="C1599" t="s" s="12">
        <v>321</v>
      </c>
      <c r="D1599" s="17"/>
      <c r="E1599" s="17">
        <v>500</v>
      </c>
      <c r="F1599" s="18"/>
      <c r="G1599" s="18"/>
      <c r="H1599" s="18"/>
      <c r="I1599" s="18"/>
    </row>
    <row r="1600" ht="20.35" customHeight="1">
      <c r="A1600" s="10">
        <v>45539</v>
      </c>
      <c r="B1600" t="s" s="11">
        <v>10</v>
      </c>
      <c r="C1600" t="s" s="12">
        <v>321</v>
      </c>
      <c r="D1600" s="13">
        <v>500</v>
      </c>
      <c r="E1600" s="13"/>
      <c r="F1600" s="14"/>
      <c r="G1600" s="14"/>
      <c r="H1600" s="14"/>
      <c r="I1600" s="14"/>
    </row>
    <row r="1601" ht="20.7" customHeight="1">
      <c r="A1601" s="10">
        <v>45539</v>
      </c>
      <c r="B1601" t="s" s="11">
        <v>8</v>
      </c>
      <c r="C1601" t="s" s="12">
        <v>8</v>
      </c>
      <c r="D1601" s="15" cm="1">
        <f t="array" ref="D1601">SUM(D1599:D1600)</f>
        <v>500</v>
      </c>
      <c r="E1601" s="15" cm="1">
        <f t="array" ref="E1601">SUM(E1599:E1600)</f>
        <v>500</v>
      </c>
      <c r="F1601" s="16" cm="1">
        <f t="array" ref="F1601">SUM(F1599:F1600)</f>
        <v>0</v>
      </c>
      <c r="G1601" s="16" cm="1">
        <f t="array" ref="G1601">SUM(G1599:G1600)</f>
        <v>0</v>
      </c>
      <c r="H1601" s="16" cm="1">
        <f t="array" ref="H1601">SUM(H1599:H1600)</f>
        <v>0</v>
      </c>
      <c r="I1601" s="16" cm="1">
        <f t="array" ref="I1601">SUM(I1599:I1600)</f>
        <v>0</v>
      </c>
    </row>
    <row r="1602" ht="20.35" customHeight="1">
      <c r="A1602" s="10">
        <v>45539</v>
      </c>
      <c r="B1602" t="s" s="11">
        <v>5</v>
      </c>
      <c r="C1602" t="s" s="12">
        <v>322</v>
      </c>
      <c r="D1602" s="17"/>
      <c r="E1602" s="17">
        <v>500</v>
      </c>
      <c r="F1602" s="18"/>
      <c r="G1602" s="18"/>
      <c r="H1602" s="18"/>
      <c r="I1602" s="18"/>
    </row>
    <row r="1603" ht="20.35" customHeight="1">
      <c r="A1603" s="10">
        <v>45539</v>
      </c>
      <c r="B1603" t="s" s="11">
        <v>10</v>
      </c>
      <c r="C1603" t="s" s="12">
        <v>322</v>
      </c>
      <c r="D1603" s="13">
        <v>500</v>
      </c>
      <c r="E1603" s="13"/>
      <c r="F1603" s="14"/>
      <c r="G1603" s="14"/>
      <c r="H1603" s="14"/>
      <c r="I1603" s="14"/>
    </row>
    <row r="1604" ht="20.7" customHeight="1">
      <c r="A1604" s="10">
        <v>45539</v>
      </c>
      <c r="B1604" t="s" s="11">
        <v>8</v>
      </c>
      <c r="C1604" t="s" s="12">
        <v>8</v>
      </c>
      <c r="D1604" s="15" cm="1">
        <f t="array" ref="D1604">SUM(D1602:D1603)</f>
        <v>500</v>
      </c>
      <c r="E1604" s="15" cm="1">
        <f t="array" ref="E1604">SUM(E1602:E1603)</f>
        <v>500</v>
      </c>
      <c r="F1604" s="16" cm="1">
        <f t="array" ref="F1604">SUM(F1602:F1603)</f>
        <v>0</v>
      </c>
      <c r="G1604" s="16" cm="1">
        <f t="array" ref="G1604">SUM(G1602:G1603)</f>
        <v>0</v>
      </c>
      <c r="H1604" s="16" cm="1">
        <f t="array" ref="H1604">SUM(H1602:H1603)</f>
        <v>0</v>
      </c>
      <c r="I1604" s="16" cm="1">
        <f t="array" ref="I1604">SUM(I1602:I1603)</f>
        <v>0</v>
      </c>
    </row>
    <row r="1605" ht="21.25" customHeight="1">
      <c r="A1605" s="10">
        <v>45540</v>
      </c>
      <c r="B1605" t="s" s="11">
        <v>107</v>
      </c>
      <c r="C1605" t="s" s="12">
        <v>323</v>
      </c>
      <c r="D1605" s="17">
        <v>58930</v>
      </c>
      <c r="E1605" s="17"/>
      <c r="F1605" s="18"/>
      <c r="G1605" s="18"/>
      <c r="H1605" s="18"/>
      <c r="I1605" s="18"/>
    </row>
    <row r="1606" ht="21.25" customHeight="1">
      <c r="A1606" s="10">
        <v>45540</v>
      </c>
      <c r="B1606" t="s" s="11">
        <v>89</v>
      </c>
      <c r="C1606" t="s" s="12">
        <v>323</v>
      </c>
      <c r="D1606" s="13"/>
      <c r="E1606" s="13">
        <v>58930</v>
      </c>
      <c r="F1606" s="14"/>
      <c r="G1606" s="14"/>
      <c r="H1606" s="14"/>
      <c r="I1606" s="14"/>
    </row>
    <row r="1607" ht="20.7" customHeight="1">
      <c r="A1607" s="10">
        <v>45540</v>
      </c>
      <c r="B1607" t="s" s="11">
        <v>8</v>
      </c>
      <c r="C1607" t="s" s="12">
        <v>8</v>
      </c>
      <c r="D1607" s="15" cm="1">
        <f t="array" ref="D1607">SUM(D1605:D1606)</f>
        <v>58930</v>
      </c>
      <c r="E1607" s="15" cm="1">
        <f t="array" ref="E1607">SUM(E1605:E1606)</f>
        <v>58930</v>
      </c>
      <c r="F1607" s="16" cm="1">
        <f t="array" ref="F1607">SUM(F1605:F1606)</f>
        <v>0</v>
      </c>
      <c r="G1607" s="16" cm="1">
        <f t="array" ref="G1607">SUM(G1605:G1606)</f>
        <v>0</v>
      </c>
      <c r="H1607" s="16" cm="1">
        <f t="array" ref="H1607">SUM(H1605:H1606)</f>
        <v>0</v>
      </c>
      <c r="I1607" s="16" cm="1">
        <f t="array" ref="I1607">SUM(I1605:I1606)</f>
        <v>0</v>
      </c>
    </row>
    <row r="1608" ht="20.35" customHeight="1">
      <c r="A1608" s="10">
        <v>45540</v>
      </c>
      <c r="B1608" t="s" s="11">
        <v>5</v>
      </c>
      <c r="C1608" t="s" s="12">
        <v>96</v>
      </c>
      <c r="D1608" s="17">
        <v>58930</v>
      </c>
      <c r="E1608" s="17"/>
      <c r="F1608" s="18"/>
      <c r="G1608" s="18"/>
      <c r="H1608" s="18"/>
      <c r="I1608" s="18"/>
    </row>
    <row r="1609" ht="20.35" customHeight="1">
      <c r="A1609" s="10">
        <v>45540</v>
      </c>
      <c r="B1609" t="s" s="11">
        <v>107</v>
      </c>
      <c r="C1609" t="s" s="12">
        <v>96</v>
      </c>
      <c r="D1609" s="13"/>
      <c r="E1609" s="13">
        <v>58930</v>
      </c>
      <c r="F1609" s="14"/>
      <c r="G1609" s="14"/>
      <c r="H1609" s="14"/>
      <c r="I1609" s="14"/>
    </row>
    <row r="1610" ht="20.7" customHeight="1">
      <c r="A1610" s="10">
        <v>45540</v>
      </c>
      <c r="B1610" t="s" s="11">
        <v>8</v>
      </c>
      <c r="C1610" t="s" s="12">
        <v>8</v>
      </c>
      <c r="D1610" s="15" cm="1">
        <f t="array" ref="D1610">SUM(D1608:D1609)</f>
        <v>58930</v>
      </c>
      <c r="E1610" s="15" cm="1">
        <f t="array" ref="E1610">SUM(E1608:E1609)</f>
        <v>58930</v>
      </c>
      <c r="F1610" s="16" cm="1">
        <f t="array" ref="F1610">SUM(F1608:F1609)</f>
        <v>0</v>
      </c>
      <c r="G1610" s="16" cm="1">
        <f t="array" ref="G1610">SUM(G1608:G1609)</f>
        <v>0</v>
      </c>
      <c r="H1610" s="16" cm="1">
        <f t="array" ref="H1610">SUM(H1608:H1609)</f>
        <v>0</v>
      </c>
      <c r="I1610" s="16" cm="1">
        <f t="array" ref="I1610">SUM(I1608:I1609)</f>
        <v>0</v>
      </c>
    </row>
    <row r="1611" ht="21.25" customHeight="1">
      <c r="A1611" s="10">
        <v>45540</v>
      </c>
      <c r="B1611" t="s" s="11">
        <v>5</v>
      </c>
      <c r="C1611" t="s" s="12">
        <v>324</v>
      </c>
      <c r="D1611" s="17"/>
      <c r="E1611" s="17">
        <v>38700</v>
      </c>
      <c r="F1611" s="18"/>
      <c r="G1611" s="18"/>
      <c r="H1611" s="18"/>
      <c r="I1611" s="18"/>
    </row>
    <row r="1612" ht="21.25" customHeight="1">
      <c r="A1612" s="10">
        <v>45540</v>
      </c>
      <c r="B1612" t="s" s="11">
        <v>21</v>
      </c>
      <c r="C1612" t="s" s="12">
        <v>324</v>
      </c>
      <c r="D1612" s="13">
        <v>38700</v>
      </c>
      <c r="E1612" s="13"/>
      <c r="F1612" s="14"/>
      <c r="G1612" s="14"/>
      <c r="H1612" s="14"/>
      <c r="I1612" s="14"/>
    </row>
    <row r="1613" ht="20.7" customHeight="1">
      <c r="A1613" s="10">
        <v>45540</v>
      </c>
      <c r="B1613" t="s" s="11">
        <v>8</v>
      </c>
      <c r="C1613" t="s" s="12">
        <v>8</v>
      </c>
      <c r="D1613" s="15" cm="1">
        <f t="array" ref="D1613">SUM(D1611:D1612)</f>
        <v>38700</v>
      </c>
      <c r="E1613" s="15" cm="1">
        <f t="array" ref="E1613">SUM(E1611:E1612)</f>
        <v>38700</v>
      </c>
      <c r="F1613" s="16" cm="1">
        <f t="array" ref="F1613">SUM(F1611:F1612)</f>
        <v>0</v>
      </c>
      <c r="G1613" s="16" cm="1">
        <f t="array" ref="G1613">SUM(G1611:G1612)</f>
        <v>0</v>
      </c>
      <c r="H1613" s="16" cm="1">
        <f t="array" ref="H1613">SUM(H1611:H1612)</f>
        <v>0</v>
      </c>
      <c r="I1613" s="16" cm="1">
        <f t="array" ref="I1613">SUM(I1611:I1612)</f>
        <v>0</v>
      </c>
    </row>
    <row r="1614" ht="21.25" customHeight="1">
      <c r="A1614" s="10">
        <v>45540</v>
      </c>
      <c r="B1614" t="s" s="11">
        <v>21</v>
      </c>
      <c r="C1614" t="s" s="12">
        <v>289</v>
      </c>
      <c r="D1614" s="17"/>
      <c r="E1614" s="17">
        <v>2800</v>
      </c>
      <c r="F1614" s="18"/>
      <c r="G1614" s="18"/>
      <c r="H1614" s="18"/>
      <c r="I1614" s="18"/>
    </row>
    <row r="1615" ht="21.25" customHeight="1">
      <c r="A1615" s="10">
        <v>45540</v>
      </c>
      <c r="B1615" t="s" s="11">
        <v>16</v>
      </c>
      <c r="C1615" t="s" s="12">
        <v>289</v>
      </c>
      <c r="D1615" s="13">
        <v>2800</v>
      </c>
      <c r="E1615" s="13"/>
      <c r="F1615" s="14"/>
      <c r="G1615" s="14"/>
      <c r="H1615" s="14"/>
      <c r="I1615" s="14"/>
    </row>
    <row r="1616" ht="20.7" customHeight="1">
      <c r="A1616" s="10">
        <v>45540</v>
      </c>
      <c r="B1616" t="s" s="11">
        <v>8</v>
      </c>
      <c r="C1616" t="s" s="12">
        <v>8</v>
      </c>
      <c r="D1616" s="15" cm="1">
        <f t="array" ref="D1616">SUM(D1614:D1615)</f>
        <v>2800</v>
      </c>
      <c r="E1616" s="15" cm="1">
        <f t="array" ref="E1616">SUM(E1614:E1615)</f>
        <v>2800</v>
      </c>
      <c r="F1616" s="16" cm="1">
        <f t="array" ref="F1616">SUM(F1614:F1615)</f>
        <v>0</v>
      </c>
      <c r="G1616" s="16" cm="1">
        <f t="array" ref="G1616">SUM(G1614:G1615)</f>
        <v>0</v>
      </c>
      <c r="H1616" s="16" cm="1">
        <f t="array" ref="H1616">SUM(H1614:H1615)</f>
        <v>0</v>
      </c>
      <c r="I1616" s="16" cm="1">
        <f t="array" ref="I1616">SUM(I1614:I1615)</f>
        <v>0</v>
      </c>
    </row>
    <row r="1617" ht="20.35" customHeight="1">
      <c r="A1617" s="10">
        <v>45540</v>
      </c>
      <c r="B1617" t="s" s="11">
        <v>5</v>
      </c>
      <c r="C1617" t="s" s="12">
        <v>53</v>
      </c>
      <c r="D1617" s="17"/>
      <c r="E1617" s="17">
        <v>8000</v>
      </c>
      <c r="F1617" s="18"/>
      <c r="G1617" s="18"/>
      <c r="H1617" s="18"/>
      <c r="I1617" s="18"/>
    </row>
    <row r="1618" ht="20.35" customHeight="1">
      <c r="A1618" s="10">
        <v>45540</v>
      </c>
      <c r="B1618" t="s" s="11">
        <v>12</v>
      </c>
      <c r="C1618" t="s" s="12">
        <v>53</v>
      </c>
      <c r="D1618" s="13">
        <v>8000</v>
      </c>
      <c r="E1618" s="13"/>
      <c r="F1618" s="14"/>
      <c r="G1618" s="14"/>
      <c r="H1618" s="14"/>
      <c r="I1618" s="14"/>
    </row>
    <row r="1619" ht="20.7" customHeight="1">
      <c r="A1619" s="10">
        <v>45540</v>
      </c>
      <c r="B1619" t="s" s="11">
        <v>8</v>
      </c>
      <c r="C1619" t="s" s="12">
        <v>8</v>
      </c>
      <c r="D1619" s="15" cm="1">
        <f t="array" ref="D1619">SUM(D1617:D1618)</f>
        <v>8000</v>
      </c>
      <c r="E1619" s="15" cm="1">
        <f t="array" ref="E1619">SUM(E1617:E1618)</f>
        <v>8000</v>
      </c>
      <c r="F1619" s="16" cm="1">
        <f t="array" ref="F1619">SUM(F1617:F1618)</f>
        <v>0</v>
      </c>
      <c r="G1619" s="16" cm="1">
        <f t="array" ref="G1619">SUM(G1617:G1618)</f>
        <v>0</v>
      </c>
      <c r="H1619" s="16" cm="1">
        <f t="array" ref="H1619">SUM(H1617:H1618)</f>
        <v>0</v>
      </c>
      <c r="I1619" s="16" cm="1">
        <f t="array" ref="I1619">SUM(I1617:I1618)</f>
        <v>0</v>
      </c>
    </row>
    <row r="1620" ht="20.35" customHeight="1">
      <c r="A1620" s="10">
        <v>45540</v>
      </c>
      <c r="B1620" t="s" s="11">
        <v>5</v>
      </c>
      <c r="C1620" t="s" s="12">
        <v>17</v>
      </c>
      <c r="D1620" s="17">
        <v>100</v>
      </c>
      <c r="E1620" s="17"/>
      <c r="F1620" s="18"/>
      <c r="G1620" s="18"/>
      <c r="H1620" s="18"/>
      <c r="I1620" s="18"/>
    </row>
    <row r="1621" ht="20.35" customHeight="1">
      <c r="A1621" s="10">
        <v>45540</v>
      </c>
      <c r="B1621" t="s" s="11">
        <v>18</v>
      </c>
      <c r="C1621" t="s" s="12">
        <v>17</v>
      </c>
      <c r="D1621" s="13"/>
      <c r="E1621" s="13">
        <v>100</v>
      </c>
      <c r="F1621" s="14"/>
      <c r="G1621" s="14"/>
      <c r="H1621" s="14"/>
      <c r="I1621" s="14"/>
    </row>
    <row r="1622" ht="20.7" customHeight="1">
      <c r="A1622" s="10">
        <v>45540</v>
      </c>
      <c r="B1622" t="s" s="11">
        <v>8</v>
      </c>
      <c r="C1622" t="s" s="12">
        <v>8</v>
      </c>
      <c r="D1622" s="15" cm="1">
        <f t="array" ref="D1622">SUM(D1620:D1621)</f>
        <v>100</v>
      </c>
      <c r="E1622" s="15" cm="1">
        <f t="array" ref="E1622">SUM(E1620:E1621)</f>
        <v>100</v>
      </c>
      <c r="F1622" s="16" cm="1">
        <f t="array" ref="F1622">SUM(F1620:F1621)</f>
        <v>0</v>
      </c>
      <c r="G1622" s="16" cm="1">
        <f t="array" ref="G1622">SUM(G1620:G1621)</f>
        <v>0</v>
      </c>
      <c r="H1622" s="16" cm="1">
        <f t="array" ref="H1622">SUM(H1620:H1621)</f>
        <v>0</v>
      </c>
      <c r="I1622" s="16" cm="1">
        <f t="array" ref="I1622">SUM(I1620:I1621)</f>
        <v>0</v>
      </c>
    </row>
    <row r="1623" ht="21.25" customHeight="1">
      <c r="A1623" s="10">
        <v>45541</v>
      </c>
      <c r="B1623" t="s" s="11">
        <v>5</v>
      </c>
      <c r="C1623" t="s" s="12">
        <v>253</v>
      </c>
      <c r="D1623" s="17"/>
      <c r="E1623" s="17">
        <v>7890</v>
      </c>
      <c r="F1623" s="18"/>
      <c r="G1623" s="18"/>
      <c r="H1623" s="18"/>
      <c r="I1623" s="18"/>
    </row>
    <row r="1624" ht="21.25" customHeight="1">
      <c r="A1624" s="10">
        <v>45541</v>
      </c>
      <c r="B1624" t="s" s="11">
        <v>10</v>
      </c>
      <c r="C1624" t="s" s="12">
        <v>253</v>
      </c>
      <c r="D1624" s="13">
        <v>7890</v>
      </c>
      <c r="E1624" s="13"/>
      <c r="F1624" s="14"/>
      <c r="G1624" s="14"/>
      <c r="H1624" s="14"/>
      <c r="I1624" s="14"/>
    </row>
    <row r="1625" ht="20.7" customHeight="1">
      <c r="A1625" s="10">
        <v>45541</v>
      </c>
      <c r="B1625" t="s" s="11">
        <v>8</v>
      </c>
      <c r="C1625" t="s" s="12">
        <v>8</v>
      </c>
      <c r="D1625" s="15" cm="1">
        <f t="array" ref="D1625">SUM(D1623:D1624)</f>
        <v>7890</v>
      </c>
      <c r="E1625" s="15" cm="1">
        <f t="array" ref="E1625">SUM(E1623:E1624)</f>
        <v>7890</v>
      </c>
      <c r="F1625" s="16" cm="1">
        <f t="array" ref="F1625">SUM(F1623:F1624)</f>
        <v>0</v>
      </c>
      <c r="G1625" s="16" cm="1">
        <f t="array" ref="G1625">SUM(G1623:G1624)</f>
        <v>0</v>
      </c>
      <c r="H1625" s="16" cm="1">
        <f t="array" ref="H1625">SUM(H1623:H1624)</f>
        <v>0</v>
      </c>
      <c r="I1625" s="16" cm="1">
        <f t="array" ref="I1625">SUM(I1623:I1624)</f>
        <v>0</v>
      </c>
    </row>
    <row r="1626" ht="20.35" customHeight="1">
      <c r="A1626" s="10">
        <v>45541</v>
      </c>
      <c r="B1626" t="s" s="11">
        <v>5</v>
      </c>
      <c r="C1626" t="s" s="12">
        <v>325</v>
      </c>
      <c r="D1626" s="17"/>
      <c r="E1626" s="17">
        <v>18000</v>
      </c>
      <c r="F1626" s="18"/>
      <c r="G1626" s="18"/>
      <c r="H1626" s="18"/>
      <c r="I1626" s="18"/>
    </row>
    <row r="1627" ht="20.35" customHeight="1">
      <c r="A1627" s="10">
        <v>45541</v>
      </c>
      <c r="B1627" t="s" s="11">
        <v>10</v>
      </c>
      <c r="C1627" t="s" s="12">
        <v>325</v>
      </c>
      <c r="D1627" s="13">
        <v>18000</v>
      </c>
      <c r="E1627" s="13"/>
      <c r="F1627" s="14"/>
      <c r="G1627" s="14"/>
      <c r="H1627" s="14"/>
      <c r="I1627" s="14"/>
    </row>
    <row r="1628" ht="20.7" customHeight="1">
      <c r="A1628" s="10">
        <v>45541</v>
      </c>
      <c r="B1628" t="s" s="11">
        <v>8</v>
      </c>
      <c r="C1628" t="s" s="12">
        <v>8</v>
      </c>
      <c r="D1628" s="15" cm="1">
        <f t="array" ref="D1628">SUM(D1626:D1627)</f>
        <v>18000</v>
      </c>
      <c r="E1628" s="15" cm="1">
        <f t="array" ref="E1628">SUM(E1626:E1627)</f>
        <v>18000</v>
      </c>
      <c r="F1628" s="16" cm="1">
        <f t="array" ref="F1628">SUM(F1626:F1627)</f>
        <v>0</v>
      </c>
      <c r="G1628" s="16" cm="1">
        <f t="array" ref="G1628">SUM(G1626:G1627)</f>
        <v>0</v>
      </c>
      <c r="H1628" s="16" cm="1">
        <f t="array" ref="H1628">SUM(H1626:H1627)</f>
        <v>0</v>
      </c>
      <c r="I1628" s="16" cm="1">
        <f t="array" ref="I1628">SUM(I1626:I1627)</f>
        <v>0</v>
      </c>
    </row>
    <row r="1629" ht="21.25" customHeight="1">
      <c r="A1629" s="10">
        <v>45541</v>
      </c>
      <c r="B1629" t="s" s="11">
        <v>5</v>
      </c>
      <c r="C1629" t="s" s="12">
        <v>326</v>
      </c>
      <c r="D1629" s="17"/>
      <c r="E1629" s="17">
        <v>11800</v>
      </c>
      <c r="F1629" s="18"/>
      <c r="G1629" s="18"/>
      <c r="H1629" s="18"/>
      <c r="I1629" s="18"/>
    </row>
    <row r="1630" ht="21.25" customHeight="1">
      <c r="A1630" s="10">
        <v>45541</v>
      </c>
      <c r="B1630" t="s" s="11">
        <v>10</v>
      </c>
      <c r="C1630" t="s" s="12">
        <v>326</v>
      </c>
      <c r="D1630" s="13">
        <v>11800</v>
      </c>
      <c r="E1630" s="13"/>
      <c r="F1630" s="14"/>
      <c r="G1630" s="14"/>
      <c r="H1630" s="14"/>
      <c r="I1630" s="14"/>
    </row>
    <row r="1631" ht="20.7" customHeight="1">
      <c r="A1631" s="10">
        <v>45541</v>
      </c>
      <c r="B1631" t="s" s="11">
        <v>8</v>
      </c>
      <c r="C1631" t="s" s="12">
        <v>8</v>
      </c>
      <c r="D1631" s="15" cm="1">
        <f t="array" ref="D1631">SUM(D1629:D1630)</f>
        <v>11800</v>
      </c>
      <c r="E1631" s="15" cm="1">
        <f t="array" ref="E1631">SUM(E1629:E1630)</f>
        <v>11800</v>
      </c>
      <c r="F1631" s="16" cm="1">
        <f t="array" ref="F1631">SUM(F1629:F1630)</f>
        <v>0</v>
      </c>
      <c r="G1631" s="16" cm="1">
        <f t="array" ref="G1631">SUM(G1629:G1630)</f>
        <v>0</v>
      </c>
      <c r="H1631" s="16" cm="1">
        <f t="array" ref="H1631">SUM(H1629:H1630)</f>
        <v>0</v>
      </c>
      <c r="I1631" s="16" cm="1">
        <f t="array" ref="I1631">SUM(I1629:I1630)</f>
        <v>0</v>
      </c>
    </row>
    <row r="1632" ht="20.35" customHeight="1">
      <c r="A1632" s="10">
        <v>45541</v>
      </c>
      <c r="B1632" t="s" s="11">
        <v>5</v>
      </c>
      <c r="C1632" t="s" s="12">
        <v>17</v>
      </c>
      <c r="D1632" s="17">
        <v>100</v>
      </c>
      <c r="E1632" s="17"/>
      <c r="F1632" s="18"/>
      <c r="G1632" s="18"/>
      <c r="H1632" s="18"/>
      <c r="I1632" s="18"/>
    </row>
    <row r="1633" ht="20.35" customHeight="1">
      <c r="A1633" s="10">
        <v>45541</v>
      </c>
      <c r="B1633" t="s" s="11">
        <v>18</v>
      </c>
      <c r="C1633" t="s" s="12">
        <v>17</v>
      </c>
      <c r="D1633" s="13"/>
      <c r="E1633" s="13">
        <v>100</v>
      </c>
      <c r="F1633" s="14"/>
      <c r="G1633" s="14"/>
      <c r="H1633" s="14"/>
      <c r="I1633" s="14"/>
    </row>
    <row r="1634" ht="20.7" customHeight="1">
      <c r="A1634" s="10">
        <v>45541</v>
      </c>
      <c r="B1634" t="s" s="11">
        <v>8</v>
      </c>
      <c r="C1634" t="s" s="12">
        <v>8</v>
      </c>
      <c r="D1634" s="15" cm="1">
        <f t="array" ref="D1634">SUM(D1632:D1633)</f>
        <v>100</v>
      </c>
      <c r="E1634" s="15" cm="1">
        <f t="array" ref="E1634">SUM(E1632:E1633)</f>
        <v>100</v>
      </c>
      <c r="F1634" s="16" cm="1">
        <f t="array" ref="F1634">SUM(F1632:F1633)</f>
        <v>0</v>
      </c>
      <c r="G1634" s="16" cm="1">
        <f t="array" ref="G1634">SUM(G1632:G1633)</f>
        <v>0</v>
      </c>
      <c r="H1634" s="16" cm="1">
        <f t="array" ref="H1634">SUM(H1632:H1633)</f>
        <v>0</v>
      </c>
      <c r="I1634" s="16" cm="1">
        <f t="array" ref="I1634">SUM(I1632:I1633)</f>
        <v>0</v>
      </c>
    </row>
    <row r="1635" ht="20.35" customHeight="1">
      <c r="A1635" s="10">
        <v>45541</v>
      </c>
      <c r="B1635" t="s" s="11">
        <v>5</v>
      </c>
      <c r="C1635" t="s" s="12">
        <v>17</v>
      </c>
      <c r="D1635" s="17">
        <v>500</v>
      </c>
      <c r="E1635" s="17"/>
      <c r="F1635" s="18"/>
      <c r="G1635" s="18"/>
      <c r="H1635" s="18"/>
      <c r="I1635" s="18"/>
    </row>
    <row r="1636" ht="20.35" customHeight="1">
      <c r="A1636" s="10">
        <v>45541</v>
      </c>
      <c r="B1636" t="s" s="11">
        <v>18</v>
      </c>
      <c r="C1636" t="s" s="12">
        <v>17</v>
      </c>
      <c r="D1636" s="13"/>
      <c r="E1636" s="13">
        <v>500</v>
      </c>
      <c r="F1636" s="14"/>
      <c r="G1636" s="14"/>
      <c r="H1636" s="14"/>
      <c r="I1636" s="14"/>
    </row>
    <row r="1637" ht="20.7" customHeight="1">
      <c r="A1637" s="10">
        <v>45541</v>
      </c>
      <c r="B1637" t="s" s="11">
        <v>8</v>
      </c>
      <c r="C1637" t="s" s="12">
        <v>8</v>
      </c>
      <c r="D1637" s="15" cm="1">
        <f t="array" ref="D1637">SUM(D1635:D1636)</f>
        <v>500</v>
      </c>
      <c r="E1637" s="15" cm="1">
        <f t="array" ref="E1637">SUM(E1635:E1636)</f>
        <v>500</v>
      </c>
      <c r="F1637" s="16" cm="1">
        <f t="array" ref="F1637">SUM(F1635:F1636)</f>
        <v>0</v>
      </c>
      <c r="G1637" s="16" cm="1">
        <f t="array" ref="G1637">SUM(G1635:G1636)</f>
        <v>0</v>
      </c>
      <c r="H1637" s="16" cm="1">
        <f t="array" ref="H1637">SUM(H1635:H1636)</f>
        <v>0</v>
      </c>
      <c r="I1637" s="16" cm="1">
        <f t="array" ref="I1637">SUM(I1635:I1636)</f>
        <v>0</v>
      </c>
    </row>
    <row r="1638" ht="21.25" customHeight="1">
      <c r="A1638" s="10">
        <v>45541</v>
      </c>
      <c r="B1638" t="s" s="11">
        <v>21</v>
      </c>
      <c r="C1638" t="s" s="12">
        <v>327</v>
      </c>
      <c r="D1638" s="17"/>
      <c r="E1638" s="17">
        <v>2800</v>
      </c>
      <c r="F1638" s="18"/>
      <c r="G1638" s="18"/>
      <c r="H1638" s="18"/>
      <c r="I1638" s="18"/>
    </row>
    <row r="1639" ht="21.25" customHeight="1">
      <c r="A1639" s="10">
        <v>45541</v>
      </c>
      <c r="B1639" t="s" s="11">
        <v>16</v>
      </c>
      <c r="C1639" t="s" s="12">
        <v>327</v>
      </c>
      <c r="D1639" s="13">
        <v>2800</v>
      </c>
      <c r="E1639" s="13"/>
      <c r="F1639" s="14"/>
      <c r="G1639" s="14"/>
      <c r="H1639" s="14"/>
      <c r="I1639" s="14"/>
    </row>
    <row r="1640" ht="20.7" customHeight="1">
      <c r="A1640" s="10">
        <v>45541</v>
      </c>
      <c r="B1640" t="s" s="11">
        <v>8</v>
      </c>
      <c r="C1640" t="s" s="12">
        <v>8</v>
      </c>
      <c r="D1640" s="15" cm="1">
        <f t="array" ref="D1640">SUM(D1638:D1639)</f>
        <v>2800</v>
      </c>
      <c r="E1640" s="15" cm="1">
        <f t="array" ref="E1640">SUM(E1638:E1639)</f>
        <v>2800</v>
      </c>
      <c r="F1640" s="16" cm="1">
        <f t="array" ref="F1640">SUM(F1638:F1639)</f>
        <v>0</v>
      </c>
      <c r="G1640" s="16" cm="1">
        <f t="array" ref="G1640">SUM(G1638:G1639)</f>
        <v>0</v>
      </c>
      <c r="H1640" s="16" cm="1">
        <f t="array" ref="H1640">SUM(H1638:H1639)</f>
        <v>0</v>
      </c>
      <c r="I1640" s="16" cm="1">
        <f t="array" ref="I1640">SUM(I1638:I1639)</f>
        <v>0</v>
      </c>
    </row>
    <row r="1641" ht="21.25" customHeight="1">
      <c r="A1641" s="10">
        <v>45541</v>
      </c>
      <c r="B1641" t="s" s="11">
        <v>21</v>
      </c>
      <c r="C1641" t="s" s="12">
        <v>328</v>
      </c>
      <c r="D1641" s="17"/>
      <c r="E1641" s="17">
        <v>1400</v>
      </c>
      <c r="F1641" s="18"/>
      <c r="G1641" s="18"/>
      <c r="H1641" s="18"/>
      <c r="I1641" s="18"/>
    </row>
    <row r="1642" ht="21.25" customHeight="1">
      <c r="A1642" s="10">
        <v>45541</v>
      </c>
      <c r="B1642" t="s" s="11">
        <v>16</v>
      </c>
      <c r="C1642" t="s" s="12">
        <v>328</v>
      </c>
      <c r="D1642" s="13">
        <v>1400</v>
      </c>
      <c r="E1642" s="13"/>
      <c r="F1642" s="14"/>
      <c r="G1642" s="14"/>
      <c r="H1642" s="14"/>
      <c r="I1642" s="14"/>
    </row>
    <row r="1643" ht="20.7" customHeight="1">
      <c r="A1643" s="10">
        <v>45541</v>
      </c>
      <c r="B1643" t="s" s="11">
        <v>8</v>
      </c>
      <c r="C1643" t="s" s="12">
        <v>8</v>
      </c>
      <c r="D1643" s="15" cm="1">
        <f t="array" ref="D1643">SUM(D1641:D1642)</f>
        <v>1400</v>
      </c>
      <c r="E1643" s="15" cm="1">
        <f t="array" ref="E1643">SUM(E1641:E1642)</f>
        <v>1400</v>
      </c>
      <c r="F1643" s="16" cm="1">
        <f t="array" ref="F1643">SUM(F1641:F1642)</f>
        <v>0</v>
      </c>
      <c r="G1643" s="16" cm="1">
        <f t="array" ref="G1643">SUM(G1641:G1642)</f>
        <v>0</v>
      </c>
      <c r="H1643" s="16" cm="1">
        <f t="array" ref="H1643">SUM(H1641:H1642)</f>
        <v>0</v>
      </c>
      <c r="I1643" s="16" cm="1">
        <f t="array" ref="I1643">SUM(I1641:I1642)</f>
        <v>0</v>
      </c>
    </row>
    <row r="1644" ht="21.25" customHeight="1">
      <c r="A1644" s="10">
        <v>45541</v>
      </c>
      <c r="B1644" t="s" s="11">
        <v>21</v>
      </c>
      <c r="C1644" t="s" s="12">
        <v>329</v>
      </c>
      <c r="D1644" s="17"/>
      <c r="E1644" s="17">
        <v>1400</v>
      </c>
      <c r="F1644" s="18"/>
      <c r="G1644" s="18"/>
      <c r="H1644" s="18"/>
      <c r="I1644" s="18"/>
    </row>
    <row r="1645" ht="21.25" customHeight="1">
      <c r="A1645" s="10">
        <v>45541</v>
      </c>
      <c r="B1645" t="s" s="11">
        <v>16</v>
      </c>
      <c r="C1645" t="s" s="12">
        <v>329</v>
      </c>
      <c r="D1645" s="13">
        <v>1400</v>
      </c>
      <c r="E1645" s="13"/>
      <c r="F1645" s="14"/>
      <c r="G1645" s="14"/>
      <c r="H1645" s="14"/>
      <c r="I1645" s="14"/>
    </row>
    <row r="1646" ht="20.7" customHeight="1">
      <c r="A1646" s="10">
        <v>45541</v>
      </c>
      <c r="B1646" t="s" s="11">
        <v>8</v>
      </c>
      <c r="C1646" t="s" s="12">
        <v>8</v>
      </c>
      <c r="D1646" s="15" cm="1">
        <f t="array" ref="D1646">SUM(D1644:D1645)</f>
        <v>1400</v>
      </c>
      <c r="E1646" s="15" cm="1">
        <f t="array" ref="E1646">SUM(E1644:E1645)</f>
        <v>1400</v>
      </c>
      <c r="F1646" s="16" cm="1">
        <f t="array" ref="F1646">SUM(F1644:F1645)</f>
        <v>0</v>
      </c>
      <c r="G1646" s="16" cm="1">
        <f t="array" ref="G1646">SUM(G1644:G1645)</f>
        <v>0</v>
      </c>
      <c r="H1646" s="16" cm="1">
        <f t="array" ref="H1646">SUM(H1644:H1645)</f>
        <v>0</v>
      </c>
      <c r="I1646" s="16" cm="1">
        <f t="array" ref="I1646">SUM(I1644:I1645)</f>
        <v>0</v>
      </c>
    </row>
    <row r="1647" ht="21.25" customHeight="1">
      <c r="A1647" s="10">
        <v>45541</v>
      </c>
      <c r="B1647" t="s" s="11">
        <v>21</v>
      </c>
      <c r="C1647" t="s" s="12">
        <v>330</v>
      </c>
      <c r="D1647" s="17"/>
      <c r="E1647" s="17">
        <v>7500</v>
      </c>
      <c r="F1647" s="18"/>
      <c r="G1647" s="18"/>
      <c r="H1647" s="18"/>
      <c r="I1647" s="18"/>
    </row>
    <row r="1648" ht="21.25" customHeight="1">
      <c r="A1648" s="10">
        <v>45541</v>
      </c>
      <c r="B1648" t="s" s="11">
        <v>12</v>
      </c>
      <c r="C1648" t="s" s="12">
        <v>330</v>
      </c>
      <c r="D1648" s="13">
        <v>7500</v>
      </c>
      <c r="E1648" s="13"/>
      <c r="F1648" s="14"/>
      <c r="G1648" s="14"/>
      <c r="H1648" s="14"/>
      <c r="I1648" s="14"/>
    </row>
    <row r="1649" ht="20.7" customHeight="1">
      <c r="A1649" s="10">
        <v>45541</v>
      </c>
      <c r="B1649" t="s" s="11">
        <v>8</v>
      </c>
      <c r="C1649" t="s" s="12">
        <v>8</v>
      </c>
      <c r="D1649" s="15" cm="1">
        <f t="array" ref="D1649">SUM(D1647:D1648)</f>
        <v>7500</v>
      </c>
      <c r="E1649" s="15" cm="1">
        <f t="array" ref="E1649">SUM(E1647:E1648)</f>
        <v>7500</v>
      </c>
      <c r="F1649" s="16" cm="1">
        <f t="array" ref="F1649">SUM(F1647:F1648)</f>
        <v>0</v>
      </c>
      <c r="G1649" s="16" cm="1">
        <f t="array" ref="G1649">SUM(G1647:G1648)</f>
        <v>0</v>
      </c>
      <c r="H1649" s="16" cm="1">
        <f t="array" ref="H1649">SUM(H1647:H1648)</f>
        <v>0</v>
      </c>
      <c r="I1649" s="16" cm="1">
        <f t="array" ref="I1649">SUM(I1647:I1648)</f>
        <v>0</v>
      </c>
    </row>
    <row r="1650" ht="21.25" customHeight="1">
      <c r="A1650" s="10">
        <v>45542</v>
      </c>
      <c r="B1650" t="s" s="11">
        <v>21</v>
      </c>
      <c r="C1650" t="s" s="12">
        <v>331</v>
      </c>
      <c r="D1650" s="17"/>
      <c r="E1650" s="17">
        <v>4400</v>
      </c>
      <c r="F1650" s="18"/>
      <c r="G1650" s="18"/>
      <c r="H1650" s="18"/>
      <c r="I1650" s="18"/>
    </row>
    <row r="1651" ht="21.25" customHeight="1">
      <c r="A1651" s="10">
        <v>45542</v>
      </c>
      <c r="B1651" t="s" s="11">
        <v>16</v>
      </c>
      <c r="C1651" t="s" s="12">
        <v>331</v>
      </c>
      <c r="D1651" s="13">
        <v>4400</v>
      </c>
      <c r="E1651" s="13"/>
      <c r="F1651" s="14"/>
      <c r="G1651" s="14"/>
      <c r="H1651" s="14"/>
      <c r="I1651" s="14"/>
    </row>
    <row r="1652" ht="20.7" customHeight="1">
      <c r="A1652" s="10">
        <v>45542</v>
      </c>
      <c r="B1652" t="s" s="11">
        <v>8</v>
      </c>
      <c r="C1652" t="s" s="12">
        <v>8</v>
      </c>
      <c r="D1652" s="15" cm="1">
        <f t="array" ref="D1652">SUM(D1650:D1651)</f>
        <v>4400</v>
      </c>
      <c r="E1652" s="15" cm="1">
        <f t="array" ref="E1652">SUM(E1650:E1651)</f>
        <v>4400</v>
      </c>
      <c r="F1652" s="16" cm="1">
        <f t="array" ref="F1652">SUM(F1650:F1651)</f>
        <v>0</v>
      </c>
      <c r="G1652" s="16" cm="1">
        <f t="array" ref="G1652">SUM(G1650:G1651)</f>
        <v>0</v>
      </c>
      <c r="H1652" s="16" cm="1">
        <f t="array" ref="H1652">SUM(H1650:H1651)</f>
        <v>0</v>
      </c>
      <c r="I1652" s="16" cm="1">
        <f t="array" ref="I1652">SUM(I1650:I1651)</f>
        <v>0</v>
      </c>
    </row>
    <row r="1653" ht="21.25" customHeight="1">
      <c r="A1653" s="10">
        <v>45542</v>
      </c>
      <c r="B1653" t="s" s="11">
        <v>28</v>
      </c>
      <c r="C1653" t="s" s="12">
        <v>332</v>
      </c>
      <c r="D1653" s="17"/>
      <c r="E1653" s="17">
        <v>8000</v>
      </c>
      <c r="F1653" s="18"/>
      <c r="G1653" s="18"/>
      <c r="H1653" s="18"/>
      <c r="I1653" s="18"/>
    </row>
    <row r="1654" ht="21.25" customHeight="1">
      <c r="A1654" s="10">
        <v>45542</v>
      </c>
      <c r="B1654" t="s" s="11">
        <v>12</v>
      </c>
      <c r="C1654" t="s" s="12">
        <v>332</v>
      </c>
      <c r="D1654" s="13">
        <v>8000</v>
      </c>
      <c r="E1654" s="13"/>
      <c r="F1654" s="14"/>
      <c r="G1654" s="14"/>
      <c r="H1654" s="14"/>
      <c r="I1654" s="14"/>
    </row>
    <row r="1655" ht="20.7" customHeight="1">
      <c r="A1655" s="10">
        <v>45542</v>
      </c>
      <c r="B1655" t="s" s="11">
        <v>8</v>
      </c>
      <c r="C1655" t="s" s="12">
        <v>8</v>
      </c>
      <c r="D1655" s="15" cm="1">
        <f t="array" ref="D1655">SUM(D1653:D1654)</f>
        <v>8000</v>
      </c>
      <c r="E1655" s="15" cm="1">
        <f t="array" ref="E1655">SUM(E1653:E1654)</f>
        <v>8000</v>
      </c>
      <c r="F1655" s="16" cm="1">
        <f t="array" ref="F1655">SUM(F1653:F1654)</f>
        <v>0</v>
      </c>
      <c r="G1655" s="16" cm="1">
        <f t="array" ref="G1655">SUM(G1653:G1654)</f>
        <v>0</v>
      </c>
      <c r="H1655" s="16" cm="1">
        <f t="array" ref="H1655">SUM(H1653:H1654)</f>
        <v>0</v>
      </c>
      <c r="I1655" s="16" cm="1">
        <f t="array" ref="I1655">SUM(I1653:I1654)</f>
        <v>0</v>
      </c>
    </row>
    <row r="1656" ht="21.25" customHeight="1">
      <c r="A1656" s="10">
        <v>45542</v>
      </c>
      <c r="B1656" t="s" s="11">
        <v>28</v>
      </c>
      <c r="C1656" t="s" s="12">
        <v>333</v>
      </c>
      <c r="D1656" s="17"/>
      <c r="E1656" s="17">
        <v>2500</v>
      </c>
      <c r="F1656" s="18"/>
      <c r="G1656" s="18"/>
      <c r="H1656" s="18"/>
      <c r="I1656" s="18"/>
    </row>
    <row r="1657" ht="21.25" customHeight="1">
      <c r="A1657" s="10">
        <v>45542</v>
      </c>
      <c r="B1657" t="s" s="11">
        <v>12</v>
      </c>
      <c r="C1657" t="s" s="12">
        <v>333</v>
      </c>
      <c r="D1657" s="13">
        <v>2500</v>
      </c>
      <c r="E1657" s="13"/>
      <c r="F1657" s="14"/>
      <c r="G1657" s="14"/>
      <c r="H1657" s="14"/>
      <c r="I1657" s="14"/>
    </row>
    <row r="1658" ht="20.7" customHeight="1">
      <c r="A1658" s="10">
        <v>45542</v>
      </c>
      <c r="B1658" t="s" s="11">
        <v>8</v>
      </c>
      <c r="C1658" t="s" s="12">
        <v>8</v>
      </c>
      <c r="D1658" s="15" cm="1">
        <f t="array" ref="D1658">SUM(D1656:D1657)</f>
        <v>2500</v>
      </c>
      <c r="E1658" s="15" cm="1">
        <f t="array" ref="E1658">SUM(E1656:E1657)</f>
        <v>2500</v>
      </c>
      <c r="F1658" s="16" cm="1">
        <f t="array" ref="F1658">SUM(F1656:F1657)</f>
        <v>0</v>
      </c>
      <c r="G1658" s="16" cm="1">
        <f t="array" ref="G1658">SUM(G1656:G1657)</f>
        <v>0</v>
      </c>
      <c r="H1658" s="16" cm="1">
        <f t="array" ref="H1658">SUM(H1656:H1657)</f>
        <v>0</v>
      </c>
      <c r="I1658" s="16" cm="1">
        <f t="array" ref="I1658">SUM(I1656:I1657)</f>
        <v>0</v>
      </c>
    </row>
    <row r="1659" ht="20.35" customHeight="1">
      <c r="A1659" s="10">
        <v>45542</v>
      </c>
      <c r="B1659" t="s" s="11">
        <v>28</v>
      </c>
      <c r="C1659" t="s" s="12">
        <v>334</v>
      </c>
      <c r="D1659" s="17">
        <v>500</v>
      </c>
      <c r="E1659" s="17"/>
      <c r="F1659" s="18"/>
      <c r="G1659" s="18"/>
      <c r="H1659" s="18"/>
      <c r="I1659" s="18"/>
    </row>
    <row r="1660" ht="20.35" customHeight="1">
      <c r="A1660" s="10">
        <v>45542</v>
      </c>
      <c r="B1660" t="s" s="11">
        <v>89</v>
      </c>
      <c r="C1660" t="s" s="12">
        <v>334</v>
      </c>
      <c r="D1660" s="13"/>
      <c r="E1660" s="13">
        <v>500</v>
      </c>
      <c r="F1660" s="14"/>
      <c r="G1660" s="14"/>
      <c r="H1660" s="14"/>
      <c r="I1660" s="14"/>
    </row>
    <row r="1661" ht="20.7" customHeight="1">
      <c r="A1661" s="10">
        <v>45542</v>
      </c>
      <c r="B1661" t="s" s="11">
        <v>8</v>
      </c>
      <c r="C1661" t="s" s="12">
        <v>8</v>
      </c>
      <c r="D1661" s="15" cm="1">
        <f t="array" ref="D1661">SUM(D1659:D1660)</f>
        <v>500</v>
      </c>
      <c r="E1661" s="15" cm="1">
        <f t="array" ref="E1661">SUM(E1659:E1660)</f>
        <v>500</v>
      </c>
      <c r="F1661" s="16" cm="1">
        <f t="array" ref="F1661">SUM(F1659:F1660)</f>
        <v>0</v>
      </c>
      <c r="G1661" s="16" cm="1">
        <f t="array" ref="G1661">SUM(G1659:G1660)</f>
        <v>0</v>
      </c>
      <c r="H1661" s="16" cm="1">
        <f t="array" ref="H1661">SUM(H1659:H1660)</f>
        <v>0</v>
      </c>
      <c r="I1661" s="16" cm="1">
        <f t="array" ref="I1661">SUM(I1659:I1660)</f>
        <v>0</v>
      </c>
    </row>
    <row r="1662" ht="21.25" customHeight="1">
      <c r="A1662" s="10">
        <v>45542</v>
      </c>
      <c r="B1662" t="s" s="11">
        <v>5</v>
      </c>
      <c r="C1662" t="s" s="12">
        <v>335</v>
      </c>
      <c r="D1662" s="17"/>
      <c r="E1662" s="17">
        <v>10000</v>
      </c>
      <c r="F1662" s="18"/>
      <c r="G1662" s="18"/>
      <c r="H1662" s="18"/>
      <c r="I1662" s="18"/>
    </row>
    <row r="1663" ht="20.9" customHeight="1">
      <c r="A1663" s="10">
        <v>45542</v>
      </c>
      <c r="B1663" t="s" s="11">
        <v>21</v>
      </c>
      <c r="C1663" t="s" s="12">
        <v>335</v>
      </c>
      <c r="D1663" s="19"/>
      <c r="E1663" s="19">
        <v>2333</v>
      </c>
      <c r="F1663" s="20"/>
      <c r="G1663" s="20"/>
      <c r="H1663" s="20"/>
      <c r="I1663" s="20"/>
    </row>
    <row r="1664" ht="21.25" customHeight="1">
      <c r="A1664" s="10">
        <v>45542</v>
      </c>
      <c r="B1664" t="s" s="11">
        <v>12</v>
      </c>
      <c r="C1664" t="s" s="12">
        <v>335</v>
      </c>
      <c r="D1664" s="13">
        <v>12333</v>
      </c>
      <c r="E1664" s="13"/>
      <c r="F1664" s="14"/>
      <c r="G1664" s="14"/>
      <c r="H1664" s="14"/>
      <c r="I1664" s="14"/>
    </row>
    <row r="1665" ht="20.7" customHeight="1">
      <c r="A1665" s="10">
        <v>45542</v>
      </c>
      <c r="B1665" t="s" s="11">
        <v>8</v>
      </c>
      <c r="C1665" t="s" s="12">
        <v>8</v>
      </c>
      <c r="D1665" s="15" cm="1">
        <f t="array" ref="D1665">SUM(D1662:D1664)</f>
        <v>12333</v>
      </c>
      <c r="E1665" s="15" cm="1">
        <f t="array" ref="E1665">SUM(E1662:E1664)</f>
        <v>12333</v>
      </c>
      <c r="F1665" s="16" cm="1">
        <f t="array" ref="F1665">SUM(F1662:F1664)</f>
        <v>0</v>
      </c>
      <c r="G1665" s="16" cm="1">
        <f t="array" ref="G1665">SUM(G1662:G1664)</f>
        <v>0</v>
      </c>
      <c r="H1665" s="16" cm="1">
        <f t="array" ref="H1665">SUM(H1662:H1664)</f>
        <v>0</v>
      </c>
      <c r="I1665" s="16" cm="1">
        <f t="array" ref="I1665">SUM(I1662:I1664)</f>
        <v>0</v>
      </c>
    </row>
    <row r="1666" ht="21.25" customHeight="1">
      <c r="A1666" s="10">
        <v>45542</v>
      </c>
      <c r="B1666" t="s" s="11">
        <v>5</v>
      </c>
      <c r="C1666" t="s" s="12">
        <v>336</v>
      </c>
      <c r="D1666" s="17"/>
      <c r="E1666" s="17">
        <v>3333</v>
      </c>
      <c r="F1666" s="18"/>
      <c r="G1666" s="18"/>
      <c r="H1666" s="18"/>
      <c r="I1666" s="18"/>
    </row>
    <row r="1667" ht="21.25" customHeight="1">
      <c r="A1667" s="10">
        <v>45542</v>
      </c>
      <c r="B1667" t="s" s="11">
        <v>12</v>
      </c>
      <c r="C1667" t="s" s="12">
        <v>336</v>
      </c>
      <c r="D1667" s="13">
        <v>3333</v>
      </c>
      <c r="E1667" s="13"/>
      <c r="F1667" s="14"/>
      <c r="G1667" s="14"/>
      <c r="H1667" s="14"/>
      <c r="I1667" s="14"/>
    </row>
    <row r="1668" ht="20.7" customHeight="1">
      <c r="A1668" s="10">
        <v>45542</v>
      </c>
      <c r="B1668" t="s" s="11">
        <v>8</v>
      </c>
      <c r="C1668" t="s" s="12">
        <v>8</v>
      </c>
      <c r="D1668" s="15" cm="1">
        <f t="array" ref="D1668">SUM(D1666:D1667)</f>
        <v>3333</v>
      </c>
      <c r="E1668" s="15" cm="1">
        <f t="array" ref="E1668">SUM(E1666:E1667)</f>
        <v>3333</v>
      </c>
      <c r="F1668" s="16" cm="1">
        <f t="array" ref="F1668">SUM(F1666:F1667)</f>
        <v>0</v>
      </c>
      <c r="G1668" s="16" cm="1">
        <f t="array" ref="G1668">SUM(G1666:G1667)</f>
        <v>0</v>
      </c>
      <c r="H1668" s="16" cm="1">
        <f t="array" ref="H1668">SUM(H1666:H1667)</f>
        <v>0</v>
      </c>
      <c r="I1668" s="16" cm="1">
        <f t="array" ref="I1668">SUM(I1666:I1667)</f>
        <v>0</v>
      </c>
    </row>
    <row r="1669" ht="20.35" customHeight="1">
      <c r="A1669" s="10">
        <v>45542</v>
      </c>
      <c r="B1669" t="s" s="11">
        <v>5</v>
      </c>
      <c r="C1669" t="s" s="12">
        <v>17</v>
      </c>
      <c r="D1669" s="17">
        <v>100</v>
      </c>
      <c r="E1669" s="17"/>
      <c r="F1669" s="18"/>
      <c r="G1669" s="18"/>
      <c r="H1669" s="18"/>
      <c r="I1669" s="18"/>
    </row>
    <row r="1670" ht="20.35" customHeight="1">
      <c r="A1670" s="10">
        <v>45542</v>
      </c>
      <c r="B1670" t="s" s="11">
        <v>18</v>
      </c>
      <c r="C1670" t="s" s="12">
        <v>17</v>
      </c>
      <c r="D1670" s="13"/>
      <c r="E1670" s="13">
        <v>100</v>
      </c>
      <c r="F1670" s="14"/>
      <c r="G1670" s="14"/>
      <c r="H1670" s="14"/>
      <c r="I1670" s="14"/>
    </row>
    <row r="1671" ht="20.7" customHeight="1">
      <c r="A1671" s="10">
        <v>45542</v>
      </c>
      <c r="B1671" t="s" s="11">
        <v>8</v>
      </c>
      <c r="C1671" t="s" s="12">
        <v>8</v>
      </c>
      <c r="D1671" s="15" cm="1">
        <f t="array" ref="D1671">SUM(D1669:D1670)</f>
        <v>100</v>
      </c>
      <c r="E1671" s="15" cm="1">
        <f t="array" ref="E1671">SUM(E1669:E1670)</f>
        <v>100</v>
      </c>
      <c r="F1671" s="16" cm="1">
        <f t="array" ref="F1671">SUM(F1669:F1670)</f>
        <v>0</v>
      </c>
      <c r="G1671" s="16" cm="1">
        <f t="array" ref="G1671">SUM(G1669:G1670)</f>
        <v>0</v>
      </c>
      <c r="H1671" s="16" cm="1">
        <f t="array" ref="H1671">SUM(H1669:H1670)</f>
        <v>0</v>
      </c>
      <c r="I1671" s="16" cm="1">
        <f t="array" ref="I1671">SUM(I1669:I1670)</f>
        <v>0</v>
      </c>
    </row>
    <row r="1672" ht="20.35" customHeight="1">
      <c r="A1672" s="10">
        <v>45543</v>
      </c>
      <c r="B1672" t="s" s="11">
        <v>39</v>
      </c>
      <c r="C1672" t="s" s="12">
        <v>40</v>
      </c>
      <c r="D1672" s="17"/>
      <c r="E1672" s="17"/>
      <c r="F1672" s="18">
        <v>250</v>
      </c>
      <c r="G1672" s="18"/>
      <c r="H1672" s="18"/>
      <c r="I1672" s="18"/>
    </row>
    <row r="1673" ht="20.35" customHeight="1">
      <c r="A1673" s="10">
        <v>45543</v>
      </c>
      <c r="B1673" t="s" s="11">
        <v>41</v>
      </c>
      <c r="C1673" t="s" s="12">
        <v>40</v>
      </c>
      <c r="D1673" s="13"/>
      <c r="E1673" s="13"/>
      <c r="F1673" s="14"/>
      <c r="G1673" s="14">
        <v>250</v>
      </c>
      <c r="H1673" s="14"/>
      <c r="I1673" s="14"/>
    </row>
    <row r="1674" ht="20.7" customHeight="1">
      <c r="A1674" s="10">
        <v>45543</v>
      </c>
      <c r="B1674" t="s" s="11">
        <v>8</v>
      </c>
      <c r="C1674" t="s" s="12">
        <v>8</v>
      </c>
      <c r="D1674" s="15" cm="1">
        <f t="array" ref="D1674">SUM(D1672:D1673)</f>
        <v>0</v>
      </c>
      <c r="E1674" s="15" cm="1">
        <f t="array" ref="E1674">SUM(E1672:E1673)</f>
        <v>0</v>
      </c>
      <c r="F1674" s="16" cm="1">
        <f t="array" ref="F1674">SUM(F1672:F1673)</f>
        <v>250</v>
      </c>
      <c r="G1674" s="16" cm="1">
        <f t="array" ref="G1674">SUM(G1672:G1673)</f>
        <v>250</v>
      </c>
      <c r="H1674" s="16" cm="1">
        <f t="array" ref="H1674">SUM(H1672:H1673)</f>
        <v>0</v>
      </c>
      <c r="I1674" s="16" cm="1">
        <f t="array" ref="I1674">SUM(I1672:I1673)</f>
        <v>0</v>
      </c>
    </row>
    <row r="1675" ht="20.35" customHeight="1">
      <c r="A1675" s="10">
        <v>45543</v>
      </c>
      <c r="B1675" t="s" s="11">
        <v>39</v>
      </c>
      <c r="C1675" t="s" s="12">
        <v>337</v>
      </c>
      <c r="D1675" s="17"/>
      <c r="E1675" s="17"/>
      <c r="F1675" s="18"/>
      <c r="G1675" s="18">
        <v>250</v>
      </c>
      <c r="H1675" s="18"/>
      <c r="I1675" s="18"/>
    </row>
    <row r="1676" ht="20.05" customHeight="1">
      <c r="A1676" s="10">
        <v>45543</v>
      </c>
      <c r="B1676" t="s" s="11">
        <v>44</v>
      </c>
      <c r="C1676" t="s" s="12">
        <v>337</v>
      </c>
      <c r="D1676" s="19"/>
      <c r="E1676" s="19"/>
      <c r="F1676" s="20">
        <v>240.4</v>
      </c>
      <c r="G1676" s="20"/>
      <c r="H1676" s="20"/>
      <c r="I1676" s="20"/>
    </row>
    <row r="1677" ht="20.05" customHeight="1">
      <c r="A1677" s="10">
        <v>45543</v>
      </c>
      <c r="B1677" t="s" s="11">
        <v>43</v>
      </c>
      <c r="C1677" t="s" s="12">
        <v>337</v>
      </c>
      <c r="D1677" s="19"/>
      <c r="E1677" s="19"/>
      <c r="F1677" s="20">
        <v>9.6</v>
      </c>
      <c r="G1677" s="20"/>
      <c r="H1677" s="20"/>
      <c r="I1677" s="20"/>
    </row>
    <row r="1678" ht="20.05" customHeight="1">
      <c r="A1678" s="10">
        <v>45543</v>
      </c>
      <c r="B1678" t="s" s="11">
        <v>5</v>
      </c>
      <c r="C1678" t="s" s="12">
        <v>337</v>
      </c>
      <c r="D1678" s="19">
        <v>74329</v>
      </c>
      <c r="E1678" s="19"/>
      <c r="F1678" s="20"/>
      <c r="G1678" s="20"/>
      <c r="H1678" s="20"/>
      <c r="I1678" s="20"/>
    </row>
    <row r="1679" ht="20.35" customHeight="1">
      <c r="A1679" s="10">
        <v>45543</v>
      </c>
      <c r="B1679" t="s" s="11">
        <v>46</v>
      </c>
      <c r="C1679" t="s" s="12">
        <v>337</v>
      </c>
      <c r="D1679" s="13"/>
      <c r="E1679" s="13">
        <v>74329</v>
      </c>
      <c r="F1679" s="14"/>
      <c r="G1679" s="14"/>
      <c r="H1679" s="14"/>
      <c r="I1679" s="14"/>
    </row>
    <row r="1680" ht="20.7" customHeight="1">
      <c r="A1680" s="10">
        <v>45543</v>
      </c>
      <c r="B1680" t="s" s="11">
        <v>8</v>
      </c>
      <c r="C1680" t="s" s="12">
        <v>8</v>
      </c>
      <c r="D1680" s="15" cm="1">
        <f t="array" ref="D1680">SUM(D1675:D1679)</f>
        <v>74329</v>
      </c>
      <c r="E1680" s="15" cm="1">
        <f t="array" ref="E1680">SUM(E1675:E1679)</f>
        <v>74329</v>
      </c>
      <c r="F1680" s="16" cm="1">
        <f t="array" ref="F1680">SUM(F1675:F1679)</f>
        <v>250</v>
      </c>
      <c r="G1680" s="16" cm="1">
        <f t="array" ref="G1680">SUM(G1675:G1679)</f>
        <v>250</v>
      </c>
      <c r="H1680" s="16" cm="1">
        <f t="array" ref="H1680">SUM(H1675:H1679)</f>
        <v>0</v>
      </c>
      <c r="I1680" s="16" cm="1">
        <f t="array" ref="I1680">SUM(I1675:I1679)</f>
        <v>0</v>
      </c>
    </row>
    <row r="1681" ht="20.35" customHeight="1">
      <c r="A1681" s="10">
        <v>45543</v>
      </c>
      <c r="B1681" t="s" s="11">
        <v>5</v>
      </c>
      <c r="C1681" t="s" s="12">
        <v>338</v>
      </c>
      <c r="D1681" s="17"/>
      <c r="E1681" s="17">
        <v>33440</v>
      </c>
      <c r="F1681" s="18"/>
      <c r="G1681" s="18"/>
      <c r="H1681" s="18"/>
      <c r="I1681" s="18"/>
    </row>
    <row r="1682" ht="20.35" customHeight="1">
      <c r="A1682" s="10">
        <v>45543</v>
      </c>
      <c r="B1682" t="s" s="11">
        <v>10</v>
      </c>
      <c r="C1682" t="s" s="12">
        <v>338</v>
      </c>
      <c r="D1682" s="13">
        <v>33440</v>
      </c>
      <c r="E1682" s="13"/>
      <c r="F1682" s="14"/>
      <c r="G1682" s="14"/>
      <c r="H1682" s="14"/>
      <c r="I1682" s="14"/>
    </row>
    <row r="1683" ht="20.7" customHeight="1">
      <c r="A1683" s="10">
        <v>45543</v>
      </c>
      <c r="B1683" t="s" s="11">
        <v>8</v>
      </c>
      <c r="C1683" t="s" s="12">
        <v>8</v>
      </c>
      <c r="D1683" s="15" cm="1">
        <f t="array" ref="D1683">SUM(D1681:D1682)</f>
        <v>33440</v>
      </c>
      <c r="E1683" s="15" cm="1">
        <f t="array" ref="E1683">SUM(E1681:E1682)</f>
        <v>33440</v>
      </c>
      <c r="F1683" s="16" cm="1">
        <f t="array" ref="F1683">SUM(F1681:F1682)</f>
        <v>0</v>
      </c>
      <c r="G1683" s="16" cm="1">
        <f t="array" ref="G1683">SUM(G1681:G1682)</f>
        <v>0</v>
      </c>
      <c r="H1683" s="16" cm="1">
        <f t="array" ref="H1683">SUM(H1681:H1682)</f>
        <v>0</v>
      </c>
      <c r="I1683" s="16" cm="1">
        <f t="array" ref="I1683">SUM(I1681:I1682)</f>
        <v>0</v>
      </c>
    </row>
    <row r="1684" ht="20.65" customHeight="1">
      <c r="A1684" s="10">
        <v>45543</v>
      </c>
      <c r="B1684" t="s" s="11">
        <v>93</v>
      </c>
      <c r="C1684" t="s" s="12">
        <v>70</v>
      </c>
      <c r="D1684" s="17">
        <v>20000</v>
      </c>
      <c r="E1684" s="17"/>
      <c r="F1684" s="18"/>
      <c r="G1684" s="18"/>
      <c r="H1684" s="18"/>
      <c r="I1684" s="18"/>
    </row>
    <row r="1685" ht="20.65" customHeight="1">
      <c r="A1685" s="10">
        <v>45543</v>
      </c>
      <c r="B1685" t="s" s="11">
        <v>21</v>
      </c>
      <c r="C1685" t="s" s="12">
        <v>70</v>
      </c>
      <c r="D1685" s="13"/>
      <c r="E1685" s="13">
        <v>20000</v>
      </c>
      <c r="F1685" s="14"/>
      <c r="G1685" s="14"/>
      <c r="H1685" s="14"/>
      <c r="I1685" s="14"/>
    </row>
    <row r="1686" ht="20.7" customHeight="1">
      <c r="A1686" s="10">
        <v>45543</v>
      </c>
      <c r="B1686" t="s" s="11">
        <v>8</v>
      </c>
      <c r="C1686" t="s" s="12">
        <v>8</v>
      </c>
      <c r="D1686" s="15" cm="1">
        <f t="array" ref="D1686">SUM(D1684:D1685)</f>
        <v>20000</v>
      </c>
      <c r="E1686" s="15" cm="1">
        <f t="array" ref="E1686">SUM(E1684:E1685)</f>
        <v>20000</v>
      </c>
      <c r="F1686" s="16" cm="1">
        <f t="array" ref="F1686">SUM(F1684:F1685)</f>
        <v>0</v>
      </c>
      <c r="G1686" s="16" cm="1">
        <f t="array" ref="G1686">SUM(G1684:G1685)</f>
        <v>0</v>
      </c>
      <c r="H1686" s="16" cm="1">
        <f t="array" ref="H1686">SUM(H1684:H1685)</f>
        <v>0</v>
      </c>
      <c r="I1686" s="16" cm="1">
        <f t="array" ref="I1686">SUM(I1684:I1685)</f>
        <v>0</v>
      </c>
    </row>
    <row r="1687" ht="20.35" customHeight="1">
      <c r="A1687" s="10">
        <v>45543</v>
      </c>
      <c r="B1687" t="s" s="11">
        <v>93</v>
      </c>
      <c r="C1687" t="s" s="12">
        <v>96</v>
      </c>
      <c r="D1687" s="17"/>
      <c r="E1687" s="17">
        <v>20000</v>
      </c>
      <c r="F1687" s="18"/>
      <c r="G1687" s="18"/>
      <c r="H1687" s="18"/>
      <c r="I1687" s="18"/>
    </row>
    <row r="1688" ht="20.35" customHeight="1">
      <c r="A1688" s="10">
        <v>45543</v>
      </c>
      <c r="B1688" t="s" s="11">
        <v>5</v>
      </c>
      <c r="C1688" t="s" s="12">
        <v>96</v>
      </c>
      <c r="D1688" s="13">
        <v>20000</v>
      </c>
      <c r="E1688" s="13"/>
      <c r="F1688" s="14"/>
      <c r="G1688" s="14"/>
      <c r="H1688" s="14"/>
      <c r="I1688" s="14"/>
    </row>
    <row r="1689" ht="20.7" customHeight="1">
      <c r="A1689" s="10">
        <v>45543</v>
      </c>
      <c r="B1689" t="s" s="11">
        <v>8</v>
      </c>
      <c r="C1689" t="s" s="12">
        <v>8</v>
      </c>
      <c r="D1689" s="15" cm="1">
        <f t="array" ref="D1689">SUM(D1687:D1688)</f>
        <v>20000</v>
      </c>
      <c r="E1689" s="15" cm="1">
        <f t="array" ref="E1689">SUM(E1687:E1688)</f>
        <v>20000</v>
      </c>
      <c r="F1689" s="16" cm="1">
        <f t="array" ref="F1689">SUM(F1687:F1688)</f>
        <v>0</v>
      </c>
      <c r="G1689" s="16" cm="1">
        <f t="array" ref="G1689">SUM(G1687:G1688)</f>
        <v>0</v>
      </c>
      <c r="H1689" s="16" cm="1">
        <f t="array" ref="H1689">SUM(H1687:H1688)</f>
        <v>0</v>
      </c>
      <c r="I1689" s="16" cm="1">
        <f t="array" ref="I1689">SUM(I1687:I1688)</f>
        <v>0</v>
      </c>
    </row>
    <row r="1690" ht="20.35" customHeight="1">
      <c r="A1690" s="10">
        <v>45543</v>
      </c>
      <c r="B1690" t="s" s="11">
        <v>5</v>
      </c>
      <c r="C1690" t="s" s="12">
        <v>339</v>
      </c>
      <c r="D1690" s="17"/>
      <c r="E1690" s="17">
        <v>2333</v>
      </c>
      <c r="F1690" s="18"/>
      <c r="G1690" s="18"/>
      <c r="H1690" s="18"/>
      <c r="I1690" s="18"/>
    </row>
    <row r="1691" ht="20.35" customHeight="1">
      <c r="A1691" s="10">
        <v>45543</v>
      </c>
      <c r="B1691" t="s" s="11">
        <v>21</v>
      </c>
      <c r="C1691" t="s" s="12">
        <v>339</v>
      </c>
      <c r="D1691" s="13">
        <v>2333</v>
      </c>
      <c r="E1691" s="13"/>
      <c r="F1691" s="14"/>
      <c r="G1691" s="14"/>
      <c r="H1691" s="14"/>
      <c r="I1691" s="14"/>
    </row>
    <row r="1692" ht="20.7" customHeight="1">
      <c r="A1692" s="10">
        <v>45543</v>
      </c>
      <c r="B1692" t="s" s="11">
        <v>8</v>
      </c>
      <c r="C1692" t="s" s="12">
        <v>8</v>
      </c>
      <c r="D1692" s="15" cm="1">
        <f t="array" ref="D1692">SUM(D1690:D1691)</f>
        <v>2333</v>
      </c>
      <c r="E1692" s="15" cm="1">
        <f t="array" ref="E1692">SUM(E1690:E1691)</f>
        <v>2333</v>
      </c>
      <c r="F1692" s="16" cm="1">
        <f t="array" ref="F1692">SUM(F1690:F1691)</f>
        <v>0</v>
      </c>
      <c r="G1692" s="16" cm="1">
        <f t="array" ref="G1692">SUM(G1690:G1691)</f>
        <v>0</v>
      </c>
      <c r="H1692" s="16" cm="1">
        <f t="array" ref="H1692">SUM(H1690:H1691)</f>
        <v>0</v>
      </c>
      <c r="I1692" s="16" cm="1">
        <f t="array" ref="I1692">SUM(I1690:I1691)</f>
        <v>0</v>
      </c>
    </row>
    <row r="1693" ht="20.35" customHeight="1">
      <c r="A1693" s="10">
        <v>45543</v>
      </c>
      <c r="B1693" t="s" s="11">
        <v>5</v>
      </c>
      <c r="C1693" t="s" s="12">
        <v>202</v>
      </c>
      <c r="D1693" s="17"/>
      <c r="E1693" s="17">
        <v>10000</v>
      </c>
      <c r="F1693" s="18"/>
      <c r="G1693" s="18"/>
      <c r="H1693" s="18"/>
      <c r="I1693" s="18"/>
    </row>
    <row r="1694" ht="20.35" customHeight="1">
      <c r="A1694" s="10">
        <v>45543</v>
      </c>
      <c r="B1694" t="s" s="11">
        <v>93</v>
      </c>
      <c r="C1694" t="s" s="12">
        <v>202</v>
      </c>
      <c r="D1694" s="13">
        <v>10000</v>
      </c>
      <c r="E1694" s="13"/>
      <c r="F1694" s="14"/>
      <c r="G1694" s="14"/>
      <c r="H1694" s="14"/>
      <c r="I1694" s="14"/>
    </row>
    <row r="1695" ht="20.7" customHeight="1">
      <c r="A1695" s="10">
        <v>45543</v>
      </c>
      <c r="B1695" t="s" s="11">
        <v>8</v>
      </c>
      <c r="C1695" t="s" s="12">
        <v>8</v>
      </c>
      <c r="D1695" s="15" cm="1">
        <f t="array" ref="D1695">SUM(D1693:D1694)</f>
        <v>10000</v>
      </c>
      <c r="E1695" s="15" cm="1">
        <f t="array" ref="E1695">SUM(E1693:E1694)</f>
        <v>10000</v>
      </c>
      <c r="F1695" s="16" cm="1">
        <f t="array" ref="F1695">SUM(F1693:F1694)</f>
        <v>0</v>
      </c>
      <c r="G1695" s="16" cm="1">
        <f t="array" ref="G1695">SUM(G1693:G1694)</f>
        <v>0</v>
      </c>
      <c r="H1695" s="16" cm="1">
        <f t="array" ref="H1695">SUM(H1693:H1694)</f>
        <v>0</v>
      </c>
      <c r="I1695" s="16" cm="1">
        <f t="array" ref="I1695">SUM(I1693:I1694)</f>
        <v>0</v>
      </c>
    </row>
    <row r="1696" ht="20.35" customHeight="1">
      <c r="A1696" s="10">
        <v>45543</v>
      </c>
      <c r="B1696" t="s" s="11">
        <v>93</v>
      </c>
      <c r="C1696" t="s" s="12">
        <v>20</v>
      </c>
      <c r="D1696" s="17"/>
      <c r="E1696" s="17">
        <v>7500</v>
      </c>
      <c r="F1696" s="18"/>
      <c r="G1696" s="18"/>
      <c r="H1696" s="18"/>
      <c r="I1696" s="18"/>
    </row>
    <row r="1697" ht="20.35" customHeight="1">
      <c r="A1697" s="10">
        <v>45543</v>
      </c>
      <c r="B1697" t="s" s="11">
        <v>21</v>
      </c>
      <c r="C1697" t="s" s="12">
        <v>20</v>
      </c>
      <c r="D1697" s="13">
        <v>7500</v>
      </c>
      <c r="E1697" s="13"/>
      <c r="F1697" s="14"/>
      <c r="G1697" s="14"/>
      <c r="H1697" s="14"/>
      <c r="I1697" s="14"/>
    </row>
    <row r="1698" ht="20.7" customHeight="1">
      <c r="A1698" s="10">
        <v>45543</v>
      </c>
      <c r="B1698" t="s" s="11">
        <v>8</v>
      </c>
      <c r="C1698" t="s" s="12">
        <v>8</v>
      </c>
      <c r="D1698" s="15" cm="1">
        <f t="array" ref="D1698">SUM(D1696:D1697)</f>
        <v>7500</v>
      </c>
      <c r="E1698" s="15" cm="1">
        <f t="array" ref="E1698">SUM(E1696:E1697)</f>
        <v>7500</v>
      </c>
      <c r="F1698" s="16" cm="1">
        <f t="array" ref="F1698">SUM(F1696:F1697)</f>
        <v>0</v>
      </c>
      <c r="G1698" s="16" cm="1">
        <f t="array" ref="G1698">SUM(G1696:G1697)</f>
        <v>0</v>
      </c>
      <c r="H1698" s="16" cm="1">
        <f t="array" ref="H1698">SUM(H1696:H1697)</f>
        <v>0</v>
      </c>
      <c r="I1698" s="16" cm="1">
        <f t="array" ref="I1698">SUM(I1696:I1697)</f>
        <v>0</v>
      </c>
    </row>
    <row r="1699" ht="20.35" customHeight="1">
      <c r="A1699" s="10">
        <v>45543</v>
      </c>
      <c r="B1699" t="s" s="11">
        <v>5</v>
      </c>
      <c r="C1699" t="s" s="12">
        <v>96</v>
      </c>
      <c r="D1699" s="17">
        <v>2500</v>
      </c>
      <c r="E1699" s="17"/>
      <c r="F1699" s="18"/>
      <c r="G1699" s="18"/>
      <c r="H1699" s="18"/>
      <c r="I1699" s="18"/>
    </row>
    <row r="1700" ht="20.35" customHeight="1">
      <c r="A1700" s="10">
        <v>45543</v>
      </c>
      <c r="B1700" t="s" s="11">
        <v>93</v>
      </c>
      <c r="C1700" t="s" s="12">
        <v>96</v>
      </c>
      <c r="D1700" s="13"/>
      <c r="E1700" s="13">
        <v>2500</v>
      </c>
      <c r="F1700" s="14"/>
      <c r="G1700" s="14"/>
      <c r="H1700" s="14"/>
      <c r="I1700" s="14"/>
    </row>
    <row r="1701" ht="20.7" customHeight="1">
      <c r="A1701" s="10">
        <v>45543</v>
      </c>
      <c r="B1701" t="s" s="11">
        <v>8</v>
      </c>
      <c r="C1701" t="s" s="12">
        <v>8</v>
      </c>
      <c r="D1701" s="15" cm="1">
        <f t="array" ref="D1701">SUM(D1699:D1700)</f>
        <v>2500</v>
      </c>
      <c r="E1701" s="15" cm="1">
        <f t="array" ref="E1701">SUM(E1699:E1700)</f>
        <v>2500</v>
      </c>
      <c r="F1701" s="16" cm="1">
        <f t="array" ref="F1701">SUM(F1699:F1700)</f>
        <v>0</v>
      </c>
      <c r="G1701" s="16" cm="1">
        <f t="array" ref="G1701">SUM(G1699:G1700)</f>
        <v>0</v>
      </c>
      <c r="H1701" s="16" cm="1">
        <f t="array" ref="H1701">SUM(H1699:H1700)</f>
        <v>0</v>
      </c>
      <c r="I1701" s="16" cm="1">
        <f t="array" ref="I1701">SUM(I1699:I1700)</f>
        <v>0</v>
      </c>
    </row>
    <row r="1702" ht="20.35" customHeight="1">
      <c r="A1702" s="10">
        <v>45543</v>
      </c>
      <c r="B1702" t="s" s="11">
        <v>5</v>
      </c>
      <c r="C1702" t="s" s="12">
        <v>17</v>
      </c>
      <c r="D1702" s="17">
        <v>100</v>
      </c>
      <c r="E1702" s="17"/>
      <c r="F1702" s="18"/>
      <c r="G1702" s="18"/>
      <c r="H1702" s="18"/>
      <c r="I1702" s="18"/>
    </row>
    <row r="1703" ht="20.35" customHeight="1">
      <c r="A1703" s="10">
        <v>45543</v>
      </c>
      <c r="B1703" t="s" s="11">
        <v>18</v>
      </c>
      <c r="C1703" t="s" s="12">
        <v>17</v>
      </c>
      <c r="D1703" s="13"/>
      <c r="E1703" s="13">
        <v>100</v>
      </c>
      <c r="F1703" s="14"/>
      <c r="G1703" s="14"/>
      <c r="H1703" s="14"/>
      <c r="I1703" s="14"/>
    </row>
    <row r="1704" ht="20.7" customHeight="1">
      <c r="A1704" s="10">
        <v>45543</v>
      </c>
      <c r="B1704" t="s" s="11">
        <v>8</v>
      </c>
      <c r="C1704" t="s" s="12">
        <v>8</v>
      </c>
      <c r="D1704" s="15" cm="1">
        <f t="array" ref="D1704">SUM(D1702:D1703)</f>
        <v>100</v>
      </c>
      <c r="E1704" s="15" cm="1">
        <f t="array" ref="E1704">SUM(E1702:E1703)</f>
        <v>100</v>
      </c>
      <c r="F1704" s="16" cm="1">
        <f t="array" ref="F1704">SUM(F1702:F1703)</f>
        <v>0</v>
      </c>
      <c r="G1704" s="16" cm="1">
        <f t="array" ref="G1704">SUM(G1702:G1703)</f>
        <v>0</v>
      </c>
      <c r="H1704" s="16" cm="1">
        <f t="array" ref="H1704">SUM(H1702:H1703)</f>
        <v>0</v>
      </c>
      <c r="I1704" s="16" cm="1">
        <f t="array" ref="I1704">SUM(I1702:I1703)</f>
        <v>0</v>
      </c>
    </row>
    <row r="1705" ht="21.25" customHeight="1">
      <c r="A1705" s="10">
        <v>45543</v>
      </c>
      <c r="B1705" t="s" s="11">
        <v>5</v>
      </c>
      <c r="C1705" t="s" s="12">
        <v>340</v>
      </c>
      <c r="D1705" s="17">
        <v>10000</v>
      </c>
      <c r="E1705" s="17"/>
      <c r="F1705" s="18"/>
      <c r="G1705" s="18"/>
      <c r="H1705" s="18"/>
      <c r="I1705" s="18"/>
    </row>
    <row r="1706" ht="20.9" customHeight="1">
      <c r="A1706" s="10">
        <v>45543</v>
      </c>
      <c r="B1706" t="s" s="11">
        <v>257</v>
      </c>
      <c r="C1706" t="s" s="12">
        <v>340</v>
      </c>
      <c r="D1706" s="19"/>
      <c r="E1706" s="19">
        <v>7549</v>
      </c>
      <c r="F1706" s="20"/>
      <c r="G1706" s="20"/>
      <c r="H1706" s="20"/>
      <c r="I1706" s="20"/>
    </row>
    <row r="1707" ht="20.9" customHeight="1">
      <c r="A1707" s="10">
        <v>45543</v>
      </c>
      <c r="B1707" t="s" s="11">
        <v>72</v>
      </c>
      <c r="C1707" t="s" s="12">
        <v>340</v>
      </c>
      <c r="D1707" s="19"/>
      <c r="E1707" s="19">
        <v>842</v>
      </c>
      <c r="F1707" s="20"/>
      <c r="G1707" s="20"/>
      <c r="H1707" s="20"/>
      <c r="I1707" s="20"/>
    </row>
    <row r="1708" ht="20.9" customHeight="1">
      <c r="A1708" s="10">
        <v>45543</v>
      </c>
      <c r="B1708" t="s" s="11">
        <v>259</v>
      </c>
      <c r="C1708" t="s" s="12">
        <v>340</v>
      </c>
      <c r="D1708" s="19"/>
      <c r="E1708" s="19">
        <v>9</v>
      </c>
      <c r="F1708" s="20"/>
      <c r="G1708" s="20"/>
      <c r="H1708" s="20"/>
      <c r="I1708" s="20"/>
    </row>
    <row r="1709" ht="21.25" customHeight="1">
      <c r="A1709" s="10">
        <v>45543</v>
      </c>
      <c r="B1709" t="s" s="11">
        <v>255</v>
      </c>
      <c r="C1709" t="s" s="12">
        <v>340</v>
      </c>
      <c r="D1709" s="13"/>
      <c r="E1709" s="13">
        <v>1600</v>
      </c>
      <c r="F1709" s="14"/>
      <c r="G1709" s="14"/>
      <c r="H1709" s="14"/>
      <c r="I1709" s="14"/>
    </row>
    <row r="1710" ht="20.7" customHeight="1">
      <c r="A1710" s="10">
        <v>45543</v>
      </c>
      <c r="B1710" t="s" s="11">
        <v>8</v>
      </c>
      <c r="C1710" t="s" s="12">
        <v>8</v>
      </c>
      <c r="D1710" s="15" cm="1">
        <f t="array" ref="D1710">SUM(D1705:D1709)</f>
        <v>10000</v>
      </c>
      <c r="E1710" s="15" cm="1">
        <f t="array" ref="E1710">SUM(E1705:E1709)</f>
        <v>10000</v>
      </c>
      <c r="F1710" s="16" cm="1">
        <f t="array" ref="F1710">SUM(F1705:F1709)</f>
        <v>0</v>
      </c>
      <c r="G1710" s="16" cm="1">
        <f t="array" ref="G1710">SUM(G1705:G1709)</f>
        <v>0</v>
      </c>
      <c r="H1710" s="16" cm="1">
        <f t="array" ref="H1710">SUM(H1705:H1709)</f>
        <v>0</v>
      </c>
      <c r="I1710" s="16" cm="1">
        <f t="array" ref="I1710">SUM(I1705:I1709)</f>
        <v>0</v>
      </c>
    </row>
    <row r="1711" ht="21.25" customHeight="1">
      <c r="A1711" s="10">
        <v>45543</v>
      </c>
      <c r="B1711" t="s" s="11">
        <v>21</v>
      </c>
      <c r="C1711" t="s" s="12">
        <v>341</v>
      </c>
      <c r="D1711" s="17"/>
      <c r="E1711" s="17">
        <v>2900</v>
      </c>
      <c r="F1711" s="18"/>
      <c r="G1711" s="18"/>
      <c r="H1711" s="18"/>
      <c r="I1711" s="18"/>
    </row>
    <row r="1712" ht="21.25" customHeight="1">
      <c r="A1712" s="10">
        <v>45543</v>
      </c>
      <c r="B1712" t="s" s="11">
        <v>16</v>
      </c>
      <c r="C1712" t="s" s="12">
        <v>341</v>
      </c>
      <c r="D1712" s="13">
        <v>2900</v>
      </c>
      <c r="E1712" s="13"/>
      <c r="F1712" s="14"/>
      <c r="G1712" s="14"/>
      <c r="H1712" s="14"/>
      <c r="I1712" s="14"/>
    </row>
    <row r="1713" ht="20.7" customHeight="1">
      <c r="A1713" s="10">
        <v>45543</v>
      </c>
      <c r="B1713" t="s" s="11">
        <v>8</v>
      </c>
      <c r="C1713" t="s" s="12">
        <v>8</v>
      </c>
      <c r="D1713" s="15" cm="1">
        <f t="array" ref="D1713">SUM(D1711:D1712)</f>
        <v>2900</v>
      </c>
      <c r="E1713" s="15" cm="1">
        <f t="array" ref="E1713">SUM(E1711:E1712)</f>
        <v>2900</v>
      </c>
      <c r="F1713" s="16" cm="1">
        <f t="array" ref="F1713">SUM(F1711:F1712)</f>
        <v>0</v>
      </c>
      <c r="G1713" s="16" cm="1">
        <f t="array" ref="G1713">SUM(G1711:G1712)</f>
        <v>0</v>
      </c>
      <c r="H1713" s="16" cm="1">
        <f t="array" ref="H1713">SUM(H1711:H1712)</f>
        <v>0</v>
      </c>
      <c r="I1713" s="16" cm="1">
        <f t="array" ref="I1713">SUM(I1711:I1712)</f>
        <v>0</v>
      </c>
    </row>
    <row r="1714" ht="20.35" customHeight="1">
      <c r="A1714" s="10">
        <v>45543</v>
      </c>
      <c r="B1714" t="s" s="11">
        <v>5</v>
      </c>
      <c r="C1714" t="s" s="12">
        <v>342</v>
      </c>
      <c r="D1714" s="17">
        <v>3500</v>
      </c>
      <c r="E1714" s="17"/>
      <c r="F1714" s="18"/>
      <c r="G1714" s="18"/>
      <c r="H1714" s="18"/>
      <c r="I1714" s="18"/>
    </row>
    <row r="1715" ht="20.35" customHeight="1">
      <c r="A1715" s="10">
        <v>45543</v>
      </c>
      <c r="B1715" t="s" s="11">
        <v>10</v>
      </c>
      <c r="C1715" t="s" s="12">
        <v>342</v>
      </c>
      <c r="D1715" s="13"/>
      <c r="E1715" s="13">
        <v>3500</v>
      </c>
      <c r="F1715" s="14"/>
      <c r="G1715" s="14"/>
      <c r="H1715" s="14"/>
      <c r="I1715" s="14"/>
    </row>
    <row r="1716" ht="20.7" customHeight="1">
      <c r="A1716" s="10">
        <v>45543</v>
      </c>
      <c r="B1716" t="s" s="11">
        <v>8</v>
      </c>
      <c r="C1716" t="s" s="12">
        <v>8</v>
      </c>
      <c r="D1716" s="15" cm="1">
        <f t="array" ref="D1716">SUM(D1714:D1715)</f>
        <v>3500</v>
      </c>
      <c r="E1716" s="15" cm="1">
        <f t="array" ref="E1716">SUM(E1714:E1715)</f>
        <v>3500</v>
      </c>
      <c r="F1716" s="16" cm="1">
        <f t="array" ref="F1716">SUM(F1714:F1715)</f>
        <v>0</v>
      </c>
      <c r="G1716" s="16" cm="1">
        <f t="array" ref="G1716">SUM(G1714:G1715)</f>
        <v>0</v>
      </c>
      <c r="H1716" s="16" cm="1">
        <f t="array" ref="H1716">SUM(H1714:H1715)</f>
        <v>0</v>
      </c>
      <c r="I1716" s="16" cm="1">
        <f t="array" ref="I1716">SUM(I1714:I1715)</f>
        <v>0</v>
      </c>
    </row>
    <row r="1717" ht="21.25" customHeight="1">
      <c r="A1717" s="10">
        <v>45544</v>
      </c>
      <c r="B1717" t="s" s="11">
        <v>5</v>
      </c>
      <c r="C1717" t="s" s="12">
        <v>343</v>
      </c>
      <c r="D1717" s="17"/>
      <c r="E1717" s="17">
        <v>5000</v>
      </c>
      <c r="F1717" s="18"/>
      <c r="G1717" s="18"/>
      <c r="H1717" s="18"/>
      <c r="I1717" s="18"/>
    </row>
    <row r="1718" ht="20.9" customHeight="1">
      <c r="A1718" s="10">
        <v>45544</v>
      </c>
      <c r="B1718" t="s" s="11">
        <v>89</v>
      </c>
      <c r="C1718" t="s" s="12">
        <v>343</v>
      </c>
      <c r="D1718" s="19" cm="1">
        <f t="array" ref="D1718">5000*2/3</f>
        <v>3333.333333333330</v>
      </c>
      <c r="E1718" s="19"/>
      <c r="F1718" s="20"/>
      <c r="G1718" s="20"/>
      <c r="H1718" s="20"/>
      <c r="I1718" s="20"/>
    </row>
    <row r="1719" ht="21.25" customHeight="1">
      <c r="A1719" s="10">
        <v>45544</v>
      </c>
      <c r="B1719" t="s" s="11">
        <v>12</v>
      </c>
      <c r="C1719" t="s" s="12">
        <v>343</v>
      </c>
      <c r="D1719" s="13" cm="1">
        <f t="array" ref="D1719">5000/3</f>
        <v>1666.666666666670</v>
      </c>
      <c r="E1719" s="13"/>
      <c r="F1719" s="14"/>
      <c r="G1719" s="14"/>
      <c r="H1719" s="14"/>
      <c r="I1719" s="14"/>
    </row>
    <row r="1720" ht="20.7" customHeight="1">
      <c r="A1720" s="10">
        <v>45544</v>
      </c>
      <c r="B1720" t="s" s="11">
        <v>8</v>
      </c>
      <c r="C1720" t="s" s="12">
        <v>8</v>
      </c>
      <c r="D1720" s="15" cm="1">
        <f t="array" ref="D1720">SUM(D1717:D1719)</f>
        <v>5000</v>
      </c>
      <c r="E1720" s="15" cm="1">
        <f t="array" ref="E1720">SUM(E1717:E1719)</f>
        <v>5000</v>
      </c>
      <c r="F1720" s="16" cm="1">
        <f t="array" ref="F1720">SUM(F1717:F1719)</f>
        <v>0</v>
      </c>
      <c r="G1720" s="16" cm="1">
        <f t="array" ref="G1720">SUM(G1717:G1719)</f>
        <v>0</v>
      </c>
      <c r="H1720" s="16" cm="1">
        <f t="array" ref="H1720">SUM(H1717:H1719)</f>
        <v>0</v>
      </c>
      <c r="I1720" s="16" cm="1">
        <f t="array" ref="I1720">SUM(I1717:I1719)</f>
        <v>0</v>
      </c>
    </row>
    <row r="1721" ht="21.25" customHeight="1">
      <c r="A1721" s="10">
        <v>45544</v>
      </c>
      <c r="B1721" t="s" s="11">
        <v>5</v>
      </c>
      <c r="C1721" t="s" s="12">
        <v>343</v>
      </c>
      <c r="D1721" s="17"/>
      <c r="E1721" s="17">
        <v>5000</v>
      </c>
      <c r="F1721" s="18"/>
      <c r="G1721" s="18"/>
      <c r="H1721" s="18"/>
      <c r="I1721" s="18"/>
    </row>
    <row r="1722" ht="20.9" customHeight="1">
      <c r="A1722" s="10">
        <v>45544</v>
      </c>
      <c r="B1722" t="s" s="11">
        <v>89</v>
      </c>
      <c r="C1722" t="s" s="12">
        <v>343</v>
      </c>
      <c r="D1722" s="19" cm="1">
        <f t="array" ref="D1722">5000*2/3</f>
        <v>3333.333333333330</v>
      </c>
      <c r="E1722" s="19"/>
      <c r="F1722" s="20"/>
      <c r="G1722" s="20"/>
      <c r="H1722" s="20"/>
      <c r="I1722" s="20"/>
    </row>
    <row r="1723" ht="21.25" customHeight="1">
      <c r="A1723" s="10">
        <v>45544</v>
      </c>
      <c r="B1723" t="s" s="11">
        <v>12</v>
      </c>
      <c r="C1723" t="s" s="12">
        <v>343</v>
      </c>
      <c r="D1723" s="13" cm="1">
        <f t="array" ref="D1723">5000/3</f>
        <v>1666.666666666670</v>
      </c>
      <c r="E1723" s="13"/>
      <c r="F1723" s="14"/>
      <c r="G1723" s="14"/>
      <c r="H1723" s="14"/>
      <c r="I1723" s="14"/>
    </row>
    <row r="1724" ht="20.7" customHeight="1">
      <c r="A1724" s="10">
        <v>45544</v>
      </c>
      <c r="B1724" t="s" s="11">
        <v>8</v>
      </c>
      <c r="C1724" t="s" s="12">
        <v>8</v>
      </c>
      <c r="D1724" s="15" cm="1">
        <f t="array" ref="D1724">SUM(D1721:D1723)</f>
        <v>5000</v>
      </c>
      <c r="E1724" s="15" cm="1">
        <f t="array" ref="E1724">SUM(E1721:E1723)</f>
        <v>5000</v>
      </c>
      <c r="F1724" s="16" cm="1">
        <f t="array" ref="F1724">SUM(F1721:F1723)</f>
        <v>0</v>
      </c>
      <c r="G1724" s="16" cm="1">
        <f t="array" ref="G1724">SUM(G1721:G1723)</f>
        <v>0</v>
      </c>
      <c r="H1724" s="16" cm="1">
        <f t="array" ref="H1724">SUM(H1721:H1723)</f>
        <v>0</v>
      </c>
      <c r="I1724" s="16" cm="1">
        <f t="array" ref="I1724">SUM(I1721:I1723)</f>
        <v>0</v>
      </c>
    </row>
    <row r="1725" ht="20.35" customHeight="1">
      <c r="A1725" s="10">
        <v>45544</v>
      </c>
      <c r="B1725" t="s" s="11">
        <v>107</v>
      </c>
      <c r="C1725" t="s" s="12">
        <v>344</v>
      </c>
      <c r="D1725" s="17">
        <v>3333</v>
      </c>
      <c r="E1725" s="17"/>
      <c r="F1725" s="18"/>
      <c r="G1725" s="18"/>
      <c r="H1725" s="18"/>
      <c r="I1725" s="18"/>
    </row>
    <row r="1726" ht="20.35" customHeight="1">
      <c r="A1726" s="10">
        <v>45544</v>
      </c>
      <c r="B1726" t="s" s="11">
        <v>89</v>
      </c>
      <c r="C1726" t="s" s="12">
        <v>344</v>
      </c>
      <c r="D1726" s="13"/>
      <c r="E1726" s="13">
        <v>3333</v>
      </c>
      <c r="F1726" s="14"/>
      <c r="G1726" s="14"/>
      <c r="H1726" s="14"/>
      <c r="I1726" s="14"/>
    </row>
    <row r="1727" ht="20.7" customHeight="1">
      <c r="A1727" s="10">
        <v>45544</v>
      </c>
      <c r="B1727" t="s" s="11">
        <v>8</v>
      </c>
      <c r="C1727" t="s" s="12">
        <v>8</v>
      </c>
      <c r="D1727" s="15" cm="1">
        <f t="array" ref="D1727">SUM(D1725:D1726)</f>
        <v>3333</v>
      </c>
      <c r="E1727" s="15" cm="1">
        <f t="array" ref="E1727">SUM(E1725:E1726)</f>
        <v>3333</v>
      </c>
      <c r="F1727" s="16" cm="1">
        <f t="array" ref="F1727">SUM(F1725:F1726)</f>
        <v>0</v>
      </c>
      <c r="G1727" s="16" cm="1">
        <f t="array" ref="G1727">SUM(G1725:G1726)</f>
        <v>0</v>
      </c>
      <c r="H1727" s="16" cm="1">
        <f t="array" ref="H1727">SUM(H1725:H1726)</f>
        <v>0</v>
      </c>
      <c r="I1727" s="16" cm="1">
        <f t="array" ref="I1727">SUM(I1725:I1726)</f>
        <v>0</v>
      </c>
    </row>
    <row r="1728" ht="20.35" customHeight="1">
      <c r="A1728" s="10">
        <v>45544</v>
      </c>
      <c r="B1728" t="s" s="11">
        <v>107</v>
      </c>
      <c r="C1728" t="s" s="12">
        <v>345</v>
      </c>
      <c r="D1728" s="17">
        <v>3333</v>
      </c>
      <c r="E1728" s="17"/>
      <c r="F1728" s="18"/>
      <c r="G1728" s="18"/>
      <c r="H1728" s="18"/>
      <c r="I1728" s="18"/>
    </row>
    <row r="1729" ht="20.35" customHeight="1">
      <c r="A1729" s="10">
        <v>45544</v>
      </c>
      <c r="B1729" t="s" s="11">
        <v>89</v>
      </c>
      <c r="C1729" t="s" s="12">
        <v>345</v>
      </c>
      <c r="D1729" s="13"/>
      <c r="E1729" s="13">
        <v>3333</v>
      </c>
      <c r="F1729" s="14"/>
      <c r="G1729" s="14"/>
      <c r="H1729" s="14"/>
      <c r="I1729" s="14"/>
    </row>
    <row r="1730" ht="20.7" customHeight="1">
      <c r="A1730" s="10">
        <v>45544</v>
      </c>
      <c r="B1730" t="s" s="11">
        <v>8</v>
      </c>
      <c r="C1730" t="s" s="12">
        <v>8</v>
      </c>
      <c r="D1730" s="15" cm="1">
        <f t="array" ref="D1730">SUM(D1728:D1729)</f>
        <v>3333</v>
      </c>
      <c r="E1730" s="15" cm="1">
        <f t="array" ref="E1730">SUM(E1728:E1729)</f>
        <v>3333</v>
      </c>
      <c r="F1730" s="16" cm="1">
        <f t="array" ref="F1730">SUM(F1728:F1729)</f>
        <v>0</v>
      </c>
      <c r="G1730" s="16" cm="1">
        <f t="array" ref="G1730">SUM(G1728:G1729)</f>
        <v>0</v>
      </c>
      <c r="H1730" s="16" cm="1">
        <f t="array" ref="H1730">SUM(H1728:H1729)</f>
        <v>0</v>
      </c>
      <c r="I1730" s="16" cm="1">
        <f t="array" ref="I1730">SUM(I1728:I1729)</f>
        <v>0</v>
      </c>
    </row>
    <row r="1731" ht="20.35" customHeight="1">
      <c r="A1731" s="10">
        <v>45544</v>
      </c>
      <c r="B1731" t="s" s="11">
        <v>5</v>
      </c>
      <c r="C1731" t="s" s="12">
        <v>96</v>
      </c>
      <c r="D1731" s="17">
        <v>6666</v>
      </c>
      <c r="E1731" s="17"/>
      <c r="F1731" s="18"/>
      <c r="G1731" s="18"/>
      <c r="H1731" s="18"/>
      <c r="I1731" s="18"/>
    </row>
    <row r="1732" ht="20.35" customHeight="1">
      <c r="A1732" s="10">
        <v>45544</v>
      </c>
      <c r="B1732" t="s" s="11">
        <v>107</v>
      </c>
      <c r="C1732" t="s" s="12">
        <v>96</v>
      </c>
      <c r="D1732" s="13"/>
      <c r="E1732" s="13">
        <v>6666</v>
      </c>
      <c r="F1732" s="14"/>
      <c r="G1732" s="14"/>
      <c r="H1732" s="14"/>
      <c r="I1732" s="14"/>
    </row>
    <row r="1733" ht="20.7" customHeight="1">
      <c r="A1733" s="10">
        <v>45544</v>
      </c>
      <c r="B1733" t="s" s="11">
        <v>8</v>
      </c>
      <c r="C1733" t="s" s="12">
        <v>8</v>
      </c>
      <c r="D1733" s="15" cm="1">
        <f t="array" ref="D1733">SUM(D1731:D1732)</f>
        <v>6666</v>
      </c>
      <c r="E1733" s="15" cm="1">
        <f t="array" ref="E1733">SUM(E1731:E1732)</f>
        <v>6666</v>
      </c>
      <c r="F1733" s="16" cm="1">
        <f t="array" ref="F1733">SUM(F1731:F1732)</f>
        <v>0</v>
      </c>
      <c r="G1733" s="16" cm="1">
        <f t="array" ref="G1733">SUM(G1731:G1732)</f>
        <v>0</v>
      </c>
      <c r="H1733" s="16" cm="1">
        <f t="array" ref="H1733">SUM(H1731:H1732)</f>
        <v>0</v>
      </c>
      <c r="I1733" s="16" cm="1">
        <f t="array" ref="I1733">SUM(I1731:I1732)</f>
        <v>0</v>
      </c>
    </row>
    <row r="1734" ht="20.35" customHeight="1">
      <c r="A1734" s="10">
        <v>45544</v>
      </c>
      <c r="B1734" t="s" s="11">
        <v>5</v>
      </c>
      <c r="C1734" t="s" s="12">
        <v>182</v>
      </c>
      <c r="D1734" s="17"/>
      <c r="E1734" s="17">
        <v>20000</v>
      </c>
      <c r="F1734" s="18"/>
      <c r="G1734" s="18"/>
      <c r="H1734" s="18"/>
      <c r="I1734" s="18"/>
    </row>
    <row r="1735" ht="20.35" customHeight="1">
      <c r="A1735" s="10">
        <v>45544</v>
      </c>
      <c r="B1735" t="s" s="11">
        <v>10</v>
      </c>
      <c r="C1735" t="s" s="12">
        <v>182</v>
      </c>
      <c r="D1735" s="13">
        <v>20000</v>
      </c>
      <c r="E1735" s="13"/>
      <c r="F1735" s="14"/>
      <c r="G1735" s="14"/>
      <c r="H1735" s="14"/>
      <c r="I1735" s="14"/>
    </row>
    <row r="1736" ht="20.7" customHeight="1">
      <c r="A1736" s="10">
        <v>45544</v>
      </c>
      <c r="B1736" t="s" s="11">
        <v>8</v>
      </c>
      <c r="C1736" t="s" s="12">
        <v>8</v>
      </c>
      <c r="D1736" s="15" cm="1">
        <f t="array" ref="D1736">SUM(D1734:D1735)</f>
        <v>20000</v>
      </c>
      <c r="E1736" s="15" cm="1">
        <f t="array" ref="E1736">SUM(E1734:E1735)</f>
        <v>20000</v>
      </c>
      <c r="F1736" s="16" cm="1">
        <f t="array" ref="F1736">SUM(F1734:F1735)</f>
        <v>0</v>
      </c>
      <c r="G1736" s="16" cm="1">
        <f t="array" ref="G1736">SUM(G1734:G1735)</f>
        <v>0</v>
      </c>
      <c r="H1736" s="16" cm="1">
        <f t="array" ref="H1736">SUM(H1734:H1735)</f>
        <v>0</v>
      </c>
      <c r="I1736" s="16" cm="1">
        <f t="array" ref="I1736">SUM(I1734:I1735)</f>
        <v>0</v>
      </c>
    </row>
    <row r="1737" ht="20.35" customHeight="1">
      <c r="A1737" s="10">
        <v>45544</v>
      </c>
      <c r="B1737" t="s" s="11">
        <v>5</v>
      </c>
      <c r="C1737" t="s" s="12">
        <v>17</v>
      </c>
      <c r="D1737" s="17">
        <v>100</v>
      </c>
      <c r="E1737" s="17"/>
      <c r="F1737" s="18"/>
      <c r="G1737" s="18"/>
      <c r="H1737" s="18"/>
      <c r="I1737" s="18"/>
    </row>
    <row r="1738" ht="20.35" customHeight="1">
      <c r="A1738" s="10">
        <v>45544</v>
      </c>
      <c r="B1738" t="s" s="11">
        <v>18</v>
      </c>
      <c r="C1738" t="s" s="12">
        <v>17</v>
      </c>
      <c r="D1738" s="13"/>
      <c r="E1738" s="13">
        <v>100</v>
      </c>
      <c r="F1738" s="14"/>
      <c r="G1738" s="14"/>
      <c r="H1738" s="14"/>
      <c r="I1738" s="14"/>
    </row>
    <row r="1739" ht="20.7" customHeight="1">
      <c r="A1739" s="10">
        <v>45544</v>
      </c>
      <c r="B1739" t="s" s="11">
        <v>8</v>
      </c>
      <c r="C1739" t="s" s="12">
        <v>8</v>
      </c>
      <c r="D1739" s="15" cm="1">
        <f t="array" ref="D1739">SUM(D1737:D1738)</f>
        <v>100</v>
      </c>
      <c r="E1739" s="15" cm="1">
        <f t="array" ref="E1739">SUM(E1737:E1738)</f>
        <v>100</v>
      </c>
      <c r="F1739" s="16" cm="1">
        <f t="array" ref="F1739">SUM(F1737:F1738)</f>
        <v>0</v>
      </c>
      <c r="G1739" s="16" cm="1">
        <f t="array" ref="G1739">SUM(G1737:G1738)</f>
        <v>0</v>
      </c>
      <c r="H1739" s="16" cm="1">
        <f t="array" ref="H1739">SUM(H1737:H1738)</f>
        <v>0</v>
      </c>
      <c r="I1739" s="16" cm="1">
        <f t="array" ref="I1739">SUM(I1737:I1738)</f>
        <v>0</v>
      </c>
    </row>
    <row r="1740" ht="20.35" customHeight="1">
      <c r="A1740" s="10">
        <v>45544</v>
      </c>
      <c r="B1740" t="s" s="11">
        <v>5</v>
      </c>
      <c r="C1740" t="s" s="12">
        <v>225</v>
      </c>
      <c r="D1740" s="17"/>
      <c r="E1740" s="17">
        <v>28530</v>
      </c>
      <c r="F1740" s="18"/>
      <c r="G1740" s="18"/>
      <c r="H1740" s="18"/>
      <c r="I1740" s="18"/>
    </row>
    <row r="1741" ht="20.05" customHeight="1">
      <c r="A1741" s="10">
        <v>45544</v>
      </c>
      <c r="B1741" t="s" s="11">
        <v>89</v>
      </c>
      <c r="C1741" t="s" s="12">
        <v>225</v>
      </c>
      <c r="D1741" s="19">
        <v>14265</v>
      </c>
      <c r="E1741" s="19"/>
      <c r="F1741" s="20"/>
      <c r="G1741" s="20"/>
      <c r="H1741" s="20"/>
      <c r="I1741" s="20"/>
    </row>
    <row r="1742" ht="20.35" customHeight="1">
      <c r="A1742" s="10">
        <v>45544</v>
      </c>
      <c r="B1742" t="s" s="11">
        <v>12</v>
      </c>
      <c r="C1742" t="s" s="12">
        <v>225</v>
      </c>
      <c r="D1742" s="13">
        <v>14265</v>
      </c>
      <c r="E1742" s="13"/>
      <c r="F1742" s="14"/>
      <c r="G1742" s="14"/>
      <c r="H1742" s="14"/>
      <c r="I1742" s="14"/>
    </row>
    <row r="1743" ht="20.7" customHeight="1">
      <c r="A1743" s="10">
        <v>45544</v>
      </c>
      <c r="B1743" t="s" s="11">
        <v>8</v>
      </c>
      <c r="C1743" t="s" s="12">
        <v>8</v>
      </c>
      <c r="D1743" s="15" cm="1">
        <f t="array" ref="D1743">SUM(D1740:D1742)</f>
        <v>28530</v>
      </c>
      <c r="E1743" s="15" cm="1">
        <f t="array" ref="E1743">SUM(E1740:E1742)</f>
        <v>28530</v>
      </c>
      <c r="F1743" s="16" cm="1">
        <f t="array" ref="F1743">SUM(F1740:F1742)</f>
        <v>0</v>
      </c>
      <c r="G1743" s="16" cm="1">
        <f t="array" ref="G1743">SUM(G1740:G1742)</f>
        <v>0</v>
      </c>
      <c r="H1743" s="16" cm="1">
        <f t="array" ref="H1743">SUM(H1740:H1742)</f>
        <v>0</v>
      </c>
      <c r="I1743" s="16" cm="1">
        <f t="array" ref="I1743">SUM(I1740:I1742)</f>
        <v>0</v>
      </c>
    </row>
    <row r="1744" ht="21.25" customHeight="1">
      <c r="A1744" s="10">
        <v>45544</v>
      </c>
      <c r="B1744" t="s" s="11">
        <v>21</v>
      </c>
      <c r="C1744" t="s" s="12">
        <v>346</v>
      </c>
      <c r="D1744" s="17"/>
      <c r="E1744" s="17">
        <v>3300</v>
      </c>
      <c r="F1744" s="18"/>
      <c r="G1744" s="18"/>
      <c r="H1744" s="18"/>
      <c r="I1744" s="18"/>
    </row>
    <row r="1745" ht="21.25" customHeight="1">
      <c r="A1745" s="10">
        <v>45544</v>
      </c>
      <c r="B1745" t="s" s="11">
        <v>16</v>
      </c>
      <c r="C1745" t="s" s="12">
        <v>346</v>
      </c>
      <c r="D1745" s="13">
        <v>3300</v>
      </c>
      <c r="E1745" s="13"/>
      <c r="F1745" s="14"/>
      <c r="G1745" s="14"/>
      <c r="H1745" s="14"/>
      <c r="I1745" s="14"/>
    </row>
    <row r="1746" ht="20.7" customHeight="1">
      <c r="A1746" s="10">
        <v>45544</v>
      </c>
      <c r="B1746" t="s" s="11">
        <v>8</v>
      </c>
      <c r="C1746" t="s" s="12">
        <v>8</v>
      </c>
      <c r="D1746" s="15" cm="1">
        <f t="array" ref="D1746">SUM(D1744:D1745)</f>
        <v>3300</v>
      </c>
      <c r="E1746" s="15" cm="1">
        <f t="array" ref="E1746">SUM(E1744:E1745)</f>
        <v>3300</v>
      </c>
      <c r="F1746" s="16" cm="1">
        <f t="array" ref="F1746">SUM(F1744:F1745)</f>
        <v>0</v>
      </c>
      <c r="G1746" s="16" cm="1">
        <f t="array" ref="G1746">SUM(G1744:G1745)</f>
        <v>0</v>
      </c>
      <c r="H1746" s="16" cm="1">
        <f t="array" ref="H1746">SUM(H1744:H1745)</f>
        <v>0</v>
      </c>
      <c r="I1746" s="16" cm="1">
        <f t="array" ref="I1746">SUM(I1744:I1745)</f>
        <v>0</v>
      </c>
    </row>
    <row r="1747" ht="20.35" customHeight="1">
      <c r="A1747" s="10">
        <v>45545</v>
      </c>
      <c r="B1747" t="s" s="11">
        <v>93</v>
      </c>
      <c r="C1747" t="s" s="12">
        <v>20</v>
      </c>
      <c r="D1747" s="17">
        <v>14265</v>
      </c>
      <c r="E1747" s="17"/>
      <c r="F1747" s="18"/>
      <c r="G1747" s="18"/>
      <c r="H1747" s="18"/>
      <c r="I1747" s="18"/>
    </row>
    <row r="1748" ht="20.35" customHeight="1">
      <c r="A1748" s="10">
        <v>45545</v>
      </c>
      <c r="B1748" t="s" s="11">
        <v>89</v>
      </c>
      <c r="C1748" t="s" s="12">
        <v>20</v>
      </c>
      <c r="D1748" s="13"/>
      <c r="E1748" s="13">
        <v>14265</v>
      </c>
      <c r="F1748" s="14"/>
      <c r="G1748" s="14"/>
      <c r="H1748" s="14"/>
      <c r="I1748" s="14"/>
    </row>
    <row r="1749" ht="20.7" customHeight="1">
      <c r="A1749" s="10">
        <v>45545</v>
      </c>
      <c r="B1749" t="s" s="11">
        <v>8</v>
      </c>
      <c r="C1749" t="s" s="12">
        <v>8</v>
      </c>
      <c r="D1749" s="15" cm="1">
        <f t="array" ref="D1749">SUM(D1747:D1748)</f>
        <v>14265</v>
      </c>
      <c r="E1749" s="15" cm="1">
        <f t="array" ref="E1749">SUM(E1747:E1748)</f>
        <v>14265</v>
      </c>
      <c r="F1749" s="16" cm="1">
        <f t="array" ref="F1749">SUM(F1747:F1748)</f>
        <v>0</v>
      </c>
      <c r="G1749" s="16" cm="1">
        <f t="array" ref="G1749">SUM(G1747:G1748)</f>
        <v>0</v>
      </c>
      <c r="H1749" s="16" cm="1">
        <f t="array" ref="H1749">SUM(H1747:H1748)</f>
        <v>0</v>
      </c>
      <c r="I1749" s="16" cm="1">
        <f t="array" ref="I1749">SUM(I1747:I1748)</f>
        <v>0</v>
      </c>
    </row>
    <row r="1750" ht="21.25" customHeight="1">
      <c r="A1750" s="10">
        <v>45545</v>
      </c>
      <c r="B1750" t="s" s="11">
        <v>79</v>
      </c>
      <c r="C1750" t="s" s="12">
        <v>347</v>
      </c>
      <c r="D1750" s="17">
        <v>58</v>
      </c>
      <c r="E1750" s="17"/>
      <c r="F1750" s="18"/>
      <c r="G1750" s="18"/>
      <c r="H1750" s="18"/>
      <c r="I1750" s="18"/>
    </row>
    <row r="1751" ht="21.25" customHeight="1">
      <c r="A1751" s="10">
        <v>45545</v>
      </c>
      <c r="B1751" t="s" s="11">
        <v>91</v>
      </c>
      <c r="C1751" t="s" s="12">
        <v>347</v>
      </c>
      <c r="D1751" s="13"/>
      <c r="E1751" s="13">
        <v>58</v>
      </c>
      <c r="F1751" s="14"/>
      <c r="G1751" s="14"/>
      <c r="H1751" s="14"/>
      <c r="I1751" s="14"/>
    </row>
    <row r="1752" ht="20.7" customHeight="1">
      <c r="A1752" s="10">
        <v>45545</v>
      </c>
      <c r="B1752" t="s" s="11">
        <v>8</v>
      </c>
      <c r="C1752" t="s" s="12">
        <v>8</v>
      </c>
      <c r="D1752" s="15" cm="1">
        <f t="array" ref="D1752">SUM(D1750:D1751)</f>
        <v>58</v>
      </c>
      <c r="E1752" s="15" cm="1">
        <f t="array" ref="E1752">SUM(E1750:E1751)</f>
        <v>58</v>
      </c>
      <c r="F1752" s="16" cm="1">
        <f t="array" ref="F1752">SUM(F1750:F1751)</f>
        <v>0</v>
      </c>
      <c r="G1752" s="16" cm="1">
        <f t="array" ref="G1752">SUM(G1750:G1751)</f>
        <v>0</v>
      </c>
      <c r="H1752" s="16" cm="1">
        <f t="array" ref="H1752">SUM(H1750:H1751)</f>
        <v>0</v>
      </c>
      <c r="I1752" s="16" cm="1">
        <f t="array" ref="I1752">SUM(I1750:I1751)</f>
        <v>0</v>
      </c>
    </row>
    <row r="1753" ht="20.35" customHeight="1">
      <c r="A1753" s="10">
        <v>45545</v>
      </c>
      <c r="B1753" t="s" s="11">
        <v>93</v>
      </c>
      <c r="C1753" t="s" s="12">
        <v>96</v>
      </c>
      <c r="D1753" s="17"/>
      <c r="E1753" s="17">
        <v>14265</v>
      </c>
      <c r="F1753" s="18"/>
      <c r="G1753" s="18"/>
      <c r="H1753" s="18"/>
      <c r="I1753" s="18"/>
    </row>
    <row r="1754" ht="20.35" customHeight="1">
      <c r="A1754" s="10">
        <v>45545</v>
      </c>
      <c r="B1754" t="s" s="11">
        <v>5</v>
      </c>
      <c r="C1754" t="s" s="12">
        <v>96</v>
      </c>
      <c r="D1754" s="13">
        <v>14265</v>
      </c>
      <c r="E1754" s="13"/>
      <c r="F1754" s="14"/>
      <c r="G1754" s="14"/>
      <c r="H1754" s="14"/>
      <c r="I1754" s="14"/>
    </row>
    <row r="1755" ht="20.7" customHeight="1">
      <c r="A1755" s="10">
        <v>45545</v>
      </c>
      <c r="B1755" t="s" s="11">
        <v>8</v>
      </c>
      <c r="C1755" t="s" s="12">
        <v>8</v>
      </c>
      <c r="D1755" s="15" cm="1">
        <f t="array" ref="D1755">SUM(D1753:D1754)</f>
        <v>14265</v>
      </c>
      <c r="E1755" s="15" cm="1">
        <f t="array" ref="E1755">SUM(E1753:E1754)</f>
        <v>14265</v>
      </c>
      <c r="F1755" s="16" cm="1">
        <f t="array" ref="F1755">SUM(F1753:F1754)</f>
        <v>0</v>
      </c>
      <c r="G1755" s="16" cm="1">
        <f t="array" ref="G1755">SUM(G1753:G1754)</f>
        <v>0</v>
      </c>
      <c r="H1755" s="16" cm="1">
        <f t="array" ref="H1755">SUM(H1753:H1754)</f>
        <v>0</v>
      </c>
      <c r="I1755" s="16" cm="1">
        <f t="array" ref="I1755">SUM(I1753:I1754)</f>
        <v>0</v>
      </c>
    </row>
    <row r="1756" ht="20.35" customHeight="1">
      <c r="A1756" s="10">
        <v>45545</v>
      </c>
      <c r="B1756" t="s" s="11">
        <v>21</v>
      </c>
      <c r="C1756" t="s" s="12">
        <v>20</v>
      </c>
      <c r="D1756" s="17"/>
      <c r="E1756" s="17">
        <v>50000</v>
      </c>
      <c r="F1756" s="18"/>
      <c r="G1756" s="18"/>
      <c r="H1756" s="18"/>
      <c r="I1756" s="18"/>
    </row>
    <row r="1757" ht="20.35" customHeight="1">
      <c r="A1757" s="10">
        <v>45545</v>
      </c>
      <c r="B1757" t="s" s="11">
        <v>93</v>
      </c>
      <c r="C1757" t="s" s="12">
        <v>20</v>
      </c>
      <c r="D1757" s="13">
        <v>50000</v>
      </c>
      <c r="E1757" s="13"/>
      <c r="F1757" s="14"/>
      <c r="G1757" s="14"/>
      <c r="H1757" s="14"/>
      <c r="I1757" s="14"/>
    </row>
    <row r="1758" ht="20.7" customHeight="1">
      <c r="A1758" s="10">
        <v>45545</v>
      </c>
      <c r="B1758" t="s" s="11">
        <v>8</v>
      </c>
      <c r="C1758" t="s" s="12">
        <v>8</v>
      </c>
      <c r="D1758" s="15" cm="1">
        <f t="array" ref="D1758">SUM(D1756:D1757)</f>
        <v>50000</v>
      </c>
      <c r="E1758" s="15" cm="1">
        <f t="array" ref="E1758">SUM(E1756:E1757)</f>
        <v>50000</v>
      </c>
      <c r="F1758" s="16" cm="1">
        <f t="array" ref="F1758">SUM(F1756:F1757)</f>
        <v>0</v>
      </c>
      <c r="G1758" s="16" cm="1">
        <f t="array" ref="G1758">SUM(G1756:G1757)</f>
        <v>0</v>
      </c>
      <c r="H1758" s="16" cm="1">
        <f t="array" ref="H1758">SUM(H1756:H1757)</f>
        <v>0</v>
      </c>
      <c r="I1758" s="16" cm="1">
        <f t="array" ref="I1758">SUM(I1756:I1757)</f>
        <v>0</v>
      </c>
    </row>
    <row r="1759" ht="20.35" customHeight="1">
      <c r="A1759" s="10">
        <v>45545</v>
      </c>
      <c r="B1759" t="s" s="11">
        <v>93</v>
      </c>
      <c r="C1759" t="s" s="12">
        <v>96</v>
      </c>
      <c r="D1759" s="17"/>
      <c r="E1759" s="17">
        <v>50000</v>
      </c>
      <c r="F1759" s="18"/>
      <c r="G1759" s="18"/>
      <c r="H1759" s="18"/>
      <c r="I1759" s="18"/>
    </row>
    <row r="1760" ht="20.35" customHeight="1">
      <c r="A1760" s="10">
        <v>45545</v>
      </c>
      <c r="B1760" t="s" s="11">
        <v>5</v>
      </c>
      <c r="C1760" t="s" s="12">
        <v>96</v>
      </c>
      <c r="D1760" s="13">
        <v>50000</v>
      </c>
      <c r="E1760" s="13"/>
      <c r="F1760" s="14"/>
      <c r="G1760" s="14"/>
      <c r="H1760" s="14"/>
      <c r="I1760" s="14"/>
    </row>
    <row r="1761" ht="20.7" customHeight="1">
      <c r="A1761" s="10">
        <v>45545</v>
      </c>
      <c r="B1761" t="s" s="11">
        <v>8</v>
      </c>
      <c r="C1761" t="s" s="12">
        <v>8</v>
      </c>
      <c r="D1761" s="15" cm="1">
        <f t="array" ref="D1761">SUM(D1759:D1760)</f>
        <v>50000</v>
      </c>
      <c r="E1761" s="15" cm="1">
        <f t="array" ref="E1761">SUM(E1759:E1760)</f>
        <v>50000</v>
      </c>
      <c r="F1761" s="16" cm="1">
        <f t="array" ref="F1761">SUM(F1759:F1760)</f>
        <v>0</v>
      </c>
      <c r="G1761" s="16" cm="1">
        <f t="array" ref="G1761">SUM(G1759:G1760)</f>
        <v>0</v>
      </c>
      <c r="H1761" s="16" cm="1">
        <f t="array" ref="H1761">SUM(H1759:H1760)</f>
        <v>0</v>
      </c>
      <c r="I1761" s="16" cm="1">
        <f t="array" ref="I1761">SUM(I1759:I1760)</f>
        <v>0</v>
      </c>
    </row>
    <row r="1762" ht="20.35" customHeight="1">
      <c r="A1762" s="10">
        <v>45545</v>
      </c>
      <c r="B1762" t="s" s="11">
        <v>5</v>
      </c>
      <c r="C1762" t="s" s="12">
        <v>17</v>
      </c>
      <c r="D1762" s="17">
        <v>100</v>
      </c>
      <c r="E1762" s="17"/>
      <c r="F1762" s="18"/>
      <c r="G1762" s="18"/>
      <c r="H1762" s="18"/>
      <c r="I1762" s="18"/>
    </row>
    <row r="1763" ht="20.35" customHeight="1">
      <c r="A1763" s="10">
        <v>45545</v>
      </c>
      <c r="B1763" t="s" s="11">
        <v>18</v>
      </c>
      <c r="C1763" t="s" s="12">
        <v>17</v>
      </c>
      <c r="D1763" s="13"/>
      <c r="E1763" s="13">
        <v>100</v>
      </c>
      <c r="F1763" s="14"/>
      <c r="G1763" s="14"/>
      <c r="H1763" s="14"/>
      <c r="I1763" s="14"/>
    </row>
    <row r="1764" ht="20.7" customHeight="1">
      <c r="A1764" s="10">
        <v>45545</v>
      </c>
      <c r="B1764" t="s" s="11">
        <v>8</v>
      </c>
      <c r="C1764" t="s" s="12">
        <v>8</v>
      </c>
      <c r="D1764" s="15" cm="1">
        <f t="array" ref="D1764">SUM(D1762:D1763)</f>
        <v>100</v>
      </c>
      <c r="E1764" s="15" cm="1">
        <f t="array" ref="E1764">SUM(E1762:E1763)</f>
        <v>100</v>
      </c>
      <c r="F1764" s="16" cm="1">
        <f t="array" ref="F1764">SUM(F1762:F1763)</f>
        <v>0</v>
      </c>
      <c r="G1764" s="16" cm="1">
        <f t="array" ref="G1764">SUM(G1762:G1763)</f>
        <v>0</v>
      </c>
      <c r="H1764" s="16" cm="1">
        <f t="array" ref="H1764">SUM(H1762:H1763)</f>
        <v>0</v>
      </c>
      <c r="I1764" s="16" cm="1">
        <f t="array" ref="I1764">SUM(I1762:I1763)</f>
        <v>0</v>
      </c>
    </row>
    <row r="1765" ht="21.25" customHeight="1">
      <c r="A1765" s="10">
        <v>45545</v>
      </c>
      <c r="B1765" t="s" s="11">
        <v>5</v>
      </c>
      <c r="C1765" t="s" s="12">
        <v>348</v>
      </c>
      <c r="D1765" s="17"/>
      <c r="E1765" s="17">
        <v>19000</v>
      </c>
      <c r="F1765" s="18"/>
      <c r="G1765" s="18"/>
      <c r="H1765" s="18"/>
      <c r="I1765" s="18"/>
    </row>
    <row r="1766" ht="20.9" customHeight="1">
      <c r="A1766" s="10">
        <v>45545</v>
      </c>
      <c r="B1766" t="s" s="11">
        <v>12</v>
      </c>
      <c r="C1766" t="s" s="12">
        <v>348</v>
      </c>
      <c r="D1766" s="19">
        <v>9500</v>
      </c>
      <c r="E1766" s="19"/>
      <c r="F1766" s="20"/>
      <c r="G1766" s="20"/>
      <c r="H1766" s="20"/>
      <c r="I1766" s="20"/>
    </row>
    <row r="1767" ht="21.25" customHeight="1">
      <c r="A1767" s="10">
        <v>45545</v>
      </c>
      <c r="B1767" t="s" s="11">
        <v>10</v>
      </c>
      <c r="C1767" t="s" s="12">
        <v>348</v>
      </c>
      <c r="D1767" s="13">
        <v>9500</v>
      </c>
      <c r="E1767" s="13"/>
      <c r="F1767" s="14"/>
      <c r="G1767" s="14"/>
      <c r="H1767" s="14"/>
      <c r="I1767" s="14"/>
    </row>
    <row r="1768" ht="20.7" customHeight="1">
      <c r="A1768" s="10">
        <v>45545</v>
      </c>
      <c r="B1768" t="s" s="11">
        <v>8</v>
      </c>
      <c r="C1768" t="s" s="12">
        <v>8</v>
      </c>
      <c r="D1768" s="15" cm="1">
        <f t="array" ref="D1768">SUM(D1765:D1767)</f>
        <v>19000</v>
      </c>
      <c r="E1768" s="15" cm="1">
        <f t="array" ref="E1768">SUM(E1765:E1767)</f>
        <v>19000</v>
      </c>
      <c r="F1768" s="16" cm="1">
        <f t="array" ref="F1768">SUM(F1765:F1767)</f>
        <v>0</v>
      </c>
      <c r="G1768" s="16" cm="1">
        <f t="array" ref="G1768">SUM(G1765:G1767)</f>
        <v>0</v>
      </c>
      <c r="H1768" s="16" cm="1">
        <f t="array" ref="H1768">SUM(H1765:H1767)</f>
        <v>0</v>
      </c>
      <c r="I1768" s="16" cm="1">
        <f t="array" ref="I1768">SUM(I1765:I1767)</f>
        <v>0</v>
      </c>
    </row>
    <row r="1769" ht="20.35" customHeight="1">
      <c r="A1769" s="10">
        <v>45545</v>
      </c>
      <c r="B1769" t="s" s="11">
        <v>5</v>
      </c>
      <c r="C1769" t="s" s="12">
        <v>349</v>
      </c>
      <c r="D1769" s="17"/>
      <c r="E1769" s="17">
        <v>6600</v>
      </c>
      <c r="F1769" s="18"/>
      <c r="G1769" s="18"/>
      <c r="H1769" s="18"/>
      <c r="I1769" s="18"/>
    </row>
    <row r="1770" ht="20.35" customHeight="1">
      <c r="A1770" s="10">
        <v>45545</v>
      </c>
      <c r="B1770" t="s" s="11">
        <v>10</v>
      </c>
      <c r="C1770" t="s" s="12">
        <v>349</v>
      </c>
      <c r="D1770" s="13">
        <v>6600</v>
      </c>
      <c r="E1770" s="13"/>
      <c r="F1770" s="14"/>
      <c r="G1770" s="14"/>
      <c r="H1770" s="14"/>
      <c r="I1770" s="14"/>
    </row>
    <row r="1771" ht="20.7" customHeight="1">
      <c r="A1771" s="10">
        <v>45545</v>
      </c>
      <c r="B1771" t="s" s="11">
        <v>8</v>
      </c>
      <c r="C1771" t="s" s="12">
        <v>8</v>
      </c>
      <c r="D1771" s="15" cm="1">
        <f t="array" ref="D1771">SUM(D1769:D1770)</f>
        <v>6600</v>
      </c>
      <c r="E1771" s="15" cm="1">
        <f t="array" ref="E1771">SUM(E1769:E1770)</f>
        <v>6600</v>
      </c>
      <c r="F1771" s="16" cm="1">
        <f t="array" ref="F1771">SUM(F1769:F1770)</f>
        <v>0</v>
      </c>
      <c r="G1771" s="16" cm="1">
        <f t="array" ref="G1771">SUM(G1769:G1770)</f>
        <v>0</v>
      </c>
      <c r="H1771" s="16" cm="1">
        <f t="array" ref="H1771">SUM(H1769:H1770)</f>
        <v>0</v>
      </c>
      <c r="I1771" s="16" cm="1">
        <f t="array" ref="I1771">SUM(I1769:I1770)</f>
        <v>0</v>
      </c>
    </row>
    <row r="1772" ht="20.35" customHeight="1">
      <c r="A1772" s="10">
        <v>45545</v>
      </c>
      <c r="B1772" t="s" s="11">
        <v>5</v>
      </c>
      <c r="C1772" t="s" s="12">
        <v>17</v>
      </c>
      <c r="D1772" s="17">
        <v>100</v>
      </c>
      <c r="E1772" s="17"/>
      <c r="F1772" s="18"/>
      <c r="G1772" s="18"/>
      <c r="H1772" s="18"/>
      <c r="I1772" s="18"/>
    </row>
    <row r="1773" ht="20.35" customHeight="1">
      <c r="A1773" s="10">
        <v>45545</v>
      </c>
      <c r="B1773" t="s" s="11">
        <v>18</v>
      </c>
      <c r="C1773" t="s" s="12">
        <v>17</v>
      </c>
      <c r="D1773" s="13"/>
      <c r="E1773" s="13">
        <v>100</v>
      </c>
      <c r="F1773" s="14"/>
      <c r="G1773" s="14"/>
      <c r="H1773" s="14"/>
      <c r="I1773" s="14"/>
    </row>
    <row r="1774" ht="20.7" customHeight="1">
      <c r="A1774" s="10">
        <v>45545</v>
      </c>
      <c r="B1774" t="s" s="11">
        <v>8</v>
      </c>
      <c r="C1774" t="s" s="12">
        <v>8</v>
      </c>
      <c r="D1774" s="15" cm="1">
        <f t="array" ref="D1774">SUM(D1772:D1773)</f>
        <v>100</v>
      </c>
      <c r="E1774" s="15" cm="1">
        <f t="array" ref="E1774">SUM(E1772:E1773)</f>
        <v>100</v>
      </c>
      <c r="F1774" s="16" cm="1">
        <f t="array" ref="F1774">SUM(F1772:F1773)</f>
        <v>0</v>
      </c>
      <c r="G1774" s="16" cm="1">
        <f t="array" ref="G1774">SUM(G1772:G1773)</f>
        <v>0</v>
      </c>
      <c r="H1774" s="16" cm="1">
        <f t="array" ref="H1774">SUM(H1772:H1773)</f>
        <v>0</v>
      </c>
      <c r="I1774" s="16" cm="1">
        <f t="array" ref="I1774">SUM(I1772:I1773)</f>
        <v>0</v>
      </c>
    </row>
    <row r="1775" ht="21.25" customHeight="1">
      <c r="A1775" s="10">
        <v>45545</v>
      </c>
      <c r="B1775" t="s" s="11">
        <v>5</v>
      </c>
      <c r="C1775" t="s" s="12">
        <v>350</v>
      </c>
      <c r="D1775" s="17"/>
      <c r="E1775" s="17">
        <v>16600</v>
      </c>
      <c r="F1775" s="18"/>
      <c r="G1775" s="18"/>
      <c r="H1775" s="18"/>
      <c r="I1775" s="18"/>
    </row>
    <row r="1776" ht="20.9" customHeight="1">
      <c r="A1776" s="10">
        <v>45545</v>
      </c>
      <c r="B1776" t="s" s="11">
        <v>12</v>
      </c>
      <c r="C1776" t="s" s="12">
        <v>350</v>
      </c>
      <c r="D1776" s="19">
        <v>8300</v>
      </c>
      <c r="E1776" s="19"/>
      <c r="F1776" s="20"/>
      <c r="G1776" s="20"/>
      <c r="H1776" s="20"/>
      <c r="I1776" s="20"/>
    </row>
    <row r="1777" ht="21.25" customHeight="1">
      <c r="A1777" s="10">
        <v>45545</v>
      </c>
      <c r="B1777" t="s" s="11">
        <v>10</v>
      </c>
      <c r="C1777" t="s" s="12">
        <v>350</v>
      </c>
      <c r="D1777" s="13">
        <v>8300</v>
      </c>
      <c r="E1777" s="13"/>
      <c r="F1777" s="14"/>
      <c r="G1777" s="14"/>
      <c r="H1777" s="14"/>
      <c r="I1777" s="14"/>
    </row>
    <row r="1778" ht="20.7" customHeight="1">
      <c r="A1778" s="10">
        <v>45545</v>
      </c>
      <c r="B1778" t="s" s="11">
        <v>8</v>
      </c>
      <c r="C1778" t="s" s="12">
        <v>8</v>
      </c>
      <c r="D1778" s="15" cm="1">
        <f t="array" ref="D1778">SUM(D1775:D1777)</f>
        <v>16600</v>
      </c>
      <c r="E1778" s="15" cm="1">
        <f t="array" ref="E1778">SUM(E1775:E1777)</f>
        <v>16600</v>
      </c>
      <c r="F1778" s="16" cm="1">
        <f t="array" ref="F1778">SUM(F1775:F1777)</f>
        <v>0</v>
      </c>
      <c r="G1778" s="16" cm="1">
        <f t="array" ref="G1778">SUM(G1775:G1777)</f>
        <v>0</v>
      </c>
      <c r="H1778" s="16" cm="1">
        <f t="array" ref="H1778">SUM(H1775:H1777)</f>
        <v>0</v>
      </c>
      <c r="I1778" s="16" cm="1">
        <f t="array" ref="I1778">SUM(I1775:I1777)</f>
        <v>0</v>
      </c>
    </row>
    <row r="1779" ht="20.35" customHeight="1">
      <c r="A1779" s="10">
        <v>45546</v>
      </c>
      <c r="B1779" t="s" s="11">
        <v>5</v>
      </c>
      <c r="C1779" t="s" s="12">
        <v>351</v>
      </c>
      <c r="D1779" s="17"/>
      <c r="E1779" s="17">
        <v>500</v>
      </c>
      <c r="F1779" s="18"/>
      <c r="G1779" s="18"/>
      <c r="H1779" s="18"/>
      <c r="I1779" s="18"/>
    </row>
    <row r="1780" ht="20.35" customHeight="1">
      <c r="A1780" s="10">
        <v>45546</v>
      </c>
      <c r="B1780" t="s" s="11">
        <v>10</v>
      </c>
      <c r="C1780" t="s" s="12">
        <v>351</v>
      </c>
      <c r="D1780" s="13">
        <v>500</v>
      </c>
      <c r="E1780" s="13"/>
      <c r="F1780" s="14"/>
      <c r="G1780" s="14"/>
      <c r="H1780" s="14"/>
      <c r="I1780" s="14"/>
    </row>
    <row r="1781" ht="20.7" customHeight="1">
      <c r="A1781" s="10">
        <v>45546</v>
      </c>
      <c r="B1781" t="s" s="11">
        <v>8</v>
      </c>
      <c r="C1781" t="s" s="12">
        <v>8</v>
      </c>
      <c r="D1781" s="15" cm="1">
        <f t="array" ref="D1781">SUM(D1779:D1780)</f>
        <v>500</v>
      </c>
      <c r="E1781" s="15" cm="1">
        <f t="array" ref="E1781">SUM(E1779:E1780)</f>
        <v>500</v>
      </c>
      <c r="F1781" s="16" cm="1">
        <f t="array" ref="F1781">SUM(F1779:F1780)</f>
        <v>0</v>
      </c>
      <c r="G1781" s="16" cm="1">
        <f t="array" ref="G1781">SUM(G1779:G1780)</f>
        <v>0</v>
      </c>
      <c r="H1781" s="16" cm="1">
        <f t="array" ref="H1781">SUM(H1779:H1780)</f>
        <v>0</v>
      </c>
      <c r="I1781" s="16" cm="1">
        <f t="array" ref="I1781">SUM(I1779:I1780)</f>
        <v>0</v>
      </c>
    </row>
    <row r="1782" ht="20.35" customHeight="1">
      <c r="A1782" s="10">
        <v>45546</v>
      </c>
      <c r="B1782" t="s" s="11">
        <v>5</v>
      </c>
      <c r="C1782" t="s" s="12">
        <v>351</v>
      </c>
      <c r="D1782" s="17"/>
      <c r="E1782" s="17">
        <v>500</v>
      </c>
      <c r="F1782" s="18"/>
      <c r="G1782" s="18"/>
      <c r="H1782" s="18"/>
      <c r="I1782" s="18"/>
    </row>
    <row r="1783" ht="20.35" customHeight="1">
      <c r="A1783" s="10">
        <v>45546</v>
      </c>
      <c r="B1783" t="s" s="11">
        <v>10</v>
      </c>
      <c r="C1783" t="s" s="12">
        <v>351</v>
      </c>
      <c r="D1783" s="13">
        <v>500</v>
      </c>
      <c r="E1783" s="13"/>
      <c r="F1783" s="14"/>
      <c r="G1783" s="14"/>
      <c r="H1783" s="14"/>
      <c r="I1783" s="14"/>
    </row>
    <row r="1784" ht="20.7" customHeight="1">
      <c r="A1784" s="10">
        <v>45546</v>
      </c>
      <c r="B1784" t="s" s="11">
        <v>8</v>
      </c>
      <c r="C1784" t="s" s="12">
        <v>8</v>
      </c>
      <c r="D1784" s="15" cm="1">
        <f t="array" ref="D1784">SUM(D1782:D1783)</f>
        <v>500</v>
      </c>
      <c r="E1784" s="15" cm="1">
        <f t="array" ref="E1784">SUM(E1782:E1783)</f>
        <v>500</v>
      </c>
      <c r="F1784" s="16" cm="1">
        <f t="array" ref="F1784">SUM(F1782:F1783)</f>
        <v>0</v>
      </c>
      <c r="G1784" s="16" cm="1">
        <f t="array" ref="G1784">SUM(G1782:G1783)</f>
        <v>0</v>
      </c>
      <c r="H1784" s="16" cm="1">
        <f t="array" ref="H1784">SUM(H1782:H1783)</f>
        <v>0</v>
      </c>
      <c r="I1784" s="16" cm="1">
        <f t="array" ref="I1784">SUM(I1782:I1783)</f>
        <v>0</v>
      </c>
    </row>
    <row r="1785" ht="20.35" customHeight="1">
      <c r="A1785" s="10">
        <v>45547</v>
      </c>
      <c r="B1785" t="s" s="11">
        <v>5</v>
      </c>
      <c r="C1785" t="s" s="12">
        <v>53</v>
      </c>
      <c r="D1785" s="17"/>
      <c r="E1785" s="17">
        <v>1600</v>
      </c>
      <c r="F1785" s="18"/>
      <c r="G1785" s="18"/>
      <c r="H1785" s="18"/>
      <c r="I1785" s="18"/>
    </row>
    <row r="1786" ht="20.35" customHeight="1">
      <c r="A1786" s="10">
        <v>45547</v>
      </c>
      <c r="B1786" t="s" s="11">
        <v>12</v>
      </c>
      <c r="C1786" t="s" s="12">
        <v>53</v>
      </c>
      <c r="D1786" s="13">
        <v>1600</v>
      </c>
      <c r="E1786" s="13"/>
      <c r="F1786" s="14"/>
      <c r="G1786" s="14"/>
      <c r="H1786" s="14"/>
      <c r="I1786" s="14"/>
    </row>
    <row r="1787" ht="20.7" customHeight="1">
      <c r="A1787" s="10">
        <v>45547</v>
      </c>
      <c r="B1787" t="s" s="11">
        <v>8</v>
      </c>
      <c r="C1787" t="s" s="12">
        <v>8</v>
      </c>
      <c r="D1787" s="15" cm="1">
        <f t="array" ref="D1787">SUM(D1785:D1786)</f>
        <v>1600</v>
      </c>
      <c r="E1787" s="15" cm="1">
        <f t="array" ref="E1787">SUM(E1785:E1786)</f>
        <v>1600</v>
      </c>
      <c r="F1787" s="16" cm="1">
        <f t="array" ref="F1787">SUM(F1785:F1786)</f>
        <v>0</v>
      </c>
      <c r="G1787" s="16" cm="1">
        <f t="array" ref="G1787">SUM(G1785:G1786)</f>
        <v>0</v>
      </c>
      <c r="H1787" s="16" cm="1">
        <f t="array" ref="H1787">SUM(H1785:H1786)</f>
        <v>0</v>
      </c>
      <c r="I1787" s="16" cm="1">
        <f t="array" ref="I1787">SUM(I1785:I1786)</f>
        <v>0</v>
      </c>
    </row>
    <row r="1788" ht="20.65" customHeight="1">
      <c r="A1788" s="10">
        <v>45547</v>
      </c>
      <c r="B1788" t="s" s="11">
        <v>21</v>
      </c>
      <c r="C1788" t="s" s="12">
        <v>352</v>
      </c>
      <c r="D1788" s="17"/>
      <c r="E1788" s="17">
        <v>25000</v>
      </c>
      <c r="F1788" s="18"/>
      <c r="G1788" s="18"/>
      <c r="H1788" s="18"/>
      <c r="I1788" s="18"/>
    </row>
    <row r="1789" ht="20.65" customHeight="1">
      <c r="A1789" s="10">
        <v>45547</v>
      </c>
      <c r="B1789" t="s" s="11">
        <v>12</v>
      </c>
      <c r="C1789" t="s" s="12">
        <v>352</v>
      </c>
      <c r="D1789" s="13">
        <v>25000</v>
      </c>
      <c r="E1789" s="13"/>
      <c r="F1789" s="14"/>
      <c r="G1789" s="14"/>
      <c r="H1789" s="14"/>
      <c r="I1789" s="14"/>
    </row>
    <row r="1790" ht="20.7" customHeight="1">
      <c r="A1790" s="10">
        <v>45547</v>
      </c>
      <c r="B1790" t="s" s="11">
        <v>8</v>
      </c>
      <c r="C1790" t="s" s="12">
        <v>8</v>
      </c>
      <c r="D1790" s="15" cm="1">
        <f t="array" ref="D1790">SUM(D1788:D1789)</f>
        <v>25000</v>
      </c>
      <c r="E1790" s="15" cm="1">
        <f t="array" ref="E1790">SUM(E1788:E1789)</f>
        <v>25000</v>
      </c>
      <c r="F1790" s="16" cm="1">
        <f t="array" ref="F1790">SUM(F1788:F1789)</f>
        <v>0</v>
      </c>
      <c r="G1790" s="16" cm="1">
        <f t="array" ref="G1790">SUM(G1788:G1789)</f>
        <v>0</v>
      </c>
      <c r="H1790" s="16" cm="1">
        <f t="array" ref="H1790">SUM(H1788:H1789)</f>
        <v>0</v>
      </c>
      <c r="I1790" s="16" cm="1">
        <f t="array" ref="I1790">SUM(I1788:I1789)</f>
        <v>0</v>
      </c>
    </row>
    <row r="1791" ht="20.35" customHeight="1">
      <c r="A1791" s="10">
        <v>45547</v>
      </c>
      <c r="B1791" t="s" s="11">
        <v>5</v>
      </c>
      <c r="C1791" t="s" s="12">
        <v>31</v>
      </c>
      <c r="D1791" s="17">
        <v>50000</v>
      </c>
      <c r="E1791" s="17"/>
      <c r="F1791" s="18"/>
      <c r="G1791" s="18"/>
      <c r="H1791" s="18"/>
      <c r="I1791" s="18"/>
    </row>
    <row r="1792" ht="20.35" customHeight="1">
      <c r="A1792" s="10">
        <v>45547</v>
      </c>
      <c r="B1792" t="s" s="11">
        <v>32</v>
      </c>
      <c r="C1792" t="s" s="12">
        <v>31</v>
      </c>
      <c r="D1792" s="13"/>
      <c r="E1792" s="13">
        <v>50000</v>
      </c>
      <c r="F1792" s="14"/>
      <c r="G1792" s="14"/>
      <c r="H1792" s="14"/>
      <c r="I1792" s="14"/>
    </row>
    <row r="1793" ht="20.7" customHeight="1">
      <c r="A1793" s="10">
        <v>45547</v>
      </c>
      <c r="B1793" t="s" s="11">
        <v>8</v>
      </c>
      <c r="C1793" t="s" s="12">
        <v>8</v>
      </c>
      <c r="D1793" s="15" cm="1">
        <f t="array" ref="D1793">SUM(D1791:D1792)</f>
        <v>50000</v>
      </c>
      <c r="E1793" s="15" cm="1">
        <f t="array" ref="E1793">SUM(E1791:E1792)</f>
        <v>50000</v>
      </c>
      <c r="F1793" s="16" cm="1">
        <f t="array" ref="F1793">SUM(F1791:F1792)</f>
        <v>0</v>
      </c>
      <c r="G1793" s="16" cm="1">
        <f t="array" ref="G1793">SUM(G1791:G1792)</f>
        <v>0</v>
      </c>
      <c r="H1793" s="16" cm="1">
        <f t="array" ref="H1793">SUM(H1791:H1792)</f>
        <v>0</v>
      </c>
      <c r="I1793" s="16" cm="1">
        <f t="array" ref="I1793">SUM(I1791:I1792)</f>
        <v>0</v>
      </c>
    </row>
    <row r="1794" ht="21.25" customHeight="1">
      <c r="A1794" s="10">
        <v>45547</v>
      </c>
      <c r="B1794" t="s" s="11">
        <v>5</v>
      </c>
      <c r="C1794" t="s" s="12">
        <v>353</v>
      </c>
      <c r="D1794" s="17"/>
      <c r="E1794" s="17">
        <v>20617</v>
      </c>
      <c r="F1794" s="18"/>
      <c r="G1794" s="18"/>
      <c r="H1794" s="18"/>
      <c r="I1794" s="18"/>
    </row>
    <row r="1795" ht="21.25" customHeight="1">
      <c r="A1795" s="10">
        <v>45547</v>
      </c>
      <c r="B1795" t="s" s="11">
        <v>89</v>
      </c>
      <c r="C1795" t="s" s="12">
        <v>353</v>
      </c>
      <c r="D1795" s="13">
        <v>20617</v>
      </c>
      <c r="E1795" s="13"/>
      <c r="F1795" s="14"/>
      <c r="G1795" s="14"/>
      <c r="H1795" s="14"/>
      <c r="I1795" s="14"/>
    </row>
    <row r="1796" ht="20.7" customHeight="1">
      <c r="A1796" s="10">
        <v>45547</v>
      </c>
      <c r="B1796" t="s" s="11">
        <v>8</v>
      </c>
      <c r="C1796" t="s" s="12">
        <v>8</v>
      </c>
      <c r="D1796" s="15" cm="1">
        <f t="array" ref="D1796">SUM(D1794:D1795)</f>
        <v>20617</v>
      </c>
      <c r="E1796" s="15" cm="1">
        <f t="array" ref="E1796">SUM(E1794:E1795)</f>
        <v>20617</v>
      </c>
      <c r="F1796" s="16" cm="1">
        <f t="array" ref="F1796">SUM(F1794:F1795)</f>
        <v>0</v>
      </c>
      <c r="G1796" s="16" cm="1">
        <f t="array" ref="G1796">SUM(G1794:G1795)</f>
        <v>0</v>
      </c>
      <c r="H1796" s="16" cm="1">
        <f t="array" ref="H1796">SUM(H1794:H1795)</f>
        <v>0</v>
      </c>
      <c r="I1796" s="16" cm="1">
        <f t="array" ref="I1796">SUM(I1794:I1795)</f>
        <v>0</v>
      </c>
    </row>
    <row r="1797" ht="21.25" customHeight="1">
      <c r="A1797" s="10">
        <v>45548</v>
      </c>
      <c r="B1797" t="s" s="11">
        <v>5</v>
      </c>
      <c r="C1797" t="s" s="12">
        <v>354</v>
      </c>
      <c r="D1797" s="17"/>
      <c r="E1797" s="17">
        <v>23800</v>
      </c>
      <c r="F1797" s="18"/>
      <c r="G1797" s="18"/>
      <c r="H1797" s="18"/>
      <c r="I1797" s="18"/>
    </row>
    <row r="1798" ht="20.9" customHeight="1">
      <c r="A1798" s="10">
        <v>45548</v>
      </c>
      <c r="B1798" t="s" s="11">
        <v>12</v>
      </c>
      <c r="C1798" t="s" s="12">
        <v>354</v>
      </c>
      <c r="D1798" s="19">
        <v>11900</v>
      </c>
      <c r="E1798" s="19"/>
      <c r="F1798" s="20"/>
      <c r="G1798" s="20"/>
      <c r="H1798" s="20"/>
      <c r="I1798" s="20"/>
    </row>
    <row r="1799" ht="21.25" customHeight="1">
      <c r="A1799" s="10">
        <v>45548</v>
      </c>
      <c r="B1799" t="s" s="11">
        <v>89</v>
      </c>
      <c r="C1799" t="s" s="12">
        <v>354</v>
      </c>
      <c r="D1799" s="13">
        <v>11900</v>
      </c>
      <c r="E1799" s="13"/>
      <c r="F1799" s="14"/>
      <c r="G1799" s="14"/>
      <c r="H1799" s="14"/>
      <c r="I1799" s="14"/>
    </row>
    <row r="1800" ht="20.7" customHeight="1">
      <c r="A1800" s="10">
        <v>45548</v>
      </c>
      <c r="B1800" t="s" s="11">
        <v>8</v>
      </c>
      <c r="C1800" t="s" s="12">
        <v>8</v>
      </c>
      <c r="D1800" s="15" cm="1">
        <f t="array" ref="D1800">SUM(D1797:D1799)</f>
        <v>23800</v>
      </c>
      <c r="E1800" s="15" cm="1">
        <f t="array" ref="E1800">SUM(E1797:E1799)</f>
        <v>23800</v>
      </c>
      <c r="F1800" s="16" cm="1">
        <f t="array" ref="F1800">SUM(F1797:F1799)</f>
        <v>0</v>
      </c>
      <c r="G1800" s="16" cm="1">
        <f t="array" ref="G1800">SUM(G1797:G1799)</f>
        <v>0</v>
      </c>
      <c r="H1800" s="16" cm="1">
        <f t="array" ref="H1800">SUM(H1797:H1799)</f>
        <v>0</v>
      </c>
      <c r="I1800" s="16" cm="1">
        <f t="array" ref="I1800">SUM(I1797:I1799)</f>
        <v>0</v>
      </c>
    </row>
    <row r="1801" ht="21.25" customHeight="1">
      <c r="A1801" s="10">
        <v>45548</v>
      </c>
      <c r="B1801" t="s" s="11">
        <v>5</v>
      </c>
      <c r="C1801" t="s" s="12">
        <v>354</v>
      </c>
      <c r="D1801" s="17"/>
      <c r="E1801" s="17">
        <v>11900</v>
      </c>
      <c r="F1801" s="18"/>
      <c r="G1801" s="18"/>
      <c r="H1801" s="18"/>
      <c r="I1801" s="18"/>
    </row>
    <row r="1802" ht="21.25" customHeight="1">
      <c r="A1802" s="10">
        <v>45548</v>
      </c>
      <c r="B1802" t="s" s="11">
        <v>12</v>
      </c>
      <c r="C1802" t="s" s="12">
        <v>354</v>
      </c>
      <c r="D1802" s="13">
        <v>11900</v>
      </c>
      <c r="E1802" s="13"/>
      <c r="F1802" s="14"/>
      <c r="G1802" s="14"/>
      <c r="H1802" s="14"/>
      <c r="I1802" s="14"/>
    </row>
    <row r="1803" ht="20.7" customHeight="1">
      <c r="A1803" s="10">
        <v>45548</v>
      </c>
      <c r="B1803" t="s" s="11">
        <v>8</v>
      </c>
      <c r="C1803" t="s" s="12">
        <v>8</v>
      </c>
      <c r="D1803" s="15" cm="1">
        <f t="array" ref="D1803">SUM(D1801:D1802)</f>
        <v>11900</v>
      </c>
      <c r="E1803" s="15" cm="1">
        <f t="array" ref="E1803">SUM(E1801:E1802)</f>
        <v>11900</v>
      </c>
      <c r="F1803" s="16" cm="1">
        <f t="array" ref="F1803">SUM(F1801:F1802)</f>
        <v>0</v>
      </c>
      <c r="G1803" s="16" cm="1">
        <f t="array" ref="G1803">SUM(G1801:G1802)</f>
        <v>0</v>
      </c>
      <c r="H1803" s="16" cm="1">
        <f t="array" ref="H1803">SUM(H1801:H1802)</f>
        <v>0</v>
      </c>
      <c r="I1803" s="16" cm="1">
        <f t="array" ref="I1803">SUM(I1801:I1802)</f>
        <v>0</v>
      </c>
    </row>
    <row r="1804" ht="20.35" customHeight="1">
      <c r="A1804" s="10">
        <v>45548</v>
      </c>
      <c r="B1804" t="s" s="11">
        <v>5</v>
      </c>
      <c r="C1804" t="s" s="12">
        <v>355</v>
      </c>
      <c r="D1804" s="17"/>
      <c r="E1804" s="17">
        <v>11700</v>
      </c>
      <c r="F1804" s="18"/>
      <c r="G1804" s="18"/>
      <c r="H1804" s="18"/>
      <c r="I1804" s="18"/>
    </row>
    <row r="1805" ht="20.05" customHeight="1">
      <c r="A1805" s="10">
        <v>45548</v>
      </c>
      <c r="B1805" t="s" s="11">
        <v>12</v>
      </c>
      <c r="C1805" t="s" s="12">
        <v>355</v>
      </c>
      <c r="D1805" s="19">
        <v>5800</v>
      </c>
      <c r="E1805" s="19"/>
      <c r="F1805" s="20"/>
      <c r="G1805" s="20"/>
      <c r="H1805" s="20"/>
      <c r="I1805" s="20"/>
    </row>
    <row r="1806" ht="20.35" customHeight="1">
      <c r="A1806" s="10">
        <v>45548</v>
      </c>
      <c r="B1806" t="s" s="11">
        <v>89</v>
      </c>
      <c r="C1806" t="s" s="12">
        <v>355</v>
      </c>
      <c r="D1806" s="13">
        <v>5900</v>
      </c>
      <c r="E1806" s="13"/>
      <c r="F1806" s="14"/>
      <c r="G1806" s="14"/>
      <c r="H1806" s="14"/>
      <c r="I1806" s="14"/>
    </row>
    <row r="1807" ht="20.7" customHeight="1">
      <c r="A1807" s="10">
        <v>45548</v>
      </c>
      <c r="B1807" t="s" s="11">
        <v>8</v>
      </c>
      <c r="C1807" t="s" s="12">
        <v>8</v>
      </c>
      <c r="D1807" s="15" cm="1">
        <f t="array" ref="D1807">SUM(D1804:D1806)</f>
        <v>11700</v>
      </c>
      <c r="E1807" s="15" cm="1">
        <f t="array" ref="E1807">SUM(E1804:E1806)</f>
        <v>11700</v>
      </c>
      <c r="F1807" s="16" cm="1">
        <f t="array" ref="F1807">SUM(F1804:F1806)</f>
        <v>0</v>
      </c>
      <c r="G1807" s="16" cm="1">
        <f t="array" ref="G1807">SUM(G1804:G1806)</f>
        <v>0</v>
      </c>
      <c r="H1807" s="16" cm="1">
        <f t="array" ref="H1807">SUM(H1804:H1806)</f>
        <v>0</v>
      </c>
      <c r="I1807" s="16" cm="1">
        <f t="array" ref="I1807">SUM(I1804:I1806)</f>
        <v>0</v>
      </c>
    </row>
    <row r="1808" ht="20.35" customHeight="1">
      <c r="A1808" s="10">
        <v>45548</v>
      </c>
      <c r="B1808" t="s" s="11">
        <v>89</v>
      </c>
      <c r="C1808" t="s" s="12">
        <v>356</v>
      </c>
      <c r="D1808" s="17"/>
      <c r="E1808" s="17">
        <v>17800</v>
      </c>
      <c r="F1808" s="18"/>
      <c r="G1808" s="18"/>
      <c r="H1808" s="18"/>
      <c r="I1808" s="18"/>
    </row>
    <row r="1809" ht="20.35" customHeight="1">
      <c r="A1809" s="10">
        <v>45548</v>
      </c>
      <c r="B1809" t="s" s="11">
        <v>93</v>
      </c>
      <c r="C1809" t="s" s="12">
        <v>356</v>
      </c>
      <c r="D1809" s="13">
        <v>17800</v>
      </c>
      <c r="E1809" s="13"/>
      <c r="F1809" s="14"/>
      <c r="G1809" s="14"/>
      <c r="H1809" s="14"/>
      <c r="I1809" s="14"/>
    </row>
    <row r="1810" ht="20.7" customHeight="1">
      <c r="A1810" s="10">
        <v>45548</v>
      </c>
      <c r="B1810" t="s" s="11">
        <v>8</v>
      </c>
      <c r="C1810" t="s" s="12">
        <v>8</v>
      </c>
      <c r="D1810" s="15" cm="1">
        <f t="array" ref="D1810">SUM(D1808:D1809)</f>
        <v>17800</v>
      </c>
      <c r="E1810" s="15" cm="1">
        <f t="array" ref="E1810">SUM(E1808:E1809)</f>
        <v>17800</v>
      </c>
      <c r="F1810" s="16" cm="1">
        <f t="array" ref="F1810">SUM(F1808:F1809)</f>
        <v>0</v>
      </c>
      <c r="G1810" s="16" cm="1">
        <f t="array" ref="G1810">SUM(G1808:G1809)</f>
        <v>0</v>
      </c>
      <c r="H1810" s="16" cm="1">
        <f t="array" ref="H1810">SUM(H1808:H1809)</f>
        <v>0</v>
      </c>
      <c r="I1810" s="16" cm="1">
        <f t="array" ref="I1810">SUM(I1808:I1809)</f>
        <v>0</v>
      </c>
    </row>
    <row r="1811" ht="20.35" customHeight="1">
      <c r="A1811" s="10">
        <v>45548</v>
      </c>
      <c r="B1811" t="s" s="11">
        <v>93</v>
      </c>
      <c r="C1811" t="s" s="12">
        <v>96</v>
      </c>
      <c r="D1811" s="17"/>
      <c r="E1811" s="17">
        <v>17800</v>
      </c>
      <c r="F1811" s="18"/>
      <c r="G1811" s="18"/>
      <c r="H1811" s="18"/>
      <c r="I1811" s="18"/>
    </row>
    <row r="1812" ht="20.35" customHeight="1">
      <c r="A1812" s="10">
        <v>45548</v>
      </c>
      <c r="B1812" t="s" s="11">
        <v>5</v>
      </c>
      <c r="C1812" t="s" s="12">
        <v>96</v>
      </c>
      <c r="D1812" s="13">
        <v>17800</v>
      </c>
      <c r="E1812" s="13"/>
      <c r="F1812" s="14"/>
      <c r="G1812" s="14"/>
      <c r="H1812" s="14"/>
      <c r="I1812" s="14"/>
    </row>
    <row r="1813" ht="20.7" customHeight="1">
      <c r="A1813" s="10">
        <v>45548</v>
      </c>
      <c r="B1813" t="s" s="11">
        <v>8</v>
      </c>
      <c r="C1813" t="s" s="12">
        <v>8</v>
      </c>
      <c r="D1813" s="15" cm="1">
        <f t="array" ref="D1813">SUM(D1811:D1812)</f>
        <v>17800</v>
      </c>
      <c r="E1813" s="15" cm="1">
        <f t="array" ref="E1813">SUM(E1811:E1812)</f>
        <v>17800</v>
      </c>
      <c r="F1813" s="16" cm="1">
        <f t="array" ref="F1813">SUM(F1811:F1812)</f>
        <v>0</v>
      </c>
      <c r="G1813" s="16" cm="1">
        <f t="array" ref="G1813">SUM(G1811:G1812)</f>
        <v>0</v>
      </c>
      <c r="H1813" s="16" cm="1">
        <f t="array" ref="H1813">SUM(H1811:H1812)</f>
        <v>0</v>
      </c>
      <c r="I1813" s="16" cm="1">
        <f t="array" ref="I1813">SUM(I1811:I1812)</f>
        <v>0</v>
      </c>
    </row>
    <row r="1814" ht="21.25" customHeight="1">
      <c r="A1814" s="10">
        <v>45548</v>
      </c>
      <c r="B1814" t="s" s="11">
        <v>21</v>
      </c>
      <c r="C1814" t="s" s="12">
        <v>329</v>
      </c>
      <c r="D1814" s="17"/>
      <c r="E1814" s="17">
        <v>2800</v>
      </c>
      <c r="F1814" s="18"/>
      <c r="G1814" s="18"/>
      <c r="H1814" s="18"/>
      <c r="I1814" s="18"/>
    </row>
    <row r="1815" ht="21.25" customHeight="1">
      <c r="A1815" s="10">
        <v>45548</v>
      </c>
      <c r="B1815" t="s" s="11">
        <v>16</v>
      </c>
      <c r="C1815" t="s" s="12">
        <v>329</v>
      </c>
      <c r="D1815" s="13">
        <v>2800</v>
      </c>
      <c r="E1815" s="13"/>
      <c r="F1815" s="14"/>
      <c r="G1815" s="14"/>
      <c r="H1815" s="14"/>
      <c r="I1815" s="14"/>
    </row>
    <row r="1816" ht="20.7" customHeight="1">
      <c r="A1816" s="10">
        <v>45548</v>
      </c>
      <c r="B1816" t="s" s="11">
        <v>8</v>
      </c>
      <c r="C1816" t="s" s="12">
        <v>8</v>
      </c>
      <c r="D1816" s="15" cm="1">
        <f t="array" ref="D1816">SUM(D1814:D1815)</f>
        <v>2800</v>
      </c>
      <c r="E1816" s="15" cm="1">
        <f t="array" ref="E1816">SUM(E1814:E1815)</f>
        <v>2800</v>
      </c>
      <c r="F1816" s="16" cm="1">
        <f t="array" ref="F1816">SUM(F1814:F1815)</f>
        <v>0</v>
      </c>
      <c r="G1816" s="16" cm="1">
        <f t="array" ref="G1816">SUM(G1814:G1815)</f>
        <v>0</v>
      </c>
      <c r="H1816" s="16" cm="1">
        <f t="array" ref="H1816">SUM(H1814:H1815)</f>
        <v>0</v>
      </c>
      <c r="I1816" s="16" cm="1">
        <f t="array" ref="I1816">SUM(I1814:I1815)</f>
        <v>0</v>
      </c>
    </row>
    <row r="1817" ht="21.25" customHeight="1">
      <c r="A1817" s="10">
        <v>45548</v>
      </c>
      <c r="B1817" t="s" s="11">
        <v>89</v>
      </c>
      <c r="C1817" t="s" s="12">
        <v>353</v>
      </c>
      <c r="D1817" s="17"/>
      <c r="E1817" s="17">
        <v>20617</v>
      </c>
      <c r="F1817" s="18"/>
      <c r="G1817" s="18"/>
      <c r="H1817" s="18"/>
      <c r="I1817" s="18"/>
    </row>
    <row r="1818" ht="20.9" customHeight="1">
      <c r="A1818" s="10">
        <v>45548</v>
      </c>
      <c r="B1818" t="s" s="11">
        <v>91</v>
      </c>
      <c r="C1818" t="s" s="12">
        <v>353</v>
      </c>
      <c r="D1818" s="19"/>
      <c r="E1818" s="19">
        <v>383</v>
      </c>
      <c r="F1818" s="20"/>
      <c r="G1818" s="20"/>
      <c r="H1818" s="20"/>
      <c r="I1818" s="20"/>
    </row>
    <row r="1819" ht="21.25" customHeight="1">
      <c r="A1819" s="10">
        <v>45548</v>
      </c>
      <c r="B1819" t="s" s="11">
        <v>28</v>
      </c>
      <c r="C1819" t="s" s="12">
        <v>353</v>
      </c>
      <c r="D1819" s="13">
        <v>21000</v>
      </c>
      <c r="E1819" s="13"/>
      <c r="F1819" s="14"/>
      <c r="G1819" s="14"/>
      <c r="H1819" s="14"/>
      <c r="I1819" s="14"/>
    </row>
    <row r="1820" ht="20.7" customHeight="1">
      <c r="A1820" s="10">
        <v>45548</v>
      </c>
      <c r="B1820" t="s" s="11">
        <v>8</v>
      </c>
      <c r="C1820" t="s" s="12">
        <v>8</v>
      </c>
      <c r="D1820" s="15" cm="1">
        <f t="array" ref="D1820">SUM(D1817:D1819)</f>
        <v>21000</v>
      </c>
      <c r="E1820" s="15" cm="1">
        <f t="array" ref="E1820">SUM(E1817:E1819)</f>
        <v>21000</v>
      </c>
      <c r="F1820" s="16" cm="1">
        <f t="array" ref="F1820">SUM(F1817:F1819)</f>
        <v>0</v>
      </c>
      <c r="G1820" s="16" cm="1">
        <f t="array" ref="G1820">SUM(G1817:G1819)</f>
        <v>0</v>
      </c>
      <c r="H1820" s="16" cm="1">
        <f t="array" ref="H1820">SUM(H1817:H1819)</f>
        <v>0</v>
      </c>
      <c r="I1820" s="16" cm="1">
        <f t="array" ref="I1820">SUM(I1817:I1819)</f>
        <v>0</v>
      </c>
    </row>
    <row r="1821" ht="20.35" customHeight="1">
      <c r="A1821" s="10">
        <v>45548</v>
      </c>
      <c r="B1821" t="s" s="11">
        <v>21</v>
      </c>
      <c r="C1821" t="s" s="12">
        <v>357</v>
      </c>
      <c r="D1821" s="17"/>
      <c r="E1821" s="17">
        <v>100000</v>
      </c>
      <c r="F1821" s="18"/>
      <c r="G1821" s="18"/>
      <c r="H1821" s="18"/>
      <c r="I1821" s="18"/>
    </row>
    <row r="1822" ht="20.35" customHeight="1">
      <c r="A1822" s="10">
        <v>45548</v>
      </c>
      <c r="B1822" t="s" s="11">
        <v>107</v>
      </c>
      <c r="C1822" t="s" s="12">
        <v>357</v>
      </c>
      <c r="D1822" s="13">
        <v>100000</v>
      </c>
      <c r="E1822" s="13"/>
      <c r="F1822" s="14"/>
      <c r="G1822" s="14"/>
      <c r="H1822" s="14"/>
      <c r="I1822" s="14"/>
    </row>
    <row r="1823" ht="20.7" customHeight="1">
      <c r="A1823" s="10">
        <v>45548</v>
      </c>
      <c r="B1823" t="s" s="11">
        <v>8</v>
      </c>
      <c r="C1823" t="s" s="12">
        <v>8</v>
      </c>
      <c r="D1823" s="15" cm="1">
        <f t="array" ref="D1823">SUM(D1821:D1822)</f>
        <v>100000</v>
      </c>
      <c r="E1823" s="15" cm="1">
        <f t="array" ref="E1823">SUM(E1821:E1822)</f>
        <v>100000</v>
      </c>
      <c r="F1823" s="16" cm="1">
        <f t="array" ref="F1823">SUM(F1821:F1822)</f>
        <v>0</v>
      </c>
      <c r="G1823" s="16" cm="1">
        <f t="array" ref="G1823">SUM(G1821:G1822)</f>
        <v>0</v>
      </c>
      <c r="H1823" s="16" cm="1">
        <f t="array" ref="H1823">SUM(H1821:H1822)</f>
        <v>0</v>
      </c>
      <c r="I1823" s="16" cm="1">
        <f t="array" ref="I1823">SUM(I1821:I1822)</f>
        <v>0</v>
      </c>
    </row>
    <row r="1824" ht="20.35" customHeight="1">
      <c r="A1824" s="10">
        <v>45548</v>
      </c>
      <c r="B1824" t="s" s="11">
        <v>107</v>
      </c>
      <c r="C1824" t="s" s="12">
        <v>96</v>
      </c>
      <c r="D1824" s="17"/>
      <c r="E1824" s="17">
        <v>100000</v>
      </c>
      <c r="F1824" s="18"/>
      <c r="G1824" s="18"/>
      <c r="H1824" s="18"/>
      <c r="I1824" s="18"/>
    </row>
    <row r="1825" ht="20.35" customHeight="1">
      <c r="A1825" s="10">
        <v>45548</v>
      </c>
      <c r="B1825" t="s" s="11">
        <v>5</v>
      </c>
      <c r="C1825" t="s" s="12">
        <v>96</v>
      </c>
      <c r="D1825" s="13">
        <v>100000</v>
      </c>
      <c r="E1825" s="13"/>
      <c r="F1825" s="14"/>
      <c r="G1825" s="14"/>
      <c r="H1825" s="14"/>
      <c r="I1825" s="14"/>
    </row>
    <row r="1826" ht="20.7" customHeight="1">
      <c r="A1826" s="10">
        <v>45548</v>
      </c>
      <c r="B1826" t="s" s="11">
        <v>8</v>
      </c>
      <c r="C1826" t="s" s="12">
        <v>8</v>
      </c>
      <c r="D1826" s="15" cm="1">
        <f t="array" ref="D1826">SUM(D1824:D1825)</f>
        <v>100000</v>
      </c>
      <c r="E1826" s="15" cm="1">
        <f t="array" ref="E1826">SUM(E1824:E1825)</f>
        <v>100000</v>
      </c>
      <c r="F1826" s="16" cm="1">
        <f t="array" ref="F1826">SUM(F1824:F1825)</f>
        <v>0</v>
      </c>
      <c r="G1826" s="16" cm="1">
        <f t="array" ref="G1826">SUM(G1824:G1825)</f>
        <v>0</v>
      </c>
      <c r="H1826" s="16" cm="1">
        <f t="array" ref="H1826">SUM(H1824:H1825)</f>
        <v>0</v>
      </c>
      <c r="I1826" s="16" cm="1">
        <f t="array" ref="I1826">SUM(I1824:I1825)</f>
        <v>0</v>
      </c>
    </row>
    <row r="1827" ht="20.65" customHeight="1">
      <c r="A1827" s="10">
        <v>45548</v>
      </c>
      <c r="B1827" t="s" s="11">
        <v>5</v>
      </c>
      <c r="C1827" t="s" s="12">
        <v>70</v>
      </c>
      <c r="D1827" s="17"/>
      <c r="E1827" s="17">
        <v>45000</v>
      </c>
      <c r="F1827" s="18"/>
      <c r="G1827" s="18"/>
      <c r="H1827" s="18"/>
      <c r="I1827" s="18"/>
    </row>
    <row r="1828" ht="20.65" customHeight="1">
      <c r="A1828" s="10">
        <v>45548</v>
      </c>
      <c r="B1828" t="s" s="11">
        <v>21</v>
      </c>
      <c r="C1828" t="s" s="12">
        <v>70</v>
      </c>
      <c r="D1828" s="13">
        <v>45000</v>
      </c>
      <c r="E1828" s="13"/>
      <c r="F1828" s="14"/>
      <c r="G1828" s="14"/>
      <c r="H1828" s="14"/>
      <c r="I1828" s="14"/>
    </row>
    <row r="1829" ht="20.7" customHeight="1">
      <c r="A1829" s="10">
        <v>45548</v>
      </c>
      <c r="B1829" t="s" s="11">
        <v>8</v>
      </c>
      <c r="C1829" t="s" s="12">
        <v>8</v>
      </c>
      <c r="D1829" s="15" cm="1">
        <f t="array" ref="D1829">SUM(D1827:D1828)</f>
        <v>45000</v>
      </c>
      <c r="E1829" s="15" cm="1">
        <f t="array" ref="E1829">SUM(E1827:E1828)</f>
        <v>45000</v>
      </c>
      <c r="F1829" s="16" cm="1">
        <f t="array" ref="F1829">SUM(F1827:F1828)</f>
        <v>0</v>
      </c>
      <c r="G1829" s="16" cm="1">
        <f t="array" ref="G1829">SUM(G1827:G1828)</f>
        <v>0</v>
      </c>
      <c r="H1829" s="16" cm="1">
        <f t="array" ref="H1829">SUM(H1827:H1828)</f>
        <v>0</v>
      </c>
      <c r="I1829" s="16" cm="1">
        <f t="array" ref="I1829">SUM(I1827:I1828)</f>
        <v>0</v>
      </c>
    </row>
    <row r="1830" ht="20.35" customHeight="1">
      <c r="A1830" s="10">
        <v>45549</v>
      </c>
      <c r="B1830" t="s" s="11">
        <v>21</v>
      </c>
      <c r="C1830" t="s" s="12">
        <v>358</v>
      </c>
      <c r="D1830" s="17">
        <v>149930</v>
      </c>
      <c r="E1830" s="17"/>
      <c r="F1830" s="18"/>
      <c r="G1830" s="18"/>
      <c r="H1830" s="18"/>
      <c r="I1830" s="18"/>
    </row>
    <row r="1831" ht="20.35" customHeight="1">
      <c r="A1831" s="10">
        <v>45549</v>
      </c>
      <c r="B1831" t="s" s="11">
        <v>91</v>
      </c>
      <c r="C1831" t="s" s="12">
        <v>358</v>
      </c>
      <c r="D1831" s="13"/>
      <c r="E1831" s="13">
        <v>149930</v>
      </c>
      <c r="F1831" s="14"/>
      <c r="G1831" s="14"/>
      <c r="H1831" s="14"/>
      <c r="I1831" s="14"/>
    </row>
    <row r="1832" ht="20.7" customHeight="1">
      <c r="A1832" s="10">
        <v>45549</v>
      </c>
      <c r="B1832" t="s" s="11">
        <v>8</v>
      </c>
      <c r="C1832" t="s" s="12">
        <v>8</v>
      </c>
      <c r="D1832" s="15" cm="1">
        <f t="array" ref="D1832">SUM(D1830:D1831)</f>
        <v>149930</v>
      </c>
      <c r="E1832" s="15" cm="1">
        <f t="array" ref="E1832">SUM(E1830:E1831)</f>
        <v>149930</v>
      </c>
      <c r="F1832" s="16" cm="1">
        <f t="array" ref="F1832">SUM(F1830:F1831)</f>
        <v>0</v>
      </c>
      <c r="G1832" s="16" cm="1">
        <f t="array" ref="G1832">SUM(G1830:G1831)</f>
        <v>0</v>
      </c>
      <c r="H1832" s="16" cm="1">
        <f t="array" ref="H1832">SUM(H1830:H1831)</f>
        <v>0</v>
      </c>
      <c r="I1832" s="16" cm="1">
        <f t="array" ref="I1832">SUM(I1830:I1831)</f>
        <v>0</v>
      </c>
    </row>
    <row r="1833" ht="20.35" customHeight="1">
      <c r="A1833" s="10">
        <v>45549</v>
      </c>
      <c r="B1833" t="s" s="11">
        <v>5</v>
      </c>
      <c r="C1833" t="s" s="12">
        <v>53</v>
      </c>
      <c r="D1833" s="17"/>
      <c r="E1833" s="17">
        <v>5500</v>
      </c>
      <c r="F1833" s="18"/>
      <c r="G1833" s="18"/>
      <c r="H1833" s="18"/>
      <c r="I1833" s="18"/>
    </row>
    <row r="1834" ht="20.35" customHeight="1">
      <c r="A1834" s="10">
        <v>45549</v>
      </c>
      <c r="B1834" t="s" s="11">
        <v>12</v>
      </c>
      <c r="C1834" t="s" s="12">
        <v>53</v>
      </c>
      <c r="D1834" s="13">
        <v>5500</v>
      </c>
      <c r="E1834" s="13"/>
      <c r="F1834" s="14"/>
      <c r="G1834" s="14"/>
      <c r="H1834" s="14"/>
      <c r="I1834" s="14"/>
    </row>
    <row r="1835" ht="20.7" customHeight="1">
      <c r="A1835" s="10">
        <v>45549</v>
      </c>
      <c r="B1835" t="s" s="11">
        <v>8</v>
      </c>
      <c r="C1835" t="s" s="12">
        <v>8</v>
      </c>
      <c r="D1835" s="15" cm="1">
        <f t="array" ref="D1835">SUM(D1833:D1834)</f>
        <v>5500</v>
      </c>
      <c r="E1835" s="15" cm="1">
        <f t="array" ref="E1835">SUM(E1833:E1834)</f>
        <v>5500</v>
      </c>
      <c r="F1835" s="16" cm="1">
        <f t="array" ref="F1835">SUM(F1833:F1834)</f>
        <v>0</v>
      </c>
      <c r="G1835" s="16" cm="1">
        <f t="array" ref="G1835">SUM(G1833:G1834)</f>
        <v>0</v>
      </c>
      <c r="H1835" s="16" cm="1">
        <f t="array" ref="H1835">SUM(H1833:H1834)</f>
        <v>0</v>
      </c>
      <c r="I1835" s="16" cm="1">
        <f t="array" ref="I1835">SUM(I1833:I1834)</f>
        <v>0</v>
      </c>
    </row>
    <row r="1836" ht="20.35" customHeight="1">
      <c r="A1836" s="10">
        <v>45549</v>
      </c>
      <c r="B1836" t="s" s="11">
        <v>5</v>
      </c>
      <c r="C1836" t="s" s="12">
        <v>17</v>
      </c>
      <c r="D1836" s="17">
        <v>100</v>
      </c>
      <c r="E1836" s="17"/>
      <c r="F1836" s="18"/>
      <c r="G1836" s="18"/>
      <c r="H1836" s="18"/>
      <c r="I1836" s="18"/>
    </row>
    <row r="1837" ht="20.35" customHeight="1">
      <c r="A1837" s="10">
        <v>45549</v>
      </c>
      <c r="B1837" t="s" s="11">
        <v>18</v>
      </c>
      <c r="C1837" t="s" s="12">
        <v>17</v>
      </c>
      <c r="D1837" s="13"/>
      <c r="E1837" s="13">
        <v>100</v>
      </c>
      <c r="F1837" s="14"/>
      <c r="G1837" s="14"/>
      <c r="H1837" s="14"/>
      <c r="I1837" s="14"/>
    </row>
    <row r="1838" ht="20.7" customHeight="1">
      <c r="A1838" s="10">
        <v>45549</v>
      </c>
      <c r="B1838" t="s" s="11">
        <v>8</v>
      </c>
      <c r="C1838" t="s" s="12">
        <v>8</v>
      </c>
      <c r="D1838" s="15" cm="1">
        <f t="array" ref="D1838">SUM(D1836:D1837)</f>
        <v>100</v>
      </c>
      <c r="E1838" s="15" cm="1">
        <f t="array" ref="E1838">SUM(E1836:E1837)</f>
        <v>100</v>
      </c>
      <c r="F1838" s="16" cm="1">
        <f t="array" ref="F1838">SUM(F1836:F1837)</f>
        <v>0</v>
      </c>
      <c r="G1838" s="16" cm="1">
        <f t="array" ref="G1838">SUM(G1836:G1837)</f>
        <v>0</v>
      </c>
      <c r="H1838" s="16" cm="1">
        <f t="array" ref="H1838">SUM(H1836:H1837)</f>
        <v>0</v>
      </c>
      <c r="I1838" s="16" cm="1">
        <f t="array" ref="I1838">SUM(I1836:I1837)</f>
        <v>0</v>
      </c>
    </row>
    <row r="1839" ht="21.25" customHeight="1">
      <c r="A1839" s="10">
        <v>45549</v>
      </c>
      <c r="B1839" t="s" s="11">
        <v>5</v>
      </c>
      <c r="C1839" t="s" s="12">
        <v>359</v>
      </c>
      <c r="D1839" s="17"/>
      <c r="E1839" s="17">
        <v>31000</v>
      </c>
      <c r="F1839" s="18"/>
      <c r="G1839" s="18"/>
      <c r="H1839" s="18"/>
      <c r="I1839" s="18"/>
    </row>
    <row r="1840" ht="21.25" customHeight="1">
      <c r="A1840" s="10">
        <v>45549</v>
      </c>
      <c r="B1840" t="s" s="11">
        <v>12</v>
      </c>
      <c r="C1840" t="s" s="12">
        <v>359</v>
      </c>
      <c r="D1840" s="13">
        <v>31000</v>
      </c>
      <c r="E1840" s="13"/>
      <c r="F1840" s="14"/>
      <c r="G1840" s="14"/>
      <c r="H1840" s="14"/>
      <c r="I1840" s="14"/>
    </row>
    <row r="1841" ht="20.7" customHeight="1">
      <c r="A1841" s="10">
        <v>45549</v>
      </c>
      <c r="B1841" t="s" s="11">
        <v>8</v>
      </c>
      <c r="C1841" t="s" s="12">
        <v>8</v>
      </c>
      <c r="D1841" s="15" cm="1">
        <f t="array" ref="D1841">SUM(D1839:D1840)</f>
        <v>31000</v>
      </c>
      <c r="E1841" s="15" cm="1">
        <f t="array" ref="E1841">SUM(E1839:E1840)</f>
        <v>31000</v>
      </c>
      <c r="F1841" s="16" cm="1">
        <f t="array" ref="F1841">SUM(F1839:F1840)</f>
        <v>0</v>
      </c>
      <c r="G1841" s="16" cm="1">
        <f t="array" ref="G1841">SUM(G1839:G1840)</f>
        <v>0</v>
      </c>
      <c r="H1841" s="16" cm="1">
        <f t="array" ref="H1841">SUM(H1839:H1840)</f>
        <v>0</v>
      </c>
      <c r="I1841" s="16" cm="1">
        <f t="array" ref="I1841">SUM(I1839:I1840)</f>
        <v>0</v>
      </c>
    </row>
    <row r="1842" ht="21.25" customHeight="1">
      <c r="A1842" s="10">
        <v>45549</v>
      </c>
      <c r="B1842" t="s" s="11">
        <v>21</v>
      </c>
      <c r="C1842" t="s" s="12">
        <v>360</v>
      </c>
      <c r="D1842" s="17"/>
      <c r="E1842" s="17">
        <v>2800</v>
      </c>
      <c r="F1842" s="18"/>
      <c r="G1842" s="18"/>
      <c r="H1842" s="18"/>
      <c r="I1842" s="18"/>
    </row>
    <row r="1843" ht="21.25" customHeight="1">
      <c r="A1843" s="10">
        <v>45549</v>
      </c>
      <c r="B1843" t="s" s="11">
        <v>16</v>
      </c>
      <c r="C1843" t="s" s="12">
        <v>360</v>
      </c>
      <c r="D1843" s="13">
        <v>2800</v>
      </c>
      <c r="E1843" s="13"/>
      <c r="F1843" s="14"/>
      <c r="G1843" s="14"/>
      <c r="H1843" s="14"/>
      <c r="I1843" s="14"/>
    </row>
    <row r="1844" ht="20.7" customHeight="1">
      <c r="A1844" s="10">
        <v>45549</v>
      </c>
      <c r="B1844" t="s" s="11">
        <v>8</v>
      </c>
      <c r="C1844" t="s" s="12">
        <v>8</v>
      </c>
      <c r="D1844" s="15" cm="1">
        <f t="array" ref="D1844">SUM(D1842:D1843)</f>
        <v>2800</v>
      </c>
      <c r="E1844" s="15" cm="1">
        <f t="array" ref="E1844">SUM(E1842:E1843)</f>
        <v>2800</v>
      </c>
      <c r="F1844" s="16" cm="1">
        <f t="array" ref="F1844">SUM(F1842:F1843)</f>
        <v>0</v>
      </c>
      <c r="G1844" s="16" cm="1">
        <f t="array" ref="G1844">SUM(G1842:G1843)</f>
        <v>0</v>
      </c>
      <c r="H1844" s="16" cm="1">
        <f t="array" ref="H1844">SUM(H1842:H1843)</f>
        <v>0</v>
      </c>
      <c r="I1844" s="16" cm="1">
        <f t="array" ref="I1844">SUM(I1842:I1843)</f>
        <v>0</v>
      </c>
    </row>
    <row r="1845" ht="20.35" customHeight="1">
      <c r="A1845" s="10">
        <v>45549</v>
      </c>
      <c r="B1845" t="s" s="11">
        <v>5</v>
      </c>
      <c r="C1845" t="s" s="12">
        <v>17</v>
      </c>
      <c r="D1845" s="17">
        <v>100</v>
      </c>
      <c r="E1845" s="17"/>
      <c r="F1845" s="18"/>
      <c r="G1845" s="18"/>
      <c r="H1845" s="18"/>
      <c r="I1845" s="18"/>
    </row>
    <row r="1846" ht="20.35" customHeight="1">
      <c r="A1846" s="10">
        <v>45549</v>
      </c>
      <c r="B1846" t="s" s="11">
        <v>18</v>
      </c>
      <c r="C1846" t="s" s="12">
        <v>17</v>
      </c>
      <c r="D1846" s="13"/>
      <c r="E1846" s="13">
        <v>100</v>
      </c>
      <c r="F1846" s="14"/>
      <c r="G1846" s="14"/>
      <c r="H1846" s="14"/>
      <c r="I1846" s="14"/>
    </row>
    <row r="1847" ht="20.7" customHeight="1">
      <c r="A1847" s="10">
        <v>45549</v>
      </c>
      <c r="B1847" t="s" s="11">
        <v>8</v>
      </c>
      <c r="C1847" t="s" s="12">
        <v>8</v>
      </c>
      <c r="D1847" s="15" cm="1">
        <f t="array" ref="D1847">SUM(D1845:D1846)</f>
        <v>100</v>
      </c>
      <c r="E1847" s="15" cm="1">
        <f t="array" ref="E1847">SUM(E1845:E1846)</f>
        <v>100</v>
      </c>
      <c r="F1847" s="16" cm="1">
        <f t="array" ref="F1847">SUM(F1845:F1846)</f>
        <v>0</v>
      </c>
      <c r="G1847" s="16" cm="1">
        <f t="array" ref="G1847">SUM(G1845:G1846)</f>
        <v>0</v>
      </c>
      <c r="H1847" s="16" cm="1">
        <f t="array" ref="H1847">SUM(H1845:H1846)</f>
        <v>0</v>
      </c>
      <c r="I1847" s="16" cm="1">
        <f t="array" ref="I1847">SUM(I1845:I1846)</f>
        <v>0</v>
      </c>
    </row>
    <row r="1848" ht="21.25" customHeight="1">
      <c r="A1848" s="10">
        <v>45549</v>
      </c>
      <c r="B1848" t="s" s="11">
        <v>5</v>
      </c>
      <c r="C1848" t="s" s="12">
        <v>361</v>
      </c>
      <c r="D1848" s="17"/>
      <c r="E1848" s="17">
        <v>16000</v>
      </c>
      <c r="F1848" s="18"/>
      <c r="G1848" s="18"/>
      <c r="H1848" s="18"/>
      <c r="I1848" s="18"/>
    </row>
    <row r="1849" ht="21.25" customHeight="1">
      <c r="A1849" s="10">
        <v>45549</v>
      </c>
      <c r="B1849" t="s" s="11">
        <v>89</v>
      </c>
      <c r="C1849" t="s" s="12">
        <v>361</v>
      </c>
      <c r="D1849" s="13">
        <v>16000</v>
      </c>
      <c r="E1849" s="13"/>
      <c r="F1849" s="14"/>
      <c r="G1849" s="14"/>
      <c r="H1849" s="14"/>
      <c r="I1849" s="14"/>
    </row>
    <row r="1850" ht="20.7" customHeight="1">
      <c r="A1850" s="10">
        <v>45549</v>
      </c>
      <c r="B1850" t="s" s="11">
        <v>8</v>
      </c>
      <c r="C1850" t="s" s="12">
        <v>8</v>
      </c>
      <c r="D1850" s="15" cm="1">
        <f t="array" ref="D1850">SUM(D1848:D1849)</f>
        <v>16000</v>
      </c>
      <c r="E1850" s="15" cm="1">
        <f t="array" ref="E1850">SUM(E1848:E1849)</f>
        <v>16000</v>
      </c>
      <c r="F1850" s="16" cm="1">
        <f t="array" ref="F1850">SUM(F1848:F1849)</f>
        <v>0</v>
      </c>
      <c r="G1850" s="16" cm="1">
        <f t="array" ref="G1850">SUM(G1848:G1849)</f>
        <v>0</v>
      </c>
      <c r="H1850" s="16" cm="1">
        <f t="array" ref="H1850">SUM(H1848:H1849)</f>
        <v>0</v>
      </c>
      <c r="I1850" s="16" cm="1">
        <f t="array" ref="I1850">SUM(I1848:I1849)</f>
        <v>0</v>
      </c>
    </row>
    <row r="1851" ht="20.65" customHeight="1">
      <c r="A1851" s="10">
        <v>45549</v>
      </c>
      <c r="B1851" t="s" s="11">
        <v>28</v>
      </c>
      <c r="C1851" t="s" s="12">
        <v>272</v>
      </c>
      <c r="D1851" s="17"/>
      <c r="E1851" s="17">
        <v>3000</v>
      </c>
      <c r="F1851" s="18"/>
      <c r="G1851" s="18"/>
      <c r="H1851" s="18"/>
      <c r="I1851" s="18"/>
    </row>
    <row r="1852" ht="20.65" customHeight="1">
      <c r="A1852" s="10">
        <v>45549</v>
      </c>
      <c r="B1852" t="s" s="11">
        <v>10</v>
      </c>
      <c r="C1852" t="s" s="12">
        <v>272</v>
      </c>
      <c r="D1852" s="13">
        <v>3000</v>
      </c>
      <c r="E1852" s="13"/>
      <c r="F1852" s="14"/>
      <c r="G1852" s="14"/>
      <c r="H1852" s="14"/>
      <c r="I1852" s="14"/>
    </row>
    <row r="1853" ht="20.7" customHeight="1">
      <c r="A1853" s="10">
        <v>45549</v>
      </c>
      <c r="B1853" t="s" s="11">
        <v>8</v>
      </c>
      <c r="C1853" t="s" s="12">
        <v>8</v>
      </c>
      <c r="D1853" s="15" cm="1">
        <f t="array" ref="D1853">SUM(D1851:D1852)</f>
        <v>3000</v>
      </c>
      <c r="E1853" s="15" cm="1">
        <f t="array" ref="E1853">SUM(E1851:E1852)</f>
        <v>3000</v>
      </c>
      <c r="F1853" s="16" cm="1">
        <f t="array" ref="F1853">SUM(F1851:F1852)</f>
        <v>0</v>
      </c>
      <c r="G1853" s="16" cm="1">
        <f t="array" ref="G1853">SUM(G1851:G1852)</f>
        <v>0</v>
      </c>
      <c r="H1853" s="16" cm="1">
        <f t="array" ref="H1853">SUM(H1851:H1852)</f>
        <v>0</v>
      </c>
      <c r="I1853" s="16" cm="1">
        <f t="array" ref="I1853">SUM(I1851:I1852)</f>
        <v>0</v>
      </c>
    </row>
    <row r="1854" ht="20.35" customHeight="1">
      <c r="A1854" s="10">
        <v>45550</v>
      </c>
      <c r="B1854" t="s" s="11">
        <v>5</v>
      </c>
      <c r="C1854" t="s" s="12">
        <v>53</v>
      </c>
      <c r="D1854" s="17"/>
      <c r="E1854" s="17">
        <v>1500</v>
      </c>
      <c r="F1854" s="18"/>
      <c r="G1854" s="18"/>
      <c r="H1854" s="18"/>
      <c r="I1854" s="18"/>
    </row>
    <row r="1855" ht="20.35" customHeight="1">
      <c r="A1855" s="10">
        <v>45550</v>
      </c>
      <c r="B1855" t="s" s="11">
        <v>12</v>
      </c>
      <c r="C1855" t="s" s="12">
        <v>53</v>
      </c>
      <c r="D1855" s="13">
        <v>1500</v>
      </c>
      <c r="E1855" s="13"/>
      <c r="F1855" s="14"/>
      <c r="G1855" s="14"/>
      <c r="H1855" s="14"/>
      <c r="I1855" s="14"/>
    </row>
    <row r="1856" ht="20.7" customHeight="1">
      <c r="A1856" s="10">
        <v>45550</v>
      </c>
      <c r="B1856" t="s" s="11">
        <v>8</v>
      </c>
      <c r="C1856" t="s" s="12">
        <v>8</v>
      </c>
      <c r="D1856" s="15" cm="1">
        <f t="array" ref="D1856">SUM(D1854:D1855)</f>
        <v>1500</v>
      </c>
      <c r="E1856" s="15" cm="1">
        <f t="array" ref="E1856">SUM(E1854:E1855)</f>
        <v>1500</v>
      </c>
      <c r="F1856" s="16" cm="1">
        <f t="array" ref="F1856">SUM(F1854:F1855)</f>
        <v>0</v>
      </c>
      <c r="G1856" s="16" cm="1">
        <f t="array" ref="G1856">SUM(G1854:G1855)</f>
        <v>0</v>
      </c>
      <c r="H1856" s="16" cm="1">
        <f t="array" ref="H1856">SUM(H1854:H1855)</f>
        <v>0</v>
      </c>
      <c r="I1856" s="16" cm="1">
        <f t="array" ref="I1856">SUM(I1854:I1855)</f>
        <v>0</v>
      </c>
    </row>
    <row r="1857" ht="20.35" customHeight="1">
      <c r="A1857" s="10">
        <v>45550</v>
      </c>
      <c r="B1857" t="s" s="11">
        <v>5</v>
      </c>
      <c r="C1857" t="s" s="12">
        <v>362</v>
      </c>
      <c r="D1857" s="17"/>
      <c r="E1857" s="17">
        <v>3450</v>
      </c>
      <c r="F1857" s="18"/>
      <c r="G1857" s="18"/>
      <c r="H1857" s="18"/>
      <c r="I1857" s="18"/>
    </row>
    <row r="1858" ht="20.35" customHeight="1">
      <c r="A1858" s="10">
        <v>45550</v>
      </c>
      <c r="B1858" t="s" s="11">
        <v>12</v>
      </c>
      <c r="C1858" t="s" s="12">
        <v>362</v>
      </c>
      <c r="D1858" s="13">
        <v>3450</v>
      </c>
      <c r="E1858" s="13"/>
      <c r="F1858" s="14"/>
      <c r="G1858" s="14"/>
      <c r="H1858" s="14"/>
      <c r="I1858" s="14"/>
    </row>
    <row r="1859" ht="20.7" customHeight="1">
      <c r="A1859" s="10">
        <v>45550</v>
      </c>
      <c r="B1859" t="s" s="11">
        <v>8</v>
      </c>
      <c r="C1859" t="s" s="12">
        <v>8</v>
      </c>
      <c r="D1859" s="15" cm="1">
        <f t="array" ref="D1859">SUM(D1857:D1858)</f>
        <v>3450</v>
      </c>
      <c r="E1859" s="15" cm="1">
        <f t="array" ref="E1859">SUM(E1857:E1858)</f>
        <v>3450</v>
      </c>
      <c r="F1859" s="16" cm="1">
        <f t="array" ref="F1859">SUM(F1857:F1858)</f>
        <v>0</v>
      </c>
      <c r="G1859" s="16" cm="1">
        <f t="array" ref="G1859">SUM(G1857:G1858)</f>
        <v>0</v>
      </c>
      <c r="H1859" s="16" cm="1">
        <f t="array" ref="H1859">SUM(H1857:H1858)</f>
        <v>0</v>
      </c>
      <c r="I1859" s="16" cm="1">
        <f t="array" ref="I1859">SUM(I1857:I1858)</f>
        <v>0</v>
      </c>
    </row>
    <row r="1860" ht="20.35" customHeight="1">
      <c r="A1860" s="10">
        <v>45550</v>
      </c>
      <c r="B1860" t="s" s="11">
        <v>5</v>
      </c>
      <c r="C1860" t="s" s="12">
        <v>17</v>
      </c>
      <c r="D1860" s="17">
        <v>100</v>
      </c>
      <c r="E1860" s="17"/>
      <c r="F1860" s="18"/>
      <c r="G1860" s="18"/>
      <c r="H1860" s="18"/>
      <c r="I1860" s="18"/>
    </row>
    <row r="1861" ht="20.35" customHeight="1">
      <c r="A1861" s="10">
        <v>45550</v>
      </c>
      <c r="B1861" t="s" s="11">
        <v>18</v>
      </c>
      <c r="C1861" t="s" s="12">
        <v>17</v>
      </c>
      <c r="D1861" s="13"/>
      <c r="E1861" s="13">
        <v>100</v>
      </c>
      <c r="F1861" s="14"/>
      <c r="G1861" s="14"/>
      <c r="H1861" s="14"/>
      <c r="I1861" s="14"/>
    </row>
    <row r="1862" ht="20.7" customHeight="1">
      <c r="A1862" s="10">
        <v>45550</v>
      </c>
      <c r="B1862" t="s" s="11">
        <v>8</v>
      </c>
      <c r="C1862" t="s" s="12">
        <v>8</v>
      </c>
      <c r="D1862" s="15" cm="1">
        <f t="array" ref="D1862">SUM(D1860:D1861)</f>
        <v>100</v>
      </c>
      <c r="E1862" s="15" cm="1">
        <f t="array" ref="E1862">SUM(E1860:E1861)</f>
        <v>100</v>
      </c>
      <c r="F1862" s="16" cm="1">
        <f t="array" ref="F1862">SUM(F1860:F1861)</f>
        <v>0</v>
      </c>
      <c r="G1862" s="16" cm="1">
        <f t="array" ref="G1862">SUM(G1860:G1861)</f>
        <v>0</v>
      </c>
      <c r="H1862" s="16" cm="1">
        <f t="array" ref="H1862">SUM(H1860:H1861)</f>
        <v>0</v>
      </c>
      <c r="I1862" s="16" cm="1">
        <f t="array" ref="I1862">SUM(I1860:I1861)</f>
        <v>0</v>
      </c>
    </row>
    <row r="1863" ht="20.35" customHeight="1">
      <c r="A1863" s="10">
        <v>45550</v>
      </c>
      <c r="B1863" t="s" s="11">
        <v>5</v>
      </c>
      <c r="C1863" t="s" s="12">
        <v>17</v>
      </c>
      <c r="D1863" s="17">
        <v>100</v>
      </c>
      <c r="E1863" s="17"/>
      <c r="F1863" s="18"/>
      <c r="G1863" s="18"/>
      <c r="H1863" s="18"/>
      <c r="I1863" s="18"/>
    </row>
    <row r="1864" ht="20.35" customHeight="1">
      <c r="A1864" s="10">
        <v>45550</v>
      </c>
      <c r="B1864" t="s" s="11">
        <v>18</v>
      </c>
      <c r="C1864" t="s" s="12">
        <v>17</v>
      </c>
      <c r="D1864" s="13"/>
      <c r="E1864" s="13">
        <v>100</v>
      </c>
      <c r="F1864" s="14"/>
      <c r="G1864" s="14"/>
      <c r="H1864" s="14"/>
      <c r="I1864" s="14"/>
    </row>
    <row r="1865" ht="20.7" customHeight="1">
      <c r="A1865" s="10">
        <v>45550</v>
      </c>
      <c r="B1865" t="s" s="11">
        <v>8</v>
      </c>
      <c r="C1865" t="s" s="12">
        <v>8</v>
      </c>
      <c r="D1865" s="15" cm="1">
        <f t="array" ref="D1865">SUM(D1863:D1864)</f>
        <v>100</v>
      </c>
      <c r="E1865" s="15" cm="1">
        <f t="array" ref="E1865">SUM(E1863:E1864)</f>
        <v>100</v>
      </c>
      <c r="F1865" s="16" cm="1">
        <f t="array" ref="F1865">SUM(F1863:F1864)</f>
        <v>0</v>
      </c>
      <c r="G1865" s="16" cm="1">
        <f t="array" ref="G1865">SUM(G1863:G1864)</f>
        <v>0</v>
      </c>
      <c r="H1865" s="16" cm="1">
        <f t="array" ref="H1865">SUM(H1863:H1864)</f>
        <v>0</v>
      </c>
      <c r="I1865" s="16" cm="1">
        <f t="array" ref="I1865">SUM(I1863:I1864)</f>
        <v>0</v>
      </c>
    </row>
    <row r="1866" ht="20.35" customHeight="1">
      <c r="A1866" s="10">
        <v>45550</v>
      </c>
      <c r="B1866" t="s" s="11">
        <v>5</v>
      </c>
      <c r="C1866" t="s" s="12">
        <v>202</v>
      </c>
      <c r="D1866" s="17"/>
      <c r="E1866" s="17">
        <v>10000</v>
      </c>
      <c r="F1866" s="18"/>
      <c r="G1866" s="18"/>
      <c r="H1866" s="18"/>
      <c r="I1866" s="18"/>
    </row>
    <row r="1867" ht="20.35" customHeight="1">
      <c r="A1867" s="10">
        <v>45550</v>
      </c>
      <c r="B1867" t="s" s="11">
        <v>93</v>
      </c>
      <c r="C1867" t="s" s="12">
        <v>202</v>
      </c>
      <c r="D1867" s="13">
        <v>10000</v>
      </c>
      <c r="E1867" s="13"/>
      <c r="F1867" s="14"/>
      <c r="G1867" s="14"/>
      <c r="H1867" s="14"/>
      <c r="I1867" s="14"/>
    </row>
    <row r="1868" ht="20.7" customHeight="1">
      <c r="A1868" s="10">
        <v>45550</v>
      </c>
      <c r="B1868" t="s" s="11">
        <v>8</v>
      </c>
      <c r="C1868" t="s" s="12">
        <v>8</v>
      </c>
      <c r="D1868" s="15" cm="1">
        <f t="array" ref="D1868">SUM(D1866:D1867)</f>
        <v>10000</v>
      </c>
      <c r="E1868" s="15" cm="1">
        <f t="array" ref="E1868">SUM(E1866:E1867)</f>
        <v>10000</v>
      </c>
      <c r="F1868" s="16" cm="1">
        <f t="array" ref="F1868">SUM(F1866:F1867)</f>
        <v>0</v>
      </c>
      <c r="G1868" s="16" cm="1">
        <f t="array" ref="G1868">SUM(G1866:G1867)</f>
        <v>0</v>
      </c>
      <c r="H1868" s="16" cm="1">
        <f t="array" ref="H1868">SUM(H1866:H1867)</f>
        <v>0</v>
      </c>
      <c r="I1868" s="16" cm="1">
        <f t="array" ref="I1868">SUM(I1866:I1867)</f>
        <v>0</v>
      </c>
    </row>
    <row r="1869" ht="20.65" customHeight="1">
      <c r="A1869" s="10">
        <v>45550</v>
      </c>
      <c r="B1869" t="s" s="11">
        <v>93</v>
      </c>
      <c r="C1869" t="s" s="12">
        <v>363</v>
      </c>
      <c r="D1869" s="17"/>
      <c r="E1869" s="17">
        <v>6950</v>
      </c>
      <c r="F1869" s="18"/>
      <c r="G1869" s="18"/>
      <c r="H1869" s="18"/>
      <c r="I1869" s="18"/>
    </row>
    <row r="1870" ht="20.65" customHeight="1">
      <c r="A1870" s="10">
        <v>45550</v>
      </c>
      <c r="B1870" t="s" s="11">
        <v>12</v>
      </c>
      <c r="C1870" t="s" s="12">
        <v>363</v>
      </c>
      <c r="D1870" s="13">
        <v>6950</v>
      </c>
      <c r="E1870" s="13"/>
      <c r="F1870" s="14"/>
      <c r="G1870" s="14"/>
      <c r="H1870" s="14"/>
      <c r="I1870" s="14"/>
    </row>
    <row r="1871" ht="20.7" customHeight="1">
      <c r="A1871" s="10">
        <v>45550</v>
      </c>
      <c r="B1871" t="s" s="11">
        <v>8</v>
      </c>
      <c r="C1871" t="s" s="12">
        <v>8</v>
      </c>
      <c r="D1871" s="15" cm="1">
        <f t="array" ref="D1871">SUM(D1869:D1870)</f>
        <v>6950</v>
      </c>
      <c r="E1871" s="15" cm="1">
        <f t="array" ref="E1871">SUM(E1869:E1870)</f>
        <v>6950</v>
      </c>
      <c r="F1871" s="16" cm="1">
        <f t="array" ref="F1871">SUM(F1869:F1870)</f>
        <v>0</v>
      </c>
      <c r="G1871" s="16" cm="1">
        <f t="array" ref="G1871">SUM(G1869:G1870)</f>
        <v>0</v>
      </c>
      <c r="H1871" s="16" cm="1">
        <f t="array" ref="H1871">SUM(H1869:H1870)</f>
        <v>0</v>
      </c>
      <c r="I1871" s="16" cm="1">
        <f t="array" ref="I1871">SUM(I1869:I1870)</f>
        <v>0</v>
      </c>
    </row>
    <row r="1872" ht="20.35" customHeight="1">
      <c r="A1872" s="10">
        <v>45550</v>
      </c>
      <c r="B1872" t="s" s="11">
        <v>93</v>
      </c>
      <c r="C1872" t="s" s="12">
        <v>96</v>
      </c>
      <c r="D1872" s="17"/>
      <c r="E1872" s="17">
        <v>3050</v>
      </c>
      <c r="F1872" s="18"/>
      <c r="G1872" s="18"/>
      <c r="H1872" s="18"/>
      <c r="I1872" s="18"/>
    </row>
    <row r="1873" ht="20.35" customHeight="1">
      <c r="A1873" s="10">
        <v>45550</v>
      </c>
      <c r="B1873" t="s" s="11">
        <v>5</v>
      </c>
      <c r="C1873" t="s" s="12">
        <v>96</v>
      </c>
      <c r="D1873" s="13">
        <v>3050</v>
      </c>
      <c r="E1873" s="13"/>
      <c r="F1873" s="14"/>
      <c r="G1873" s="14"/>
      <c r="H1873" s="14"/>
      <c r="I1873" s="14"/>
    </row>
    <row r="1874" ht="20.7" customHeight="1">
      <c r="A1874" s="10">
        <v>45550</v>
      </c>
      <c r="B1874" t="s" s="11">
        <v>8</v>
      </c>
      <c r="C1874" t="s" s="12">
        <v>8</v>
      </c>
      <c r="D1874" s="15" cm="1">
        <f t="array" ref="D1874">SUM(D1872:D1873)</f>
        <v>3050</v>
      </c>
      <c r="E1874" s="15" cm="1">
        <f t="array" ref="E1874">SUM(E1872:E1873)</f>
        <v>3050</v>
      </c>
      <c r="F1874" s="16" cm="1">
        <f t="array" ref="F1874">SUM(F1872:F1873)</f>
        <v>0</v>
      </c>
      <c r="G1874" s="16" cm="1">
        <f t="array" ref="G1874">SUM(G1872:G1873)</f>
        <v>0</v>
      </c>
      <c r="H1874" s="16" cm="1">
        <f t="array" ref="H1874">SUM(H1872:H1873)</f>
        <v>0</v>
      </c>
      <c r="I1874" s="16" cm="1">
        <f t="array" ref="I1874">SUM(I1872:I1873)</f>
        <v>0</v>
      </c>
    </row>
    <row r="1875" ht="20.35" customHeight="1">
      <c r="A1875" s="10">
        <v>45550</v>
      </c>
      <c r="B1875" t="s" s="11">
        <v>5</v>
      </c>
      <c r="C1875" t="s" s="12">
        <v>202</v>
      </c>
      <c r="D1875" s="17"/>
      <c r="E1875" s="17">
        <v>10000</v>
      </c>
      <c r="F1875" s="18"/>
      <c r="G1875" s="18"/>
      <c r="H1875" s="18"/>
      <c r="I1875" s="18"/>
    </row>
    <row r="1876" ht="20.35" customHeight="1">
      <c r="A1876" s="10">
        <v>45550</v>
      </c>
      <c r="B1876" t="s" s="11">
        <v>93</v>
      </c>
      <c r="C1876" t="s" s="12">
        <v>202</v>
      </c>
      <c r="D1876" s="13">
        <v>10000</v>
      </c>
      <c r="E1876" s="13"/>
      <c r="F1876" s="14"/>
      <c r="G1876" s="14"/>
      <c r="H1876" s="14"/>
      <c r="I1876" s="14"/>
    </row>
    <row r="1877" ht="20.7" customHeight="1">
      <c r="A1877" s="10">
        <v>45550</v>
      </c>
      <c r="B1877" t="s" s="11">
        <v>8</v>
      </c>
      <c r="C1877" t="s" s="12">
        <v>8</v>
      </c>
      <c r="D1877" s="15" cm="1">
        <f t="array" ref="D1877">SUM(D1875:D1876)</f>
        <v>10000</v>
      </c>
      <c r="E1877" s="15" cm="1">
        <f t="array" ref="E1877">SUM(E1875:E1876)</f>
        <v>10000</v>
      </c>
      <c r="F1877" s="16" cm="1">
        <f t="array" ref="F1877">SUM(F1875:F1876)</f>
        <v>0</v>
      </c>
      <c r="G1877" s="16" cm="1">
        <f t="array" ref="G1877">SUM(G1875:G1876)</f>
        <v>0</v>
      </c>
      <c r="H1877" s="16" cm="1">
        <f t="array" ref="H1877">SUM(H1875:H1876)</f>
        <v>0</v>
      </c>
      <c r="I1877" s="16" cm="1">
        <f t="array" ref="I1877">SUM(I1875:I1876)</f>
        <v>0</v>
      </c>
    </row>
    <row r="1878" ht="20.65" customHeight="1">
      <c r="A1878" s="10">
        <v>45550</v>
      </c>
      <c r="B1878" t="s" s="11">
        <v>93</v>
      </c>
      <c r="C1878" t="s" s="12">
        <v>364</v>
      </c>
      <c r="D1878" s="17"/>
      <c r="E1878" s="17">
        <v>3250</v>
      </c>
      <c r="F1878" s="18"/>
      <c r="G1878" s="18"/>
      <c r="H1878" s="18"/>
      <c r="I1878" s="18"/>
    </row>
    <row r="1879" ht="20.65" customHeight="1">
      <c r="A1879" s="10">
        <v>45550</v>
      </c>
      <c r="B1879" t="s" s="11">
        <v>10</v>
      </c>
      <c r="C1879" t="s" s="12">
        <v>364</v>
      </c>
      <c r="D1879" s="13">
        <v>3250</v>
      </c>
      <c r="E1879" s="13"/>
      <c r="F1879" s="14"/>
      <c r="G1879" s="14"/>
      <c r="H1879" s="14"/>
      <c r="I1879" s="14"/>
    </row>
    <row r="1880" ht="20.7" customHeight="1">
      <c r="A1880" s="10">
        <v>45550</v>
      </c>
      <c r="B1880" t="s" s="11">
        <v>8</v>
      </c>
      <c r="C1880" t="s" s="12">
        <v>8</v>
      </c>
      <c r="D1880" s="15" cm="1">
        <f t="array" ref="D1880">SUM(D1878:D1879)</f>
        <v>3250</v>
      </c>
      <c r="E1880" s="15" cm="1">
        <f t="array" ref="E1880">SUM(E1878:E1879)</f>
        <v>3250</v>
      </c>
      <c r="F1880" s="16" cm="1">
        <f t="array" ref="F1880">SUM(F1878:F1879)</f>
        <v>0</v>
      </c>
      <c r="G1880" s="16" cm="1">
        <f t="array" ref="G1880">SUM(G1878:G1879)</f>
        <v>0</v>
      </c>
      <c r="H1880" s="16" cm="1">
        <f t="array" ref="H1880">SUM(H1878:H1879)</f>
        <v>0</v>
      </c>
      <c r="I1880" s="16" cm="1">
        <f t="array" ref="I1880">SUM(I1878:I1879)</f>
        <v>0</v>
      </c>
    </row>
    <row r="1881" ht="20.35" customHeight="1">
      <c r="A1881" s="10">
        <v>45550</v>
      </c>
      <c r="B1881" t="s" s="11">
        <v>93</v>
      </c>
      <c r="C1881" t="s" s="12">
        <v>96</v>
      </c>
      <c r="D1881" s="17"/>
      <c r="E1881" s="17">
        <v>6750</v>
      </c>
      <c r="F1881" s="18"/>
      <c r="G1881" s="18"/>
      <c r="H1881" s="18"/>
      <c r="I1881" s="18"/>
    </row>
    <row r="1882" ht="20.35" customHeight="1">
      <c r="A1882" s="10">
        <v>45550</v>
      </c>
      <c r="B1882" t="s" s="11">
        <v>5</v>
      </c>
      <c r="C1882" t="s" s="12">
        <v>96</v>
      </c>
      <c r="D1882" s="13">
        <v>6750</v>
      </c>
      <c r="E1882" s="13"/>
      <c r="F1882" s="14"/>
      <c r="G1882" s="14"/>
      <c r="H1882" s="14"/>
      <c r="I1882" s="14"/>
    </row>
    <row r="1883" ht="20.7" customHeight="1">
      <c r="A1883" s="10">
        <v>45550</v>
      </c>
      <c r="B1883" t="s" s="11">
        <v>8</v>
      </c>
      <c r="C1883" t="s" s="12">
        <v>8</v>
      </c>
      <c r="D1883" s="15" cm="1">
        <f t="array" ref="D1883">SUM(D1881:D1882)</f>
        <v>6750</v>
      </c>
      <c r="E1883" s="15" cm="1">
        <f t="array" ref="E1883">SUM(E1881:E1882)</f>
        <v>6750</v>
      </c>
      <c r="F1883" s="16" cm="1">
        <f t="array" ref="F1883">SUM(F1881:F1882)</f>
        <v>0</v>
      </c>
      <c r="G1883" s="16" cm="1">
        <f t="array" ref="G1883">SUM(G1881:G1882)</f>
        <v>0</v>
      </c>
      <c r="H1883" s="16" cm="1">
        <f t="array" ref="H1883">SUM(H1881:H1882)</f>
        <v>0</v>
      </c>
      <c r="I1883" s="16" cm="1">
        <f t="array" ref="I1883">SUM(I1881:I1882)</f>
        <v>0</v>
      </c>
    </row>
    <row r="1884" ht="21.25" customHeight="1">
      <c r="A1884" s="10">
        <v>45550</v>
      </c>
      <c r="B1884" t="s" s="11">
        <v>21</v>
      </c>
      <c r="C1884" t="s" s="12">
        <v>365</v>
      </c>
      <c r="D1884" s="17"/>
      <c r="E1884" s="17">
        <v>1500</v>
      </c>
      <c r="F1884" s="18"/>
      <c r="G1884" s="18"/>
      <c r="H1884" s="18"/>
      <c r="I1884" s="18"/>
    </row>
    <row r="1885" ht="21.25" customHeight="1">
      <c r="A1885" s="10">
        <v>45550</v>
      </c>
      <c r="B1885" t="s" s="11">
        <v>16</v>
      </c>
      <c r="C1885" t="s" s="12">
        <v>365</v>
      </c>
      <c r="D1885" s="13">
        <v>1500</v>
      </c>
      <c r="E1885" s="13"/>
      <c r="F1885" s="14"/>
      <c r="G1885" s="14"/>
      <c r="H1885" s="14"/>
      <c r="I1885" s="14"/>
    </row>
    <row r="1886" ht="20.7" customHeight="1">
      <c r="A1886" s="10">
        <v>45550</v>
      </c>
      <c r="B1886" t="s" s="11">
        <v>8</v>
      </c>
      <c r="C1886" t="s" s="12">
        <v>8</v>
      </c>
      <c r="D1886" s="15" cm="1">
        <f t="array" ref="D1886">SUM(D1884:D1885)</f>
        <v>1500</v>
      </c>
      <c r="E1886" s="15" cm="1">
        <f t="array" ref="E1886">SUM(E1884:E1885)</f>
        <v>1500</v>
      </c>
      <c r="F1886" s="16" cm="1">
        <f t="array" ref="F1886">SUM(F1884:F1885)</f>
        <v>0</v>
      </c>
      <c r="G1886" s="16" cm="1">
        <f t="array" ref="G1886">SUM(G1884:G1885)</f>
        <v>0</v>
      </c>
      <c r="H1886" s="16" cm="1">
        <f t="array" ref="H1886">SUM(H1884:H1885)</f>
        <v>0</v>
      </c>
      <c r="I1886" s="16" cm="1">
        <f t="array" ref="I1886">SUM(I1884:I1885)</f>
        <v>0</v>
      </c>
    </row>
    <row r="1887" ht="20.35" customHeight="1">
      <c r="A1887" s="10">
        <v>45551</v>
      </c>
      <c r="B1887" t="s" s="11">
        <v>5</v>
      </c>
      <c r="C1887" t="s" s="12">
        <v>362</v>
      </c>
      <c r="D1887" s="17"/>
      <c r="E1887" s="17">
        <v>3000</v>
      </c>
      <c r="F1887" s="18"/>
      <c r="G1887" s="18"/>
      <c r="H1887" s="18"/>
      <c r="I1887" s="18"/>
    </row>
    <row r="1888" ht="20.35" customHeight="1">
      <c r="A1888" s="10">
        <v>45551</v>
      </c>
      <c r="B1888" t="s" s="11">
        <v>12</v>
      </c>
      <c r="C1888" t="s" s="12">
        <v>362</v>
      </c>
      <c r="D1888" s="13">
        <v>3000</v>
      </c>
      <c r="E1888" s="13"/>
      <c r="F1888" s="14"/>
      <c r="G1888" s="14"/>
      <c r="H1888" s="14"/>
      <c r="I1888" s="14"/>
    </row>
    <row r="1889" ht="20.7" customHeight="1">
      <c r="A1889" s="10">
        <v>45551</v>
      </c>
      <c r="B1889" t="s" s="11">
        <v>8</v>
      </c>
      <c r="C1889" t="s" s="12">
        <v>8</v>
      </c>
      <c r="D1889" s="15" cm="1">
        <f t="array" ref="D1889">SUM(D1887:D1888)</f>
        <v>3000</v>
      </c>
      <c r="E1889" s="15" cm="1">
        <f t="array" ref="E1889">SUM(E1887:E1888)</f>
        <v>3000</v>
      </c>
      <c r="F1889" s="16" cm="1">
        <f t="array" ref="F1889">SUM(F1887:F1888)</f>
        <v>0</v>
      </c>
      <c r="G1889" s="16" cm="1">
        <f t="array" ref="G1889">SUM(G1887:G1888)</f>
        <v>0</v>
      </c>
      <c r="H1889" s="16" cm="1">
        <f t="array" ref="H1889">SUM(H1887:H1888)</f>
        <v>0</v>
      </c>
      <c r="I1889" s="16" cm="1">
        <f t="array" ref="I1889">SUM(I1887:I1888)</f>
        <v>0</v>
      </c>
    </row>
    <row r="1890" ht="20.35" customHeight="1">
      <c r="A1890" s="10">
        <v>45551</v>
      </c>
      <c r="B1890" t="s" s="11">
        <v>5</v>
      </c>
      <c r="C1890" t="s" s="12">
        <v>17</v>
      </c>
      <c r="D1890" s="17">
        <v>100</v>
      </c>
      <c r="E1890" s="17"/>
      <c r="F1890" s="18"/>
      <c r="G1890" s="18"/>
      <c r="H1890" s="18"/>
      <c r="I1890" s="18"/>
    </row>
    <row r="1891" ht="20.35" customHeight="1">
      <c r="A1891" s="10">
        <v>45551</v>
      </c>
      <c r="B1891" t="s" s="11">
        <v>18</v>
      </c>
      <c r="C1891" t="s" s="12">
        <v>17</v>
      </c>
      <c r="D1891" s="13"/>
      <c r="E1891" s="13">
        <v>100</v>
      </c>
      <c r="F1891" s="14"/>
      <c r="G1891" s="14"/>
      <c r="H1891" s="14"/>
      <c r="I1891" s="14"/>
    </row>
    <row r="1892" ht="20.7" customHeight="1">
      <c r="A1892" s="10">
        <v>45551</v>
      </c>
      <c r="B1892" t="s" s="11">
        <v>8</v>
      </c>
      <c r="C1892" t="s" s="12">
        <v>8</v>
      </c>
      <c r="D1892" s="15" cm="1">
        <f t="array" ref="D1892">SUM(D1890:D1891)</f>
        <v>100</v>
      </c>
      <c r="E1892" s="15" cm="1">
        <f t="array" ref="E1892">SUM(E1890:E1891)</f>
        <v>100</v>
      </c>
      <c r="F1892" s="16" cm="1">
        <f t="array" ref="F1892">SUM(F1890:F1891)</f>
        <v>0</v>
      </c>
      <c r="G1892" s="16" cm="1">
        <f t="array" ref="G1892">SUM(G1890:G1891)</f>
        <v>0</v>
      </c>
      <c r="H1892" s="16" cm="1">
        <f t="array" ref="H1892">SUM(H1890:H1891)</f>
        <v>0</v>
      </c>
      <c r="I1892" s="16" cm="1">
        <f t="array" ref="I1892">SUM(I1890:I1891)</f>
        <v>0</v>
      </c>
    </row>
    <row r="1893" ht="20.35" customHeight="1">
      <c r="A1893" s="10">
        <v>45551</v>
      </c>
      <c r="B1893" t="s" s="11">
        <v>5</v>
      </c>
      <c r="C1893" t="s" s="12">
        <v>17</v>
      </c>
      <c r="D1893" s="17">
        <v>100</v>
      </c>
      <c r="E1893" s="17"/>
      <c r="F1893" s="18"/>
      <c r="G1893" s="18"/>
      <c r="H1893" s="18"/>
      <c r="I1893" s="18"/>
    </row>
    <row r="1894" ht="20.35" customHeight="1">
      <c r="A1894" s="10">
        <v>45551</v>
      </c>
      <c r="B1894" t="s" s="11">
        <v>18</v>
      </c>
      <c r="C1894" t="s" s="12">
        <v>17</v>
      </c>
      <c r="D1894" s="13"/>
      <c r="E1894" s="13">
        <v>100</v>
      </c>
      <c r="F1894" s="14"/>
      <c r="G1894" s="14"/>
      <c r="H1894" s="14"/>
      <c r="I1894" s="14"/>
    </row>
    <row r="1895" ht="20.7" customHeight="1">
      <c r="A1895" s="10">
        <v>45551</v>
      </c>
      <c r="B1895" t="s" s="11">
        <v>8</v>
      </c>
      <c r="C1895" t="s" s="12">
        <v>8</v>
      </c>
      <c r="D1895" s="15" cm="1">
        <f t="array" ref="D1895">SUM(D1893:D1894)</f>
        <v>100</v>
      </c>
      <c r="E1895" s="15" cm="1">
        <f t="array" ref="E1895">SUM(E1893:E1894)</f>
        <v>100</v>
      </c>
      <c r="F1895" s="16" cm="1">
        <f t="array" ref="F1895">SUM(F1893:F1894)</f>
        <v>0</v>
      </c>
      <c r="G1895" s="16" cm="1">
        <f t="array" ref="G1895">SUM(G1893:G1894)</f>
        <v>0</v>
      </c>
      <c r="H1895" s="16" cm="1">
        <f t="array" ref="H1895">SUM(H1893:H1894)</f>
        <v>0</v>
      </c>
      <c r="I1895" s="16" cm="1">
        <f t="array" ref="I1895">SUM(I1893:I1894)</f>
        <v>0</v>
      </c>
    </row>
    <row r="1896" ht="21.25" customHeight="1">
      <c r="A1896" s="10">
        <v>45551</v>
      </c>
      <c r="B1896" t="s" s="11">
        <v>12</v>
      </c>
      <c r="C1896" t="s" s="12">
        <v>366</v>
      </c>
      <c r="D1896" s="17">
        <v>11000</v>
      </c>
      <c r="E1896" s="17"/>
      <c r="F1896" s="18"/>
      <c r="G1896" s="18"/>
      <c r="H1896" s="18"/>
      <c r="I1896" s="18"/>
    </row>
    <row r="1897" ht="21.25" customHeight="1">
      <c r="A1897" s="10">
        <v>45551</v>
      </c>
      <c r="B1897" t="s" s="11">
        <v>21</v>
      </c>
      <c r="C1897" t="s" s="12">
        <v>366</v>
      </c>
      <c r="D1897" s="13"/>
      <c r="E1897" s="13">
        <v>11000</v>
      </c>
      <c r="F1897" s="14"/>
      <c r="G1897" s="14"/>
      <c r="H1897" s="14"/>
      <c r="I1897" s="14"/>
    </row>
    <row r="1898" ht="20.7" customHeight="1">
      <c r="A1898" s="10">
        <v>45551</v>
      </c>
      <c r="B1898" t="s" s="11">
        <v>8</v>
      </c>
      <c r="C1898" t="s" s="12">
        <v>8</v>
      </c>
      <c r="D1898" s="15" cm="1">
        <f t="array" ref="D1898">SUM(D1896:D1897)</f>
        <v>11000</v>
      </c>
      <c r="E1898" s="15" cm="1">
        <f t="array" ref="E1898">SUM(E1896:E1897)</f>
        <v>11000</v>
      </c>
      <c r="F1898" s="16" cm="1">
        <f t="array" ref="F1898">SUM(F1896:F1897)</f>
        <v>0</v>
      </c>
      <c r="G1898" s="16" cm="1">
        <f t="array" ref="G1898">SUM(G1896:G1897)</f>
        <v>0</v>
      </c>
      <c r="H1898" s="16" cm="1">
        <f t="array" ref="H1898">SUM(H1896:H1897)</f>
        <v>0</v>
      </c>
      <c r="I1898" s="16" cm="1">
        <f t="array" ref="I1898">SUM(I1896:I1897)</f>
        <v>0</v>
      </c>
    </row>
    <row r="1899" ht="21.25" customHeight="1">
      <c r="A1899" s="10">
        <v>45551</v>
      </c>
      <c r="B1899" t="s" s="11">
        <v>12</v>
      </c>
      <c r="C1899" t="s" s="12">
        <v>367</v>
      </c>
      <c r="D1899" s="17">
        <v>7100</v>
      </c>
      <c r="E1899" s="17"/>
      <c r="F1899" s="18"/>
      <c r="G1899" s="18"/>
      <c r="H1899" s="18"/>
      <c r="I1899" s="18"/>
    </row>
    <row r="1900" ht="21.25" customHeight="1">
      <c r="A1900" s="10">
        <v>45551</v>
      </c>
      <c r="B1900" t="s" s="11">
        <v>21</v>
      </c>
      <c r="C1900" t="s" s="12">
        <v>367</v>
      </c>
      <c r="D1900" s="13"/>
      <c r="E1900" s="13">
        <v>7100</v>
      </c>
      <c r="F1900" s="14"/>
      <c r="G1900" s="14"/>
      <c r="H1900" s="14"/>
      <c r="I1900" s="14"/>
    </row>
    <row r="1901" ht="20.7" customHeight="1">
      <c r="A1901" s="10">
        <v>45551</v>
      </c>
      <c r="B1901" t="s" s="11">
        <v>8</v>
      </c>
      <c r="C1901" t="s" s="12">
        <v>8</v>
      </c>
      <c r="D1901" s="15" cm="1">
        <f t="array" ref="D1901">SUM(D1899:D1900)</f>
        <v>7100</v>
      </c>
      <c r="E1901" s="15" cm="1">
        <f t="array" ref="E1901">SUM(E1899:E1900)</f>
        <v>7100</v>
      </c>
      <c r="F1901" s="16" cm="1">
        <f t="array" ref="F1901">SUM(F1899:F1900)</f>
        <v>0</v>
      </c>
      <c r="G1901" s="16" cm="1">
        <f t="array" ref="G1901">SUM(G1899:G1900)</f>
        <v>0</v>
      </c>
      <c r="H1901" s="16" cm="1">
        <f t="array" ref="H1901">SUM(H1899:H1900)</f>
        <v>0</v>
      </c>
      <c r="I1901" s="16" cm="1">
        <f t="array" ref="I1901">SUM(I1899:I1900)</f>
        <v>0</v>
      </c>
    </row>
    <row r="1902" ht="20.35" customHeight="1">
      <c r="A1902" s="10">
        <v>45551</v>
      </c>
      <c r="B1902" t="s" s="11">
        <v>5</v>
      </c>
      <c r="C1902" t="s" s="12">
        <v>202</v>
      </c>
      <c r="D1902" s="17"/>
      <c r="E1902" s="17">
        <v>11000</v>
      </c>
      <c r="F1902" s="18"/>
      <c r="G1902" s="18"/>
      <c r="H1902" s="18"/>
      <c r="I1902" s="18"/>
    </row>
    <row r="1903" ht="20.35" customHeight="1">
      <c r="A1903" s="10">
        <v>45551</v>
      </c>
      <c r="B1903" t="s" s="11">
        <v>93</v>
      </c>
      <c r="C1903" t="s" s="12">
        <v>202</v>
      </c>
      <c r="D1903" s="13">
        <v>11000</v>
      </c>
      <c r="E1903" s="13"/>
      <c r="F1903" s="14"/>
      <c r="G1903" s="14"/>
      <c r="H1903" s="14"/>
      <c r="I1903" s="14"/>
    </row>
    <row r="1904" ht="20.7" customHeight="1">
      <c r="A1904" s="10">
        <v>45551</v>
      </c>
      <c r="B1904" t="s" s="11">
        <v>8</v>
      </c>
      <c r="C1904" t="s" s="12">
        <v>8</v>
      </c>
      <c r="D1904" s="15" cm="1">
        <f t="array" ref="D1904">SUM(D1902:D1903)</f>
        <v>11000</v>
      </c>
      <c r="E1904" s="15" cm="1">
        <f t="array" ref="E1904">SUM(E1902:E1903)</f>
        <v>11000</v>
      </c>
      <c r="F1904" s="16" cm="1">
        <f t="array" ref="F1904">SUM(F1902:F1903)</f>
        <v>0</v>
      </c>
      <c r="G1904" s="16" cm="1">
        <f t="array" ref="G1904">SUM(G1902:G1903)</f>
        <v>0</v>
      </c>
      <c r="H1904" s="16" cm="1">
        <f t="array" ref="H1904">SUM(H1902:H1903)</f>
        <v>0</v>
      </c>
      <c r="I1904" s="16" cm="1">
        <f t="array" ref="I1904">SUM(I1902:I1903)</f>
        <v>0</v>
      </c>
    </row>
    <row r="1905" ht="21.25" customHeight="1">
      <c r="A1905" s="10">
        <v>45551</v>
      </c>
      <c r="B1905" t="s" s="11">
        <v>93</v>
      </c>
      <c r="C1905" t="s" s="12">
        <v>366</v>
      </c>
      <c r="D1905" s="17"/>
      <c r="E1905" s="17">
        <v>11000</v>
      </c>
      <c r="F1905" s="18"/>
      <c r="G1905" s="18"/>
      <c r="H1905" s="18"/>
      <c r="I1905" s="18"/>
    </row>
    <row r="1906" ht="21.25" customHeight="1">
      <c r="A1906" s="10">
        <v>45551</v>
      </c>
      <c r="B1906" t="s" s="11">
        <v>21</v>
      </c>
      <c r="C1906" t="s" s="12">
        <v>366</v>
      </c>
      <c r="D1906" s="13">
        <v>11000</v>
      </c>
      <c r="E1906" s="13"/>
      <c r="F1906" s="14"/>
      <c r="G1906" s="14"/>
      <c r="H1906" s="14"/>
      <c r="I1906" s="14"/>
    </row>
    <row r="1907" ht="20.7" customHeight="1">
      <c r="A1907" s="10">
        <v>45551</v>
      </c>
      <c r="B1907" t="s" s="11">
        <v>8</v>
      </c>
      <c r="C1907" t="s" s="12">
        <v>8</v>
      </c>
      <c r="D1907" s="15" cm="1">
        <f t="array" ref="D1907">SUM(D1905:D1906)</f>
        <v>11000</v>
      </c>
      <c r="E1907" s="15" cm="1">
        <f t="array" ref="E1907">SUM(E1905:E1906)</f>
        <v>11000</v>
      </c>
      <c r="F1907" s="16" cm="1">
        <f t="array" ref="F1907">SUM(F1905:F1906)</f>
        <v>0</v>
      </c>
      <c r="G1907" s="16" cm="1">
        <f t="array" ref="G1907">SUM(G1905:G1906)</f>
        <v>0</v>
      </c>
      <c r="H1907" s="16" cm="1">
        <f t="array" ref="H1907">SUM(H1905:H1906)</f>
        <v>0</v>
      </c>
      <c r="I1907" s="16" cm="1">
        <f t="array" ref="I1907">SUM(I1905:I1906)</f>
        <v>0</v>
      </c>
    </row>
    <row r="1908" ht="20.35" customHeight="1">
      <c r="A1908" s="10">
        <v>45552</v>
      </c>
      <c r="B1908" t="s" s="11">
        <v>107</v>
      </c>
      <c r="C1908" t="s" s="12">
        <v>368</v>
      </c>
      <c r="D1908" s="17">
        <v>100000</v>
      </c>
      <c r="E1908" s="17"/>
      <c r="F1908" s="18"/>
      <c r="G1908" s="18"/>
      <c r="H1908" s="18"/>
      <c r="I1908" s="18"/>
    </row>
    <row r="1909" ht="20.35" customHeight="1">
      <c r="A1909" s="10">
        <v>45552</v>
      </c>
      <c r="B1909" t="s" s="11">
        <v>21</v>
      </c>
      <c r="C1909" t="s" s="12">
        <v>368</v>
      </c>
      <c r="D1909" s="13"/>
      <c r="E1909" s="13">
        <v>100000</v>
      </c>
      <c r="F1909" s="14"/>
      <c r="G1909" s="14"/>
      <c r="H1909" s="14"/>
      <c r="I1909" s="14"/>
    </row>
    <row r="1910" ht="20.7" customHeight="1">
      <c r="A1910" s="10">
        <v>45552</v>
      </c>
      <c r="B1910" t="s" s="11">
        <v>8</v>
      </c>
      <c r="C1910" t="s" s="12">
        <v>8</v>
      </c>
      <c r="D1910" s="15" cm="1">
        <f t="array" ref="D1910">SUM(D1908:D1909)</f>
        <v>100000</v>
      </c>
      <c r="E1910" s="15" cm="1">
        <f t="array" ref="E1910">SUM(E1908:E1909)</f>
        <v>100000</v>
      </c>
      <c r="F1910" s="16" cm="1">
        <f t="array" ref="F1910">SUM(F1908:F1909)</f>
        <v>0</v>
      </c>
      <c r="G1910" s="16" cm="1">
        <f t="array" ref="G1910">SUM(G1908:G1909)</f>
        <v>0</v>
      </c>
      <c r="H1910" s="16" cm="1">
        <f t="array" ref="H1910">SUM(H1908:H1909)</f>
        <v>0</v>
      </c>
      <c r="I1910" s="16" cm="1">
        <f t="array" ref="I1910">SUM(I1908:I1909)</f>
        <v>0</v>
      </c>
    </row>
    <row r="1911" ht="20.35" customHeight="1">
      <c r="A1911" s="10">
        <v>45552</v>
      </c>
      <c r="B1911" t="s" s="11">
        <v>107</v>
      </c>
      <c r="C1911" t="s" s="12">
        <v>96</v>
      </c>
      <c r="D1911" s="17"/>
      <c r="E1911" s="17">
        <v>100000</v>
      </c>
      <c r="F1911" s="18"/>
      <c r="G1911" s="18"/>
      <c r="H1911" s="18"/>
      <c r="I1911" s="18"/>
    </row>
    <row r="1912" ht="20.35" customHeight="1">
      <c r="A1912" s="10">
        <v>45552</v>
      </c>
      <c r="B1912" t="s" s="11">
        <v>5</v>
      </c>
      <c r="C1912" t="s" s="12">
        <v>96</v>
      </c>
      <c r="D1912" s="13">
        <v>100000</v>
      </c>
      <c r="E1912" s="13"/>
      <c r="F1912" s="14"/>
      <c r="G1912" s="14"/>
      <c r="H1912" s="14"/>
      <c r="I1912" s="14"/>
    </row>
    <row r="1913" ht="20.7" customHeight="1">
      <c r="A1913" s="10">
        <v>45552</v>
      </c>
      <c r="B1913" t="s" s="11">
        <v>8</v>
      </c>
      <c r="C1913" t="s" s="12">
        <v>8</v>
      </c>
      <c r="D1913" s="15" cm="1">
        <f t="array" ref="D1913">SUM(D1911:D1912)</f>
        <v>100000</v>
      </c>
      <c r="E1913" s="15" cm="1">
        <f t="array" ref="E1913">SUM(E1911:E1912)</f>
        <v>100000</v>
      </c>
      <c r="F1913" s="16" cm="1">
        <f t="array" ref="F1913">SUM(F1911:F1912)</f>
        <v>0</v>
      </c>
      <c r="G1913" s="16" cm="1">
        <f t="array" ref="G1913">SUM(G1911:G1912)</f>
        <v>0</v>
      </c>
      <c r="H1913" s="16" cm="1">
        <f t="array" ref="H1913">SUM(H1911:H1912)</f>
        <v>0</v>
      </c>
      <c r="I1913" s="16" cm="1">
        <f t="array" ref="I1913">SUM(I1911:I1912)</f>
        <v>0</v>
      </c>
    </row>
    <row r="1914" ht="20.35" customHeight="1">
      <c r="A1914" s="10">
        <v>45552</v>
      </c>
      <c r="B1914" t="s" s="11">
        <v>5</v>
      </c>
      <c r="C1914" t="s" s="12">
        <v>169</v>
      </c>
      <c r="D1914" s="17"/>
      <c r="E1914" s="17">
        <v>2100</v>
      </c>
      <c r="F1914" s="18"/>
      <c r="G1914" s="18"/>
      <c r="H1914" s="18"/>
      <c r="I1914" s="18"/>
    </row>
    <row r="1915" ht="20.35" customHeight="1">
      <c r="A1915" s="10">
        <v>45552</v>
      </c>
      <c r="B1915" t="s" s="11">
        <v>12</v>
      </c>
      <c r="C1915" t="s" s="12">
        <v>169</v>
      </c>
      <c r="D1915" s="13">
        <v>2100</v>
      </c>
      <c r="E1915" s="13"/>
      <c r="F1915" s="14"/>
      <c r="G1915" s="14"/>
      <c r="H1915" s="14"/>
      <c r="I1915" s="14"/>
    </row>
    <row r="1916" ht="20.7" customHeight="1">
      <c r="A1916" s="10">
        <v>45552</v>
      </c>
      <c r="B1916" t="s" s="11">
        <v>8</v>
      </c>
      <c r="C1916" t="s" s="12">
        <v>8</v>
      </c>
      <c r="D1916" s="15" cm="1">
        <f t="array" ref="D1916">SUM(D1914:D1915)</f>
        <v>2100</v>
      </c>
      <c r="E1916" s="15" cm="1">
        <f t="array" ref="E1916">SUM(E1914:E1915)</f>
        <v>2100</v>
      </c>
      <c r="F1916" s="16" cm="1">
        <f t="array" ref="F1916">SUM(F1914:F1915)</f>
        <v>0</v>
      </c>
      <c r="G1916" s="16" cm="1">
        <f t="array" ref="G1916">SUM(G1914:G1915)</f>
        <v>0</v>
      </c>
      <c r="H1916" s="16" cm="1">
        <f t="array" ref="H1916">SUM(H1914:H1915)</f>
        <v>0</v>
      </c>
      <c r="I1916" s="16" cm="1">
        <f t="array" ref="I1916">SUM(I1914:I1915)</f>
        <v>0</v>
      </c>
    </row>
    <row r="1917" ht="21.25" customHeight="1">
      <c r="A1917" s="10">
        <v>45552</v>
      </c>
      <c r="B1917" t="s" s="11">
        <v>5</v>
      </c>
      <c r="C1917" t="s" s="12">
        <v>369</v>
      </c>
      <c r="D1917" s="17"/>
      <c r="E1917" s="17">
        <v>95000</v>
      </c>
      <c r="F1917" s="18"/>
      <c r="G1917" s="18"/>
      <c r="H1917" s="18"/>
      <c r="I1917" s="18"/>
    </row>
    <row r="1918" ht="20.9" customHeight="1">
      <c r="A1918" s="10">
        <v>45552</v>
      </c>
      <c r="B1918" t="s" s="11">
        <v>89</v>
      </c>
      <c r="C1918" t="s" s="12">
        <v>369</v>
      </c>
      <c r="D1918" s="19">
        <v>81857</v>
      </c>
      <c r="E1918" s="19"/>
      <c r="F1918" s="20"/>
      <c r="G1918" s="20"/>
      <c r="H1918" s="20"/>
      <c r="I1918" s="20"/>
    </row>
    <row r="1919" ht="21.25" customHeight="1">
      <c r="A1919" s="10">
        <v>45552</v>
      </c>
      <c r="B1919" t="s" s="11">
        <v>12</v>
      </c>
      <c r="C1919" t="s" s="12">
        <v>369</v>
      </c>
      <c r="D1919" s="13">
        <v>13143</v>
      </c>
      <c r="E1919" s="13"/>
      <c r="F1919" s="14"/>
      <c r="G1919" s="14"/>
      <c r="H1919" s="14"/>
      <c r="I1919" s="14"/>
    </row>
    <row r="1920" ht="20.7" customHeight="1">
      <c r="A1920" s="10">
        <v>45552</v>
      </c>
      <c r="B1920" t="s" s="11">
        <v>8</v>
      </c>
      <c r="C1920" t="s" s="12">
        <v>8</v>
      </c>
      <c r="D1920" s="15" cm="1">
        <f t="array" ref="D1920">SUM(D1917:D1919)</f>
        <v>95000</v>
      </c>
      <c r="E1920" s="15" cm="1">
        <f t="array" ref="E1920">SUM(E1917:E1919)</f>
        <v>95000</v>
      </c>
      <c r="F1920" s="16" cm="1">
        <f t="array" ref="F1920">SUM(F1917:F1919)</f>
        <v>0</v>
      </c>
      <c r="G1920" s="16" cm="1">
        <f t="array" ref="G1920">SUM(G1917:G1919)</f>
        <v>0</v>
      </c>
      <c r="H1920" s="16" cm="1">
        <f t="array" ref="H1920">SUM(H1917:H1919)</f>
        <v>0</v>
      </c>
      <c r="I1920" s="16" cm="1">
        <f t="array" ref="I1920">SUM(I1917:I1919)</f>
        <v>0</v>
      </c>
    </row>
    <row r="1921" ht="21.25" customHeight="1">
      <c r="A1921" s="10">
        <v>45552</v>
      </c>
      <c r="B1921" t="s" s="11">
        <v>107</v>
      </c>
      <c r="C1921" t="s" s="12">
        <v>370</v>
      </c>
      <c r="D1921" s="17">
        <v>13200</v>
      </c>
      <c r="E1921" s="17"/>
      <c r="F1921" s="18"/>
      <c r="G1921" s="18"/>
      <c r="H1921" s="18"/>
      <c r="I1921" s="18"/>
    </row>
    <row r="1922" ht="20.9" customHeight="1">
      <c r="A1922" s="10">
        <v>45552</v>
      </c>
      <c r="B1922" t="s" s="11">
        <v>89</v>
      </c>
      <c r="C1922" t="s" s="12">
        <v>370</v>
      </c>
      <c r="D1922" s="19"/>
      <c r="E1922" s="19">
        <v>13143</v>
      </c>
      <c r="F1922" s="20"/>
      <c r="G1922" s="20"/>
      <c r="H1922" s="20"/>
      <c r="I1922" s="20"/>
    </row>
    <row r="1923" ht="21.25" customHeight="1">
      <c r="A1923" s="10">
        <v>45552</v>
      </c>
      <c r="B1923" t="s" s="11">
        <v>91</v>
      </c>
      <c r="C1923" t="s" s="12">
        <v>370</v>
      </c>
      <c r="D1923" s="13"/>
      <c r="E1923" s="13">
        <v>57</v>
      </c>
      <c r="F1923" s="14"/>
      <c r="G1923" s="14"/>
      <c r="H1923" s="14"/>
      <c r="I1923" s="14"/>
    </row>
    <row r="1924" ht="20.7" customHeight="1">
      <c r="A1924" s="10">
        <v>45552</v>
      </c>
      <c r="B1924" t="s" s="11">
        <v>8</v>
      </c>
      <c r="C1924" t="s" s="12">
        <v>8</v>
      </c>
      <c r="D1924" s="15" cm="1">
        <f t="array" ref="D1924">SUM(D1921:D1923)</f>
        <v>13200</v>
      </c>
      <c r="E1924" s="15" cm="1">
        <f t="array" ref="E1924">SUM(E1921:E1923)</f>
        <v>13200</v>
      </c>
      <c r="F1924" s="16" cm="1">
        <f t="array" ref="F1924">SUM(F1921:F1923)</f>
        <v>0</v>
      </c>
      <c r="G1924" s="16" cm="1">
        <f t="array" ref="G1924">SUM(G1921:G1923)</f>
        <v>0</v>
      </c>
      <c r="H1924" s="16" cm="1">
        <f t="array" ref="H1924">SUM(H1921:H1923)</f>
        <v>0</v>
      </c>
      <c r="I1924" s="16" cm="1">
        <f t="array" ref="I1924">SUM(I1921:I1923)</f>
        <v>0</v>
      </c>
    </row>
    <row r="1925" ht="21.25" customHeight="1">
      <c r="A1925" s="10">
        <v>45552</v>
      </c>
      <c r="B1925" t="s" s="11">
        <v>93</v>
      </c>
      <c r="C1925" t="s" s="12">
        <v>371</v>
      </c>
      <c r="D1925" s="17">
        <v>16200</v>
      </c>
      <c r="E1925" s="17"/>
      <c r="F1925" s="18"/>
      <c r="G1925" s="18"/>
      <c r="H1925" s="18"/>
      <c r="I1925" s="18"/>
    </row>
    <row r="1926" ht="20.9" customHeight="1">
      <c r="A1926" s="10">
        <v>45552</v>
      </c>
      <c r="B1926" t="s" s="11">
        <v>89</v>
      </c>
      <c r="C1926" t="s" s="12">
        <v>371</v>
      </c>
      <c r="D1926" s="19"/>
      <c r="E1926" s="19">
        <v>16142</v>
      </c>
      <c r="F1926" s="20"/>
      <c r="G1926" s="20"/>
      <c r="H1926" s="20"/>
      <c r="I1926" s="20"/>
    </row>
    <row r="1927" ht="21.25" customHeight="1">
      <c r="A1927" s="10">
        <v>45552</v>
      </c>
      <c r="B1927" t="s" s="11">
        <v>91</v>
      </c>
      <c r="C1927" t="s" s="12">
        <v>371</v>
      </c>
      <c r="D1927" s="13"/>
      <c r="E1927" s="13">
        <v>58</v>
      </c>
      <c r="F1927" s="14"/>
      <c r="G1927" s="14"/>
      <c r="H1927" s="14"/>
      <c r="I1927" s="14"/>
    </row>
    <row r="1928" ht="20.7" customHeight="1">
      <c r="A1928" s="10">
        <v>45552</v>
      </c>
      <c r="B1928" t="s" s="11">
        <v>8</v>
      </c>
      <c r="C1928" t="s" s="12">
        <v>8</v>
      </c>
      <c r="D1928" s="15" cm="1">
        <f t="array" ref="D1928">SUM(D1925:D1927)</f>
        <v>16200</v>
      </c>
      <c r="E1928" s="15" cm="1">
        <f t="array" ref="E1928">SUM(E1925:E1927)</f>
        <v>16200</v>
      </c>
      <c r="F1928" s="16" cm="1">
        <f t="array" ref="F1928">SUM(F1925:F1927)</f>
        <v>0</v>
      </c>
      <c r="G1928" s="16" cm="1">
        <f t="array" ref="G1928">SUM(G1925:G1927)</f>
        <v>0</v>
      </c>
      <c r="H1928" s="16" cm="1">
        <f t="array" ref="H1928">SUM(H1925:H1927)</f>
        <v>0</v>
      </c>
      <c r="I1928" s="16" cm="1">
        <f t="array" ref="I1928">SUM(I1925:I1927)</f>
        <v>0</v>
      </c>
    </row>
    <row r="1929" ht="21.25" customHeight="1">
      <c r="A1929" s="10">
        <v>45552</v>
      </c>
      <c r="B1929" t="s" s="11">
        <v>107</v>
      </c>
      <c r="C1929" t="s" s="12">
        <v>372</v>
      </c>
      <c r="D1929" s="17">
        <v>13200</v>
      </c>
      <c r="E1929" s="17"/>
      <c r="F1929" s="18"/>
      <c r="G1929" s="18"/>
      <c r="H1929" s="18"/>
      <c r="I1929" s="18"/>
    </row>
    <row r="1930" ht="20.9" customHeight="1">
      <c r="A1930" s="10">
        <v>45552</v>
      </c>
      <c r="B1930" t="s" s="11">
        <v>89</v>
      </c>
      <c r="C1930" t="s" s="12">
        <v>372</v>
      </c>
      <c r="D1930" s="19"/>
      <c r="E1930" s="19">
        <v>13143</v>
      </c>
      <c r="F1930" s="20"/>
      <c r="G1930" s="20"/>
      <c r="H1930" s="20"/>
      <c r="I1930" s="20"/>
    </row>
    <row r="1931" ht="21.25" customHeight="1">
      <c r="A1931" s="10">
        <v>45552</v>
      </c>
      <c r="B1931" t="s" s="11">
        <v>91</v>
      </c>
      <c r="C1931" t="s" s="12">
        <v>372</v>
      </c>
      <c r="D1931" s="13"/>
      <c r="E1931" s="13">
        <v>57</v>
      </c>
      <c r="F1931" s="14"/>
      <c r="G1931" s="14"/>
      <c r="H1931" s="14"/>
      <c r="I1931" s="14"/>
    </row>
    <row r="1932" ht="20.7" customHeight="1">
      <c r="A1932" s="10">
        <v>45552</v>
      </c>
      <c r="B1932" t="s" s="11">
        <v>8</v>
      </c>
      <c r="C1932" t="s" s="12">
        <v>8</v>
      </c>
      <c r="D1932" s="15" cm="1">
        <f t="array" ref="D1932">SUM(D1929:D1931)</f>
        <v>13200</v>
      </c>
      <c r="E1932" s="15" cm="1">
        <f t="array" ref="E1932">SUM(E1929:E1931)</f>
        <v>13200</v>
      </c>
      <c r="F1932" s="16" cm="1">
        <f t="array" ref="F1932">SUM(F1929:F1931)</f>
        <v>0</v>
      </c>
      <c r="G1932" s="16" cm="1">
        <f t="array" ref="G1932">SUM(G1929:G1931)</f>
        <v>0</v>
      </c>
      <c r="H1932" s="16" cm="1">
        <f t="array" ref="H1932">SUM(H1929:H1931)</f>
        <v>0</v>
      </c>
      <c r="I1932" s="16" cm="1">
        <f t="array" ref="I1932">SUM(I1929:I1931)</f>
        <v>0</v>
      </c>
    </row>
    <row r="1933" ht="20.35" customHeight="1">
      <c r="A1933" s="10">
        <v>45552</v>
      </c>
      <c r="B1933" t="s" s="11">
        <v>5</v>
      </c>
      <c r="C1933" t="s" s="12">
        <v>96</v>
      </c>
      <c r="D1933" s="17">
        <v>16200</v>
      </c>
      <c r="E1933" s="17"/>
      <c r="F1933" s="18"/>
      <c r="G1933" s="18"/>
      <c r="H1933" s="18"/>
      <c r="I1933" s="18"/>
    </row>
    <row r="1934" ht="20.35" customHeight="1">
      <c r="A1934" s="10">
        <v>45552</v>
      </c>
      <c r="B1934" t="s" s="11">
        <v>93</v>
      </c>
      <c r="C1934" t="s" s="12">
        <v>96</v>
      </c>
      <c r="D1934" s="13"/>
      <c r="E1934" s="13">
        <v>16200</v>
      </c>
      <c r="F1934" s="14"/>
      <c r="G1934" s="14"/>
      <c r="H1934" s="14"/>
      <c r="I1934" s="14"/>
    </row>
    <row r="1935" ht="20.7" customHeight="1">
      <c r="A1935" s="10">
        <v>45552</v>
      </c>
      <c r="B1935" t="s" s="11">
        <v>8</v>
      </c>
      <c r="C1935" t="s" s="12">
        <v>8</v>
      </c>
      <c r="D1935" s="15" cm="1">
        <f t="array" ref="D1935">SUM(D1933:D1934)</f>
        <v>16200</v>
      </c>
      <c r="E1935" s="15" cm="1">
        <f t="array" ref="E1935">SUM(E1933:E1934)</f>
        <v>16200</v>
      </c>
      <c r="F1935" s="16" cm="1">
        <f t="array" ref="F1935">SUM(F1933:F1934)</f>
        <v>0</v>
      </c>
      <c r="G1935" s="16" cm="1">
        <f t="array" ref="G1935">SUM(G1933:G1934)</f>
        <v>0</v>
      </c>
      <c r="H1935" s="16" cm="1">
        <f t="array" ref="H1935">SUM(H1933:H1934)</f>
        <v>0</v>
      </c>
      <c r="I1935" s="16" cm="1">
        <f t="array" ref="I1935">SUM(I1933:I1934)</f>
        <v>0</v>
      </c>
    </row>
    <row r="1936" ht="20.35" customHeight="1">
      <c r="A1936" s="10">
        <v>45552</v>
      </c>
      <c r="B1936" t="s" s="11">
        <v>5</v>
      </c>
      <c r="C1936" t="s" s="12">
        <v>96</v>
      </c>
      <c r="D1936" s="17">
        <v>26400</v>
      </c>
      <c r="E1936" s="17"/>
      <c r="F1936" s="18"/>
      <c r="G1936" s="18"/>
      <c r="H1936" s="18"/>
      <c r="I1936" s="18"/>
    </row>
    <row r="1937" ht="20.35" customHeight="1">
      <c r="A1937" s="10">
        <v>45552</v>
      </c>
      <c r="B1937" t="s" s="11">
        <v>107</v>
      </c>
      <c r="C1937" t="s" s="12">
        <v>96</v>
      </c>
      <c r="D1937" s="13"/>
      <c r="E1937" s="13">
        <v>26400</v>
      </c>
      <c r="F1937" s="14"/>
      <c r="G1937" s="14"/>
      <c r="H1937" s="14"/>
      <c r="I1937" s="14"/>
    </row>
    <row r="1938" ht="20.7" customHeight="1">
      <c r="A1938" s="10">
        <v>45552</v>
      </c>
      <c r="B1938" t="s" s="11">
        <v>8</v>
      </c>
      <c r="C1938" t="s" s="12">
        <v>8</v>
      </c>
      <c r="D1938" s="15" cm="1">
        <f t="array" ref="D1938">SUM(D1936:D1937)</f>
        <v>26400</v>
      </c>
      <c r="E1938" s="15" cm="1">
        <f t="array" ref="E1938">SUM(E1936:E1937)</f>
        <v>26400</v>
      </c>
      <c r="F1938" s="16" cm="1">
        <f t="array" ref="F1938">SUM(F1936:F1937)</f>
        <v>0</v>
      </c>
      <c r="G1938" s="16" cm="1">
        <f t="array" ref="G1938">SUM(G1936:G1937)</f>
        <v>0</v>
      </c>
      <c r="H1938" s="16" cm="1">
        <f t="array" ref="H1938">SUM(H1936:H1937)</f>
        <v>0</v>
      </c>
      <c r="I1938" s="16" cm="1">
        <f t="array" ref="I1938">SUM(I1936:I1937)</f>
        <v>0</v>
      </c>
    </row>
    <row r="1939" ht="21.25" customHeight="1">
      <c r="A1939" s="10">
        <v>45552</v>
      </c>
      <c r="B1939" t="s" s="11">
        <v>28</v>
      </c>
      <c r="C1939" t="s" s="12">
        <v>373</v>
      </c>
      <c r="D1939" s="17">
        <v>15500</v>
      </c>
      <c r="E1939" s="17"/>
      <c r="F1939" s="18"/>
      <c r="G1939" s="18"/>
      <c r="H1939" s="18"/>
      <c r="I1939" s="18"/>
    </row>
    <row r="1940" ht="20.9" customHeight="1">
      <c r="A1940" s="10">
        <v>45552</v>
      </c>
      <c r="B1940" t="s" s="11">
        <v>89</v>
      </c>
      <c r="C1940" t="s" s="12">
        <v>373</v>
      </c>
      <c r="D1940" s="19"/>
      <c r="E1940" s="19">
        <v>15429</v>
      </c>
      <c r="F1940" s="20"/>
      <c r="G1940" s="20"/>
      <c r="H1940" s="20"/>
      <c r="I1940" s="20"/>
    </row>
    <row r="1941" ht="21.25" customHeight="1">
      <c r="A1941" s="10">
        <v>45552</v>
      </c>
      <c r="B1941" t="s" s="11">
        <v>91</v>
      </c>
      <c r="C1941" t="s" s="12">
        <v>373</v>
      </c>
      <c r="D1941" s="13"/>
      <c r="E1941" s="13">
        <v>71</v>
      </c>
      <c r="F1941" s="14"/>
      <c r="G1941" s="14"/>
      <c r="H1941" s="14"/>
      <c r="I1941" s="14"/>
    </row>
    <row r="1942" ht="20.7" customHeight="1">
      <c r="A1942" s="10">
        <v>45552</v>
      </c>
      <c r="B1942" t="s" s="11">
        <v>8</v>
      </c>
      <c r="C1942" t="s" s="12">
        <v>8</v>
      </c>
      <c r="D1942" s="15" cm="1">
        <f t="array" ref="D1942">SUM(D1939:D1941)</f>
        <v>15500</v>
      </c>
      <c r="E1942" s="15" cm="1">
        <f t="array" ref="E1942">SUM(E1939:E1941)</f>
        <v>15500</v>
      </c>
      <c r="F1942" s="16" cm="1">
        <f t="array" ref="F1942">SUM(F1939:F1941)</f>
        <v>0</v>
      </c>
      <c r="G1942" s="16" cm="1">
        <f t="array" ref="G1942">SUM(G1939:G1941)</f>
        <v>0</v>
      </c>
      <c r="H1942" s="16" cm="1">
        <f t="array" ref="H1942">SUM(H1939:H1941)</f>
        <v>0</v>
      </c>
      <c r="I1942" s="16" cm="1">
        <f t="array" ref="I1942">SUM(I1939:I1941)</f>
        <v>0</v>
      </c>
    </row>
    <row r="1943" ht="21.25" customHeight="1">
      <c r="A1943" s="10">
        <v>45552</v>
      </c>
      <c r="B1943" t="s" s="11">
        <v>5</v>
      </c>
      <c r="C1943" t="s" s="12">
        <v>374</v>
      </c>
      <c r="D1943" s="17"/>
      <c r="E1943" s="17">
        <v>16000</v>
      </c>
      <c r="F1943" s="18"/>
      <c r="G1943" s="18"/>
      <c r="H1943" s="18"/>
      <c r="I1943" s="18"/>
    </row>
    <row r="1944" ht="20.9" customHeight="1">
      <c r="A1944" s="10">
        <v>45552</v>
      </c>
      <c r="B1944" t="s" s="11">
        <v>89</v>
      </c>
      <c r="C1944" t="s" s="12">
        <v>374</v>
      </c>
      <c r="D1944" s="19">
        <v>13714</v>
      </c>
      <c r="E1944" s="19"/>
      <c r="F1944" s="20"/>
      <c r="G1944" s="20"/>
      <c r="H1944" s="20"/>
      <c r="I1944" s="20"/>
    </row>
    <row r="1945" ht="21.25" customHeight="1">
      <c r="A1945" s="10">
        <v>45552</v>
      </c>
      <c r="B1945" t="s" s="11">
        <v>10</v>
      </c>
      <c r="C1945" t="s" s="12">
        <v>374</v>
      </c>
      <c r="D1945" s="13">
        <v>2286</v>
      </c>
      <c r="E1945" s="13"/>
      <c r="F1945" s="14"/>
      <c r="G1945" s="14"/>
      <c r="H1945" s="14"/>
      <c r="I1945" s="14"/>
    </row>
    <row r="1946" ht="20.7" customHeight="1">
      <c r="A1946" s="10">
        <v>45552</v>
      </c>
      <c r="B1946" t="s" s="11">
        <v>8</v>
      </c>
      <c r="C1946" t="s" s="12">
        <v>8</v>
      </c>
      <c r="D1946" s="15" cm="1">
        <f t="array" ref="D1946">SUM(D1943:D1945)</f>
        <v>16000</v>
      </c>
      <c r="E1946" s="15" cm="1">
        <f t="array" ref="E1946">SUM(E1943:E1945)</f>
        <v>16000</v>
      </c>
      <c r="F1946" s="16" cm="1">
        <f t="array" ref="F1946">SUM(F1943:F1945)</f>
        <v>0</v>
      </c>
      <c r="G1946" s="16" cm="1">
        <f t="array" ref="G1946">SUM(G1943:G1945)</f>
        <v>0</v>
      </c>
      <c r="H1946" s="16" cm="1">
        <f t="array" ref="H1946">SUM(H1943:H1945)</f>
        <v>0</v>
      </c>
      <c r="I1946" s="16" cm="1">
        <f t="array" ref="I1946">SUM(I1943:I1945)</f>
        <v>0</v>
      </c>
    </row>
    <row r="1947" ht="21.25" customHeight="1">
      <c r="A1947" s="10">
        <v>45552</v>
      </c>
      <c r="B1947" t="s" s="11">
        <v>93</v>
      </c>
      <c r="C1947" t="s" s="12">
        <v>375</v>
      </c>
      <c r="D1947" s="17">
        <v>2300</v>
      </c>
      <c r="E1947" s="17"/>
      <c r="F1947" s="18"/>
      <c r="G1947" s="18"/>
      <c r="H1947" s="18"/>
      <c r="I1947" s="18"/>
    </row>
    <row r="1948" ht="20.9" customHeight="1">
      <c r="A1948" s="10">
        <v>45552</v>
      </c>
      <c r="B1948" t="s" s="11">
        <v>89</v>
      </c>
      <c r="C1948" t="s" s="12">
        <v>375</v>
      </c>
      <c r="D1948" s="19"/>
      <c r="E1948" s="19">
        <v>2286</v>
      </c>
      <c r="F1948" s="20"/>
      <c r="G1948" s="20"/>
      <c r="H1948" s="20"/>
      <c r="I1948" s="20"/>
    </row>
    <row r="1949" ht="21.25" customHeight="1">
      <c r="A1949" s="10">
        <v>45552</v>
      </c>
      <c r="B1949" t="s" s="11">
        <v>91</v>
      </c>
      <c r="C1949" t="s" s="12">
        <v>375</v>
      </c>
      <c r="D1949" s="13"/>
      <c r="E1949" s="13">
        <v>14</v>
      </c>
      <c r="F1949" s="14"/>
      <c r="G1949" s="14"/>
      <c r="H1949" s="14"/>
      <c r="I1949" s="14"/>
    </row>
    <row r="1950" ht="20.7" customHeight="1">
      <c r="A1950" s="10">
        <v>45552</v>
      </c>
      <c r="B1950" t="s" s="11">
        <v>8</v>
      </c>
      <c r="C1950" t="s" s="12">
        <v>8</v>
      </c>
      <c r="D1950" s="15" cm="1">
        <f t="array" ref="D1950">SUM(D1947:D1949)</f>
        <v>2300</v>
      </c>
      <c r="E1950" s="15" cm="1">
        <f t="array" ref="E1950">SUM(E1947:E1949)</f>
        <v>2300</v>
      </c>
      <c r="F1950" s="16" cm="1">
        <f t="array" ref="F1950">SUM(F1947:F1949)</f>
        <v>0</v>
      </c>
      <c r="G1950" s="16" cm="1">
        <f t="array" ref="G1950">SUM(G1947:G1949)</f>
        <v>0</v>
      </c>
      <c r="H1950" s="16" cm="1">
        <f t="array" ref="H1950">SUM(H1947:H1949)</f>
        <v>0</v>
      </c>
      <c r="I1950" s="16" cm="1">
        <f t="array" ref="I1950">SUM(I1947:I1949)</f>
        <v>0</v>
      </c>
    </row>
    <row r="1951" ht="21.25" customHeight="1">
      <c r="A1951" s="10">
        <v>45552</v>
      </c>
      <c r="B1951" t="s" s="11">
        <v>107</v>
      </c>
      <c r="C1951" t="s" s="12">
        <v>376</v>
      </c>
      <c r="D1951" s="17">
        <v>2300</v>
      </c>
      <c r="E1951" s="17"/>
      <c r="F1951" s="18"/>
      <c r="G1951" s="18"/>
      <c r="H1951" s="18"/>
      <c r="I1951" s="18"/>
    </row>
    <row r="1952" ht="20.9" customHeight="1">
      <c r="A1952" s="10">
        <v>45552</v>
      </c>
      <c r="B1952" t="s" s="11">
        <v>89</v>
      </c>
      <c r="C1952" t="s" s="12">
        <v>376</v>
      </c>
      <c r="D1952" s="19"/>
      <c r="E1952" s="19">
        <v>2286</v>
      </c>
      <c r="F1952" s="20"/>
      <c r="G1952" s="20"/>
      <c r="H1952" s="20"/>
      <c r="I1952" s="20"/>
    </row>
    <row r="1953" ht="21.25" customHeight="1">
      <c r="A1953" s="10">
        <v>45552</v>
      </c>
      <c r="B1953" t="s" s="11">
        <v>91</v>
      </c>
      <c r="C1953" t="s" s="12">
        <v>376</v>
      </c>
      <c r="D1953" s="13"/>
      <c r="E1953" s="13">
        <v>14</v>
      </c>
      <c r="F1953" s="14"/>
      <c r="G1953" s="14"/>
      <c r="H1953" s="14"/>
      <c r="I1953" s="14"/>
    </row>
    <row r="1954" ht="20.7" customHeight="1">
      <c r="A1954" s="10">
        <v>45552</v>
      </c>
      <c r="B1954" t="s" s="11">
        <v>8</v>
      </c>
      <c r="C1954" t="s" s="12">
        <v>8</v>
      </c>
      <c r="D1954" s="15" cm="1">
        <f t="array" ref="D1954">SUM(D1951:D1953)</f>
        <v>2300</v>
      </c>
      <c r="E1954" s="15" cm="1">
        <f t="array" ref="E1954">SUM(E1951:E1953)</f>
        <v>2300</v>
      </c>
      <c r="F1954" s="16" cm="1">
        <f t="array" ref="F1954">SUM(F1951:F1953)</f>
        <v>0</v>
      </c>
      <c r="G1954" s="16" cm="1">
        <f t="array" ref="G1954">SUM(G1951:G1953)</f>
        <v>0</v>
      </c>
      <c r="H1954" s="16" cm="1">
        <f t="array" ref="H1954">SUM(H1951:H1953)</f>
        <v>0</v>
      </c>
      <c r="I1954" s="16" cm="1">
        <f t="array" ref="I1954">SUM(I1951:I1953)</f>
        <v>0</v>
      </c>
    </row>
    <row r="1955" ht="20.35" customHeight="1">
      <c r="A1955" s="10">
        <v>45552</v>
      </c>
      <c r="B1955" t="s" s="11">
        <v>5</v>
      </c>
      <c r="C1955" t="s" s="12">
        <v>96</v>
      </c>
      <c r="D1955" s="17">
        <v>2300</v>
      </c>
      <c r="E1955" s="17"/>
      <c r="F1955" s="18"/>
      <c r="G1955" s="18"/>
      <c r="H1955" s="18"/>
      <c r="I1955" s="18"/>
    </row>
    <row r="1956" ht="20.35" customHeight="1">
      <c r="A1956" s="10">
        <v>45552</v>
      </c>
      <c r="B1956" t="s" s="11">
        <v>93</v>
      </c>
      <c r="C1956" t="s" s="12">
        <v>96</v>
      </c>
      <c r="D1956" s="13"/>
      <c r="E1956" s="13">
        <v>2300</v>
      </c>
      <c r="F1956" s="14"/>
      <c r="G1956" s="14"/>
      <c r="H1956" s="14"/>
      <c r="I1956" s="14"/>
    </row>
    <row r="1957" ht="20.7" customHeight="1">
      <c r="A1957" s="10">
        <v>45552</v>
      </c>
      <c r="B1957" t="s" s="11">
        <v>8</v>
      </c>
      <c r="C1957" t="s" s="12">
        <v>8</v>
      </c>
      <c r="D1957" s="15" cm="1">
        <f t="array" ref="D1957">SUM(D1955:D1956)</f>
        <v>2300</v>
      </c>
      <c r="E1957" s="15" cm="1">
        <f t="array" ref="E1957">SUM(E1955:E1956)</f>
        <v>2300</v>
      </c>
      <c r="F1957" s="16" cm="1">
        <f t="array" ref="F1957">SUM(F1955:F1956)</f>
        <v>0</v>
      </c>
      <c r="G1957" s="16" cm="1">
        <f t="array" ref="G1957">SUM(G1955:G1956)</f>
        <v>0</v>
      </c>
      <c r="H1957" s="16" cm="1">
        <f t="array" ref="H1957">SUM(H1955:H1956)</f>
        <v>0</v>
      </c>
      <c r="I1957" s="16" cm="1">
        <f t="array" ref="I1957">SUM(I1955:I1956)</f>
        <v>0</v>
      </c>
    </row>
    <row r="1958" ht="20.35" customHeight="1">
      <c r="A1958" s="10">
        <v>45552</v>
      </c>
      <c r="B1958" t="s" s="11">
        <v>5</v>
      </c>
      <c r="C1958" t="s" s="12">
        <v>96</v>
      </c>
      <c r="D1958" s="17">
        <v>2300</v>
      </c>
      <c r="E1958" s="17"/>
      <c r="F1958" s="18"/>
      <c r="G1958" s="18"/>
      <c r="H1958" s="18"/>
      <c r="I1958" s="18"/>
    </row>
    <row r="1959" ht="20.35" customHeight="1">
      <c r="A1959" s="10">
        <v>45552</v>
      </c>
      <c r="B1959" t="s" s="11">
        <v>107</v>
      </c>
      <c r="C1959" t="s" s="12">
        <v>96</v>
      </c>
      <c r="D1959" s="13"/>
      <c r="E1959" s="13">
        <v>2300</v>
      </c>
      <c r="F1959" s="14"/>
      <c r="G1959" s="14"/>
      <c r="H1959" s="14"/>
      <c r="I1959" s="14"/>
    </row>
    <row r="1960" ht="20.7" customHeight="1">
      <c r="A1960" s="10">
        <v>45552</v>
      </c>
      <c r="B1960" t="s" s="11">
        <v>8</v>
      </c>
      <c r="C1960" t="s" s="12">
        <v>8</v>
      </c>
      <c r="D1960" s="15" cm="1">
        <f t="array" ref="D1960">SUM(D1958:D1959)</f>
        <v>2300</v>
      </c>
      <c r="E1960" s="15" cm="1">
        <f t="array" ref="E1960">SUM(E1958:E1959)</f>
        <v>2300</v>
      </c>
      <c r="F1960" s="16" cm="1">
        <f t="array" ref="F1960">SUM(F1958:F1959)</f>
        <v>0</v>
      </c>
      <c r="G1960" s="16" cm="1">
        <f t="array" ref="G1960">SUM(G1958:G1959)</f>
        <v>0</v>
      </c>
      <c r="H1960" s="16" cm="1">
        <f t="array" ref="H1960">SUM(H1958:H1959)</f>
        <v>0</v>
      </c>
      <c r="I1960" s="16" cm="1">
        <f t="array" ref="I1960">SUM(I1958:I1959)</f>
        <v>0</v>
      </c>
    </row>
    <row r="1961" ht="20.35" customHeight="1">
      <c r="A1961" s="10">
        <v>45552</v>
      </c>
      <c r="B1961" t="s" s="11">
        <v>28</v>
      </c>
      <c r="C1961" t="s" s="12">
        <v>377</v>
      </c>
      <c r="D1961" s="17"/>
      <c r="E1961" s="17">
        <v>8000</v>
      </c>
      <c r="F1961" s="18"/>
      <c r="G1961" s="18"/>
      <c r="H1961" s="18"/>
      <c r="I1961" s="18"/>
    </row>
    <row r="1962" ht="20.05" customHeight="1">
      <c r="A1962" s="10">
        <v>45552</v>
      </c>
      <c r="B1962" t="s" s="11">
        <v>12</v>
      </c>
      <c r="C1962" t="s" s="12">
        <v>377</v>
      </c>
      <c r="D1962" s="19">
        <v>4000</v>
      </c>
      <c r="E1962" s="19"/>
      <c r="F1962" s="20"/>
      <c r="G1962" s="20"/>
      <c r="H1962" s="20"/>
      <c r="I1962" s="20"/>
    </row>
    <row r="1963" ht="20.35" customHeight="1">
      <c r="A1963" s="10">
        <v>45552</v>
      </c>
      <c r="B1963" t="s" s="11">
        <v>10</v>
      </c>
      <c r="C1963" t="s" s="12">
        <v>377</v>
      </c>
      <c r="D1963" s="13">
        <v>4000</v>
      </c>
      <c r="E1963" s="13"/>
      <c r="F1963" s="14"/>
      <c r="G1963" s="14"/>
      <c r="H1963" s="14"/>
      <c r="I1963" s="14"/>
    </row>
    <row r="1964" ht="20.7" customHeight="1">
      <c r="A1964" s="10">
        <v>45552</v>
      </c>
      <c r="B1964" t="s" s="11">
        <v>8</v>
      </c>
      <c r="C1964" t="s" s="12">
        <v>8</v>
      </c>
      <c r="D1964" s="15" cm="1">
        <f t="array" ref="D1964">SUM(D1961:D1963)</f>
        <v>8000</v>
      </c>
      <c r="E1964" s="15" cm="1">
        <f t="array" ref="E1964">SUM(E1961:E1963)</f>
        <v>8000</v>
      </c>
      <c r="F1964" s="16" cm="1">
        <f t="array" ref="F1964">SUM(F1961:F1963)</f>
        <v>0</v>
      </c>
      <c r="G1964" s="16" cm="1">
        <f t="array" ref="G1964">SUM(G1961:G1963)</f>
        <v>0</v>
      </c>
      <c r="H1964" s="16" cm="1">
        <f t="array" ref="H1964">SUM(H1961:H1963)</f>
        <v>0</v>
      </c>
      <c r="I1964" s="16" cm="1">
        <f t="array" ref="I1964">SUM(I1961:I1963)</f>
        <v>0</v>
      </c>
    </row>
    <row r="1965" ht="20.35" customHeight="1">
      <c r="A1965" s="10">
        <v>45552</v>
      </c>
      <c r="B1965" t="s" s="11">
        <v>5</v>
      </c>
      <c r="C1965" t="s" s="12">
        <v>27</v>
      </c>
      <c r="D1965" s="17">
        <v>20000</v>
      </c>
      <c r="E1965" s="17"/>
      <c r="F1965" s="18"/>
      <c r="G1965" s="18"/>
      <c r="H1965" s="18"/>
      <c r="I1965" s="18"/>
    </row>
    <row r="1966" ht="20.35" customHeight="1">
      <c r="A1966" s="10">
        <v>45552</v>
      </c>
      <c r="B1966" t="s" s="11">
        <v>28</v>
      </c>
      <c r="C1966" t="s" s="12">
        <v>27</v>
      </c>
      <c r="D1966" s="13"/>
      <c r="E1966" s="13">
        <v>20000</v>
      </c>
      <c r="F1966" s="14"/>
      <c r="G1966" s="14"/>
      <c r="H1966" s="14"/>
      <c r="I1966" s="14"/>
    </row>
    <row r="1967" ht="20.7" customHeight="1">
      <c r="A1967" s="10">
        <v>45552</v>
      </c>
      <c r="B1967" t="s" s="11">
        <v>8</v>
      </c>
      <c r="C1967" t="s" s="12">
        <v>8</v>
      </c>
      <c r="D1967" s="15" cm="1">
        <f t="array" ref="D1967">SUM(D1965:D1966)</f>
        <v>20000</v>
      </c>
      <c r="E1967" s="15" cm="1">
        <f t="array" ref="E1967">SUM(E1965:E1966)</f>
        <v>20000</v>
      </c>
      <c r="F1967" s="16" cm="1">
        <f t="array" ref="F1967">SUM(F1965:F1966)</f>
        <v>0</v>
      </c>
      <c r="G1967" s="16" cm="1">
        <f t="array" ref="G1967">SUM(G1965:G1966)</f>
        <v>0</v>
      </c>
      <c r="H1967" s="16" cm="1">
        <f t="array" ref="H1967">SUM(H1965:H1966)</f>
        <v>0</v>
      </c>
      <c r="I1967" s="16" cm="1">
        <f t="array" ref="I1967">SUM(I1965:I1966)</f>
        <v>0</v>
      </c>
    </row>
    <row r="1968" ht="21.25" customHeight="1">
      <c r="A1968" s="10">
        <v>45552</v>
      </c>
      <c r="B1968" t="s" s="11">
        <v>21</v>
      </c>
      <c r="C1968" t="s" s="12">
        <v>378</v>
      </c>
      <c r="D1968" s="17"/>
      <c r="E1968" s="17" cm="1">
        <f t="array" ref="E1968">1400+200+1200+1400+1500+1400</f>
        <v>7100</v>
      </c>
      <c r="F1968" s="18"/>
      <c r="G1968" s="18"/>
      <c r="H1968" s="18"/>
      <c r="I1968" s="18"/>
    </row>
    <row r="1969" ht="21.25" customHeight="1">
      <c r="A1969" s="10">
        <v>45552</v>
      </c>
      <c r="B1969" t="s" s="11">
        <v>16</v>
      </c>
      <c r="C1969" t="s" s="12">
        <v>378</v>
      </c>
      <c r="D1969" s="13">
        <v>7100</v>
      </c>
      <c r="E1969" s="13"/>
      <c r="F1969" s="14"/>
      <c r="G1969" s="14"/>
      <c r="H1969" s="14"/>
      <c r="I1969" s="14"/>
    </row>
    <row r="1970" ht="20.7" customHeight="1">
      <c r="A1970" s="10">
        <v>45552</v>
      </c>
      <c r="B1970" t="s" s="11">
        <v>8</v>
      </c>
      <c r="C1970" t="s" s="12">
        <v>8</v>
      </c>
      <c r="D1970" s="15" cm="1">
        <f t="array" ref="D1970">SUM(D1968:D1969)</f>
        <v>7100</v>
      </c>
      <c r="E1970" s="15" cm="1">
        <f t="array" ref="E1970">SUM(E1968:E1969)</f>
        <v>7100</v>
      </c>
      <c r="F1970" s="16" cm="1">
        <f t="array" ref="F1970">SUM(F1968:F1969)</f>
        <v>0</v>
      </c>
      <c r="G1970" s="16" cm="1">
        <f t="array" ref="G1970">SUM(G1968:G1969)</f>
        <v>0</v>
      </c>
      <c r="H1970" s="16" cm="1">
        <f t="array" ref="H1970">SUM(H1968:H1969)</f>
        <v>0</v>
      </c>
      <c r="I1970" s="16" cm="1">
        <f t="array" ref="I1970">SUM(I1968:I1969)</f>
        <v>0</v>
      </c>
    </row>
    <row r="1971" ht="20.65" customHeight="1">
      <c r="A1971" s="10">
        <v>45553</v>
      </c>
      <c r="B1971" t="s" s="11">
        <v>5</v>
      </c>
      <c r="C1971" t="s" s="12">
        <v>379</v>
      </c>
      <c r="D1971" s="17"/>
      <c r="E1971" s="17">
        <v>6500</v>
      </c>
      <c r="F1971" s="18"/>
      <c r="G1971" s="18"/>
      <c r="H1971" s="18"/>
      <c r="I1971" s="18"/>
    </row>
    <row r="1972" ht="20.65" customHeight="1">
      <c r="A1972" s="10">
        <v>45553</v>
      </c>
      <c r="B1972" t="s" s="11">
        <v>10</v>
      </c>
      <c r="C1972" t="s" s="12">
        <v>379</v>
      </c>
      <c r="D1972" s="13">
        <v>6500</v>
      </c>
      <c r="E1972" s="13"/>
      <c r="F1972" s="14"/>
      <c r="G1972" s="14"/>
      <c r="H1972" s="14"/>
      <c r="I1972" s="14"/>
    </row>
    <row r="1973" ht="20.7" customHeight="1">
      <c r="A1973" s="10">
        <v>45553</v>
      </c>
      <c r="B1973" t="s" s="11">
        <v>8</v>
      </c>
      <c r="C1973" t="s" s="12">
        <v>8</v>
      </c>
      <c r="D1973" s="15" cm="1">
        <f t="array" ref="D1973">SUM(D1971:D1972)</f>
        <v>6500</v>
      </c>
      <c r="E1973" s="15" cm="1">
        <f t="array" ref="E1973">SUM(E1971:E1972)</f>
        <v>6500</v>
      </c>
      <c r="F1973" s="16" cm="1">
        <f t="array" ref="F1973">SUM(F1971:F1972)</f>
        <v>0</v>
      </c>
      <c r="G1973" s="16" cm="1">
        <f t="array" ref="G1973">SUM(G1971:G1972)</f>
        <v>0</v>
      </c>
      <c r="H1973" s="16" cm="1">
        <f t="array" ref="H1973">SUM(H1971:H1972)</f>
        <v>0</v>
      </c>
      <c r="I1973" s="16" cm="1">
        <f t="array" ref="I1973">SUM(I1971:I1972)</f>
        <v>0</v>
      </c>
    </row>
    <row r="1974" ht="20.65" customHeight="1">
      <c r="A1974" s="10">
        <v>45553</v>
      </c>
      <c r="B1974" t="s" s="11">
        <v>21</v>
      </c>
      <c r="C1974" t="s" s="12">
        <v>380</v>
      </c>
      <c r="D1974" s="17"/>
      <c r="E1974" s="17">
        <v>12000</v>
      </c>
      <c r="F1974" s="18"/>
      <c r="G1974" s="18"/>
      <c r="H1974" s="18"/>
      <c r="I1974" s="18"/>
    </row>
    <row r="1975" ht="20.65" customHeight="1">
      <c r="A1975" s="10">
        <v>45553</v>
      </c>
      <c r="B1975" t="s" s="11">
        <v>10</v>
      </c>
      <c r="C1975" t="s" s="12">
        <v>380</v>
      </c>
      <c r="D1975" s="13">
        <v>12000</v>
      </c>
      <c r="E1975" s="13"/>
      <c r="F1975" s="14"/>
      <c r="G1975" s="14"/>
      <c r="H1975" s="14"/>
      <c r="I1975" s="14"/>
    </row>
    <row r="1976" ht="20.7" customHeight="1">
      <c r="A1976" s="10">
        <v>45553</v>
      </c>
      <c r="B1976" t="s" s="11">
        <v>8</v>
      </c>
      <c r="C1976" t="s" s="12">
        <v>8</v>
      </c>
      <c r="D1976" s="15" cm="1">
        <f t="array" ref="D1976">SUM(D1974:D1975)</f>
        <v>12000</v>
      </c>
      <c r="E1976" s="15" cm="1">
        <f t="array" ref="E1976">SUM(E1974:E1975)</f>
        <v>12000</v>
      </c>
      <c r="F1976" s="16" cm="1">
        <f t="array" ref="F1976">SUM(F1974:F1975)</f>
        <v>0</v>
      </c>
      <c r="G1976" s="16" cm="1">
        <f t="array" ref="G1976">SUM(G1974:G1975)</f>
        <v>0</v>
      </c>
      <c r="H1976" s="16" cm="1">
        <f t="array" ref="H1976">SUM(H1974:H1975)</f>
        <v>0</v>
      </c>
      <c r="I1976" s="16" cm="1">
        <f t="array" ref="I1976">SUM(I1974:I1975)</f>
        <v>0</v>
      </c>
    </row>
    <row r="1977" ht="20.65" customHeight="1">
      <c r="A1977" s="10">
        <v>45553</v>
      </c>
      <c r="B1977" t="s" s="11">
        <v>21</v>
      </c>
      <c r="C1977" t="s" s="12">
        <v>380</v>
      </c>
      <c r="D1977" s="17">
        <v>12000</v>
      </c>
      <c r="E1977" s="17"/>
      <c r="F1977" s="18"/>
      <c r="G1977" s="18"/>
      <c r="H1977" s="18"/>
      <c r="I1977" s="18"/>
    </row>
    <row r="1978" ht="20.65" customHeight="1">
      <c r="A1978" s="10">
        <v>45553</v>
      </c>
      <c r="B1978" t="s" s="11">
        <v>5</v>
      </c>
      <c r="C1978" t="s" s="12">
        <v>380</v>
      </c>
      <c r="D1978" s="13"/>
      <c r="E1978" s="13">
        <v>12000</v>
      </c>
      <c r="F1978" s="14"/>
      <c r="G1978" s="14"/>
      <c r="H1978" s="14"/>
      <c r="I1978" s="14"/>
    </row>
    <row r="1979" ht="20.7" customHeight="1">
      <c r="A1979" s="10">
        <v>45553</v>
      </c>
      <c r="B1979" t="s" s="11">
        <v>8</v>
      </c>
      <c r="C1979" t="s" s="12">
        <v>8</v>
      </c>
      <c r="D1979" s="15" cm="1">
        <f t="array" ref="D1979">SUM(D1977:D1978)</f>
        <v>12000</v>
      </c>
      <c r="E1979" s="15" cm="1">
        <f t="array" ref="E1979">SUM(E1977:E1978)</f>
        <v>12000</v>
      </c>
      <c r="F1979" s="16" cm="1">
        <f t="array" ref="F1979">SUM(F1977:F1978)</f>
        <v>0</v>
      </c>
      <c r="G1979" s="16" cm="1">
        <f t="array" ref="G1979">SUM(G1977:G1978)</f>
        <v>0</v>
      </c>
      <c r="H1979" s="16" cm="1">
        <f t="array" ref="H1979">SUM(H1977:H1978)</f>
        <v>0</v>
      </c>
      <c r="I1979" s="16" cm="1">
        <f t="array" ref="I1979">SUM(I1977:I1978)</f>
        <v>0</v>
      </c>
    </row>
    <row r="1980" ht="20.65" customHeight="1">
      <c r="A1980" s="10">
        <v>45553</v>
      </c>
      <c r="B1980" t="s" s="11">
        <v>5</v>
      </c>
      <c r="C1980" t="s" s="12">
        <v>381</v>
      </c>
      <c r="D1980" s="17"/>
      <c r="E1980" s="17">
        <v>12500</v>
      </c>
      <c r="F1980" s="18"/>
      <c r="G1980" s="18"/>
      <c r="H1980" s="18"/>
      <c r="I1980" s="18"/>
    </row>
    <row r="1981" ht="20.65" customHeight="1">
      <c r="A1981" s="10">
        <v>45553</v>
      </c>
      <c r="B1981" t="s" s="11">
        <v>12</v>
      </c>
      <c r="C1981" t="s" s="12">
        <v>381</v>
      </c>
      <c r="D1981" s="13">
        <v>12500</v>
      </c>
      <c r="E1981" s="13"/>
      <c r="F1981" s="14"/>
      <c r="G1981" s="14"/>
      <c r="H1981" s="14"/>
      <c r="I1981" s="14"/>
    </row>
    <row r="1982" ht="20.7" customHeight="1">
      <c r="A1982" s="10">
        <v>45553</v>
      </c>
      <c r="B1982" t="s" s="11">
        <v>8</v>
      </c>
      <c r="C1982" t="s" s="12">
        <v>8</v>
      </c>
      <c r="D1982" s="15" cm="1">
        <f t="array" ref="D1982">SUM(D1980:D1981)</f>
        <v>12500</v>
      </c>
      <c r="E1982" s="15" cm="1">
        <f t="array" ref="E1982">SUM(E1980:E1981)</f>
        <v>12500</v>
      </c>
      <c r="F1982" s="16" cm="1">
        <f t="array" ref="F1982">SUM(F1980:F1981)</f>
        <v>0</v>
      </c>
      <c r="G1982" s="16" cm="1">
        <f t="array" ref="G1982">SUM(G1980:G1981)</f>
        <v>0</v>
      </c>
      <c r="H1982" s="16" cm="1">
        <f t="array" ref="H1982">SUM(H1980:H1981)</f>
        <v>0</v>
      </c>
      <c r="I1982" s="16" cm="1">
        <f t="array" ref="I1982">SUM(I1980:I1981)</f>
        <v>0</v>
      </c>
    </row>
    <row r="1983" ht="20.35" customHeight="1">
      <c r="A1983" s="10">
        <v>45553</v>
      </c>
      <c r="B1983" t="s" s="11">
        <v>5</v>
      </c>
      <c r="C1983" t="s" s="12">
        <v>382</v>
      </c>
      <c r="D1983" s="17"/>
      <c r="E1983" s="17">
        <v>5000</v>
      </c>
      <c r="F1983" s="18"/>
      <c r="G1983" s="18"/>
      <c r="H1983" s="18"/>
      <c r="I1983" s="18"/>
    </row>
    <row r="1984" ht="20.35" customHeight="1">
      <c r="A1984" s="10">
        <v>45553</v>
      </c>
      <c r="B1984" t="s" s="11">
        <v>10</v>
      </c>
      <c r="C1984" t="s" s="12">
        <v>382</v>
      </c>
      <c r="D1984" s="13">
        <v>5000</v>
      </c>
      <c r="E1984" s="13"/>
      <c r="F1984" s="14"/>
      <c r="G1984" s="14"/>
      <c r="H1984" s="14"/>
      <c r="I1984" s="14"/>
    </row>
    <row r="1985" ht="20.7" customHeight="1">
      <c r="A1985" s="10">
        <v>45553</v>
      </c>
      <c r="B1985" t="s" s="11">
        <v>8</v>
      </c>
      <c r="C1985" t="s" s="12">
        <v>8</v>
      </c>
      <c r="D1985" s="15" cm="1">
        <f t="array" ref="D1985">SUM(D1983:D1984)</f>
        <v>5000</v>
      </c>
      <c r="E1985" s="15" cm="1">
        <f t="array" ref="E1985">SUM(E1983:E1984)</f>
        <v>5000</v>
      </c>
      <c r="F1985" s="16" cm="1">
        <f t="array" ref="F1985">SUM(F1983:F1984)</f>
        <v>0</v>
      </c>
      <c r="G1985" s="16" cm="1">
        <f t="array" ref="G1985">SUM(G1983:G1984)</f>
        <v>0</v>
      </c>
      <c r="H1985" s="16" cm="1">
        <f t="array" ref="H1985">SUM(H1983:H1984)</f>
        <v>0</v>
      </c>
      <c r="I1985" s="16" cm="1">
        <f t="array" ref="I1985">SUM(I1983:I1984)</f>
        <v>0</v>
      </c>
    </row>
    <row r="1986" ht="20.35" customHeight="1">
      <c r="A1986" s="10">
        <v>45553</v>
      </c>
      <c r="B1986" t="s" s="11">
        <v>5</v>
      </c>
      <c r="C1986" t="s" s="12">
        <v>17</v>
      </c>
      <c r="D1986" s="17">
        <v>100</v>
      </c>
      <c r="E1986" s="17"/>
      <c r="F1986" s="18"/>
      <c r="G1986" s="18"/>
      <c r="H1986" s="18"/>
      <c r="I1986" s="18"/>
    </row>
    <row r="1987" ht="20.35" customHeight="1">
      <c r="A1987" s="10">
        <v>45553</v>
      </c>
      <c r="B1987" t="s" s="11">
        <v>18</v>
      </c>
      <c r="C1987" t="s" s="12">
        <v>17</v>
      </c>
      <c r="D1987" s="13"/>
      <c r="E1987" s="13">
        <v>100</v>
      </c>
      <c r="F1987" s="14"/>
      <c r="G1987" s="14"/>
      <c r="H1987" s="14"/>
      <c r="I1987" s="14"/>
    </row>
    <row r="1988" ht="20.7" customHeight="1">
      <c r="A1988" s="10">
        <v>45553</v>
      </c>
      <c r="B1988" t="s" s="11">
        <v>8</v>
      </c>
      <c r="C1988" t="s" s="12">
        <v>8</v>
      </c>
      <c r="D1988" s="15" cm="1">
        <f t="array" ref="D1988">SUM(D1986:D1987)</f>
        <v>100</v>
      </c>
      <c r="E1988" s="15" cm="1">
        <f t="array" ref="E1988">SUM(E1986:E1987)</f>
        <v>100</v>
      </c>
      <c r="F1988" s="16" cm="1">
        <f t="array" ref="F1988">SUM(F1986:F1987)</f>
        <v>0</v>
      </c>
      <c r="G1988" s="16" cm="1">
        <f t="array" ref="G1988">SUM(G1986:G1987)</f>
        <v>0</v>
      </c>
      <c r="H1988" s="16" cm="1">
        <f t="array" ref="H1988">SUM(H1986:H1987)</f>
        <v>0</v>
      </c>
      <c r="I1988" s="16" cm="1">
        <f t="array" ref="I1988">SUM(I1986:I1987)</f>
        <v>0</v>
      </c>
    </row>
    <row r="1989" ht="21.25" customHeight="1">
      <c r="A1989" s="10">
        <v>45553</v>
      </c>
      <c r="B1989" t="s" s="11">
        <v>21</v>
      </c>
      <c r="C1989" t="s" s="12">
        <v>383</v>
      </c>
      <c r="D1989" s="17"/>
      <c r="E1989" s="17">
        <v>12450</v>
      </c>
      <c r="F1989" s="18"/>
      <c r="G1989" s="18"/>
      <c r="H1989" s="18"/>
      <c r="I1989" s="18"/>
    </row>
    <row r="1990" ht="21.25" customHeight="1">
      <c r="A1990" s="10">
        <v>45553</v>
      </c>
      <c r="B1990" t="s" s="11">
        <v>12</v>
      </c>
      <c r="C1990" t="s" s="12">
        <v>383</v>
      </c>
      <c r="D1990" s="13">
        <v>12450</v>
      </c>
      <c r="E1990" s="13"/>
      <c r="F1990" s="14"/>
      <c r="G1990" s="14"/>
      <c r="H1990" s="14"/>
      <c r="I1990" s="14"/>
    </row>
    <row r="1991" ht="20.7" customHeight="1">
      <c r="A1991" s="10">
        <v>45553</v>
      </c>
      <c r="B1991" t="s" s="11">
        <v>8</v>
      </c>
      <c r="C1991" t="s" s="12">
        <v>8</v>
      </c>
      <c r="D1991" s="15" cm="1">
        <f t="array" ref="D1991">SUM(D1989:D1990)</f>
        <v>12450</v>
      </c>
      <c r="E1991" s="15" cm="1">
        <f t="array" ref="E1991">SUM(E1989:E1990)</f>
        <v>12450</v>
      </c>
      <c r="F1991" s="16" cm="1">
        <f t="array" ref="F1991">SUM(F1989:F1990)</f>
        <v>0</v>
      </c>
      <c r="G1991" s="16" cm="1">
        <f t="array" ref="G1991">SUM(G1989:G1990)</f>
        <v>0</v>
      </c>
      <c r="H1991" s="16" cm="1">
        <f t="array" ref="H1991">SUM(H1989:H1990)</f>
        <v>0</v>
      </c>
      <c r="I1991" s="16" cm="1">
        <f t="array" ref="I1991">SUM(I1989:I1990)</f>
        <v>0</v>
      </c>
    </row>
    <row r="1992" ht="21.25" customHeight="1">
      <c r="A1992" s="10">
        <v>45553</v>
      </c>
      <c r="B1992" t="s" s="11">
        <v>21</v>
      </c>
      <c r="C1992" t="s" s="12">
        <v>384</v>
      </c>
      <c r="D1992" s="17"/>
      <c r="E1992" s="17" cm="1">
        <f t="array" ref="E1992">1200+800+200+1500+900+1500+2950+100+1500</f>
        <v>10650</v>
      </c>
      <c r="F1992" s="18"/>
      <c r="G1992" s="18"/>
      <c r="H1992" s="18"/>
      <c r="I1992" s="18"/>
    </row>
    <row r="1993" ht="21.25" customHeight="1">
      <c r="A1993" s="10">
        <v>45553</v>
      </c>
      <c r="B1993" t="s" s="11">
        <v>16</v>
      </c>
      <c r="C1993" t="s" s="12">
        <v>384</v>
      </c>
      <c r="D1993" s="13" cm="1">
        <f t="array" ref="D1993">1200+800+200+1500+900+1500+2950+100+1500</f>
        <v>10650</v>
      </c>
      <c r="E1993" s="13"/>
      <c r="F1993" s="14"/>
      <c r="G1993" s="14"/>
      <c r="H1993" s="14"/>
      <c r="I1993" s="14"/>
    </row>
    <row r="1994" ht="20.7" customHeight="1">
      <c r="A1994" s="10">
        <v>45553</v>
      </c>
      <c r="B1994" t="s" s="11">
        <v>8</v>
      </c>
      <c r="C1994" t="s" s="12">
        <v>8</v>
      </c>
      <c r="D1994" s="15" cm="1">
        <f t="array" ref="D1994">SUM(D1992:D1993)</f>
        <v>10650</v>
      </c>
      <c r="E1994" s="15" cm="1">
        <f t="array" ref="E1994">SUM(E1992:E1993)</f>
        <v>10650</v>
      </c>
      <c r="F1994" s="16" cm="1">
        <f t="array" ref="F1994">SUM(F1992:F1993)</f>
        <v>0</v>
      </c>
      <c r="G1994" s="16" cm="1">
        <f t="array" ref="G1994">SUM(G1992:G1993)</f>
        <v>0</v>
      </c>
      <c r="H1994" s="16" cm="1">
        <f t="array" ref="H1994">SUM(H1992:H1993)</f>
        <v>0</v>
      </c>
      <c r="I1994" s="16" cm="1">
        <f t="array" ref="I1994">SUM(I1992:I1993)</f>
        <v>0</v>
      </c>
    </row>
    <row r="1995" ht="21.25" customHeight="1">
      <c r="A1995" s="10">
        <v>45554</v>
      </c>
      <c r="B1995" t="s" s="11">
        <v>21</v>
      </c>
      <c r="C1995" t="s" s="12">
        <v>383</v>
      </c>
      <c r="D1995" s="17">
        <v>12450</v>
      </c>
      <c r="E1995" s="17"/>
      <c r="F1995" s="18"/>
      <c r="G1995" s="18"/>
      <c r="H1995" s="18"/>
      <c r="I1995" s="18"/>
    </row>
    <row r="1996" ht="21.25" customHeight="1">
      <c r="A1996" s="10">
        <v>45554</v>
      </c>
      <c r="B1996" t="s" s="11">
        <v>5</v>
      </c>
      <c r="C1996" t="s" s="12">
        <v>383</v>
      </c>
      <c r="D1996" s="13"/>
      <c r="E1996" s="13">
        <v>12450</v>
      </c>
      <c r="F1996" s="14"/>
      <c r="G1996" s="14"/>
      <c r="H1996" s="14"/>
      <c r="I1996" s="14"/>
    </row>
    <row r="1997" ht="20.7" customHeight="1">
      <c r="A1997" s="10">
        <v>45554</v>
      </c>
      <c r="B1997" t="s" s="11">
        <v>8</v>
      </c>
      <c r="C1997" t="s" s="12">
        <v>8</v>
      </c>
      <c r="D1997" s="15" cm="1">
        <f t="array" ref="D1997">SUM(D1995:D1996)</f>
        <v>12450</v>
      </c>
      <c r="E1997" s="15" cm="1">
        <f t="array" ref="E1997">SUM(E1995:E1996)</f>
        <v>12450</v>
      </c>
      <c r="F1997" s="16" cm="1">
        <f t="array" ref="F1997">SUM(F1995:F1996)</f>
        <v>0</v>
      </c>
      <c r="G1997" s="16" cm="1">
        <f t="array" ref="G1997">SUM(G1995:G1996)</f>
        <v>0</v>
      </c>
      <c r="H1997" s="16" cm="1">
        <f t="array" ref="H1997">SUM(H1995:H1996)</f>
        <v>0</v>
      </c>
      <c r="I1997" s="16" cm="1">
        <f t="array" ref="I1997">SUM(I1995:I1996)</f>
        <v>0</v>
      </c>
    </row>
    <row r="1998" ht="21.25" customHeight="1">
      <c r="A1998" s="10">
        <v>45554</v>
      </c>
      <c r="B1998" t="s" s="11">
        <v>107</v>
      </c>
      <c r="C1998" t="s" s="12">
        <v>385</v>
      </c>
      <c r="D1998" s="17">
        <v>15500</v>
      </c>
      <c r="E1998" s="17"/>
      <c r="F1998" s="18"/>
      <c r="G1998" s="18"/>
      <c r="H1998" s="18"/>
      <c r="I1998" s="18"/>
    </row>
    <row r="1999" ht="20.9" customHeight="1">
      <c r="A1999" s="10">
        <v>45554</v>
      </c>
      <c r="B1999" t="s" s="11">
        <v>89</v>
      </c>
      <c r="C1999" t="s" s="12">
        <v>385</v>
      </c>
      <c r="D1999" s="19"/>
      <c r="E1999" s="19">
        <v>15429</v>
      </c>
      <c r="F1999" s="20"/>
      <c r="G1999" s="20"/>
      <c r="H1999" s="20"/>
      <c r="I1999" s="20"/>
    </row>
    <row r="2000" ht="21.25" customHeight="1">
      <c r="A2000" s="10">
        <v>45554</v>
      </c>
      <c r="B2000" t="s" s="11">
        <v>91</v>
      </c>
      <c r="C2000" t="s" s="12">
        <v>385</v>
      </c>
      <c r="D2000" s="13"/>
      <c r="E2000" s="13">
        <v>71</v>
      </c>
      <c r="F2000" s="14"/>
      <c r="G2000" s="14"/>
      <c r="H2000" s="14"/>
      <c r="I2000" s="14"/>
    </row>
    <row r="2001" ht="20.7" customHeight="1">
      <c r="A2001" s="10">
        <v>45554</v>
      </c>
      <c r="B2001" t="s" s="11">
        <v>8</v>
      </c>
      <c r="C2001" t="s" s="12">
        <v>8</v>
      </c>
      <c r="D2001" s="15" cm="1">
        <f t="array" ref="D2001">SUM(D1998:D2000)</f>
        <v>15500</v>
      </c>
      <c r="E2001" s="15" cm="1">
        <f t="array" ref="E2001">SUM(E1998:E2000)</f>
        <v>15500</v>
      </c>
      <c r="F2001" s="16" cm="1">
        <f t="array" ref="F2001">SUM(F1998:F2000)</f>
        <v>0</v>
      </c>
      <c r="G2001" s="16" cm="1">
        <f t="array" ref="G2001">SUM(G1998:G2000)</f>
        <v>0</v>
      </c>
      <c r="H2001" s="16" cm="1">
        <f t="array" ref="H2001">SUM(H1998:H2000)</f>
        <v>0</v>
      </c>
      <c r="I2001" s="16" cm="1">
        <f t="array" ref="I2001">SUM(I1998:I2000)</f>
        <v>0</v>
      </c>
    </row>
    <row r="2002" ht="21.25" customHeight="1">
      <c r="A2002" s="10">
        <v>45554</v>
      </c>
      <c r="B2002" t="s" s="11">
        <v>21</v>
      </c>
      <c r="C2002" t="s" s="12">
        <v>386</v>
      </c>
      <c r="D2002" s="17"/>
      <c r="E2002" s="17">
        <v>2670</v>
      </c>
      <c r="F2002" s="18"/>
      <c r="G2002" s="18"/>
      <c r="H2002" s="18"/>
      <c r="I2002" s="18"/>
    </row>
    <row r="2003" ht="21.25" customHeight="1">
      <c r="A2003" s="10">
        <v>45554</v>
      </c>
      <c r="B2003" t="s" s="11">
        <v>10</v>
      </c>
      <c r="C2003" t="s" s="12">
        <v>386</v>
      </c>
      <c r="D2003" s="13">
        <v>2670</v>
      </c>
      <c r="E2003" s="13"/>
      <c r="F2003" s="14"/>
      <c r="G2003" s="14"/>
      <c r="H2003" s="14"/>
      <c r="I2003" s="14"/>
    </row>
    <row r="2004" ht="20.7" customHeight="1">
      <c r="A2004" s="10">
        <v>45554</v>
      </c>
      <c r="B2004" t="s" s="11">
        <v>8</v>
      </c>
      <c r="C2004" t="s" s="12">
        <v>8</v>
      </c>
      <c r="D2004" s="15" cm="1">
        <f t="array" ref="D2004">SUM(D2002:D2003)</f>
        <v>2670</v>
      </c>
      <c r="E2004" s="15" cm="1">
        <f t="array" ref="E2004">SUM(E2002:E2003)</f>
        <v>2670</v>
      </c>
      <c r="F2004" s="16" cm="1">
        <f t="array" ref="F2004">SUM(F2002:F2003)</f>
        <v>0</v>
      </c>
      <c r="G2004" s="16" cm="1">
        <f t="array" ref="G2004">SUM(G2002:G2003)</f>
        <v>0</v>
      </c>
      <c r="H2004" s="16" cm="1">
        <f t="array" ref="H2004">SUM(H2002:H2003)</f>
        <v>0</v>
      </c>
      <c r="I2004" s="16" cm="1">
        <f t="array" ref="I2004">SUM(I2002:I2003)</f>
        <v>0</v>
      </c>
    </row>
    <row r="2005" ht="21.25" customHeight="1">
      <c r="A2005" s="10">
        <v>45554</v>
      </c>
      <c r="B2005" t="s" s="11">
        <v>21</v>
      </c>
      <c r="C2005" t="s" s="12">
        <v>386</v>
      </c>
      <c r="D2005" s="17">
        <v>2670</v>
      </c>
      <c r="E2005" s="17"/>
      <c r="F2005" s="18"/>
      <c r="G2005" s="18"/>
      <c r="H2005" s="18"/>
      <c r="I2005" s="18"/>
    </row>
    <row r="2006" ht="21.25" customHeight="1">
      <c r="A2006" s="10">
        <v>45554</v>
      </c>
      <c r="B2006" t="s" s="11">
        <v>5</v>
      </c>
      <c r="C2006" t="s" s="12">
        <v>386</v>
      </c>
      <c r="D2006" s="13"/>
      <c r="E2006" s="13">
        <v>2670</v>
      </c>
      <c r="F2006" s="14"/>
      <c r="G2006" s="14"/>
      <c r="H2006" s="14"/>
      <c r="I2006" s="14"/>
    </row>
    <row r="2007" ht="20.7" customHeight="1">
      <c r="A2007" s="10">
        <v>45554</v>
      </c>
      <c r="B2007" t="s" s="11">
        <v>8</v>
      </c>
      <c r="C2007" t="s" s="12">
        <v>8</v>
      </c>
      <c r="D2007" s="15" cm="1">
        <f t="array" ref="D2007">SUM(D2005:D2006)</f>
        <v>2670</v>
      </c>
      <c r="E2007" s="15" cm="1">
        <f t="array" ref="E2007">SUM(E2005:E2006)</f>
        <v>2670</v>
      </c>
      <c r="F2007" s="16" cm="1">
        <f t="array" ref="F2007">SUM(F2005:F2006)</f>
        <v>0</v>
      </c>
      <c r="G2007" s="16" cm="1">
        <f t="array" ref="G2007">SUM(G2005:G2006)</f>
        <v>0</v>
      </c>
      <c r="H2007" s="16" cm="1">
        <f t="array" ref="H2007">SUM(H2005:H2006)</f>
        <v>0</v>
      </c>
      <c r="I2007" s="16" cm="1">
        <f t="array" ref="I2007">SUM(I2005:I2006)</f>
        <v>0</v>
      </c>
    </row>
    <row r="2008" ht="20.35" customHeight="1">
      <c r="A2008" s="10">
        <v>45554</v>
      </c>
      <c r="B2008" t="s" s="11">
        <v>5</v>
      </c>
      <c r="C2008" t="s" s="12">
        <v>96</v>
      </c>
      <c r="D2008" s="17">
        <v>15500</v>
      </c>
      <c r="E2008" s="17"/>
      <c r="F2008" s="18"/>
      <c r="G2008" s="18"/>
      <c r="H2008" s="18"/>
      <c r="I2008" s="18"/>
    </row>
    <row r="2009" ht="20.35" customHeight="1">
      <c r="A2009" s="10">
        <v>45554</v>
      </c>
      <c r="B2009" t="s" s="11">
        <v>107</v>
      </c>
      <c r="C2009" t="s" s="12">
        <v>96</v>
      </c>
      <c r="D2009" s="13"/>
      <c r="E2009" s="13">
        <v>15500</v>
      </c>
      <c r="F2009" s="14"/>
      <c r="G2009" s="14"/>
      <c r="H2009" s="14"/>
      <c r="I2009" s="14"/>
    </row>
    <row r="2010" ht="20.7" customHeight="1">
      <c r="A2010" s="10">
        <v>45554</v>
      </c>
      <c r="B2010" t="s" s="11">
        <v>8</v>
      </c>
      <c r="C2010" t="s" s="12">
        <v>8</v>
      </c>
      <c r="D2010" s="15" cm="1">
        <f t="array" ref="D2010">SUM(D2008:D2009)</f>
        <v>15500</v>
      </c>
      <c r="E2010" s="15" cm="1">
        <f t="array" ref="E2010">SUM(E2008:E2009)</f>
        <v>15500</v>
      </c>
      <c r="F2010" s="16" cm="1">
        <f t="array" ref="F2010">SUM(F2008:F2009)</f>
        <v>0</v>
      </c>
      <c r="G2010" s="16" cm="1">
        <f t="array" ref="G2010">SUM(G2008:G2009)</f>
        <v>0</v>
      </c>
      <c r="H2010" s="16" cm="1">
        <f t="array" ref="H2010">SUM(H2008:H2009)</f>
        <v>0</v>
      </c>
      <c r="I2010" s="16" cm="1">
        <f t="array" ref="I2010">SUM(I2008:I2009)</f>
        <v>0</v>
      </c>
    </row>
    <row r="2011" ht="21.25" customHeight="1">
      <c r="A2011" s="10">
        <v>45554</v>
      </c>
      <c r="B2011" t="s" s="11">
        <v>28</v>
      </c>
      <c r="C2011" t="s" s="12">
        <v>387</v>
      </c>
      <c r="D2011" s="17">
        <v>15500</v>
      </c>
      <c r="E2011" s="17"/>
      <c r="F2011" s="18"/>
      <c r="G2011" s="18"/>
      <c r="H2011" s="18"/>
      <c r="I2011" s="18"/>
    </row>
    <row r="2012" ht="20.9" customHeight="1">
      <c r="A2012" s="10">
        <v>45554</v>
      </c>
      <c r="B2012" t="s" s="11">
        <v>89</v>
      </c>
      <c r="C2012" t="s" s="12">
        <v>387</v>
      </c>
      <c r="D2012" s="19"/>
      <c r="E2012" s="19">
        <v>15429</v>
      </c>
      <c r="F2012" s="20"/>
      <c r="G2012" s="20"/>
      <c r="H2012" s="20"/>
      <c r="I2012" s="20"/>
    </row>
    <row r="2013" ht="21.25" customHeight="1">
      <c r="A2013" s="10">
        <v>45554</v>
      </c>
      <c r="B2013" t="s" s="11">
        <v>91</v>
      </c>
      <c r="C2013" t="s" s="12">
        <v>387</v>
      </c>
      <c r="D2013" s="13"/>
      <c r="E2013" s="13">
        <v>71</v>
      </c>
      <c r="F2013" s="14"/>
      <c r="G2013" s="14"/>
      <c r="H2013" s="14"/>
      <c r="I2013" s="14"/>
    </row>
    <row r="2014" ht="20.7" customHeight="1">
      <c r="A2014" s="10">
        <v>45554</v>
      </c>
      <c r="B2014" t="s" s="11">
        <v>8</v>
      </c>
      <c r="C2014" t="s" s="12">
        <v>8</v>
      </c>
      <c r="D2014" s="15" cm="1">
        <f t="array" ref="D2014">SUM(D2011:D2013)</f>
        <v>15500</v>
      </c>
      <c r="E2014" s="15" cm="1">
        <f t="array" ref="E2014">SUM(E2011:E2013)</f>
        <v>15500</v>
      </c>
      <c r="F2014" s="16" cm="1">
        <f t="array" ref="F2014">SUM(F2011:F2013)</f>
        <v>0</v>
      </c>
      <c r="G2014" s="16" cm="1">
        <f t="array" ref="G2014">SUM(G2011:G2013)</f>
        <v>0</v>
      </c>
      <c r="H2014" s="16" cm="1">
        <f t="array" ref="H2014">SUM(H2011:H2013)</f>
        <v>0</v>
      </c>
      <c r="I2014" s="16" cm="1">
        <f t="array" ref="I2014">SUM(I2011:I2013)</f>
        <v>0</v>
      </c>
    </row>
    <row r="2015" ht="21.25" customHeight="1">
      <c r="A2015" s="10">
        <v>45554</v>
      </c>
      <c r="B2015" t="s" s="11">
        <v>28</v>
      </c>
      <c r="C2015" t="s" s="12">
        <v>388</v>
      </c>
      <c r="D2015" s="17"/>
      <c r="E2015" s="17">
        <v>15000</v>
      </c>
      <c r="F2015" s="18"/>
      <c r="G2015" s="18"/>
      <c r="H2015" s="18"/>
      <c r="I2015" s="18"/>
    </row>
    <row r="2016" ht="21.25" customHeight="1">
      <c r="A2016" s="10">
        <v>45554</v>
      </c>
      <c r="B2016" t="s" s="11">
        <v>89</v>
      </c>
      <c r="C2016" t="s" s="12">
        <v>388</v>
      </c>
      <c r="D2016" s="13">
        <v>15000</v>
      </c>
      <c r="E2016" s="13"/>
      <c r="F2016" s="14"/>
      <c r="G2016" s="14"/>
      <c r="H2016" s="14"/>
      <c r="I2016" s="14"/>
    </row>
    <row r="2017" ht="20.7" customHeight="1">
      <c r="A2017" s="10">
        <v>45554</v>
      </c>
      <c r="B2017" t="s" s="11">
        <v>8</v>
      </c>
      <c r="C2017" t="s" s="12">
        <v>8</v>
      </c>
      <c r="D2017" s="15" cm="1">
        <f t="array" ref="D2017">SUM(D2015:D2016)</f>
        <v>15000</v>
      </c>
      <c r="E2017" s="15" cm="1">
        <f t="array" ref="E2017">SUM(E2015:E2016)</f>
        <v>15000</v>
      </c>
      <c r="F2017" s="16" cm="1">
        <f t="array" ref="F2017">SUM(F2015:F2016)</f>
        <v>0</v>
      </c>
      <c r="G2017" s="16" cm="1">
        <f t="array" ref="G2017">SUM(G2015:G2016)</f>
        <v>0</v>
      </c>
      <c r="H2017" s="16" cm="1">
        <f t="array" ref="H2017">SUM(H2015:H2016)</f>
        <v>0</v>
      </c>
      <c r="I2017" s="16" cm="1">
        <f t="array" ref="I2017">SUM(I2015:I2016)</f>
        <v>0</v>
      </c>
    </row>
    <row r="2018" ht="21.25" customHeight="1">
      <c r="A2018" s="10">
        <v>45554</v>
      </c>
      <c r="B2018" t="s" s="11">
        <v>93</v>
      </c>
      <c r="C2018" t="s" s="12">
        <v>388</v>
      </c>
      <c r="D2018" s="17">
        <v>15000</v>
      </c>
      <c r="E2018" s="17"/>
      <c r="F2018" s="18"/>
      <c r="G2018" s="18"/>
      <c r="H2018" s="18"/>
      <c r="I2018" s="18"/>
    </row>
    <row r="2019" ht="21.25" customHeight="1">
      <c r="A2019" s="10">
        <v>45554</v>
      </c>
      <c r="B2019" t="s" s="11">
        <v>89</v>
      </c>
      <c r="C2019" t="s" s="12">
        <v>388</v>
      </c>
      <c r="D2019" s="13"/>
      <c r="E2019" s="13">
        <v>15000</v>
      </c>
      <c r="F2019" s="14"/>
      <c r="G2019" s="14"/>
      <c r="H2019" s="14"/>
      <c r="I2019" s="14"/>
    </row>
    <row r="2020" ht="20.7" customHeight="1">
      <c r="A2020" s="10">
        <v>45554</v>
      </c>
      <c r="B2020" t="s" s="11">
        <v>8</v>
      </c>
      <c r="C2020" t="s" s="12">
        <v>8</v>
      </c>
      <c r="D2020" s="15" cm="1">
        <f t="array" ref="D2020">SUM(D2018:D2019)</f>
        <v>15000</v>
      </c>
      <c r="E2020" s="15" cm="1">
        <f t="array" ref="E2020">SUM(E2018:E2019)</f>
        <v>15000</v>
      </c>
      <c r="F2020" s="16" cm="1">
        <f t="array" ref="F2020">SUM(F2018:F2019)</f>
        <v>0</v>
      </c>
      <c r="G2020" s="16" cm="1">
        <f t="array" ref="G2020">SUM(G2018:G2019)</f>
        <v>0</v>
      </c>
      <c r="H2020" s="16" cm="1">
        <f t="array" ref="H2020">SUM(H2018:H2019)</f>
        <v>0</v>
      </c>
      <c r="I2020" s="16" cm="1">
        <f t="array" ref="I2020">SUM(I2018:I2019)</f>
        <v>0</v>
      </c>
    </row>
    <row r="2021" ht="21.25" customHeight="1">
      <c r="A2021" s="10">
        <v>45554</v>
      </c>
      <c r="B2021" t="s" s="11">
        <v>93</v>
      </c>
      <c r="C2021" t="s" s="12">
        <v>367</v>
      </c>
      <c r="D2021" s="17"/>
      <c r="E2021" s="17">
        <v>7100</v>
      </c>
      <c r="F2021" s="18"/>
      <c r="G2021" s="18"/>
      <c r="H2021" s="18"/>
      <c r="I2021" s="18"/>
    </row>
    <row r="2022" ht="21.25" customHeight="1">
      <c r="A2022" s="10">
        <v>45554</v>
      </c>
      <c r="B2022" t="s" s="11">
        <v>21</v>
      </c>
      <c r="C2022" t="s" s="12">
        <v>367</v>
      </c>
      <c r="D2022" s="13">
        <v>7100</v>
      </c>
      <c r="E2022" s="13"/>
      <c r="F2022" s="14"/>
      <c r="G2022" s="14"/>
      <c r="H2022" s="14"/>
      <c r="I2022" s="14"/>
    </row>
    <row r="2023" ht="20.7" customHeight="1">
      <c r="A2023" s="10">
        <v>45554</v>
      </c>
      <c r="B2023" t="s" s="11">
        <v>8</v>
      </c>
      <c r="C2023" t="s" s="12">
        <v>8</v>
      </c>
      <c r="D2023" s="15" cm="1">
        <f t="array" ref="D2023">SUM(D2021:D2022)</f>
        <v>7100</v>
      </c>
      <c r="E2023" s="15" cm="1">
        <f t="array" ref="E2023">SUM(E2021:E2022)</f>
        <v>7100</v>
      </c>
      <c r="F2023" s="16" cm="1">
        <f t="array" ref="F2023">SUM(F2021:F2022)</f>
        <v>0</v>
      </c>
      <c r="G2023" s="16" cm="1">
        <f t="array" ref="G2023">SUM(G2021:G2022)</f>
        <v>0</v>
      </c>
      <c r="H2023" s="16" cm="1">
        <f t="array" ref="H2023">SUM(H2021:H2022)</f>
        <v>0</v>
      </c>
      <c r="I2023" s="16" cm="1">
        <f t="array" ref="I2023">SUM(I2021:I2022)</f>
        <v>0</v>
      </c>
    </row>
    <row r="2024" ht="20.35" customHeight="1">
      <c r="A2024" s="10">
        <v>45554</v>
      </c>
      <c r="B2024" t="s" s="11">
        <v>5</v>
      </c>
      <c r="C2024" t="s" s="12">
        <v>96</v>
      </c>
      <c r="D2024" s="17">
        <v>7900</v>
      </c>
      <c r="E2024" s="17"/>
      <c r="F2024" s="18"/>
      <c r="G2024" s="18"/>
      <c r="H2024" s="18"/>
      <c r="I2024" s="18"/>
    </row>
    <row r="2025" ht="20.35" customHeight="1">
      <c r="A2025" s="10">
        <v>45554</v>
      </c>
      <c r="B2025" t="s" s="11">
        <v>93</v>
      </c>
      <c r="C2025" t="s" s="12">
        <v>96</v>
      </c>
      <c r="D2025" s="13"/>
      <c r="E2025" s="13">
        <v>7900</v>
      </c>
      <c r="F2025" s="14"/>
      <c r="G2025" s="14"/>
      <c r="H2025" s="14"/>
      <c r="I2025" s="14"/>
    </row>
    <row r="2026" ht="20.7" customHeight="1">
      <c r="A2026" s="10">
        <v>45554</v>
      </c>
      <c r="B2026" t="s" s="11">
        <v>8</v>
      </c>
      <c r="C2026" t="s" s="12">
        <v>8</v>
      </c>
      <c r="D2026" s="15" cm="1">
        <f t="array" ref="D2026">SUM(D2024:D2025)</f>
        <v>7900</v>
      </c>
      <c r="E2026" s="15" cm="1">
        <f t="array" ref="E2026">SUM(E2024:E2025)</f>
        <v>7900</v>
      </c>
      <c r="F2026" s="16" cm="1">
        <f t="array" ref="F2026">SUM(F2024:F2025)</f>
        <v>0</v>
      </c>
      <c r="G2026" s="16" cm="1">
        <f t="array" ref="G2026">SUM(G2024:G2025)</f>
        <v>0</v>
      </c>
      <c r="H2026" s="16" cm="1">
        <f t="array" ref="H2026">SUM(H2024:H2025)</f>
        <v>0</v>
      </c>
      <c r="I2026" s="16" cm="1">
        <f t="array" ref="I2026">SUM(I2024:I2025)</f>
        <v>0</v>
      </c>
    </row>
    <row r="2027" ht="21.25" customHeight="1">
      <c r="A2027" s="10">
        <v>45554</v>
      </c>
      <c r="B2027" t="s" s="11">
        <v>21</v>
      </c>
      <c r="C2027" t="s" s="12">
        <v>289</v>
      </c>
      <c r="D2027" s="17"/>
      <c r="E2027" s="17">
        <v>2900</v>
      </c>
      <c r="F2027" s="18"/>
      <c r="G2027" s="18"/>
      <c r="H2027" s="18"/>
      <c r="I2027" s="18"/>
    </row>
    <row r="2028" ht="21.25" customHeight="1">
      <c r="A2028" s="10">
        <v>45554</v>
      </c>
      <c r="B2028" t="s" s="11">
        <v>16</v>
      </c>
      <c r="C2028" t="s" s="12">
        <v>289</v>
      </c>
      <c r="D2028" s="13">
        <v>2900</v>
      </c>
      <c r="E2028" s="13"/>
      <c r="F2028" s="14"/>
      <c r="G2028" s="14"/>
      <c r="H2028" s="14"/>
      <c r="I2028" s="14"/>
    </row>
    <row r="2029" ht="20.7" customHeight="1">
      <c r="A2029" s="10">
        <v>45554</v>
      </c>
      <c r="B2029" t="s" s="11">
        <v>8</v>
      </c>
      <c r="C2029" t="s" s="12">
        <v>8</v>
      </c>
      <c r="D2029" s="15" cm="1">
        <f t="array" ref="D2029">SUM(D2027:D2028)</f>
        <v>2900</v>
      </c>
      <c r="E2029" s="15" cm="1">
        <f t="array" ref="E2029">SUM(E2027:E2028)</f>
        <v>2900</v>
      </c>
      <c r="F2029" s="16" cm="1">
        <f t="array" ref="F2029">SUM(F2027:F2028)</f>
        <v>0</v>
      </c>
      <c r="G2029" s="16" cm="1">
        <f t="array" ref="G2029">SUM(G2027:G2028)</f>
        <v>0</v>
      </c>
      <c r="H2029" s="16" cm="1">
        <f t="array" ref="H2029">SUM(H2027:H2028)</f>
        <v>0</v>
      </c>
      <c r="I2029" s="16" cm="1">
        <f t="array" ref="I2029">SUM(I2027:I2028)</f>
        <v>0</v>
      </c>
    </row>
    <row r="2030" ht="21.25" customHeight="1">
      <c r="A2030" s="10">
        <v>45554</v>
      </c>
      <c r="B2030" t="s" s="11">
        <v>21</v>
      </c>
      <c r="C2030" t="s" s="12">
        <v>327</v>
      </c>
      <c r="D2030" s="17"/>
      <c r="E2030" s="17">
        <v>1400</v>
      </c>
      <c r="F2030" s="18"/>
      <c r="G2030" s="18"/>
      <c r="H2030" s="18"/>
      <c r="I2030" s="18"/>
    </row>
    <row r="2031" ht="21.25" customHeight="1">
      <c r="A2031" s="10">
        <v>45554</v>
      </c>
      <c r="B2031" t="s" s="11">
        <v>16</v>
      </c>
      <c r="C2031" t="s" s="12">
        <v>327</v>
      </c>
      <c r="D2031" s="13">
        <v>1400</v>
      </c>
      <c r="E2031" s="13"/>
      <c r="F2031" s="14"/>
      <c r="G2031" s="14"/>
      <c r="H2031" s="14"/>
      <c r="I2031" s="14"/>
    </row>
    <row r="2032" ht="20.7" customHeight="1">
      <c r="A2032" s="10">
        <v>45554</v>
      </c>
      <c r="B2032" t="s" s="11">
        <v>8</v>
      </c>
      <c r="C2032" t="s" s="12">
        <v>8</v>
      </c>
      <c r="D2032" s="15" cm="1">
        <f t="array" ref="D2032">SUM(D2030:D2031)</f>
        <v>1400</v>
      </c>
      <c r="E2032" s="15" cm="1">
        <f t="array" ref="E2032">SUM(E2030:E2031)</f>
        <v>1400</v>
      </c>
      <c r="F2032" s="16" cm="1">
        <f t="array" ref="F2032">SUM(F2030:F2031)</f>
        <v>0</v>
      </c>
      <c r="G2032" s="16" cm="1">
        <f t="array" ref="G2032">SUM(G2030:G2031)</f>
        <v>0</v>
      </c>
      <c r="H2032" s="16" cm="1">
        <f t="array" ref="H2032">SUM(H2030:H2031)</f>
        <v>0</v>
      </c>
      <c r="I2032" s="16" cm="1">
        <f t="array" ref="I2032">SUM(I2030:I2031)</f>
        <v>0</v>
      </c>
    </row>
    <row r="2033" ht="20.35" customHeight="1">
      <c r="A2033" s="10">
        <v>45554</v>
      </c>
      <c r="B2033" t="s" s="11">
        <v>5</v>
      </c>
      <c r="C2033" t="s" s="12">
        <v>17</v>
      </c>
      <c r="D2033" s="17">
        <v>100</v>
      </c>
      <c r="E2033" s="17"/>
      <c r="F2033" s="18"/>
      <c r="G2033" s="18"/>
      <c r="H2033" s="18"/>
      <c r="I2033" s="18"/>
    </row>
    <row r="2034" ht="20.35" customHeight="1">
      <c r="A2034" s="10">
        <v>45554</v>
      </c>
      <c r="B2034" t="s" s="11">
        <v>18</v>
      </c>
      <c r="C2034" t="s" s="12">
        <v>17</v>
      </c>
      <c r="D2034" s="13"/>
      <c r="E2034" s="13">
        <v>100</v>
      </c>
      <c r="F2034" s="14"/>
      <c r="G2034" s="14"/>
      <c r="H2034" s="14"/>
      <c r="I2034" s="14"/>
    </row>
    <row r="2035" ht="20.7" customHeight="1">
      <c r="A2035" s="10">
        <v>45554</v>
      </c>
      <c r="B2035" t="s" s="11">
        <v>8</v>
      </c>
      <c r="C2035" t="s" s="12">
        <v>8</v>
      </c>
      <c r="D2035" s="15" cm="1">
        <f t="array" ref="D2035">SUM(D2033:D2034)</f>
        <v>100</v>
      </c>
      <c r="E2035" s="15" cm="1">
        <f t="array" ref="E2035">SUM(E2033:E2034)</f>
        <v>100</v>
      </c>
      <c r="F2035" s="16" cm="1">
        <f t="array" ref="F2035">SUM(F2033:F2034)</f>
        <v>0</v>
      </c>
      <c r="G2035" s="16" cm="1">
        <f t="array" ref="G2035">SUM(G2033:G2034)</f>
        <v>0</v>
      </c>
      <c r="H2035" s="16" cm="1">
        <f t="array" ref="H2035">SUM(H2033:H2034)</f>
        <v>0</v>
      </c>
      <c r="I2035" s="16" cm="1">
        <f t="array" ref="I2035">SUM(I2033:I2034)</f>
        <v>0</v>
      </c>
    </row>
    <row r="2036" ht="20.35" customHeight="1">
      <c r="A2036" s="10">
        <v>45554</v>
      </c>
      <c r="B2036" t="s" s="11">
        <v>107</v>
      </c>
      <c r="C2036" t="s" s="12">
        <v>368</v>
      </c>
      <c r="D2036" s="17">
        <v>50000</v>
      </c>
      <c r="E2036" s="17"/>
      <c r="F2036" s="18"/>
      <c r="G2036" s="18"/>
      <c r="H2036" s="18"/>
      <c r="I2036" s="18"/>
    </row>
    <row r="2037" ht="20.35" customHeight="1">
      <c r="A2037" s="10">
        <v>45554</v>
      </c>
      <c r="B2037" t="s" s="11">
        <v>21</v>
      </c>
      <c r="C2037" t="s" s="12">
        <v>368</v>
      </c>
      <c r="D2037" s="13"/>
      <c r="E2037" s="13">
        <v>50000</v>
      </c>
      <c r="F2037" s="14"/>
      <c r="G2037" s="14"/>
      <c r="H2037" s="14"/>
      <c r="I2037" s="14"/>
    </row>
    <row r="2038" ht="20.7" customHeight="1">
      <c r="A2038" s="10">
        <v>45554</v>
      </c>
      <c r="B2038" t="s" s="11">
        <v>8</v>
      </c>
      <c r="C2038" t="s" s="12">
        <v>8</v>
      </c>
      <c r="D2038" s="15" cm="1">
        <f t="array" ref="D2038">SUM(D2036:D2037)</f>
        <v>50000</v>
      </c>
      <c r="E2038" s="15" cm="1">
        <f t="array" ref="E2038">SUM(E2036:E2037)</f>
        <v>50000</v>
      </c>
      <c r="F2038" s="16" cm="1">
        <f t="array" ref="F2038">SUM(F2036:F2037)</f>
        <v>0</v>
      </c>
      <c r="G2038" s="16" cm="1">
        <f t="array" ref="G2038">SUM(G2036:G2037)</f>
        <v>0</v>
      </c>
      <c r="H2038" s="16" cm="1">
        <f t="array" ref="H2038">SUM(H2036:H2037)</f>
        <v>0</v>
      </c>
      <c r="I2038" s="16" cm="1">
        <f t="array" ref="I2038">SUM(I2036:I2037)</f>
        <v>0</v>
      </c>
    </row>
    <row r="2039" ht="20.35" customHeight="1">
      <c r="A2039" s="10">
        <v>45554</v>
      </c>
      <c r="B2039" t="s" s="11">
        <v>5</v>
      </c>
      <c r="C2039" t="s" s="12">
        <v>96</v>
      </c>
      <c r="D2039" s="17">
        <v>50000</v>
      </c>
      <c r="E2039" s="17"/>
      <c r="F2039" s="18"/>
      <c r="G2039" s="18"/>
      <c r="H2039" s="18"/>
      <c r="I2039" s="18"/>
    </row>
    <row r="2040" ht="20.35" customHeight="1">
      <c r="A2040" s="10">
        <v>45554</v>
      </c>
      <c r="B2040" t="s" s="11">
        <v>107</v>
      </c>
      <c r="C2040" t="s" s="12">
        <v>96</v>
      </c>
      <c r="D2040" s="13"/>
      <c r="E2040" s="13">
        <v>50000</v>
      </c>
      <c r="F2040" s="14"/>
      <c r="G2040" s="14"/>
      <c r="H2040" s="14"/>
      <c r="I2040" s="14"/>
    </row>
    <row r="2041" ht="20.7" customHeight="1">
      <c r="A2041" s="10">
        <v>45554</v>
      </c>
      <c r="B2041" t="s" s="11">
        <v>8</v>
      </c>
      <c r="C2041" t="s" s="12">
        <v>8</v>
      </c>
      <c r="D2041" s="15" cm="1">
        <f t="array" ref="D2041">SUM(D2039:D2040)</f>
        <v>50000</v>
      </c>
      <c r="E2041" s="15" cm="1">
        <f t="array" ref="E2041">SUM(E2039:E2040)</f>
        <v>50000</v>
      </c>
      <c r="F2041" s="16" cm="1">
        <f t="array" ref="F2041">SUM(F2039:F2040)</f>
        <v>0</v>
      </c>
      <c r="G2041" s="16" cm="1">
        <f t="array" ref="G2041">SUM(G2039:G2040)</f>
        <v>0</v>
      </c>
      <c r="H2041" s="16" cm="1">
        <f t="array" ref="H2041">SUM(H2039:H2040)</f>
        <v>0</v>
      </c>
      <c r="I2041" s="16" cm="1">
        <f t="array" ref="I2041">SUM(I2039:I2040)</f>
        <v>0</v>
      </c>
    </row>
    <row r="2042" ht="20.35" customHeight="1">
      <c r="A2042" s="10">
        <v>45554</v>
      </c>
      <c r="B2042" t="s" s="11">
        <v>5</v>
      </c>
      <c r="C2042" t="s" s="12">
        <v>389</v>
      </c>
      <c r="D2042" s="17"/>
      <c r="E2042" s="17">
        <v>41000</v>
      </c>
      <c r="F2042" s="18"/>
      <c r="G2042" s="18"/>
      <c r="H2042" s="18"/>
      <c r="I2042" s="18"/>
    </row>
    <row r="2043" ht="20.05" customHeight="1">
      <c r="A2043" s="10">
        <v>45554</v>
      </c>
      <c r="B2043" t="s" s="11">
        <v>10</v>
      </c>
      <c r="C2043" t="s" s="12">
        <v>389</v>
      </c>
      <c r="D2043" s="19">
        <v>24000</v>
      </c>
      <c r="E2043" s="19"/>
      <c r="F2043" s="20"/>
      <c r="G2043" s="20"/>
      <c r="H2043" s="20"/>
      <c r="I2043" s="20"/>
    </row>
    <row r="2044" ht="20.35" customHeight="1">
      <c r="A2044" s="10">
        <v>45554</v>
      </c>
      <c r="B2044" t="s" s="11">
        <v>12</v>
      </c>
      <c r="C2044" t="s" s="12">
        <v>389</v>
      </c>
      <c r="D2044" s="13">
        <v>17000</v>
      </c>
      <c r="E2044" s="13"/>
      <c r="F2044" s="14"/>
      <c r="G2044" s="14"/>
      <c r="H2044" s="14"/>
      <c r="I2044" s="14"/>
    </row>
    <row r="2045" ht="20.7" customHeight="1">
      <c r="A2045" s="10">
        <v>45554</v>
      </c>
      <c r="B2045" t="s" s="11">
        <v>8</v>
      </c>
      <c r="C2045" t="s" s="12">
        <v>8</v>
      </c>
      <c r="D2045" s="15" cm="1">
        <f t="array" ref="D2045">SUM(D2042:D2044)</f>
        <v>41000</v>
      </c>
      <c r="E2045" s="15" cm="1">
        <f t="array" ref="E2045">SUM(E2042:E2044)</f>
        <v>41000</v>
      </c>
      <c r="F2045" s="16" cm="1">
        <f t="array" ref="F2045">SUM(F2042:F2044)</f>
        <v>0</v>
      </c>
      <c r="G2045" s="16" cm="1">
        <f t="array" ref="G2045">SUM(G2042:G2044)</f>
        <v>0</v>
      </c>
      <c r="H2045" s="16" cm="1">
        <f t="array" ref="H2045">SUM(H2042:H2044)</f>
        <v>0</v>
      </c>
      <c r="I2045" s="16" cm="1">
        <f t="array" ref="I2045">SUM(I2042:I2044)</f>
        <v>0</v>
      </c>
    </row>
    <row r="2046" ht="20.35" customHeight="1">
      <c r="A2046" s="10">
        <v>45555</v>
      </c>
      <c r="B2046" t="s" s="11">
        <v>5</v>
      </c>
      <c r="C2046" t="s" s="12">
        <v>202</v>
      </c>
      <c r="D2046" s="17"/>
      <c r="E2046" s="17">
        <v>10000</v>
      </c>
      <c r="F2046" s="18"/>
      <c r="G2046" s="18"/>
      <c r="H2046" s="18"/>
      <c r="I2046" s="18"/>
    </row>
    <row r="2047" ht="20.35" customHeight="1">
      <c r="A2047" s="10">
        <v>45555</v>
      </c>
      <c r="B2047" t="s" s="11">
        <v>93</v>
      </c>
      <c r="C2047" t="s" s="12">
        <v>202</v>
      </c>
      <c r="D2047" s="13">
        <v>10000</v>
      </c>
      <c r="E2047" s="13"/>
      <c r="F2047" s="14"/>
      <c r="G2047" s="14"/>
      <c r="H2047" s="14"/>
      <c r="I2047" s="14"/>
    </row>
    <row r="2048" ht="20.7" customHeight="1">
      <c r="A2048" s="10">
        <v>45555</v>
      </c>
      <c r="B2048" t="s" s="11">
        <v>8</v>
      </c>
      <c r="C2048" t="s" s="12">
        <v>8</v>
      </c>
      <c r="D2048" s="15" cm="1">
        <f t="array" ref="D2048">SUM(D2046:D2047)</f>
        <v>10000</v>
      </c>
      <c r="E2048" s="15" cm="1">
        <f t="array" ref="E2048">SUM(E2046:E2047)</f>
        <v>10000</v>
      </c>
      <c r="F2048" s="16" cm="1">
        <f t="array" ref="F2048">SUM(F2046:F2047)</f>
        <v>0</v>
      </c>
      <c r="G2048" s="16" cm="1">
        <f t="array" ref="G2048">SUM(G2046:G2047)</f>
        <v>0</v>
      </c>
      <c r="H2048" s="16" cm="1">
        <f t="array" ref="H2048">SUM(H2046:H2047)</f>
        <v>0</v>
      </c>
      <c r="I2048" s="16" cm="1">
        <f t="array" ref="I2048">SUM(I2046:I2047)</f>
        <v>0</v>
      </c>
    </row>
    <row r="2049" ht="20.35" customHeight="1">
      <c r="A2049" s="10">
        <v>45555</v>
      </c>
      <c r="B2049" t="s" s="11">
        <v>93</v>
      </c>
      <c r="C2049" t="s" s="12">
        <v>54</v>
      </c>
      <c r="D2049" s="17"/>
      <c r="E2049" s="17">
        <v>3300</v>
      </c>
      <c r="F2049" s="18"/>
      <c r="G2049" s="18"/>
      <c r="H2049" s="18"/>
      <c r="I2049" s="18"/>
    </row>
    <row r="2050" ht="20.35" customHeight="1">
      <c r="A2050" s="10">
        <v>45555</v>
      </c>
      <c r="B2050" t="s" s="11">
        <v>10</v>
      </c>
      <c r="C2050" t="s" s="12">
        <v>54</v>
      </c>
      <c r="D2050" s="13">
        <v>3300</v>
      </c>
      <c r="E2050" s="13"/>
      <c r="F2050" s="14"/>
      <c r="G2050" s="14"/>
      <c r="H2050" s="14"/>
      <c r="I2050" s="14"/>
    </row>
    <row r="2051" ht="20.7" customHeight="1">
      <c r="A2051" s="10">
        <v>45555</v>
      </c>
      <c r="B2051" t="s" s="11">
        <v>8</v>
      </c>
      <c r="C2051" t="s" s="12">
        <v>8</v>
      </c>
      <c r="D2051" s="15" cm="1">
        <f t="array" ref="D2051">SUM(D2049:D2050)</f>
        <v>3300</v>
      </c>
      <c r="E2051" s="15" cm="1">
        <f t="array" ref="E2051">SUM(E2049:E2050)</f>
        <v>3300</v>
      </c>
      <c r="F2051" s="16" cm="1">
        <f t="array" ref="F2051">SUM(F2049:F2050)</f>
        <v>0</v>
      </c>
      <c r="G2051" s="16" cm="1">
        <f t="array" ref="G2051">SUM(G2049:G2050)</f>
        <v>0</v>
      </c>
      <c r="H2051" s="16" cm="1">
        <f t="array" ref="H2051">SUM(H2049:H2050)</f>
        <v>0</v>
      </c>
      <c r="I2051" s="16" cm="1">
        <f t="array" ref="I2051">SUM(I2049:I2050)</f>
        <v>0</v>
      </c>
    </row>
    <row r="2052" ht="20.35" customHeight="1">
      <c r="A2052" s="10">
        <v>45555</v>
      </c>
      <c r="B2052" t="s" s="11">
        <v>5</v>
      </c>
      <c r="C2052" t="s" s="12">
        <v>96</v>
      </c>
      <c r="D2052" s="17">
        <v>6700</v>
      </c>
      <c r="E2052" s="17"/>
      <c r="F2052" s="18"/>
      <c r="G2052" s="18"/>
      <c r="H2052" s="18"/>
      <c r="I2052" s="18"/>
    </row>
    <row r="2053" ht="20.35" customHeight="1">
      <c r="A2053" s="10">
        <v>45555</v>
      </c>
      <c r="B2053" t="s" s="11">
        <v>93</v>
      </c>
      <c r="C2053" t="s" s="12">
        <v>96</v>
      </c>
      <c r="D2053" s="13"/>
      <c r="E2053" s="13">
        <v>6700</v>
      </c>
      <c r="F2053" s="14"/>
      <c r="G2053" s="14"/>
      <c r="H2053" s="14"/>
      <c r="I2053" s="14"/>
    </row>
    <row r="2054" ht="20.7" customHeight="1">
      <c r="A2054" s="10">
        <v>45555</v>
      </c>
      <c r="B2054" t="s" s="11">
        <v>8</v>
      </c>
      <c r="C2054" t="s" s="12">
        <v>8</v>
      </c>
      <c r="D2054" s="15" cm="1">
        <f t="array" ref="D2054">SUM(D2052:D2053)</f>
        <v>6700</v>
      </c>
      <c r="E2054" s="15" cm="1">
        <f t="array" ref="E2054">SUM(E2052:E2053)</f>
        <v>6700</v>
      </c>
      <c r="F2054" s="16" cm="1">
        <f t="array" ref="F2054">SUM(F2052:F2053)</f>
        <v>0</v>
      </c>
      <c r="G2054" s="16" cm="1">
        <f t="array" ref="G2054">SUM(G2052:G2053)</f>
        <v>0</v>
      </c>
      <c r="H2054" s="16" cm="1">
        <f t="array" ref="H2054">SUM(H2052:H2053)</f>
        <v>0</v>
      </c>
      <c r="I2054" s="16" cm="1">
        <f t="array" ref="I2054">SUM(I2052:I2053)</f>
        <v>0</v>
      </c>
    </row>
    <row r="2055" ht="20.35" customHeight="1">
      <c r="A2055" s="10">
        <v>45555</v>
      </c>
      <c r="B2055" t="s" s="11">
        <v>5</v>
      </c>
      <c r="C2055" t="s" s="12">
        <v>53</v>
      </c>
      <c r="D2055" s="17"/>
      <c r="E2055" s="17">
        <v>5500</v>
      </c>
      <c r="F2055" s="18"/>
      <c r="G2055" s="18"/>
      <c r="H2055" s="18"/>
      <c r="I2055" s="18"/>
    </row>
    <row r="2056" ht="20.35" customHeight="1">
      <c r="A2056" s="10">
        <v>45555</v>
      </c>
      <c r="B2056" t="s" s="11">
        <v>12</v>
      </c>
      <c r="C2056" t="s" s="12">
        <v>53</v>
      </c>
      <c r="D2056" s="13">
        <v>5500</v>
      </c>
      <c r="E2056" s="13"/>
      <c r="F2056" s="14"/>
      <c r="G2056" s="14"/>
      <c r="H2056" s="14"/>
      <c r="I2056" s="14"/>
    </row>
    <row r="2057" ht="20.7" customHeight="1">
      <c r="A2057" s="10">
        <v>45555</v>
      </c>
      <c r="B2057" t="s" s="11">
        <v>8</v>
      </c>
      <c r="C2057" t="s" s="12">
        <v>8</v>
      </c>
      <c r="D2057" s="15" cm="1">
        <f t="array" ref="D2057">SUM(D2055:D2056)</f>
        <v>5500</v>
      </c>
      <c r="E2057" s="15" cm="1">
        <f t="array" ref="E2057">SUM(E2055:E2056)</f>
        <v>5500</v>
      </c>
      <c r="F2057" s="16" cm="1">
        <f t="array" ref="F2057">SUM(F2055:F2056)</f>
        <v>0</v>
      </c>
      <c r="G2057" s="16" cm="1">
        <f t="array" ref="G2057">SUM(G2055:G2056)</f>
        <v>0</v>
      </c>
      <c r="H2057" s="16" cm="1">
        <f t="array" ref="H2057">SUM(H2055:H2056)</f>
        <v>0</v>
      </c>
      <c r="I2057" s="16" cm="1">
        <f t="array" ref="I2057">SUM(I2055:I2056)</f>
        <v>0</v>
      </c>
    </row>
    <row r="2058" ht="20.35" customHeight="1">
      <c r="A2058" s="10">
        <v>45555</v>
      </c>
      <c r="B2058" t="s" s="11">
        <v>5</v>
      </c>
      <c r="C2058" t="s" s="12">
        <v>17</v>
      </c>
      <c r="D2058" s="17">
        <v>100</v>
      </c>
      <c r="E2058" s="17"/>
      <c r="F2058" s="18"/>
      <c r="G2058" s="18"/>
      <c r="H2058" s="18"/>
      <c r="I2058" s="18"/>
    </row>
    <row r="2059" ht="20.35" customHeight="1">
      <c r="A2059" s="10">
        <v>45555</v>
      </c>
      <c r="B2059" t="s" s="11">
        <v>18</v>
      </c>
      <c r="C2059" t="s" s="12">
        <v>17</v>
      </c>
      <c r="D2059" s="13"/>
      <c r="E2059" s="13">
        <v>100</v>
      </c>
      <c r="F2059" s="14"/>
      <c r="G2059" s="14"/>
      <c r="H2059" s="14"/>
      <c r="I2059" s="14"/>
    </row>
    <row r="2060" ht="20.7" customHeight="1">
      <c r="A2060" s="10">
        <v>45555</v>
      </c>
      <c r="B2060" t="s" s="11">
        <v>8</v>
      </c>
      <c r="C2060" t="s" s="12">
        <v>8</v>
      </c>
      <c r="D2060" s="15" cm="1">
        <f t="array" ref="D2060">SUM(D2058:D2059)</f>
        <v>100</v>
      </c>
      <c r="E2060" s="15" cm="1">
        <f t="array" ref="E2060">SUM(E2058:E2059)</f>
        <v>100</v>
      </c>
      <c r="F2060" s="16" cm="1">
        <f t="array" ref="F2060">SUM(F2058:F2059)</f>
        <v>0</v>
      </c>
      <c r="G2060" s="16" cm="1">
        <f t="array" ref="G2060">SUM(G2058:G2059)</f>
        <v>0</v>
      </c>
      <c r="H2060" s="16" cm="1">
        <f t="array" ref="H2060">SUM(H2058:H2059)</f>
        <v>0</v>
      </c>
      <c r="I2060" s="16" cm="1">
        <f t="array" ref="I2060">SUM(I2058:I2059)</f>
        <v>0</v>
      </c>
    </row>
    <row r="2061" ht="20.35" customHeight="1">
      <c r="A2061" s="10">
        <v>45555</v>
      </c>
      <c r="B2061" t="s" s="11">
        <v>5</v>
      </c>
      <c r="C2061" t="s" s="12">
        <v>17</v>
      </c>
      <c r="D2061" s="17">
        <v>100</v>
      </c>
      <c r="E2061" s="17"/>
      <c r="F2061" s="18"/>
      <c r="G2061" s="18"/>
      <c r="H2061" s="18"/>
      <c r="I2061" s="18"/>
    </row>
    <row r="2062" ht="20.35" customHeight="1">
      <c r="A2062" s="10">
        <v>45555</v>
      </c>
      <c r="B2062" t="s" s="11">
        <v>18</v>
      </c>
      <c r="C2062" t="s" s="12">
        <v>17</v>
      </c>
      <c r="D2062" s="13"/>
      <c r="E2062" s="13">
        <v>100</v>
      </c>
      <c r="F2062" s="14"/>
      <c r="G2062" s="14"/>
      <c r="H2062" s="14"/>
      <c r="I2062" s="14"/>
    </row>
    <row r="2063" ht="20.7" customHeight="1">
      <c r="A2063" s="10">
        <v>45555</v>
      </c>
      <c r="B2063" t="s" s="11">
        <v>8</v>
      </c>
      <c r="C2063" t="s" s="12">
        <v>8</v>
      </c>
      <c r="D2063" s="15" cm="1">
        <f t="array" ref="D2063">SUM(D2061:D2062)</f>
        <v>100</v>
      </c>
      <c r="E2063" s="15" cm="1">
        <f t="array" ref="E2063">SUM(E2061:E2062)</f>
        <v>100</v>
      </c>
      <c r="F2063" s="16" cm="1">
        <f t="array" ref="F2063">SUM(F2061:F2062)</f>
        <v>0</v>
      </c>
      <c r="G2063" s="16" cm="1">
        <f t="array" ref="G2063">SUM(G2061:G2062)</f>
        <v>0</v>
      </c>
      <c r="H2063" s="16" cm="1">
        <f t="array" ref="H2063">SUM(H2061:H2062)</f>
        <v>0</v>
      </c>
      <c r="I2063" s="16" cm="1">
        <f t="array" ref="I2063">SUM(I2061:I2062)</f>
        <v>0</v>
      </c>
    </row>
    <row r="2064" ht="20.65" customHeight="1">
      <c r="A2064" s="10">
        <v>45555</v>
      </c>
      <c r="B2064" t="s" s="11">
        <v>5</v>
      </c>
      <c r="C2064" t="s" s="12">
        <v>390</v>
      </c>
      <c r="D2064" s="17"/>
      <c r="E2064" s="17">
        <v>15360</v>
      </c>
      <c r="F2064" s="18"/>
      <c r="G2064" s="18"/>
      <c r="H2064" s="18"/>
      <c r="I2064" s="18"/>
    </row>
    <row r="2065" ht="20.65" customHeight="1">
      <c r="A2065" s="10">
        <v>45555</v>
      </c>
      <c r="B2065" t="s" s="11">
        <v>12</v>
      </c>
      <c r="C2065" t="s" s="12">
        <v>390</v>
      </c>
      <c r="D2065" s="13">
        <v>15360</v>
      </c>
      <c r="E2065" s="13"/>
      <c r="F2065" s="14"/>
      <c r="G2065" s="14"/>
      <c r="H2065" s="14"/>
      <c r="I2065" s="14"/>
    </row>
    <row r="2066" ht="20.7" customHeight="1">
      <c r="A2066" s="10">
        <v>45555</v>
      </c>
      <c r="B2066" t="s" s="11">
        <v>8</v>
      </c>
      <c r="C2066" t="s" s="12">
        <v>8</v>
      </c>
      <c r="D2066" s="15" cm="1">
        <f t="array" ref="D2066">SUM(D2064:D2065)</f>
        <v>15360</v>
      </c>
      <c r="E2066" s="15" cm="1">
        <f t="array" ref="E2066">SUM(E2064:E2065)</f>
        <v>15360</v>
      </c>
      <c r="F2066" s="16" cm="1">
        <f t="array" ref="F2066">SUM(F2064:F2065)</f>
        <v>0</v>
      </c>
      <c r="G2066" s="16" cm="1">
        <f t="array" ref="G2066">SUM(G2064:G2065)</f>
        <v>0</v>
      </c>
      <c r="H2066" s="16" cm="1">
        <f t="array" ref="H2066">SUM(H2064:H2065)</f>
        <v>0</v>
      </c>
      <c r="I2066" s="16" cm="1">
        <f t="array" ref="I2066">SUM(I2064:I2065)</f>
        <v>0</v>
      </c>
    </row>
    <row r="2067" ht="20.35" customHeight="1">
      <c r="A2067" s="10">
        <v>45555</v>
      </c>
      <c r="B2067" t="s" s="11">
        <v>5</v>
      </c>
      <c r="C2067" t="s" s="12">
        <v>53</v>
      </c>
      <c r="D2067" s="17"/>
      <c r="E2067" s="17">
        <v>7800</v>
      </c>
      <c r="F2067" s="18"/>
      <c r="G2067" s="18"/>
      <c r="H2067" s="18"/>
      <c r="I2067" s="18"/>
    </row>
    <row r="2068" ht="20.35" customHeight="1">
      <c r="A2068" s="10">
        <v>45555</v>
      </c>
      <c r="B2068" t="s" s="11">
        <v>12</v>
      </c>
      <c r="C2068" t="s" s="12">
        <v>53</v>
      </c>
      <c r="D2068" s="13">
        <v>7800</v>
      </c>
      <c r="E2068" s="13"/>
      <c r="F2068" s="14"/>
      <c r="G2068" s="14"/>
      <c r="H2068" s="14"/>
      <c r="I2068" s="14"/>
    </row>
    <row r="2069" ht="20.7" customHeight="1">
      <c r="A2069" s="10">
        <v>45555</v>
      </c>
      <c r="B2069" t="s" s="11">
        <v>8</v>
      </c>
      <c r="C2069" t="s" s="12">
        <v>8</v>
      </c>
      <c r="D2069" s="15" cm="1">
        <f t="array" ref="D2069">SUM(D2067:D2068)</f>
        <v>7800</v>
      </c>
      <c r="E2069" s="15" cm="1">
        <f t="array" ref="E2069">SUM(E2067:E2068)</f>
        <v>7800</v>
      </c>
      <c r="F2069" s="16" cm="1">
        <f t="array" ref="F2069">SUM(F2067:F2068)</f>
        <v>0</v>
      </c>
      <c r="G2069" s="16" cm="1">
        <f t="array" ref="G2069">SUM(G2067:G2068)</f>
        <v>0</v>
      </c>
      <c r="H2069" s="16" cm="1">
        <f t="array" ref="H2069">SUM(H2067:H2068)</f>
        <v>0</v>
      </c>
      <c r="I2069" s="16" cm="1">
        <f t="array" ref="I2069">SUM(I2067:I2068)</f>
        <v>0</v>
      </c>
    </row>
    <row r="2070" ht="21.25" customHeight="1">
      <c r="A2070" s="10">
        <v>45555</v>
      </c>
      <c r="B2070" t="s" s="11">
        <v>21</v>
      </c>
      <c r="C2070" t="s" s="12">
        <v>329</v>
      </c>
      <c r="D2070" s="17"/>
      <c r="E2070" s="17">
        <v>2800</v>
      </c>
      <c r="F2070" s="18"/>
      <c r="G2070" s="18"/>
      <c r="H2070" s="18"/>
      <c r="I2070" s="18"/>
    </row>
    <row r="2071" ht="21.25" customHeight="1">
      <c r="A2071" s="10">
        <v>45555</v>
      </c>
      <c r="B2071" t="s" s="11">
        <v>16</v>
      </c>
      <c r="C2071" t="s" s="12">
        <v>329</v>
      </c>
      <c r="D2071" s="13">
        <v>2800</v>
      </c>
      <c r="E2071" s="13"/>
      <c r="F2071" s="14"/>
      <c r="G2071" s="14"/>
      <c r="H2071" s="14"/>
      <c r="I2071" s="14"/>
    </row>
    <row r="2072" ht="20.7" customHeight="1">
      <c r="A2072" s="10">
        <v>45555</v>
      </c>
      <c r="B2072" t="s" s="11">
        <v>8</v>
      </c>
      <c r="C2072" t="s" s="12">
        <v>8</v>
      </c>
      <c r="D2072" s="15" cm="1">
        <f t="array" ref="D2072">SUM(D2070:D2071)</f>
        <v>2800</v>
      </c>
      <c r="E2072" s="15" cm="1">
        <f t="array" ref="E2072">SUM(E2070:E2071)</f>
        <v>2800</v>
      </c>
      <c r="F2072" s="16" cm="1">
        <f t="array" ref="F2072">SUM(F2070:F2071)</f>
        <v>0</v>
      </c>
      <c r="G2072" s="16" cm="1">
        <f t="array" ref="G2072">SUM(G2070:G2071)</f>
        <v>0</v>
      </c>
      <c r="H2072" s="16" cm="1">
        <f t="array" ref="H2072">SUM(H2070:H2071)</f>
        <v>0</v>
      </c>
      <c r="I2072" s="16" cm="1">
        <f t="array" ref="I2072">SUM(I2070:I2071)</f>
        <v>0</v>
      </c>
    </row>
    <row r="2073" ht="21.25" customHeight="1">
      <c r="A2073" s="10">
        <v>45556</v>
      </c>
      <c r="B2073" t="s" s="11">
        <v>107</v>
      </c>
      <c r="C2073" t="s" s="12">
        <v>315</v>
      </c>
      <c r="D2073" s="17">
        <v>2</v>
      </c>
      <c r="E2073" s="17"/>
      <c r="F2073" s="18"/>
      <c r="G2073" s="18"/>
      <c r="H2073" s="18"/>
      <c r="I2073" s="18"/>
    </row>
    <row r="2074" ht="21.25" customHeight="1">
      <c r="A2074" s="10">
        <v>45556</v>
      </c>
      <c r="B2074" t="s" s="11">
        <v>7</v>
      </c>
      <c r="C2074" t="s" s="12">
        <v>315</v>
      </c>
      <c r="D2074" s="13"/>
      <c r="E2074" s="13">
        <v>2</v>
      </c>
      <c r="F2074" s="14"/>
      <c r="G2074" s="14"/>
      <c r="H2074" s="14"/>
      <c r="I2074" s="14"/>
    </row>
    <row r="2075" ht="20.7" customHeight="1">
      <c r="A2075" s="10">
        <v>45556</v>
      </c>
      <c r="B2075" t="s" s="11">
        <v>8</v>
      </c>
      <c r="C2075" t="s" s="12">
        <v>8</v>
      </c>
      <c r="D2075" s="15" cm="1">
        <f t="array" ref="D2075">SUM(D2073:D2074)</f>
        <v>2</v>
      </c>
      <c r="E2075" s="15" cm="1">
        <f t="array" ref="E2075">SUM(E2073:E2074)</f>
        <v>2</v>
      </c>
      <c r="F2075" s="16" cm="1">
        <f t="array" ref="F2075">SUM(F2073:F2074)</f>
        <v>0</v>
      </c>
      <c r="G2075" s="16" cm="1">
        <f t="array" ref="G2075">SUM(G2073:G2074)</f>
        <v>0</v>
      </c>
      <c r="H2075" s="16" cm="1">
        <f t="array" ref="H2075">SUM(H2073:H2074)</f>
        <v>0</v>
      </c>
      <c r="I2075" s="16" cm="1">
        <f t="array" ref="I2075">SUM(I2073:I2074)</f>
        <v>0</v>
      </c>
    </row>
    <row r="2076" ht="20.35" customHeight="1">
      <c r="A2076" s="10">
        <v>45556</v>
      </c>
      <c r="B2076" t="s" s="11">
        <v>5</v>
      </c>
      <c r="C2076" t="s" s="12">
        <v>362</v>
      </c>
      <c r="D2076" s="17"/>
      <c r="E2076" s="17">
        <v>2950</v>
      </c>
      <c r="F2076" s="18"/>
      <c r="G2076" s="18"/>
      <c r="H2076" s="18"/>
      <c r="I2076" s="18"/>
    </row>
    <row r="2077" ht="20.35" customHeight="1">
      <c r="A2077" s="10">
        <v>45556</v>
      </c>
      <c r="B2077" t="s" s="11">
        <v>12</v>
      </c>
      <c r="C2077" t="s" s="12">
        <v>362</v>
      </c>
      <c r="D2077" s="13">
        <v>2950</v>
      </c>
      <c r="E2077" s="13"/>
      <c r="F2077" s="14"/>
      <c r="G2077" s="14"/>
      <c r="H2077" s="14"/>
      <c r="I2077" s="14"/>
    </row>
    <row r="2078" ht="20.7" customHeight="1">
      <c r="A2078" s="10">
        <v>45556</v>
      </c>
      <c r="B2078" t="s" s="11">
        <v>8</v>
      </c>
      <c r="C2078" t="s" s="12">
        <v>8</v>
      </c>
      <c r="D2078" s="15" cm="1">
        <f t="array" ref="D2078">SUM(D2076:D2077)</f>
        <v>2950</v>
      </c>
      <c r="E2078" s="15" cm="1">
        <f t="array" ref="E2078">SUM(E2076:E2077)</f>
        <v>2950</v>
      </c>
      <c r="F2078" s="16" cm="1">
        <f t="array" ref="F2078">SUM(F2076:F2077)</f>
        <v>0</v>
      </c>
      <c r="G2078" s="16" cm="1">
        <f t="array" ref="G2078">SUM(G2076:G2077)</f>
        <v>0</v>
      </c>
      <c r="H2078" s="16" cm="1">
        <f t="array" ref="H2078">SUM(H2076:H2077)</f>
        <v>0</v>
      </c>
      <c r="I2078" s="16" cm="1">
        <f t="array" ref="I2078">SUM(I2076:I2077)</f>
        <v>0</v>
      </c>
    </row>
    <row r="2079" ht="20.35" customHeight="1">
      <c r="A2079" s="10">
        <v>45556</v>
      </c>
      <c r="B2079" t="s" s="11">
        <v>21</v>
      </c>
      <c r="C2079" t="s" s="12">
        <v>273</v>
      </c>
      <c r="D2079" s="17"/>
      <c r="E2079" s="17">
        <v>2950</v>
      </c>
      <c r="F2079" s="18"/>
      <c r="G2079" s="18"/>
      <c r="H2079" s="18"/>
      <c r="I2079" s="18"/>
    </row>
    <row r="2080" ht="20.35" customHeight="1">
      <c r="A2080" s="10">
        <v>45556</v>
      </c>
      <c r="B2080" t="s" s="11">
        <v>12</v>
      </c>
      <c r="C2080" t="s" s="12">
        <v>273</v>
      </c>
      <c r="D2080" s="13">
        <v>2950</v>
      </c>
      <c r="E2080" s="13"/>
      <c r="F2080" s="14"/>
      <c r="G2080" s="14"/>
      <c r="H2080" s="14"/>
      <c r="I2080" s="14"/>
    </row>
    <row r="2081" ht="20.7" customHeight="1">
      <c r="A2081" s="10">
        <v>45556</v>
      </c>
      <c r="B2081" t="s" s="11">
        <v>8</v>
      </c>
      <c r="C2081" t="s" s="12">
        <v>8</v>
      </c>
      <c r="D2081" s="15" cm="1">
        <f t="array" ref="D2081">SUM(D2079:D2080)</f>
        <v>2950</v>
      </c>
      <c r="E2081" s="15" cm="1">
        <f t="array" ref="E2081">SUM(E2079:E2080)</f>
        <v>2950</v>
      </c>
      <c r="F2081" s="16" cm="1">
        <f t="array" ref="F2081">SUM(F2079:F2080)</f>
        <v>0</v>
      </c>
      <c r="G2081" s="16" cm="1">
        <f t="array" ref="G2081">SUM(G2079:G2080)</f>
        <v>0</v>
      </c>
      <c r="H2081" s="16" cm="1">
        <f t="array" ref="H2081">SUM(H2079:H2080)</f>
        <v>0</v>
      </c>
      <c r="I2081" s="16" cm="1">
        <f t="array" ref="I2081">SUM(I2079:I2080)</f>
        <v>0</v>
      </c>
    </row>
    <row r="2082" ht="20.35" customHeight="1">
      <c r="A2082" s="10">
        <v>45556</v>
      </c>
      <c r="B2082" t="s" s="11">
        <v>5</v>
      </c>
      <c r="C2082" t="s" s="12">
        <v>273</v>
      </c>
      <c r="D2082" s="17"/>
      <c r="E2082" s="17">
        <v>2950</v>
      </c>
      <c r="F2082" s="18"/>
      <c r="G2082" s="18"/>
      <c r="H2082" s="18"/>
      <c r="I2082" s="18"/>
    </row>
    <row r="2083" ht="20.35" customHeight="1">
      <c r="A2083" s="10">
        <v>45556</v>
      </c>
      <c r="B2083" t="s" s="11">
        <v>21</v>
      </c>
      <c r="C2083" t="s" s="12">
        <v>273</v>
      </c>
      <c r="D2083" s="13">
        <v>2950</v>
      </c>
      <c r="E2083" s="13"/>
      <c r="F2083" s="14"/>
      <c r="G2083" s="14"/>
      <c r="H2083" s="14"/>
      <c r="I2083" s="14"/>
    </row>
    <row r="2084" ht="20.7" customHeight="1">
      <c r="A2084" s="10">
        <v>45556</v>
      </c>
      <c r="B2084" t="s" s="11">
        <v>8</v>
      </c>
      <c r="C2084" t="s" s="12">
        <v>8</v>
      </c>
      <c r="D2084" s="15" cm="1">
        <f t="array" ref="D2084">SUM(D2082:D2083)</f>
        <v>2950</v>
      </c>
      <c r="E2084" s="15" cm="1">
        <f t="array" ref="E2084">SUM(E2082:E2083)</f>
        <v>2950</v>
      </c>
      <c r="F2084" s="16" cm="1">
        <f t="array" ref="F2084">SUM(F2082:F2083)</f>
        <v>0</v>
      </c>
      <c r="G2084" s="16" cm="1">
        <f t="array" ref="G2084">SUM(G2082:G2083)</f>
        <v>0</v>
      </c>
      <c r="H2084" s="16" cm="1">
        <f t="array" ref="H2084">SUM(H2082:H2083)</f>
        <v>0</v>
      </c>
      <c r="I2084" s="16" cm="1">
        <f t="array" ref="I2084">SUM(I2082:I2083)</f>
        <v>0</v>
      </c>
    </row>
    <row r="2085" ht="20.35" customHeight="1">
      <c r="A2085" s="10">
        <v>45556</v>
      </c>
      <c r="B2085" t="s" s="11">
        <v>79</v>
      </c>
      <c r="C2085" t="s" s="12">
        <v>96</v>
      </c>
      <c r="D2085" s="17"/>
      <c r="E2085" s="17">
        <v>1237</v>
      </c>
      <c r="F2085" s="18"/>
      <c r="G2085" s="18"/>
      <c r="H2085" s="18"/>
      <c r="I2085" s="18"/>
    </row>
    <row r="2086" ht="20.35" customHeight="1">
      <c r="A2086" s="10">
        <v>45556</v>
      </c>
      <c r="B2086" t="s" s="11">
        <v>5</v>
      </c>
      <c r="C2086" t="s" s="12">
        <v>96</v>
      </c>
      <c r="D2086" s="13">
        <v>1237</v>
      </c>
      <c r="E2086" s="13"/>
      <c r="F2086" s="14"/>
      <c r="G2086" s="14"/>
      <c r="H2086" s="14"/>
      <c r="I2086" s="14"/>
    </row>
    <row r="2087" ht="20.7" customHeight="1">
      <c r="A2087" s="10">
        <v>45556</v>
      </c>
      <c r="B2087" t="s" s="11">
        <v>8</v>
      </c>
      <c r="C2087" t="s" s="12">
        <v>8</v>
      </c>
      <c r="D2087" s="15" cm="1">
        <f t="array" ref="D2087">SUM(D2085:D2086)</f>
        <v>1237</v>
      </c>
      <c r="E2087" s="15" cm="1">
        <f t="array" ref="E2087">SUM(E2085:E2086)</f>
        <v>1237</v>
      </c>
      <c r="F2087" s="16" cm="1">
        <f t="array" ref="F2087">SUM(F2085:F2086)</f>
        <v>0</v>
      </c>
      <c r="G2087" s="16" cm="1">
        <f t="array" ref="G2087">SUM(G2085:G2086)</f>
        <v>0</v>
      </c>
      <c r="H2087" s="16" cm="1">
        <f t="array" ref="H2087">SUM(H2085:H2086)</f>
        <v>0</v>
      </c>
      <c r="I2087" s="16" cm="1">
        <f t="array" ref="I2087">SUM(I2085:I2086)</f>
        <v>0</v>
      </c>
    </row>
    <row r="2088" ht="20.35" customHeight="1">
      <c r="A2088" s="10">
        <v>45556</v>
      </c>
      <c r="B2088" t="s" s="11">
        <v>5</v>
      </c>
      <c r="C2088" t="s" s="12">
        <v>17</v>
      </c>
      <c r="D2088" s="17">
        <v>100</v>
      </c>
      <c r="E2088" s="17"/>
      <c r="F2088" s="18"/>
      <c r="G2088" s="18"/>
      <c r="H2088" s="18"/>
      <c r="I2088" s="18"/>
    </row>
    <row r="2089" ht="20.35" customHeight="1">
      <c r="A2089" s="10">
        <v>45556</v>
      </c>
      <c r="B2089" t="s" s="11">
        <v>18</v>
      </c>
      <c r="C2089" t="s" s="12">
        <v>17</v>
      </c>
      <c r="D2089" s="13"/>
      <c r="E2089" s="13">
        <v>100</v>
      </c>
      <c r="F2089" s="14"/>
      <c r="G2089" s="14"/>
      <c r="H2089" s="14"/>
      <c r="I2089" s="14"/>
    </row>
    <row r="2090" ht="20.7" customHeight="1">
      <c r="A2090" s="10">
        <v>45556</v>
      </c>
      <c r="B2090" t="s" s="11">
        <v>8</v>
      </c>
      <c r="C2090" t="s" s="12">
        <v>8</v>
      </c>
      <c r="D2090" s="15" cm="1">
        <f t="array" ref="D2090">SUM(D2088:D2089)</f>
        <v>100</v>
      </c>
      <c r="E2090" s="15" cm="1">
        <f t="array" ref="E2090">SUM(E2088:E2089)</f>
        <v>100</v>
      </c>
      <c r="F2090" s="16" cm="1">
        <f t="array" ref="F2090">SUM(F2088:F2089)</f>
        <v>0</v>
      </c>
      <c r="G2090" s="16" cm="1">
        <f t="array" ref="G2090">SUM(G2088:G2089)</f>
        <v>0</v>
      </c>
      <c r="H2090" s="16" cm="1">
        <f t="array" ref="H2090">SUM(H2088:H2089)</f>
        <v>0</v>
      </c>
      <c r="I2090" s="16" cm="1">
        <f t="array" ref="I2090">SUM(I2088:I2089)</f>
        <v>0</v>
      </c>
    </row>
    <row r="2091" ht="20.35" customHeight="1">
      <c r="A2091" s="10">
        <v>45556</v>
      </c>
      <c r="B2091" t="s" s="11">
        <v>5</v>
      </c>
      <c r="C2091" t="s" s="12">
        <v>391</v>
      </c>
      <c r="D2091" s="17"/>
      <c r="E2091" s="17">
        <v>5000</v>
      </c>
      <c r="F2091" s="18"/>
      <c r="G2091" s="18"/>
      <c r="H2091" s="18"/>
      <c r="I2091" s="18"/>
    </row>
    <row r="2092" ht="20.35" customHeight="1">
      <c r="A2092" s="10">
        <v>45556</v>
      </c>
      <c r="B2092" t="s" s="11">
        <v>12</v>
      </c>
      <c r="C2092" t="s" s="12">
        <v>391</v>
      </c>
      <c r="D2092" s="13">
        <v>5000</v>
      </c>
      <c r="E2092" s="13"/>
      <c r="F2092" s="14"/>
      <c r="G2092" s="14"/>
      <c r="H2092" s="14"/>
      <c r="I2092" s="14"/>
    </row>
    <row r="2093" ht="20.7" customHeight="1">
      <c r="A2093" s="10">
        <v>45556</v>
      </c>
      <c r="B2093" t="s" s="11">
        <v>8</v>
      </c>
      <c r="C2093" t="s" s="12">
        <v>8</v>
      </c>
      <c r="D2093" s="15" cm="1">
        <f t="array" ref="D2093">SUM(D2091:D2092)</f>
        <v>5000</v>
      </c>
      <c r="E2093" s="15" cm="1">
        <f t="array" ref="E2093">SUM(E2091:E2092)</f>
        <v>5000</v>
      </c>
      <c r="F2093" s="16" cm="1">
        <f t="array" ref="F2093">SUM(F2091:F2092)</f>
        <v>0</v>
      </c>
      <c r="G2093" s="16" cm="1">
        <f t="array" ref="G2093">SUM(G2091:G2092)</f>
        <v>0</v>
      </c>
      <c r="H2093" s="16" cm="1">
        <f t="array" ref="H2093">SUM(H2091:H2092)</f>
        <v>0</v>
      </c>
      <c r="I2093" s="16" cm="1">
        <f t="array" ref="I2093">SUM(I2091:I2092)</f>
        <v>0</v>
      </c>
    </row>
    <row r="2094" ht="20.35" customHeight="1">
      <c r="A2094" s="10">
        <v>45557</v>
      </c>
      <c r="B2094" t="s" s="11">
        <v>93</v>
      </c>
      <c r="C2094" t="s" s="12">
        <v>356</v>
      </c>
      <c r="D2094" s="17">
        <v>25000</v>
      </c>
      <c r="E2094" s="17"/>
      <c r="F2094" s="18"/>
      <c r="G2094" s="18"/>
      <c r="H2094" s="18"/>
      <c r="I2094" s="18"/>
    </row>
    <row r="2095" ht="20.35" customHeight="1">
      <c r="A2095" s="10">
        <v>45557</v>
      </c>
      <c r="B2095" t="s" s="11">
        <v>21</v>
      </c>
      <c r="C2095" t="s" s="12">
        <v>356</v>
      </c>
      <c r="D2095" s="13"/>
      <c r="E2095" s="13">
        <v>25000</v>
      </c>
      <c r="F2095" s="14"/>
      <c r="G2095" s="14"/>
      <c r="H2095" s="14"/>
      <c r="I2095" s="14"/>
    </row>
    <row r="2096" ht="20.7" customHeight="1">
      <c r="A2096" s="10">
        <v>45557</v>
      </c>
      <c r="B2096" t="s" s="11">
        <v>8</v>
      </c>
      <c r="C2096" t="s" s="12">
        <v>8</v>
      </c>
      <c r="D2096" s="15" cm="1">
        <f t="array" ref="D2096">SUM(D2094:D2095)</f>
        <v>25000</v>
      </c>
      <c r="E2096" s="15" cm="1">
        <f t="array" ref="E2096">SUM(E2094:E2095)</f>
        <v>25000</v>
      </c>
      <c r="F2096" s="16" cm="1">
        <f t="array" ref="F2096">SUM(F2094:F2095)</f>
        <v>0</v>
      </c>
      <c r="G2096" s="16" cm="1">
        <f t="array" ref="G2096">SUM(G2094:G2095)</f>
        <v>0</v>
      </c>
      <c r="H2096" s="16" cm="1">
        <f t="array" ref="H2096">SUM(H2094:H2095)</f>
        <v>0</v>
      </c>
      <c r="I2096" s="16" cm="1">
        <f t="array" ref="I2096">SUM(I2094:I2095)</f>
        <v>0</v>
      </c>
    </row>
    <row r="2097" ht="20.35" customHeight="1">
      <c r="A2097" s="10">
        <v>45557</v>
      </c>
      <c r="B2097" t="s" s="11">
        <v>93</v>
      </c>
      <c r="C2097" t="s" s="12">
        <v>96</v>
      </c>
      <c r="D2097" s="17"/>
      <c r="E2097" s="17">
        <v>25000</v>
      </c>
      <c r="F2097" s="18"/>
      <c r="G2097" s="18"/>
      <c r="H2097" s="18"/>
      <c r="I2097" s="18"/>
    </row>
    <row r="2098" ht="20.35" customHeight="1">
      <c r="A2098" s="10">
        <v>45557</v>
      </c>
      <c r="B2098" t="s" s="11">
        <v>5</v>
      </c>
      <c r="C2098" t="s" s="12">
        <v>96</v>
      </c>
      <c r="D2098" s="13">
        <v>25000</v>
      </c>
      <c r="E2098" s="13"/>
      <c r="F2098" s="14"/>
      <c r="G2098" s="14"/>
      <c r="H2098" s="14"/>
      <c r="I2098" s="14"/>
    </row>
    <row r="2099" ht="20.7" customHeight="1">
      <c r="A2099" s="10">
        <v>45557</v>
      </c>
      <c r="B2099" t="s" s="11">
        <v>8</v>
      </c>
      <c r="C2099" t="s" s="12">
        <v>8</v>
      </c>
      <c r="D2099" s="15" cm="1">
        <f t="array" ref="D2099">SUM(D2097:D2098)</f>
        <v>25000</v>
      </c>
      <c r="E2099" s="15" cm="1">
        <f t="array" ref="E2099">SUM(E2097:E2098)</f>
        <v>25000</v>
      </c>
      <c r="F2099" s="16" cm="1">
        <f t="array" ref="F2099">SUM(F2097:F2098)</f>
        <v>0</v>
      </c>
      <c r="G2099" s="16" cm="1">
        <f t="array" ref="G2099">SUM(G2097:G2098)</f>
        <v>0</v>
      </c>
      <c r="H2099" s="16" cm="1">
        <f t="array" ref="H2099">SUM(H2097:H2098)</f>
        <v>0</v>
      </c>
      <c r="I2099" s="16" cm="1">
        <f t="array" ref="I2099">SUM(I2097:I2098)</f>
        <v>0</v>
      </c>
    </row>
    <row r="2100" ht="21.25" customHeight="1">
      <c r="A2100" s="10">
        <v>45557</v>
      </c>
      <c r="B2100" t="s" s="11">
        <v>5</v>
      </c>
      <c r="C2100" t="s" s="12">
        <v>361</v>
      </c>
      <c r="D2100" s="17"/>
      <c r="E2100" s="17">
        <v>24500</v>
      </c>
      <c r="F2100" s="18"/>
      <c r="G2100" s="18"/>
      <c r="H2100" s="18"/>
      <c r="I2100" s="18"/>
    </row>
    <row r="2101" ht="21.25" customHeight="1">
      <c r="A2101" s="10">
        <v>45557</v>
      </c>
      <c r="B2101" t="s" s="11">
        <v>89</v>
      </c>
      <c r="C2101" t="s" s="12">
        <v>361</v>
      </c>
      <c r="D2101" s="13">
        <v>24500</v>
      </c>
      <c r="E2101" s="13"/>
      <c r="F2101" s="14"/>
      <c r="G2101" s="14"/>
      <c r="H2101" s="14"/>
      <c r="I2101" s="14"/>
    </row>
    <row r="2102" ht="20.7" customHeight="1">
      <c r="A2102" s="10">
        <v>45557</v>
      </c>
      <c r="B2102" t="s" s="11">
        <v>8</v>
      </c>
      <c r="C2102" t="s" s="12">
        <v>8</v>
      </c>
      <c r="D2102" s="15" cm="1">
        <f t="array" ref="D2102">SUM(D2100:D2101)</f>
        <v>24500</v>
      </c>
      <c r="E2102" s="15" cm="1">
        <f t="array" ref="E2102">SUM(E2100:E2101)</f>
        <v>24500</v>
      </c>
      <c r="F2102" s="16" cm="1">
        <f t="array" ref="F2102">SUM(F2100:F2101)</f>
        <v>0</v>
      </c>
      <c r="G2102" s="16" cm="1">
        <f t="array" ref="G2102">SUM(G2100:G2101)</f>
        <v>0</v>
      </c>
      <c r="H2102" s="16" cm="1">
        <f t="array" ref="H2102">SUM(H2100:H2101)</f>
        <v>0</v>
      </c>
      <c r="I2102" s="16" cm="1">
        <f t="array" ref="I2102">SUM(I2100:I2101)</f>
        <v>0</v>
      </c>
    </row>
    <row r="2103" ht="21.25" customHeight="1">
      <c r="A2103" s="10">
        <v>45557</v>
      </c>
      <c r="B2103" t="s" s="11">
        <v>21</v>
      </c>
      <c r="C2103" t="s" s="12">
        <v>392</v>
      </c>
      <c r="D2103" s="17"/>
      <c r="E2103" s="17">
        <v>2900</v>
      </c>
      <c r="F2103" s="18"/>
      <c r="G2103" s="18"/>
      <c r="H2103" s="18"/>
      <c r="I2103" s="18"/>
    </row>
    <row r="2104" ht="21.25" customHeight="1">
      <c r="A2104" s="10">
        <v>45557</v>
      </c>
      <c r="B2104" t="s" s="11">
        <v>16</v>
      </c>
      <c r="C2104" t="s" s="12">
        <v>392</v>
      </c>
      <c r="D2104" s="13">
        <v>2900</v>
      </c>
      <c r="E2104" s="13"/>
      <c r="F2104" s="14"/>
      <c r="G2104" s="14"/>
      <c r="H2104" s="14"/>
      <c r="I2104" s="14"/>
    </row>
    <row r="2105" ht="20.7" customHeight="1">
      <c r="A2105" s="10">
        <v>45557</v>
      </c>
      <c r="B2105" t="s" s="11">
        <v>8</v>
      </c>
      <c r="C2105" t="s" s="12">
        <v>8</v>
      </c>
      <c r="D2105" s="15" cm="1">
        <f t="array" ref="D2105">SUM(D2103:D2104)</f>
        <v>2900</v>
      </c>
      <c r="E2105" s="15" cm="1">
        <f t="array" ref="E2105">SUM(E2103:E2104)</f>
        <v>2900</v>
      </c>
      <c r="F2105" s="16" cm="1">
        <f t="array" ref="F2105">SUM(F2103:F2104)</f>
        <v>0</v>
      </c>
      <c r="G2105" s="16" cm="1">
        <f t="array" ref="G2105">SUM(G2103:G2104)</f>
        <v>0</v>
      </c>
      <c r="H2105" s="16" cm="1">
        <f t="array" ref="H2105">SUM(H2103:H2104)</f>
        <v>0</v>
      </c>
      <c r="I2105" s="16" cm="1">
        <f t="array" ref="I2105">SUM(I2103:I2104)</f>
        <v>0</v>
      </c>
    </row>
    <row r="2106" ht="20.35" customHeight="1">
      <c r="A2106" s="10">
        <v>45558</v>
      </c>
      <c r="B2106" t="s" s="11">
        <v>5</v>
      </c>
      <c r="C2106" t="s" s="12">
        <v>17</v>
      </c>
      <c r="D2106" s="17">
        <v>100</v>
      </c>
      <c r="E2106" s="17"/>
      <c r="F2106" s="18"/>
      <c r="G2106" s="18"/>
      <c r="H2106" s="18"/>
      <c r="I2106" s="18"/>
    </row>
    <row r="2107" ht="20.35" customHeight="1">
      <c r="A2107" s="10">
        <v>45558</v>
      </c>
      <c r="B2107" t="s" s="11">
        <v>18</v>
      </c>
      <c r="C2107" t="s" s="12">
        <v>17</v>
      </c>
      <c r="D2107" s="13"/>
      <c r="E2107" s="13">
        <v>100</v>
      </c>
      <c r="F2107" s="14"/>
      <c r="G2107" s="14"/>
      <c r="H2107" s="14"/>
      <c r="I2107" s="14"/>
    </row>
    <row r="2108" ht="20.7" customHeight="1">
      <c r="A2108" s="10">
        <v>45558</v>
      </c>
      <c r="B2108" t="s" s="11">
        <v>8</v>
      </c>
      <c r="C2108" t="s" s="12">
        <v>8</v>
      </c>
      <c r="D2108" s="15" cm="1">
        <f t="array" ref="D2108">SUM(D2106:D2107)</f>
        <v>100</v>
      </c>
      <c r="E2108" s="15" cm="1">
        <f t="array" ref="E2108">SUM(E2106:E2107)</f>
        <v>100</v>
      </c>
      <c r="F2108" s="16" cm="1">
        <f t="array" ref="F2108">SUM(F2106:F2107)</f>
        <v>0</v>
      </c>
      <c r="G2108" s="16" cm="1">
        <f t="array" ref="G2108">SUM(G2106:G2107)</f>
        <v>0</v>
      </c>
      <c r="H2108" s="16" cm="1">
        <f t="array" ref="H2108">SUM(H2106:H2107)</f>
        <v>0</v>
      </c>
      <c r="I2108" s="16" cm="1">
        <f t="array" ref="I2108">SUM(I2106:I2107)</f>
        <v>0</v>
      </c>
    </row>
    <row r="2109" ht="20.65" customHeight="1">
      <c r="A2109" s="10">
        <v>45558</v>
      </c>
      <c r="B2109" t="s" s="11">
        <v>28</v>
      </c>
      <c r="C2109" t="s" s="12">
        <v>218</v>
      </c>
      <c r="D2109" s="17"/>
      <c r="E2109" s="17">
        <v>5000</v>
      </c>
      <c r="F2109" s="18"/>
      <c r="G2109" s="18"/>
      <c r="H2109" s="18"/>
      <c r="I2109" s="18"/>
    </row>
    <row r="2110" ht="20.65" customHeight="1">
      <c r="A2110" s="10">
        <v>45558</v>
      </c>
      <c r="B2110" t="s" s="11">
        <v>12</v>
      </c>
      <c r="C2110" t="s" s="12">
        <v>218</v>
      </c>
      <c r="D2110" s="13">
        <v>5000</v>
      </c>
      <c r="E2110" s="13"/>
      <c r="F2110" s="14"/>
      <c r="G2110" s="14"/>
      <c r="H2110" s="14"/>
      <c r="I2110" s="14"/>
    </row>
    <row r="2111" ht="20.7" customHeight="1">
      <c r="A2111" s="10">
        <v>45558</v>
      </c>
      <c r="B2111" t="s" s="11">
        <v>8</v>
      </c>
      <c r="C2111" t="s" s="12">
        <v>8</v>
      </c>
      <c r="D2111" s="15" cm="1">
        <f t="array" ref="D2111">SUM(D2109:D2110)</f>
        <v>5000</v>
      </c>
      <c r="E2111" s="15" cm="1">
        <f t="array" ref="E2111">SUM(E2109:E2110)</f>
        <v>5000</v>
      </c>
      <c r="F2111" s="16" cm="1">
        <f t="array" ref="F2111">SUM(F2109:F2110)</f>
        <v>0</v>
      </c>
      <c r="G2111" s="16" cm="1">
        <f t="array" ref="G2111">SUM(G2109:G2110)</f>
        <v>0</v>
      </c>
      <c r="H2111" s="16" cm="1">
        <f t="array" ref="H2111">SUM(H2109:H2110)</f>
        <v>0</v>
      </c>
      <c r="I2111" s="16" cm="1">
        <f t="array" ref="I2111">SUM(I2109:I2110)</f>
        <v>0</v>
      </c>
    </row>
    <row r="2112" ht="20.35" customHeight="1">
      <c r="A2112" s="10">
        <v>45558</v>
      </c>
      <c r="B2112" t="s" s="11">
        <v>28</v>
      </c>
      <c r="C2112" t="s" s="12">
        <v>393</v>
      </c>
      <c r="D2112" s="17"/>
      <c r="E2112" s="17">
        <v>1000</v>
      </c>
      <c r="F2112" s="18"/>
      <c r="G2112" s="18"/>
      <c r="H2112" s="18"/>
      <c r="I2112" s="18"/>
    </row>
    <row r="2113" ht="20.35" customHeight="1">
      <c r="A2113" s="10">
        <v>45558</v>
      </c>
      <c r="B2113" t="s" s="11">
        <v>10</v>
      </c>
      <c r="C2113" t="s" s="12">
        <v>393</v>
      </c>
      <c r="D2113" s="13">
        <v>1000</v>
      </c>
      <c r="E2113" s="13"/>
      <c r="F2113" s="14"/>
      <c r="G2113" s="14"/>
      <c r="H2113" s="14"/>
      <c r="I2113" s="14"/>
    </row>
    <row r="2114" ht="20.7" customHeight="1">
      <c r="A2114" s="10">
        <v>45558</v>
      </c>
      <c r="B2114" t="s" s="11">
        <v>8</v>
      </c>
      <c r="C2114" t="s" s="12">
        <v>8</v>
      </c>
      <c r="D2114" s="15" cm="1">
        <f t="array" ref="D2114">SUM(D2112:D2113)</f>
        <v>1000</v>
      </c>
      <c r="E2114" s="15" cm="1">
        <f t="array" ref="E2114">SUM(E2112:E2113)</f>
        <v>1000</v>
      </c>
      <c r="F2114" s="16" cm="1">
        <f t="array" ref="F2114">SUM(F2112:F2113)</f>
        <v>0</v>
      </c>
      <c r="G2114" s="16" cm="1">
        <f t="array" ref="G2114">SUM(G2112:G2113)</f>
        <v>0</v>
      </c>
      <c r="H2114" s="16" cm="1">
        <f t="array" ref="H2114">SUM(H2112:H2113)</f>
        <v>0</v>
      </c>
      <c r="I2114" s="16" cm="1">
        <f t="array" ref="I2114">SUM(I2112:I2113)</f>
        <v>0</v>
      </c>
    </row>
    <row r="2115" ht="21.25" customHeight="1">
      <c r="A2115" s="10">
        <v>45558</v>
      </c>
      <c r="B2115" t="s" s="11">
        <v>89</v>
      </c>
      <c r="C2115" t="s" s="12">
        <v>394</v>
      </c>
      <c r="D2115" s="24"/>
      <c r="E2115" s="17">
        <v>2284</v>
      </c>
      <c r="F2115" s="18"/>
      <c r="G2115" s="18"/>
      <c r="H2115" s="18"/>
      <c r="I2115" s="18"/>
    </row>
    <row r="2116" ht="21.25" customHeight="1">
      <c r="A2116" s="10">
        <v>45558</v>
      </c>
      <c r="B2116" t="s" s="11">
        <v>84</v>
      </c>
      <c r="C2116" t="s" s="12">
        <v>394</v>
      </c>
      <c r="D2116" s="13">
        <v>2284</v>
      </c>
      <c r="E2116" s="21"/>
      <c r="F2116" s="14"/>
      <c r="G2116" s="14"/>
      <c r="H2116" s="14"/>
      <c r="I2116" s="14"/>
    </row>
    <row r="2117" ht="20.7" customHeight="1">
      <c r="A2117" s="10">
        <v>45558</v>
      </c>
      <c r="B2117" t="s" s="11">
        <v>8</v>
      </c>
      <c r="C2117" t="s" s="12">
        <v>8</v>
      </c>
      <c r="D2117" s="15" cm="1">
        <f t="array" ref="D2117">SUM(D2115:D2116)</f>
        <v>2284</v>
      </c>
      <c r="E2117" s="15" cm="1">
        <f t="array" ref="E2117">SUM(E2115:E2116)</f>
        <v>2284</v>
      </c>
      <c r="F2117" s="16" cm="1">
        <f t="array" ref="F2117">SUM(F2115:F2116)</f>
        <v>0</v>
      </c>
      <c r="G2117" s="16" cm="1">
        <f t="array" ref="G2117">SUM(G2115:G2116)</f>
        <v>0</v>
      </c>
      <c r="H2117" s="16" cm="1">
        <f t="array" ref="H2117">SUM(H2115:H2116)</f>
        <v>0</v>
      </c>
      <c r="I2117" s="16" cm="1">
        <f t="array" ref="I2117">SUM(I2115:I2116)</f>
        <v>0</v>
      </c>
    </row>
    <row r="2118" ht="20.35" customHeight="1">
      <c r="A2118" s="10">
        <v>45558</v>
      </c>
      <c r="B2118" t="s" s="11">
        <v>39</v>
      </c>
      <c r="C2118" t="s" s="12">
        <v>64</v>
      </c>
      <c r="D2118" s="17"/>
      <c r="E2118" s="17"/>
      <c r="F2118" s="18">
        <v>50</v>
      </c>
      <c r="G2118" s="18"/>
      <c r="H2118" s="18"/>
      <c r="I2118" s="18"/>
    </row>
    <row r="2119" ht="20.35" customHeight="1">
      <c r="A2119" s="10">
        <v>45558</v>
      </c>
      <c r="B2119" t="s" s="11">
        <v>41</v>
      </c>
      <c r="C2119" t="s" s="12">
        <v>64</v>
      </c>
      <c r="D2119" s="13"/>
      <c r="E2119" s="13"/>
      <c r="F2119" s="14"/>
      <c r="G2119" s="14">
        <v>50</v>
      </c>
      <c r="H2119" s="14"/>
      <c r="I2119" s="14"/>
    </row>
    <row r="2120" ht="20.7" customHeight="1">
      <c r="A2120" s="10">
        <v>45558</v>
      </c>
      <c r="B2120" t="s" s="11">
        <v>8</v>
      </c>
      <c r="C2120" t="s" s="12">
        <v>8</v>
      </c>
      <c r="D2120" s="15" cm="1">
        <f t="array" ref="D2120">SUM(D2118:D2119)</f>
        <v>0</v>
      </c>
      <c r="E2120" s="15" cm="1">
        <f t="array" ref="E2120">SUM(E2118:E2119)</f>
        <v>0</v>
      </c>
      <c r="F2120" s="16" cm="1">
        <f t="array" ref="F2120">SUM(F2118:F2119)</f>
        <v>50</v>
      </c>
      <c r="G2120" s="16" cm="1">
        <f t="array" ref="G2120">SUM(G2118:G2119)</f>
        <v>50</v>
      </c>
      <c r="H2120" s="16" cm="1">
        <f t="array" ref="H2120">SUM(H2118:H2119)</f>
        <v>0</v>
      </c>
      <c r="I2120" s="16" cm="1">
        <f t="array" ref="I2120">SUM(I2118:I2119)</f>
        <v>0</v>
      </c>
    </row>
    <row r="2121" ht="20.35" customHeight="1">
      <c r="A2121" s="10">
        <v>45558</v>
      </c>
      <c r="B2121" t="s" s="11">
        <v>39</v>
      </c>
      <c r="C2121" t="s" s="12">
        <v>68</v>
      </c>
      <c r="D2121" s="17"/>
      <c r="E2121" s="17"/>
      <c r="F2121" s="18"/>
      <c r="G2121" s="18">
        <v>8.49</v>
      </c>
      <c r="H2121" s="18"/>
      <c r="I2121" s="18"/>
    </row>
    <row r="2122" ht="20.35" customHeight="1">
      <c r="A2122" s="10">
        <v>45558</v>
      </c>
      <c r="B2122" t="s" s="11">
        <v>44</v>
      </c>
      <c r="C2122" t="s" s="12">
        <v>68</v>
      </c>
      <c r="D2122" s="13"/>
      <c r="E2122" s="13"/>
      <c r="F2122" s="14">
        <v>8.49</v>
      </c>
      <c r="G2122" s="14"/>
      <c r="H2122" s="14"/>
      <c r="I2122" s="14"/>
    </row>
    <row r="2123" ht="20.7" customHeight="1">
      <c r="A2123" s="10">
        <v>45558</v>
      </c>
      <c r="B2123" t="s" s="11">
        <v>8</v>
      </c>
      <c r="C2123" t="s" s="12">
        <v>8</v>
      </c>
      <c r="D2123" s="15" cm="1">
        <f t="array" ref="D2123">SUM(D2121:D2122)</f>
        <v>0</v>
      </c>
      <c r="E2123" s="15" cm="1">
        <f t="array" ref="E2123">SUM(E2121:E2122)</f>
        <v>0</v>
      </c>
      <c r="F2123" s="16" cm="1">
        <f t="array" ref="F2123">SUM(F2121:F2122)</f>
        <v>8.49</v>
      </c>
      <c r="G2123" s="16" cm="1">
        <f t="array" ref="G2123">SUM(G2121:G2122)</f>
        <v>8.49</v>
      </c>
      <c r="H2123" s="16" cm="1">
        <f t="array" ref="H2123">SUM(H2121:H2122)</f>
        <v>0</v>
      </c>
      <c r="I2123" s="16" cm="1">
        <f t="array" ref="I2123">SUM(I2121:I2122)</f>
        <v>0</v>
      </c>
    </row>
    <row r="2124" ht="20.35" customHeight="1">
      <c r="A2124" s="10">
        <v>45559</v>
      </c>
      <c r="B2124" t="s" s="11">
        <v>99</v>
      </c>
      <c r="C2124" t="s" s="12">
        <v>395</v>
      </c>
      <c r="D2124" s="17"/>
      <c r="E2124" s="17">
        <v>3900000</v>
      </c>
      <c r="F2124" s="18"/>
      <c r="G2124" s="18"/>
      <c r="H2124" s="18"/>
      <c r="I2124" s="18"/>
    </row>
    <row r="2125" ht="20.35" customHeight="1">
      <c r="A2125" s="10">
        <v>45559</v>
      </c>
      <c r="B2125" t="s" s="11">
        <v>5</v>
      </c>
      <c r="C2125" t="s" s="12">
        <v>395</v>
      </c>
      <c r="D2125" s="13">
        <v>3900000</v>
      </c>
      <c r="E2125" s="13"/>
      <c r="F2125" s="14"/>
      <c r="G2125" s="14"/>
      <c r="H2125" s="14"/>
      <c r="I2125" s="14"/>
    </row>
    <row r="2126" ht="20.7" customHeight="1">
      <c r="A2126" s="10">
        <v>45559</v>
      </c>
      <c r="B2126" t="s" s="11">
        <v>8</v>
      </c>
      <c r="C2126" t="s" s="12">
        <v>8</v>
      </c>
      <c r="D2126" s="15" cm="1">
        <f t="array" ref="D2126">SUM(D2124:D2125)</f>
        <v>3900000</v>
      </c>
      <c r="E2126" s="15" cm="1">
        <f t="array" ref="E2126">SUM(E2124:E2125)</f>
        <v>3900000</v>
      </c>
      <c r="F2126" s="16" cm="1">
        <f t="array" ref="F2126">SUM(F2124:F2125)</f>
        <v>0</v>
      </c>
      <c r="G2126" s="16" cm="1">
        <f t="array" ref="G2126">SUM(G2124:G2125)</f>
        <v>0</v>
      </c>
      <c r="H2126" s="16" cm="1">
        <f t="array" ref="H2126">SUM(H2124:H2125)</f>
        <v>0</v>
      </c>
      <c r="I2126" s="16" cm="1">
        <f t="array" ref="I2126">SUM(I2124:I2125)</f>
        <v>0</v>
      </c>
    </row>
    <row r="2127" ht="21.25" customHeight="1">
      <c r="A2127" s="10">
        <v>45559</v>
      </c>
      <c r="B2127" t="s" s="11">
        <v>5</v>
      </c>
      <c r="C2127" t="s" s="12">
        <v>210</v>
      </c>
      <c r="D2127" s="17"/>
      <c r="E2127" s="17">
        <v>8600</v>
      </c>
      <c r="F2127" s="18"/>
      <c r="G2127" s="18"/>
      <c r="H2127" s="18"/>
      <c r="I2127" s="18"/>
    </row>
    <row r="2128" ht="21.25" customHeight="1">
      <c r="A2128" s="10">
        <v>45559</v>
      </c>
      <c r="B2128" t="s" s="11">
        <v>89</v>
      </c>
      <c r="C2128" t="s" s="12">
        <v>210</v>
      </c>
      <c r="D2128" s="13">
        <v>8600</v>
      </c>
      <c r="E2128" s="13"/>
      <c r="F2128" s="14"/>
      <c r="G2128" s="14"/>
      <c r="H2128" s="14"/>
      <c r="I2128" s="14"/>
    </row>
    <row r="2129" ht="20.7" customHeight="1">
      <c r="A2129" s="10">
        <v>45559</v>
      </c>
      <c r="B2129" t="s" s="11">
        <v>8</v>
      </c>
      <c r="C2129" t="s" s="12">
        <v>8</v>
      </c>
      <c r="D2129" s="15" cm="1">
        <f t="array" ref="D2129">SUM(D2127:D2128)</f>
        <v>8600</v>
      </c>
      <c r="E2129" s="15" cm="1">
        <f t="array" ref="E2129">SUM(E2127:E2128)</f>
        <v>8600</v>
      </c>
      <c r="F2129" s="16" cm="1">
        <f t="array" ref="F2129">SUM(F2127:F2128)</f>
        <v>0</v>
      </c>
      <c r="G2129" s="16" cm="1">
        <f t="array" ref="G2129">SUM(G2127:G2128)</f>
        <v>0</v>
      </c>
      <c r="H2129" s="16" cm="1">
        <f t="array" ref="H2129">SUM(H2127:H2128)</f>
        <v>0</v>
      </c>
      <c r="I2129" s="16" cm="1">
        <f t="array" ref="I2129">SUM(I2127:I2128)</f>
        <v>0</v>
      </c>
    </row>
    <row r="2130" ht="20.35" customHeight="1">
      <c r="A2130" s="10">
        <v>45559</v>
      </c>
      <c r="B2130" t="s" s="11">
        <v>5</v>
      </c>
      <c r="C2130" t="s" s="12">
        <v>17</v>
      </c>
      <c r="D2130" s="17">
        <v>100</v>
      </c>
      <c r="E2130" s="17"/>
      <c r="F2130" s="18"/>
      <c r="G2130" s="18"/>
      <c r="H2130" s="18"/>
      <c r="I2130" s="18"/>
    </row>
    <row r="2131" ht="20.35" customHeight="1">
      <c r="A2131" s="10">
        <v>45559</v>
      </c>
      <c r="B2131" t="s" s="11">
        <v>18</v>
      </c>
      <c r="C2131" t="s" s="12">
        <v>17</v>
      </c>
      <c r="D2131" s="13"/>
      <c r="E2131" s="13">
        <v>100</v>
      </c>
      <c r="F2131" s="14"/>
      <c r="G2131" s="14"/>
      <c r="H2131" s="14"/>
      <c r="I2131" s="14"/>
    </row>
    <row r="2132" ht="20.7" customHeight="1">
      <c r="A2132" s="10">
        <v>45559</v>
      </c>
      <c r="B2132" t="s" s="11">
        <v>8</v>
      </c>
      <c r="C2132" t="s" s="12">
        <v>8</v>
      </c>
      <c r="D2132" s="15" cm="1">
        <f t="array" ref="D2132">SUM(D2130:D2131)</f>
        <v>100</v>
      </c>
      <c r="E2132" s="15" cm="1">
        <f t="array" ref="E2132">SUM(E2130:E2131)</f>
        <v>100</v>
      </c>
      <c r="F2132" s="16" cm="1">
        <f t="array" ref="F2132">SUM(F2130:F2131)</f>
        <v>0</v>
      </c>
      <c r="G2132" s="16" cm="1">
        <f t="array" ref="G2132">SUM(G2130:G2131)</f>
        <v>0</v>
      </c>
      <c r="H2132" s="16" cm="1">
        <f t="array" ref="H2132">SUM(H2130:H2131)</f>
        <v>0</v>
      </c>
      <c r="I2132" s="16" cm="1">
        <f t="array" ref="I2132">SUM(I2130:I2131)</f>
        <v>0</v>
      </c>
    </row>
    <row r="2133" ht="20.35" customHeight="1">
      <c r="A2133" s="10">
        <v>45559</v>
      </c>
      <c r="B2133" t="s" s="11">
        <v>5</v>
      </c>
      <c r="C2133" t="s" s="12">
        <v>356</v>
      </c>
      <c r="D2133" s="24"/>
      <c r="E2133" s="17">
        <v>25000</v>
      </c>
      <c r="F2133" s="18"/>
      <c r="G2133" s="18"/>
      <c r="H2133" s="18"/>
      <c r="I2133" s="18"/>
    </row>
    <row r="2134" ht="20.35" customHeight="1">
      <c r="A2134" s="10">
        <v>45559</v>
      </c>
      <c r="B2134" t="s" s="11">
        <v>21</v>
      </c>
      <c r="C2134" t="s" s="12">
        <v>356</v>
      </c>
      <c r="D2134" s="13">
        <v>25000</v>
      </c>
      <c r="E2134" s="21"/>
      <c r="F2134" s="14"/>
      <c r="G2134" s="14"/>
      <c r="H2134" s="14"/>
      <c r="I2134" s="14"/>
    </row>
    <row r="2135" ht="20.7" customHeight="1">
      <c r="A2135" s="10">
        <v>45559</v>
      </c>
      <c r="B2135" t="s" s="11">
        <v>8</v>
      </c>
      <c r="C2135" t="s" s="12">
        <v>8</v>
      </c>
      <c r="D2135" s="15" cm="1">
        <f t="array" ref="D2135">SUM(D2133:D2134)</f>
        <v>25000</v>
      </c>
      <c r="E2135" s="15" cm="1">
        <f t="array" ref="E2135">SUM(E2133:E2134)</f>
        <v>25000</v>
      </c>
      <c r="F2135" s="16" cm="1">
        <f t="array" ref="F2135">SUM(F2133:F2134)</f>
        <v>0</v>
      </c>
      <c r="G2135" s="16" cm="1">
        <f t="array" ref="G2135">SUM(G2133:G2134)</f>
        <v>0</v>
      </c>
      <c r="H2135" s="16" cm="1">
        <f t="array" ref="H2135">SUM(H2133:H2134)</f>
        <v>0</v>
      </c>
      <c r="I2135" s="16" cm="1">
        <f t="array" ref="I2135">SUM(I2133:I2134)</f>
        <v>0</v>
      </c>
    </row>
    <row r="2136" ht="20.35" customHeight="1">
      <c r="A2136" s="10">
        <v>45559</v>
      </c>
      <c r="B2136" t="s" s="11">
        <v>5</v>
      </c>
      <c r="C2136" t="s" s="12">
        <v>314</v>
      </c>
      <c r="D2136" s="24"/>
      <c r="E2136" s="17">
        <v>400000</v>
      </c>
      <c r="F2136" s="18"/>
      <c r="G2136" s="18"/>
      <c r="H2136" s="18"/>
      <c r="I2136" s="18"/>
    </row>
    <row r="2137" ht="20.35" customHeight="1">
      <c r="A2137" s="10">
        <v>45559</v>
      </c>
      <c r="B2137" t="s" s="11">
        <v>21</v>
      </c>
      <c r="C2137" t="s" s="12">
        <v>314</v>
      </c>
      <c r="D2137" s="13">
        <v>400000</v>
      </c>
      <c r="E2137" s="21"/>
      <c r="F2137" s="14"/>
      <c r="G2137" s="14"/>
      <c r="H2137" s="14"/>
      <c r="I2137" s="14"/>
    </row>
    <row r="2138" ht="20.7" customHeight="1">
      <c r="A2138" s="10">
        <v>45559</v>
      </c>
      <c r="B2138" t="s" s="11">
        <v>8</v>
      </c>
      <c r="C2138" t="s" s="12">
        <v>8</v>
      </c>
      <c r="D2138" s="15" cm="1">
        <f t="array" ref="D2138">SUM(D2136:D2137)</f>
        <v>400000</v>
      </c>
      <c r="E2138" s="15" cm="1">
        <f t="array" ref="E2138">SUM(E2136:E2137)</f>
        <v>400000</v>
      </c>
      <c r="F2138" s="16" cm="1">
        <f t="array" ref="F2138">SUM(F2136:F2137)</f>
        <v>0</v>
      </c>
      <c r="G2138" s="16" cm="1">
        <f t="array" ref="G2138">SUM(G2136:G2137)</f>
        <v>0</v>
      </c>
      <c r="H2138" s="16" cm="1">
        <f t="array" ref="H2138">SUM(H2136:H2137)</f>
        <v>0</v>
      </c>
      <c r="I2138" s="16" cm="1">
        <f t="array" ref="I2138">SUM(I2136:I2137)</f>
        <v>0</v>
      </c>
    </row>
    <row r="2139" ht="20.35" customHeight="1">
      <c r="A2139" s="10">
        <v>45559</v>
      </c>
      <c r="B2139" t="s" s="11">
        <v>5</v>
      </c>
      <c r="C2139" t="s" s="12">
        <v>20</v>
      </c>
      <c r="D2139" s="17"/>
      <c r="E2139" s="17">
        <v>50000</v>
      </c>
      <c r="F2139" s="18"/>
      <c r="G2139" s="18"/>
      <c r="H2139" s="18"/>
      <c r="I2139" s="18"/>
    </row>
    <row r="2140" ht="20.35" customHeight="1">
      <c r="A2140" s="10">
        <v>45559</v>
      </c>
      <c r="B2140" t="s" s="11">
        <v>21</v>
      </c>
      <c r="C2140" t="s" s="12">
        <v>20</v>
      </c>
      <c r="D2140" s="13">
        <v>50000</v>
      </c>
      <c r="E2140" s="13"/>
      <c r="F2140" s="14"/>
      <c r="G2140" s="14"/>
      <c r="H2140" s="14"/>
      <c r="I2140" s="14"/>
    </row>
    <row r="2141" ht="20.7" customHeight="1">
      <c r="A2141" s="10">
        <v>45559</v>
      </c>
      <c r="B2141" t="s" s="11">
        <v>8</v>
      </c>
      <c r="C2141" t="s" s="12">
        <v>8</v>
      </c>
      <c r="D2141" s="15" cm="1">
        <f t="array" ref="D2141">SUM(D2139:D2140)</f>
        <v>50000</v>
      </c>
      <c r="E2141" s="15" cm="1">
        <f t="array" ref="E2141">SUM(E2139:E2140)</f>
        <v>50000</v>
      </c>
      <c r="F2141" s="16" cm="1">
        <f t="array" ref="F2141">SUM(F2139:F2140)</f>
        <v>0</v>
      </c>
      <c r="G2141" s="16" cm="1">
        <f t="array" ref="G2141">SUM(G2139:G2140)</f>
        <v>0</v>
      </c>
      <c r="H2141" s="16" cm="1">
        <f t="array" ref="H2141">SUM(H2139:H2140)</f>
        <v>0</v>
      </c>
      <c r="I2141" s="16" cm="1">
        <f t="array" ref="I2141">SUM(I2139:I2140)</f>
        <v>0</v>
      </c>
    </row>
    <row r="2142" ht="20.35" customHeight="1">
      <c r="A2142" s="10">
        <v>45559</v>
      </c>
      <c r="B2142" t="s" s="11">
        <v>5</v>
      </c>
      <c r="C2142" t="s" s="12">
        <v>357</v>
      </c>
      <c r="D2142" s="17"/>
      <c r="E2142" s="17">
        <v>100000</v>
      </c>
      <c r="F2142" s="18"/>
      <c r="G2142" s="18"/>
      <c r="H2142" s="18"/>
      <c r="I2142" s="18"/>
    </row>
    <row r="2143" ht="20.35" customHeight="1">
      <c r="A2143" s="10">
        <v>45559</v>
      </c>
      <c r="B2143" t="s" s="11">
        <v>21</v>
      </c>
      <c r="C2143" t="s" s="12">
        <v>357</v>
      </c>
      <c r="D2143" s="13">
        <v>100000</v>
      </c>
      <c r="E2143" s="13"/>
      <c r="F2143" s="14"/>
      <c r="G2143" s="14"/>
      <c r="H2143" s="14"/>
      <c r="I2143" s="14"/>
    </row>
    <row r="2144" ht="20.7" customHeight="1">
      <c r="A2144" s="10">
        <v>45559</v>
      </c>
      <c r="B2144" t="s" s="11">
        <v>8</v>
      </c>
      <c r="C2144" t="s" s="12">
        <v>8</v>
      </c>
      <c r="D2144" s="15" cm="1">
        <f t="array" ref="D2144">SUM(D2142:D2143)</f>
        <v>100000</v>
      </c>
      <c r="E2144" s="15" cm="1">
        <f t="array" ref="E2144">SUM(E2142:E2143)</f>
        <v>100000</v>
      </c>
      <c r="F2144" s="16" cm="1">
        <f t="array" ref="F2144">SUM(F2142:F2143)</f>
        <v>0</v>
      </c>
      <c r="G2144" s="16" cm="1">
        <f t="array" ref="G2144">SUM(G2142:G2143)</f>
        <v>0</v>
      </c>
      <c r="H2144" s="16" cm="1">
        <f t="array" ref="H2144">SUM(H2142:H2143)</f>
        <v>0</v>
      </c>
      <c r="I2144" s="16" cm="1">
        <f t="array" ref="I2144">SUM(I2142:I2143)</f>
        <v>0</v>
      </c>
    </row>
    <row r="2145" ht="20.35" customHeight="1">
      <c r="A2145" s="10">
        <v>45559</v>
      </c>
      <c r="B2145" t="s" s="11">
        <v>5</v>
      </c>
      <c r="C2145" t="s" s="12">
        <v>368</v>
      </c>
      <c r="D2145" s="17"/>
      <c r="E2145" s="17">
        <v>150000</v>
      </c>
      <c r="F2145" s="18"/>
      <c r="G2145" s="18"/>
      <c r="H2145" s="18"/>
      <c r="I2145" s="18"/>
    </row>
    <row r="2146" ht="20.35" customHeight="1">
      <c r="A2146" s="10">
        <v>45559</v>
      </c>
      <c r="B2146" t="s" s="11">
        <v>21</v>
      </c>
      <c r="C2146" t="s" s="12">
        <v>368</v>
      </c>
      <c r="D2146" s="13">
        <v>150000</v>
      </c>
      <c r="E2146" s="13"/>
      <c r="F2146" s="14"/>
      <c r="G2146" s="14"/>
      <c r="H2146" s="14"/>
      <c r="I2146" s="14"/>
    </row>
    <row r="2147" ht="20.7" customHeight="1">
      <c r="A2147" s="10">
        <v>45559</v>
      </c>
      <c r="B2147" t="s" s="11">
        <v>8</v>
      </c>
      <c r="C2147" t="s" s="12">
        <v>8</v>
      </c>
      <c r="D2147" s="15" cm="1">
        <f t="array" ref="D2147">SUM(D2145:D2146)</f>
        <v>150000</v>
      </c>
      <c r="E2147" s="15" cm="1">
        <f t="array" ref="E2147">SUM(E2145:E2146)</f>
        <v>150000</v>
      </c>
      <c r="F2147" s="16" cm="1">
        <f t="array" ref="F2147">SUM(F2145:F2146)</f>
        <v>0</v>
      </c>
      <c r="G2147" s="16" cm="1">
        <f t="array" ref="G2147">SUM(G2145:G2146)</f>
        <v>0</v>
      </c>
      <c r="H2147" s="16" cm="1">
        <f t="array" ref="H2147">SUM(H2145:H2146)</f>
        <v>0</v>
      </c>
      <c r="I2147" s="16" cm="1">
        <f t="array" ref="I2147">SUM(I2145:I2146)</f>
        <v>0</v>
      </c>
    </row>
    <row r="2148" ht="21.25" customHeight="1">
      <c r="A2148" s="10">
        <v>45559</v>
      </c>
      <c r="B2148" t="s" s="11">
        <v>28</v>
      </c>
      <c r="C2148" t="s" s="12">
        <v>210</v>
      </c>
      <c r="D2148" s="17">
        <v>10000</v>
      </c>
      <c r="E2148" s="17"/>
      <c r="F2148" s="18"/>
      <c r="G2148" s="18"/>
      <c r="H2148" s="18"/>
      <c r="I2148" s="18"/>
    </row>
    <row r="2149" ht="20.9" customHeight="1">
      <c r="A2149" s="10">
        <v>45559</v>
      </c>
      <c r="B2149" t="s" s="11">
        <v>21</v>
      </c>
      <c r="C2149" t="s" s="12">
        <v>210</v>
      </c>
      <c r="D2149" s="19"/>
      <c r="E2149" s="19">
        <v>1400</v>
      </c>
      <c r="F2149" s="20"/>
      <c r="G2149" s="20"/>
      <c r="H2149" s="20"/>
      <c r="I2149" s="20"/>
    </row>
    <row r="2150" ht="21.25" customHeight="1">
      <c r="A2150" s="10">
        <v>45559</v>
      </c>
      <c r="B2150" t="s" s="11">
        <v>89</v>
      </c>
      <c r="C2150" t="s" s="12">
        <v>210</v>
      </c>
      <c r="D2150" s="13"/>
      <c r="E2150" s="13">
        <v>8600</v>
      </c>
      <c r="F2150" s="14"/>
      <c r="G2150" s="14"/>
      <c r="H2150" s="14"/>
      <c r="I2150" s="14"/>
    </row>
    <row r="2151" ht="20.7" customHeight="1">
      <c r="A2151" s="10">
        <v>45559</v>
      </c>
      <c r="B2151" t="s" s="11">
        <v>8</v>
      </c>
      <c r="C2151" t="s" s="12">
        <v>8</v>
      </c>
      <c r="D2151" s="15" cm="1">
        <f t="array" ref="D2151">SUM(D2148:D2150)</f>
        <v>10000</v>
      </c>
      <c r="E2151" s="15" cm="1">
        <f t="array" ref="E2151">SUM(E2148:E2150)</f>
        <v>10000</v>
      </c>
      <c r="F2151" s="16" cm="1">
        <f t="array" ref="F2151">SUM(F2148:F2150)</f>
        <v>0</v>
      </c>
      <c r="G2151" s="16" cm="1">
        <f t="array" ref="G2151">SUM(G2148:G2150)</f>
        <v>0</v>
      </c>
      <c r="H2151" s="16" cm="1">
        <f t="array" ref="H2151">SUM(H2148:H2150)</f>
        <v>0</v>
      </c>
      <c r="I2151" s="16" cm="1">
        <f t="array" ref="I2151">SUM(I2148:I2150)</f>
        <v>0</v>
      </c>
    </row>
    <row r="2152" ht="20.35" customHeight="1">
      <c r="A2152" s="10">
        <v>45559</v>
      </c>
      <c r="B2152" t="s" s="11">
        <v>5</v>
      </c>
      <c r="C2152" t="s" s="12">
        <v>202</v>
      </c>
      <c r="D2152" s="17"/>
      <c r="E2152" s="17">
        <v>10000</v>
      </c>
      <c r="F2152" s="18"/>
      <c r="G2152" s="18"/>
      <c r="H2152" s="18"/>
      <c r="I2152" s="18"/>
    </row>
    <row r="2153" ht="20.35" customHeight="1">
      <c r="A2153" s="10">
        <v>45559</v>
      </c>
      <c r="B2153" t="s" s="11">
        <v>93</v>
      </c>
      <c r="C2153" t="s" s="12">
        <v>202</v>
      </c>
      <c r="D2153" s="13">
        <v>10000</v>
      </c>
      <c r="E2153" s="13"/>
      <c r="F2153" s="14"/>
      <c r="G2153" s="14"/>
      <c r="H2153" s="14"/>
      <c r="I2153" s="14"/>
    </row>
    <row r="2154" ht="20.7" customHeight="1">
      <c r="A2154" s="10">
        <v>45559</v>
      </c>
      <c r="B2154" t="s" s="11">
        <v>8</v>
      </c>
      <c r="C2154" t="s" s="12">
        <v>8</v>
      </c>
      <c r="D2154" s="15" cm="1">
        <f t="array" ref="D2154">SUM(D2152:D2153)</f>
        <v>10000</v>
      </c>
      <c r="E2154" s="15" cm="1">
        <f t="array" ref="E2154">SUM(E2152:E2153)</f>
        <v>10000</v>
      </c>
      <c r="F2154" s="16" cm="1">
        <f t="array" ref="F2154">SUM(F2152:F2153)</f>
        <v>0</v>
      </c>
      <c r="G2154" s="16" cm="1">
        <f t="array" ref="G2154">SUM(G2152:G2153)</f>
        <v>0</v>
      </c>
      <c r="H2154" s="16" cm="1">
        <f t="array" ref="H2154">SUM(H2152:H2153)</f>
        <v>0</v>
      </c>
      <c r="I2154" s="16" cm="1">
        <f t="array" ref="I2154">SUM(I2152:I2153)</f>
        <v>0</v>
      </c>
    </row>
    <row r="2155" ht="21.25" customHeight="1">
      <c r="A2155" s="10">
        <v>45559</v>
      </c>
      <c r="B2155" t="s" s="11">
        <v>93</v>
      </c>
      <c r="C2155" t="s" s="12">
        <v>210</v>
      </c>
      <c r="D2155" s="17"/>
      <c r="E2155" s="17">
        <v>1400</v>
      </c>
      <c r="F2155" s="18"/>
      <c r="G2155" s="18"/>
      <c r="H2155" s="18"/>
      <c r="I2155" s="18"/>
    </row>
    <row r="2156" ht="21.25" customHeight="1">
      <c r="A2156" s="10">
        <v>45559</v>
      </c>
      <c r="B2156" t="s" s="11">
        <v>21</v>
      </c>
      <c r="C2156" t="s" s="12">
        <v>210</v>
      </c>
      <c r="D2156" s="13">
        <v>1400</v>
      </c>
      <c r="E2156" s="13"/>
      <c r="F2156" s="14"/>
      <c r="G2156" s="14"/>
      <c r="H2156" s="14"/>
      <c r="I2156" s="14"/>
    </row>
    <row r="2157" ht="20.7" customHeight="1">
      <c r="A2157" s="10">
        <v>45559</v>
      </c>
      <c r="B2157" t="s" s="11">
        <v>8</v>
      </c>
      <c r="C2157" t="s" s="12">
        <v>8</v>
      </c>
      <c r="D2157" s="15" cm="1">
        <f t="array" ref="D2157">SUM(D2155:D2156)</f>
        <v>1400</v>
      </c>
      <c r="E2157" s="15" cm="1">
        <f t="array" ref="E2157">SUM(E2155:E2156)</f>
        <v>1400</v>
      </c>
      <c r="F2157" s="16" cm="1">
        <f t="array" ref="F2157">SUM(F2155:F2156)</f>
        <v>0</v>
      </c>
      <c r="G2157" s="16" cm="1">
        <f t="array" ref="G2157">SUM(G2155:G2156)</f>
        <v>0</v>
      </c>
      <c r="H2157" s="16" cm="1">
        <f t="array" ref="H2157">SUM(H2155:H2156)</f>
        <v>0</v>
      </c>
      <c r="I2157" s="16" cm="1">
        <f t="array" ref="I2157">SUM(I2155:I2156)</f>
        <v>0</v>
      </c>
    </row>
    <row r="2158" ht="20.35" customHeight="1">
      <c r="A2158" s="10">
        <v>45559</v>
      </c>
      <c r="B2158" t="s" s="11">
        <v>5</v>
      </c>
      <c r="C2158" t="s" s="12">
        <v>202</v>
      </c>
      <c r="D2158" s="17"/>
      <c r="E2158" s="17">
        <v>66890</v>
      </c>
      <c r="F2158" s="18"/>
      <c r="G2158" s="18"/>
      <c r="H2158" s="18"/>
      <c r="I2158" s="18"/>
    </row>
    <row r="2159" ht="20.35" customHeight="1">
      <c r="A2159" s="10">
        <v>45559</v>
      </c>
      <c r="B2159" t="s" s="11">
        <v>93</v>
      </c>
      <c r="C2159" t="s" s="12">
        <v>202</v>
      </c>
      <c r="D2159" s="13">
        <v>66890</v>
      </c>
      <c r="E2159" s="13"/>
      <c r="F2159" s="14"/>
      <c r="G2159" s="14"/>
      <c r="H2159" s="14"/>
      <c r="I2159" s="14"/>
    </row>
    <row r="2160" ht="20.7" customHeight="1">
      <c r="A2160" s="10">
        <v>45559</v>
      </c>
      <c r="B2160" t="s" s="11">
        <v>8</v>
      </c>
      <c r="C2160" t="s" s="12">
        <v>8</v>
      </c>
      <c r="D2160" s="15" cm="1">
        <f t="array" ref="D2160">SUM(D2158:D2159)</f>
        <v>66890</v>
      </c>
      <c r="E2160" s="15" cm="1">
        <f t="array" ref="E2160">SUM(E2158:E2159)</f>
        <v>66890</v>
      </c>
      <c r="F2160" s="16" cm="1">
        <f t="array" ref="F2160">SUM(F2158:F2159)</f>
        <v>0</v>
      </c>
      <c r="G2160" s="16" cm="1">
        <f t="array" ref="G2160">SUM(G2158:G2159)</f>
        <v>0</v>
      </c>
      <c r="H2160" s="16" cm="1">
        <f t="array" ref="H2160">SUM(H2158:H2159)</f>
        <v>0</v>
      </c>
      <c r="I2160" s="16" cm="1">
        <f t="array" ref="I2160">SUM(I2158:I2159)</f>
        <v>0</v>
      </c>
    </row>
    <row r="2161" ht="21.25" customHeight="1">
      <c r="A2161" s="10">
        <v>45559</v>
      </c>
      <c r="B2161" t="s" s="11">
        <v>86</v>
      </c>
      <c r="C2161" t="s" s="12">
        <v>396</v>
      </c>
      <c r="D2161" s="17">
        <v>75490</v>
      </c>
      <c r="E2161" s="17"/>
      <c r="F2161" s="18"/>
      <c r="G2161" s="18"/>
      <c r="H2161" s="18"/>
      <c r="I2161" s="18"/>
    </row>
    <row r="2162" ht="21.25" customHeight="1">
      <c r="A2162" s="10">
        <v>45559</v>
      </c>
      <c r="B2162" t="s" s="11">
        <v>93</v>
      </c>
      <c r="C2162" t="s" s="12">
        <v>396</v>
      </c>
      <c r="D2162" s="13"/>
      <c r="E2162" s="13">
        <v>75490</v>
      </c>
      <c r="F2162" s="14"/>
      <c r="G2162" s="14"/>
      <c r="H2162" s="14"/>
      <c r="I2162" s="14"/>
    </row>
    <row r="2163" ht="20.7" customHeight="1">
      <c r="A2163" s="10">
        <v>45559</v>
      </c>
      <c r="B2163" t="s" s="11">
        <v>8</v>
      </c>
      <c r="C2163" t="s" s="12">
        <v>8</v>
      </c>
      <c r="D2163" s="15" cm="1">
        <f t="array" ref="D2163">SUM(D2161:D2162)</f>
        <v>75490</v>
      </c>
      <c r="E2163" s="15" cm="1">
        <f t="array" ref="E2163">SUM(E2161:E2162)</f>
        <v>75490</v>
      </c>
      <c r="F2163" s="16" cm="1">
        <f t="array" ref="F2163">SUM(F2161:F2162)</f>
        <v>0</v>
      </c>
      <c r="G2163" s="16" cm="1">
        <f t="array" ref="G2163">SUM(G2161:G2162)</f>
        <v>0</v>
      </c>
      <c r="H2163" s="16" cm="1">
        <f t="array" ref="H2163">SUM(H2161:H2162)</f>
        <v>0</v>
      </c>
      <c r="I2163" s="16" cm="1">
        <f t="array" ref="I2163">SUM(I2161:I2162)</f>
        <v>0</v>
      </c>
    </row>
    <row r="2164" ht="20.35" customHeight="1">
      <c r="A2164" s="10">
        <v>45559</v>
      </c>
      <c r="B2164" t="s" s="11">
        <v>74</v>
      </c>
      <c r="C2164" t="s" s="12">
        <v>75</v>
      </c>
      <c r="D2164" s="17">
        <v>410000</v>
      </c>
      <c r="E2164" s="17"/>
      <c r="F2164" s="18"/>
      <c r="G2164" s="18"/>
      <c r="H2164" s="18"/>
      <c r="I2164" s="18"/>
    </row>
    <row r="2165" ht="20.35" customHeight="1">
      <c r="A2165" s="10">
        <v>45559</v>
      </c>
      <c r="B2165" t="s" s="11">
        <v>5</v>
      </c>
      <c r="C2165" t="s" s="12">
        <v>75</v>
      </c>
      <c r="D2165" s="13"/>
      <c r="E2165" s="13">
        <v>410000</v>
      </c>
      <c r="F2165" s="14"/>
      <c r="G2165" s="14"/>
      <c r="H2165" s="14"/>
      <c r="I2165" s="14"/>
    </row>
    <row r="2166" ht="20.7" customHeight="1">
      <c r="A2166" s="10">
        <v>45559</v>
      </c>
      <c r="B2166" t="s" s="11">
        <v>8</v>
      </c>
      <c r="C2166" t="s" s="12">
        <v>8</v>
      </c>
      <c r="D2166" s="15" cm="1">
        <f t="array" ref="D2166">SUM(D2164:D2165)</f>
        <v>410000</v>
      </c>
      <c r="E2166" s="15" cm="1">
        <f t="array" ref="E2166">SUM(E2164:E2165)</f>
        <v>410000</v>
      </c>
      <c r="F2166" s="16" cm="1">
        <f t="array" ref="F2166">SUM(F2164:F2165)</f>
        <v>0</v>
      </c>
      <c r="G2166" s="16" cm="1">
        <f t="array" ref="G2166">SUM(G2164:G2165)</f>
        <v>0</v>
      </c>
      <c r="H2166" s="16" cm="1">
        <f t="array" ref="H2166">SUM(H2164:H2165)</f>
        <v>0</v>
      </c>
      <c r="I2166" s="16" cm="1">
        <f t="array" ref="I2166">SUM(I2164:I2165)</f>
        <v>0</v>
      </c>
    </row>
    <row r="2167" ht="20.65" customHeight="1">
      <c r="A2167" s="10">
        <v>45559</v>
      </c>
      <c r="B2167" t="s" s="11">
        <v>5</v>
      </c>
      <c r="C2167" t="s" s="12">
        <v>397</v>
      </c>
      <c r="D2167" s="17"/>
      <c r="E2167" s="17">
        <v>159000</v>
      </c>
      <c r="F2167" s="18"/>
      <c r="G2167" s="18"/>
      <c r="H2167" s="18"/>
      <c r="I2167" s="18"/>
    </row>
    <row r="2168" ht="20.35" customHeight="1">
      <c r="A2168" s="10">
        <v>45559</v>
      </c>
      <c r="B2168" t="s" s="11">
        <v>10</v>
      </c>
      <c r="C2168" t="s" s="12">
        <v>397</v>
      </c>
      <c r="D2168" s="19">
        <v>106000</v>
      </c>
      <c r="E2168" s="19"/>
      <c r="F2168" s="20"/>
      <c r="G2168" s="20"/>
      <c r="H2168" s="20"/>
      <c r="I2168" s="20"/>
    </row>
    <row r="2169" ht="20.65" customHeight="1">
      <c r="A2169" s="10">
        <v>45559</v>
      </c>
      <c r="B2169" t="s" s="11">
        <v>12</v>
      </c>
      <c r="C2169" t="s" s="12">
        <v>397</v>
      </c>
      <c r="D2169" s="13">
        <v>53000</v>
      </c>
      <c r="E2169" s="13"/>
      <c r="F2169" s="14"/>
      <c r="G2169" s="14"/>
      <c r="H2169" s="14"/>
      <c r="I2169" s="14"/>
    </row>
    <row r="2170" ht="20.7" customHeight="1">
      <c r="A2170" s="10">
        <v>45559</v>
      </c>
      <c r="B2170" t="s" s="11">
        <v>8</v>
      </c>
      <c r="C2170" t="s" s="12">
        <v>8</v>
      </c>
      <c r="D2170" s="15" cm="1">
        <f t="array" ref="D2170">SUM(D2167:D2169)</f>
        <v>159000</v>
      </c>
      <c r="E2170" s="15" cm="1">
        <f t="array" ref="E2170">SUM(E2167:E2169)</f>
        <v>159000</v>
      </c>
      <c r="F2170" s="16" cm="1">
        <f t="array" ref="F2170">SUM(F2167:F2169)</f>
        <v>0</v>
      </c>
      <c r="G2170" s="16" cm="1">
        <f t="array" ref="G2170">SUM(G2167:G2169)</f>
        <v>0</v>
      </c>
      <c r="H2170" s="16" cm="1">
        <f t="array" ref="H2170">SUM(H2167:H2169)</f>
        <v>0</v>
      </c>
      <c r="I2170" s="16" cm="1">
        <f t="array" ref="I2170">SUM(I2167:I2169)</f>
        <v>0</v>
      </c>
    </row>
    <row r="2171" ht="20.35" customHeight="1">
      <c r="A2171" s="10">
        <v>45559</v>
      </c>
      <c r="B2171" t="s" s="11">
        <v>5</v>
      </c>
      <c r="C2171" t="s" s="12">
        <v>398</v>
      </c>
      <c r="D2171" s="17"/>
      <c r="E2171" s="17">
        <v>267000</v>
      </c>
      <c r="F2171" s="18"/>
      <c r="G2171" s="18"/>
      <c r="H2171" s="18"/>
      <c r="I2171" s="18"/>
    </row>
    <row r="2172" ht="20.35" customHeight="1">
      <c r="A2172" s="10">
        <v>45559</v>
      </c>
      <c r="B2172" t="s" s="11">
        <v>10</v>
      </c>
      <c r="C2172" t="s" s="12">
        <v>398</v>
      </c>
      <c r="D2172" s="13">
        <v>267000</v>
      </c>
      <c r="E2172" s="13"/>
      <c r="F2172" s="14"/>
      <c r="G2172" s="14"/>
      <c r="H2172" s="14"/>
      <c r="I2172" s="14"/>
    </row>
    <row r="2173" ht="20.7" customHeight="1">
      <c r="A2173" s="10">
        <v>45559</v>
      </c>
      <c r="B2173" t="s" s="11">
        <v>8</v>
      </c>
      <c r="C2173" t="s" s="12">
        <v>8</v>
      </c>
      <c r="D2173" s="15" cm="1">
        <f t="array" ref="D2173">SUM(D2171:D2172)</f>
        <v>267000</v>
      </c>
      <c r="E2173" s="15" cm="1">
        <f t="array" ref="E2173">SUM(E2171:E2172)</f>
        <v>267000</v>
      </c>
      <c r="F2173" s="16" cm="1">
        <f t="array" ref="F2173">SUM(F2171:F2172)</f>
        <v>0</v>
      </c>
      <c r="G2173" s="16" cm="1">
        <f t="array" ref="G2173">SUM(G2171:G2172)</f>
        <v>0</v>
      </c>
      <c r="H2173" s="16" cm="1">
        <f t="array" ref="H2173">SUM(H2171:H2172)</f>
        <v>0</v>
      </c>
      <c r="I2173" s="16" cm="1">
        <f t="array" ref="I2173">SUM(I2171:I2172)</f>
        <v>0</v>
      </c>
    </row>
    <row r="2174" ht="20.35" customHeight="1">
      <c r="A2174" s="10">
        <v>45559</v>
      </c>
      <c r="B2174" t="s" s="11">
        <v>5</v>
      </c>
      <c r="C2174" t="s" s="12">
        <v>399</v>
      </c>
      <c r="D2174" s="17"/>
      <c r="E2174" s="17">
        <v>10500</v>
      </c>
      <c r="F2174" s="18"/>
      <c r="G2174" s="18"/>
      <c r="H2174" s="18"/>
      <c r="I2174" s="18"/>
    </row>
    <row r="2175" ht="20.05" customHeight="1">
      <c r="A2175" s="10">
        <v>45559</v>
      </c>
      <c r="B2175" t="s" s="11">
        <v>10</v>
      </c>
      <c r="C2175" t="s" s="12">
        <v>399</v>
      </c>
      <c r="D2175" s="19">
        <v>7000</v>
      </c>
      <c r="E2175" s="19"/>
      <c r="F2175" s="20"/>
      <c r="G2175" s="20"/>
      <c r="H2175" s="20"/>
      <c r="I2175" s="20"/>
    </row>
    <row r="2176" ht="20.35" customHeight="1">
      <c r="A2176" s="10">
        <v>45559</v>
      </c>
      <c r="B2176" t="s" s="11">
        <v>12</v>
      </c>
      <c r="C2176" t="s" s="12">
        <v>399</v>
      </c>
      <c r="D2176" s="13">
        <v>3500</v>
      </c>
      <c r="E2176" s="13"/>
      <c r="F2176" s="14"/>
      <c r="G2176" s="14"/>
      <c r="H2176" s="14"/>
      <c r="I2176" s="14"/>
    </row>
    <row r="2177" ht="20.7" customHeight="1">
      <c r="A2177" s="10">
        <v>45559</v>
      </c>
      <c r="B2177" t="s" s="11">
        <v>8</v>
      </c>
      <c r="C2177" t="s" s="12">
        <v>8</v>
      </c>
      <c r="D2177" s="15" cm="1">
        <f t="array" ref="D2177">SUM(D2174:D2176)</f>
        <v>10500</v>
      </c>
      <c r="E2177" s="15" cm="1">
        <f t="array" ref="E2177">SUM(E2174:E2176)</f>
        <v>10500</v>
      </c>
      <c r="F2177" s="16" cm="1">
        <f t="array" ref="F2177">SUM(F2174:F2176)</f>
        <v>0</v>
      </c>
      <c r="G2177" s="16" cm="1">
        <f t="array" ref="G2177">SUM(G2174:G2176)</f>
        <v>0</v>
      </c>
      <c r="H2177" s="16" cm="1">
        <f t="array" ref="H2177">SUM(H2174:H2176)</f>
        <v>0</v>
      </c>
      <c r="I2177" s="16" cm="1">
        <f t="array" ref="I2177">SUM(I2174:I2176)</f>
        <v>0</v>
      </c>
    </row>
    <row r="2178" ht="21.25" customHeight="1">
      <c r="A2178" s="10">
        <v>45559</v>
      </c>
      <c r="B2178" t="s" s="11">
        <v>21</v>
      </c>
      <c r="C2178" t="s" s="12">
        <v>400</v>
      </c>
      <c r="D2178" s="17"/>
      <c r="E2178" s="17">
        <v>2800</v>
      </c>
      <c r="F2178" s="18"/>
      <c r="G2178" s="18"/>
      <c r="H2178" s="18"/>
      <c r="I2178" s="18"/>
    </row>
    <row r="2179" ht="21.25" customHeight="1">
      <c r="A2179" s="10">
        <v>45559</v>
      </c>
      <c r="B2179" t="s" s="11">
        <v>16</v>
      </c>
      <c r="C2179" t="s" s="12">
        <v>400</v>
      </c>
      <c r="D2179" s="13">
        <v>2800</v>
      </c>
      <c r="E2179" s="13"/>
      <c r="F2179" s="14"/>
      <c r="G2179" s="14"/>
      <c r="H2179" s="14"/>
      <c r="I2179" s="14"/>
    </row>
    <row r="2180" ht="20.7" customHeight="1">
      <c r="A2180" s="10">
        <v>45559</v>
      </c>
      <c r="B2180" t="s" s="11">
        <v>8</v>
      </c>
      <c r="C2180" t="s" s="12">
        <v>8</v>
      </c>
      <c r="D2180" s="15" cm="1">
        <f t="array" ref="D2180">SUM(D2178:D2179)</f>
        <v>2800</v>
      </c>
      <c r="E2180" s="15" cm="1">
        <f t="array" ref="E2180">SUM(E2178:E2179)</f>
        <v>2800</v>
      </c>
      <c r="F2180" s="16" cm="1">
        <f t="array" ref="F2180">SUM(F2178:F2179)</f>
        <v>0</v>
      </c>
      <c r="G2180" s="16" cm="1">
        <f t="array" ref="G2180">SUM(G2178:G2179)</f>
        <v>0</v>
      </c>
      <c r="H2180" s="16" cm="1">
        <f t="array" ref="H2180">SUM(H2178:H2179)</f>
        <v>0</v>
      </c>
      <c r="I2180" s="16" cm="1">
        <f t="array" ref="I2180">SUM(I2178:I2179)</f>
        <v>0</v>
      </c>
    </row>
    <row r="2181" ht="20.35" customHeight="1">
      <c r="A2181" s="10">
        <v>45560</v>
      </c>
      <c r="B2181" t="s" s="11">
        <v>5</v>
      </c>
      <c r="C2181" t="s" s="12">
        <v>368</v>
      </c>
      <c r="D2181" s="17"/>
      <c r="E2181" s="17">
        <v>500000</v>
      </c>
      <c r="F2181" s="18"/>
      <c r="G2181" s="18"/>
      <c r="H2181" s="18"/>
      <c r="I2181" s="18"/>
    </row>
    <row r="2182" ht="20.35" customHeight="1">
      <c r="A2182" s="10">
        <v>45560</v>
      </c>
      <c r="B2182" t="s" s="11">
        <v>89</v>
      </c>
      <c r="C2182" t="s" s="12">
        <v>368</v>
      </c>
      <c r="D2182" s="13">
        <v>500000</v>
      </c>
      <c r="E2182" s="13"/>
      <c r="F2182" s="14"/>
      <c r="G2182" s="14"/>
      <c r="H2182" s="14"/>
      <c r="I2182" s="14"/>
    </row>
    <row r="2183" ht="20.7" customHeight="1">
      <c r="A2183" s="10">
        <v>45560</v>
      </c>
      <c r="B2183" t="s" s="11">
        <v>8</v>
      </c>
      <c r="C2183" t="s" s="12">
        <v>8</v>
      </c>
      <c r="D2183" s="15" cm="1">
        <f t="array" ref="D2183">SUM(D2181:D2182)</f>
        <v>500000</v>
      </c>
      <c r="E2183" s="15" cm="1">
        <f t="array" ref="E2183">SUM(E2181:E2182)</f>
        <v>500000</v>
      </c>
      <c r="F2183" s="16" cm="1">
        <f t="array" ref="F2183">SUM(F2181:F2182)</f>
        <v>0</v>
      </c>
      <c r="G2183" s="16" cm="1">
        <f t="array" ref="G2183">SUM(G2181:G2182)</f>
        <v>0</v>
      </c>
      <c r="H2183" s="16" cm="1">
        <f t="array" ref="H2183">SUM(H2181:H2182)</f>
        <v>0</v>
      </c>
      <c r="I2183" s="16" cm="1">
        <f t="array" ref="I2183">SUM(I2181:I2182)</f>
        <v>0</v>
      </c>
    </row>
    <row r="2184" ht="20.35" customHeight="1">
      <c r="A2184" s="10">
        <v>45560</v>
      </c>
      <c r="B2184" t="s" s="11">
        <v>5</v>
      </c>
      <c r="C2184" t="s" s="12">
        <v>401</v>
      </c>
      <c r="D2184" s="17"/>
      <c r="E2184" s="17">
        <v>500000</v>
      </c>
      <c r="F2184" s="18"/>
      <c r="G2184" s="18"/>
      <c r="H2184" s="18"/>
      <c r="I2184" s="18"/>
    </row>
    <row r="2185" ht="20.35" customHeight="1">
      <c r="A2185" s="10">
        <v>45560</v>
      </c>
      <c r="B2185" t="s" s="11">
        <v>10</v>
      </c>
      <c r="C2185" t="s" s="12">
        <v>401</v>
      </c>
      <c r="D2185" s="13">
        <v>500000</v>
      </c>
      <c r="E2185" s="13"/>
      <c r="F2185" s="14"/>
      <c r="G2185" s="14"/>
      <c r="H2185" s="14"/>
      <c r="I2185" s="14"/>
    </row>
    <row r="2186" ht="20.7" customHeight="1">
      <c r="A2186" s="10">
        <v>45560</v>
      </c>
      <c r="B2186" t="s" s="11">
        <v>8</v>
      </c>
      <c r="C2186" t="s" s="12">
        <v>8</v>
      </c>
      <c r="D2186" s="15" cm="1">
        <f t="array" ref="D2186">SUM(D2184:D2185)</f>
        <v>500000</v>
      </c>
      <c r="E2186" s="15" cm="1">
        <f t="array" ref="E2186">SUM(E2184:E2185)</f>
        <v>500000</v>
      </c>
      <c r="F2186" s="16" cm="1">
        <f t="array" ref="F2186">SUM(F2184:F2185)</f>
        <v>0</v>
      </c>
      <c r="G2186" s="16" cm="1">
        <f t="array" ref="G2186">SUM(G2184:G2185)</f>
        <v>0</v>
      </c>
      <c r="H2186" s="16" cm="1">
        <f t="array" ref="H2186">SUM(H2184:H2185)</f>
        <v>0</v>
      </c>
      <c r="I2186" s="16" cm="1">
        <f t="array" ref="I2186">SUM(I2184:I2185)</f>
        <v>0</v>
      </c>
    </row>
    <row r="2187" ht="20.35" customHeight="1">
      <c r="A2187" s="10">
        <v>45560</v>
      </c>
      <c r="B2187" t="s" s="11">
        <v>39</v>
      </c>
      <c r="C2187" t="s" s="12">
        <v>64</v>
      </c>
      <c r="D2187" s="17"/>
      <c r="E2187" s="17"/>
      <c r="F2187" s="18">
        <v>2000</v>
      </c>
      <c r="G2187" s="18"/>
      <c r="H2187" s="18"/>
      <c r="I2187" s="18"/>
    </row>
    <row r="2188" ht="20.35" customHeight="1">
      <c r="A2188" s="10">
        <v>45560</v>
      </c>
      <c r="B2188" t="s" s="11">
        <v>41</v>
      </c>
      <c r="C2188" t="s" s="12">
        <v>64</v>
      </c>
      <c r="D2188" s="13"/>
      <c r="E2188" s="13"/>
      <c r="F2188" s="14"/>
      <c r="G2188" s="14">
        <v>2000</v>
      </c>
      <c r="H2188" s="14"/>
      <c r="I2188" s="14"/>
    </row>
    <row r="2189" ht="20.7" customHeight="1">
      <c r="A2189" s="10">
        <v>45560</v>
      </c>
      <c r="B2189" t="s" s="11">
        <v>8</v>
      </c>
      <c r="C2189" t="s" s="12">
        <v>8</v>
      </c>
      <c r="D2189" s="15" cm="1">
        <f t="array" ref="D2189">SUM(D2187:D2188)</f>
        <v>0</v>
      </c>
      <c r="E2189" s="15" cm="1">
        <f t="array" ref="E2189">SUM(E2187:E2188)</f>
        <v>0</v>
      </c>
      <c r="F2189" s="16" cm="1">
        <f t="array" ref="F2189">SUM(F2187:F2188)</f>
        <v>2000</v>
      </c>
      <c r="G2189" s="16" cm="1">
        <f t="array" ref="G2189">SUM(G2187:G2188)</f>
        <v>2000</v>
      </c>
      <c r="H2189" s="16" cm="1">
        <f t="array" ref="H2189">SUM(H2187:H2188)</f>
        <v>0</v>
      </c>
      <c r="I2189" s="16" cm="1">
        <f t="array" ref="I2189">SUM(I2187:I2188)</f>
        <v>0</v>
      </c>
    </row>
    <row r="2190" ht="21.25" customHeight="1">
      <c r="A2190" s="10">
        <v>45560</v>
      </c>
      <c r="B2190" t="s" s="11">
        <v>5</v>
      </c>
      <c r="C2190" t="s" s="12">
        <v>361</v>
      </c>
      <c r="D2190" s="17"/>
      <c r="E2190" s="17">
        <v>35900</v>
      </c>
      <c r="F2190" s="18"/>
      <c r="G2190" s="18"/>
      <c r="H2190" s="18"/>
      <c r="I2190" s="18"/>
    </row>
    <row r="2191" ht="21.25" customHeight="1">
      <c r="A2191" s="10">
        <v>45560</v>
      </c>
      <c r="B2191" t="s" s="11">
        <v>89</v>
      </c>
      <c r="C2191" t="s" s="12">
        <v>361</v>
      </c>
      <c r="D2191" s="13">
        <v>35900</v>
      </c>
      <c r="E2191" s="13"/>
      <c r="F2191" s="14"/>
      <c r="G2191" s="14"/>
      <c r="H2191" s="14"/>
      <c r="I2191" s="14"/>
    </row>
    <row r="2192" ht="20.7" customHeight="1">
      <c r="A2192" s="10">
        <v>45560</v>
      </c>
      <c r="B2192" t="s" s="11">
        <v>8</v>
      </c>
      <c r="C2192" t="s" s="12">
        <v>8</v>
      </c>
      <c r="D2192" s="15" cm="1">
        <f t="array" ref="D2192">SUM(D2190:D2191)</f>
        <v>35900</v>
      </c>
      <c r="E2192" s="15" cm="1">
        <f t="array" ref="E2192">SUM(E2190:E2191)</f>
        <v>35900</v>
      </c>
      <c r="F2192" s="16" cm="1">
        <f t="array" ref="F2192">SUM(F2190:F2191)</f>
        <v>0</v>
      </c>
      <c r="G2192" s="16" cm="1">
        <f t="array" ref="G2192">SUM(G2190:G2191)</f>
        <v>0</v>
      </c>
      <c r="H2192" s="16" cm="1">
        <f t="array" ref="H2192">SUM(H2190:H2191)</f>
        <v>0</v>
      </c>
      <c r="I2192" s="16" cm="1">
        <f t="array" ref="I2192">SUM(I2190:I2191)</f>
        <v>0</v>
      </c>
    </row>
    <row r="2193" ht="20.35" customHeight="1">
      <c r="A2193" s="10">
        <v>45560</v>
      </c>
      <c r="B2193" t="s" s="11">
        <v>39</v>
      </c>
      <c r="C2193" t="s" s="12">
        <v>402</v>
      </c>
      <c r="D2193" s="17"/>
      <c r="E2193" s="17"/>
      <c r="F2193" s="18"/>
      <c r="G2193" s="18">
        <v>2041.51</v>
      </c>
      <c r="H2193" s="18"/>
      <c r="I2193" s="18"/>
    </row>
    <row r="2194" ht="20.05" customHeight="1">
      <c r="A2194" s="10">
        <v>45560</v>
      </c>
      <c r="B2194" t="s" s="11">
        <v>44</v>
      </c>
      <c r="C2194" t="s" s="12">
        <v>402</v>
      </c>
      <c r="D2194" s="19"/>
      <c r="E2194" s="19"/>
      <c r="F2194" s="20">
        <v>2017.49</v>
      </c>
      <c r="G2194" s="20"/>
      <c r="H2194" s="20"/>
      <c r="I2194" s="20"/>
    </row>
    <row r="2195" ht="20.05" customHeight="1">
      <c r="A2195" s="10">
        <v>45560</v>
      </c>
      <c r="B2195" t="s" s="11">
        <v>43</v>
      </c>
      <c r="C2195" t="s" s="12">
        <v>402</v>
      </c>
      <c r="D2195" s="19"/>
      <c r="E2195" s="19"/>
      <c r="F2195" s="20">
        <v>24.02</v>
      </c>
      <c r="G2195" s="20"/>
      <c r="H2195" s="20"/>
      <c r="I2195" s="20"/>
    </row>
    <row r="2196" ht="20.05" customHeight="1">
      <c r="A2196" s="10">
        <v>45560</v>
      </c>
      <c r="B2196" t="s" s="11">
        <v>5</v>
      </c>
      <c r="C2196" t="s" s="12">
        <v>402</v>
      </c>
      <c r="D2196" s="19">
        <v>650181</v>
      </c>
      <c r="E2196" s="19"/>
      <c r="F2196" s="20"/>
      <c r="G2196" s="20"/>
      <c r="H2196" s="20"/>
      <c r="I2196" s="20"/>
    </row>
    <row r="2197" ht="20.35" customHeight="1">
      <c r="A2197" s="10">
        <v>45560</v>
      </c>
      <c r="B2197" t="s" s="11">
        <v>46</v>
      </c>
      <c r="C2197" t="s" s="12">
        <v>402</v>
      </c>
      <c r="D2197" s="13"/>
      <c r="E2197" s="13">
        <v>650181</v>
      </c>
      <c r="F2197" s="14"/>
      <c r="G2197" s="14"/>
      <c r="H2197" s="14"/>
      <c r="I2197" s="14"/>
    </row>
    <row r="2198" ht="20.7" customHeight="1">
      <c r="A2198" s="10">
        <v>45560</v>
      </c>
      <c r="B2198" t="s" s="11">
        <v>8</v>
      </c>
      <c r="C2198" t="s" s="12">
        <v>8</v>
      </c>
      <c r="D2198" s="15" cm="1">
        <f t="array" ref="D2198">SUM(D2193:D2197)</f>
        <v>650181</v>
      </c>
      <c r="E2198" s="15" cm="1">
        <f t="array" ref="E2198">SUM(E2193:E2197)</f>
        <v>650181</v>
      </c>
      <c r="F2198" s="16" cm="1">
        <f t="array" ref="F2198">SUM(F2193:F2197)</f>
        <v>2041.51</v>
      </c>
      <c r="G2198" s="16" cm="1">
        <f t="array" ref="G2198">SUM(G2193:G2197)</f>
        <v>2041.51</v>
      </c>
      <c r="H2198" s="16" cm="1">
        <f t="array" ref="H2198">SUM(H2193:H2197)</f>
        <v>0</v>
      </c>
      <c r="I2198" s="16" cm="1">
        <f t="array" ref="I2198">SUM(I2193:I2197)</f>
        <v>0</v>
      </c>
    </row>
    <row r="2199" ht="21.25" customHeight="1">
      <c r="A2199" s="10">
        <v>45560</v>
      </c>
      <c r="B2199" t="s" s="11">
        <v>5</v>
      </c>
      <c r="C2199" t="s" s="12">
        <v>260</v>
      </c>
      <c r="D2199" s="17"/>
      <c r="E2199" s="17">
        <v>100000</v>
      </c>
      <c r="F2199" s="18"/>
      <c r="G2199" s="18"/>
      <c r="H2199" s="18"/>
      <c r="I2199" s="18"/>
    </row>
    <row r="2200" ht="20.9" customHeight="1">
      <c r="A2200" s="10">
        <v>45560</v>
      </c>
      <c r="B2200" t="s" s="11">
        <v>261</v>
      </c>
      <c r="C2200" t="s" s="12">
        <v>260</v>
      </c>
      <c r="D2200" s="19">
        <v>41000</v>
      </c>
      <c r="E2200" s="19"/>
      <c r="F2200" s="20"/>
      <c r="G2200" s="20"/>
      <c r="H2200" s="20"/>
      <c r="I2200" s="20"/>
    </row>
    <row r="2201" ht="20.9" customHeight="1">
      <c r="A2201" s="10">
        <v>45560</v>
      </c>
      <c r="B2201" t="s" s="11">
        <v>258</v>
      </c>
      <c r="C2201" t="s" s="12">
        <v>260</v>
      </c>
      <c r="D2201" s="19">
        <v>18000</v>
      </c>
      <c r="E2201" s="19"/>
      <c r="F2201" s="20"/>
      <c r="G2201" s="20"/>
      <c r="H2201" s="20"/>
      <c r="I2201" s="20"/>
    </row>
    <row r="2202" ht="20.9" customHeight="1">
      <c r="A2202" s="10">
        <v>45560</v>
      </c>
      <c r="B2202" t="s" s="11">
        <v>257</v>
      </c>
      <c r="C2202" t="s" s="12">
        <v>260</v>
      </c>
      <c r="D2202" s="19">
        <v>7549</v>
      </c>
      <c r="E2202" s="19"/>
      <c r="F2202" s="20"/>
      <c r="G2202" s="20"/>
      <c r="H2202" s="20"/>
      <c r="I2202" s="20"/>
    </row>
    <row r="2203" ht="20.9" customHeight="1">
      <c r="A2203" s="10">
        <v>45560</v>
      </c>
      <c r="B2203" t="s" s="11">
        <v>72</v>
      </c>
      <c r="C2203" t="s" s="12">
        <v>260</v>
      </c>
      <c r="D2203" s="19">
        <v>6842</v>
      </c>
      <c r="E2203" s="19"/>
      <c r="F2203" s="20"/>
      <c r="G2203" s="20"/>
      <c r="H2203" s="20"/>
      <c r="I2203" s="20"/>
    </row>
    <row r="2204" ht="20.9" customHeight="1">
      <c r="A2204" s="10">
        <v>45560</v>
      </c>
      <c r="B2204" t="s" s="11">
        <v>255</v>
      </c>
      <c r="C2204" t="s" s="12">
        <v>260</v>
      </c>
      <c r="D2204" s="19">
        <v>5600</v>
      </c>
      <c r="E2204" s="19"/>
      <c r="F2204" s="20"/>
      <c r="G2204" s="20"/>
      <c r="H2204" s="20"/>
      <c r="I2204" s="20"/>
    </row>
    <row r="2205" ht="21.25" customHeight="1">
      <c r="A2205" s="10">
        <v>45560</v>
      </c>
      <c r="B2205" t="s" s="11">
        <v>259</v>
      </c>
      <c r="C2205" t="s" s="12">
        <v>260</v>
      </c>
      <c r="D2205" s="13">
        <v>21009</v>
      </c>
      <c r="E2205" s="13"/>
      <c r="F2205" s="14"/>
      <c r="G2205" s="14"/>
      <c r="H2205" s="14"/>
      <c r="I2205" s="14"/>
    </row>
    <row r="2206" ht="20.7" customHeight="1">
      <c r="A2206" s="10">
        <v>45560</v>
      </c>
      <c r="B2206" t="s" s="11">
        <v>8</v>
      </c>
      <c r="C2206" t="s" s="12">
        <v>8</v>
      </c>
      <c r="D2206" s="15" cm="1">
        <f t="array" ref="D2206">SUM(D2199:D2205)</f>
        <v>100000</v>
      </c>
      <c r="E2206" s="15" cm="1">
        <f t="array" ref="E2206">SUM(E2199:E2205)</f>
        <v>100000</v>
      </c>
      <c r="F2206" s="16" cm="1">
        <f t="array" ref="F2206">SUM(F2199:F2205)</f>
        <v>0</v>
      </c>
      <c r="G2206" s="16" cm="1">
        <f t="array" ref="G2206">SUM(G2199:G2205)</f>
        <v>0</v>
      </c>
      <c r="H2206" s="16" cm="1">
        <f t="array" ref="H2206">SUM(H2199:H2205)</f>
        <v>0</v>
      </c>
      <c r="I2206" s="16" cm="1">
        <f t="array" ref="I2206">SUM(I2199:I2205)</f>
        <v>0</v>
      </c>
    </row>
    <row r="2207" ht="21.25" customHeight="1">
      <c r="A2207" s="10">
        <v>45560</v>
      </c>
      <c r="B2207" t="s" s="11">
        <v>5</v>
      </c>
      <c r="C2207" t="s" s="12">
        <v>403</v>
      </c>
      <c r="D2207" s="17"/>
      <c r="E2207" s="17">
        <v>100000</v>
      </c>
      <c r="F2207" s="18"/>
      <c r="G2207" s="18"/>
      <c r="H2207" s="18"/>
      <c r="I2207" s="18"/>
    </row>
    <row r="2208" ht="20.9" customHeight="1">
      <c r="A2208" s="10">
        <v>45560</v>
      </c>
      <c r="B2208" t="s" s="11">
        <v>261</v>
      </c>
      <c r="C2208" t="s" s="12">
        <v>403</v>
      </c>
      <c r="D2208" s="19">
        <v>41000</v>
      </c>
      <c r="E2208" s="19"/>
      <c r="F2208" s="20"/>
      <c r="G2208" s="20"/>
      <c r="H2208" s="20"/>
      <c r="I2208" s="20"/>
    </row>
    <row r="2209" ht="20.9" customHeight="1">
      <c r="A2209" s="10">
        <v>45560</v>
      </c>
      <c r="B2209" t="s" s="11">
        <v>258</v>
      </c>
      <c r="C2209" t="s" s="12">
        <v>403</v>
      </c>
      <c r="D2209" s="19">
        <v>18000</v>
      </c>
      <c r="E2209" s="19"/>
      <c r="F2209" s="20"/>
      <c r="G2209" s="20"/>
      <c r="H2209" s="20"/>
      <c r="I2209" s="20"/>
    </row>
    <row r="2210" ht="20.9" customHeight="1">
      <c r="A2210" s="10">
        <v>45560</v>
      </c>
      <c r="B2210" t="s" s="11">
        <v>257</v>
      </c>
      <c r="C2210" t="s" s="12">
        <v>403</v>
      </c>
      <c r="D2210" s="19">
        <v>7549</v>
      </c>
      <c r="E2210" s="19"/>
      <c r="F2210" s="20"/>
      <c r="G2210" s="20"/>
      <c r="H2210" s="20"/>
      <c r="I2210" s="20"/>
    </row>
    <row r="2211" ht="20.9" customHeight="1">
      <c r="A2211" s="10">
        <v>45560</v>
      </c>
      <c r="B2211" t="s" s="11">
        <v>72</v>
      </c>
      <c r="C2211" t="s" s="12">
        <v>403</v>
      </c>
      <c r="D2211" s="19">
        <v>6842</v>
      </c>
      <c r="E2211" s="19"/>
      <c r="F2211" s="20"/>
      <c r="G2211" s="20"/>
      <c r="H2211" s="20"/>
      <c r="I2211" s="20"/>
    </row>
    <row r="2212" ht="20.9" customHeight="1">
      <c r="A2212" s="10">
        <v>45560</v>
      </c>
      <c r="B2212" t="s" s="11">
        <v>255</v>
      </c>
      <c r="C2212" t="s" s="12">
        <v>403</v>
      </c>
      <c r="D2212" s="19">
        <v>5600</v>
      </c>
      <c r="E2212" s="19"/>
      <c r="F2212" s="20"/>
      <c r="G2212" s="20"/>
      <c r="H2212" s="20"/>
      <c r="I2212" s="20"/>
    </row>
    <row r="2213" ht="21.25" customHeight="1">
      <c r="A2213" s="10">
        <v>45560</v>
      </c>
      <c r="B2213" t="s" s="11">
        <v>259</v>
      </c>
      <c r="C2213" t="s" s="12">
        <v>403</v>
      </c>
      <c r="D2213" s="13">
        <v>21009</v>
      </c>
      <c r="E2213" s="13"/>
      <c r="F2213" s="14"/>
      <c r="G2213" s="14"/>
      <c r="H2213" s="14"/>
      <c r="I2213" s="14"/>
    </row>
    <row r="2214" ht="20.7" customHeight="1">
      <c r="A2214" s="10">
        <v>45560</v>
      </c>
      <c r="B2214" t="s" s="11">
        <v>8</v>
      </c>
      <c r="C2214" t="s" s="12">
        <v>8</v>
      </c>
      <c r="D2214" s="15" cm="1">
        <f t="array" ref="D2214">SUM(D2207:D2213)</f>
        <v>100000</v>
      </c>
      <c r="E2214" s="15" cm="1">
        <f t="array" ref="E2214">SUM(E2207:E2213)</f>
        <v>100000</v>
      </c>
      <c r="F2214" s="16" cm="1">
        <f t="array" ref="F2214">SUM(F2207:F2213)</f>
        <v>0</v>
      </c>
      <c r="G2214" s="16" cm="1">
        <f t="array" ref="G2214">SUM(G2207:G2213)</f>
        <v>0</v>
      </c>
      <c r="H2214" s="16" cm="1">
        <f t="array" ref="H2214">SUM(H2207:H2213)</f>
        <v>0</v>
      </c>
      <c r="I2214" s="16" cm="1">
        <f t="array" ref="I2214">SUM(I2207:I2213)</f>
        <v>0</v>
      </c>
    </row>
    <row r="2215" ht="20.35" customHeight="1">
      <c r="A2215" s="10">
        <v>45560</v>
      </c>
      <c r="B2215" t="s" s="11">
        <v>5</v>
      </c>
      <c r="C2215" t="s" s="12">
        <v>82</v>
      </c>
      <c r="D2215" s="17"/>
      <c r="E2215" s="17">
        <v>50000</v>
      </c>
      <c r="F2215" s="18"/>
      <c r="G2215" s="18"/>
      <c r="H2215" s="18"/>
      <c r="I2215" s="18"/>
    </row>
    <row r="2216" ht="20.35" customHeight="1">
      <c r="A2216" s="10">
        <v>45560</v>
      </c>
      <c r="B2216" t="s" s="11">
        <v>79</v>
      </c>
      <c r="C2216" t="s" s="12">
        <v>82</v>
      </c>
      <c r="D2216" s="13">
        <v>50000</v>
      </c>
      <c r="E2216" s="13"/>
      <c r="F2216" s="14"/>
      <c r="G2216" s="14"/>
      <c r="H2216" s="14"/>
      <c r="I2216" s="14"/>
    </row>
    <row r="2217" ht="20.7" customHeight="1">
      <c r="A2217" s="10">
        <v>45560</v>
      </c>
      <c r="B2217" t="s" s="11">
        <v>8</v>
      </c>
      <c r="C2217" t="s" s="12">
        <v>8</v>
      </c>
      <c r="D2217" s="15" cm="1">
        <f t="array" ref="D2217">SUM(D2215:D2216)</f>
        <v>50000</v>
      </c>
      <c r="E2217" s="15" cm="1">
        <f t="array" ref="E2217">SUM(E2215:E2216)</f>
        <v>50000</v>
      </c>
      <c r="F2217" s="16" cm="1">
        <f t="array" ref="F2217">SUM(F2215:F2216)</f>
        <v>0</v>
      </c>
      <c r="G2217" s="16" cm="1">
        <f t="array" ref="G2217">SUM(G2215:G2216)</f>
        <v>0</v>
      </c>
      <c r="H2217" s="16" cm="1">
        <f t="array" ref="H2217">SUM(H2215:H2216)</f>
        <v>0</v>
      </c>
      <c r="I2217" s="16" cm="1">
        <f t="array" ref="I2217">SUM(I2215:I2216)</f>
        <v>0</v>
      </c>
    </row>
    <row r="2218" ht="21.25" customHeight="1">
      <c r="A2218" s="10">
        <v>45560</v>
      </c>
      <c r="B2218" t="s" s="11">
        <v>79</v>
      </c>
      <c r="C2218" t="s" s="12">
        <v>404</v>
      </c>
      <c r="D2218" s="17"/>
      <c r="E2218" s="17">
        <v>49989</v>
      </c>
      <c r="F2218" s="18"/>
      <c r="G2218" s="18"/>
      <c r="H2218" s="18"/>
      <c r="I2218" s="18"/>
    </row>
    <row r="2219" ht="20.05" customHeight="1">
      <c r="A2219" s="10">
        <v>45560</v>
      </c>
      <c r="B2219" t="s" s="11">
        <v>10</v>
      </c>
      <c r="C2219" t="s" s="12">
        <v>45</v>
      </c>
      <c r="D2219" s="19">
        <v>70</v>
      </c>
      <c r="E2219" s="19"/>
      <c r="F2219" s="20"/>
      <c r="G2219" s="20"/>
      <c r="H2219" s="20"/>
      <c r="I2219" s="20"/>
    </row>
    <row r="2220" ht="20.35" customHeight="1">
      <c r="A2220" s="10">
        <v>45560</v>
      </c>
      <c r="B2220" t="s" s="11">
        <v>81</v>
      </c>
      <c r="C2220" t="s" s="12">
        <v>45</v>
      </c>
      <c r="D2220" s="13">
        <v>49919</v>
      </c>
      <c r="E2220" s="13"/>
      <c r="F2220" s="14"/>
      <c r="G2220" s="14"/>
      <c r="H2220" s="14"/>
      <c r="I2220" s="14"/>
    </row>
    <row r="2221" ht="20.7" customHeight="1">
      <c r="A2221" s="10">
        <v>45560</v>
      </c>
      <c r="B2221" t="s" s="11">
        <v>8</v>
      </c>
      <c r="C2221" t="s" s="12">
        <v>8</v>
      </c>
      <c r="D2221" s="15" cm="1">
        <f t="array" ref="D2221">SUM(D2218:D2220)</f>
        <v>49989</v>
      </c>
      <c r="E2221" s="15" cm="1">
        <f t="array" ref="E2221">SUM(E2218:E2220)</f>
        <v>49989</v>
      </c>
      <c r="F2221" s="16" cm="1">
        <f t="array" ref="F2221">SUM(F2218:F2220)</f>
        <v>0</v>
      </c>
      <c r="G2221" s="16" cm="1">
        <f t="array" ref="G2221">SUM(G2218:G2220)</f>
        <v>0</v>
      </c>
      <c r="H2221" s="16" cm="1">
        <f t="array" ref="H2221">SUM(H2218:H2220)</f>
        <v>0</v>
      </c>
      <c r="I2221" s="16" cm="1">
        <f t="array" ref="I2221">SUM(I2218:I2220)</f>
        <v>0</v>
      </c>
    </row>
    <row r="2222" ht="20.35" customHeight="1">
      <c r="A2222" s="10">
        <v>45560</v>
      </c>
      <c r="B2222" t="s" s="11">
        <v>5</v>
      </c>
      <c r="C2222" t="s" s="12">
        <v>82</v>
      </c>
      <c r="D2222" s="17"/>
      <c r="E2222" s="17">
        <v>5000</v>
      </c>
      <c r="F2222" s="18"/>
      <c r="G2222" s="18"/>
      <c r="H2222" s="18"/>
      <c r="I2222" s="18"/>
    </row>
    <row r="2223" ht="20.35" customHeight="1">
      <c r="A2223" s="10">
        <v>45560</v>
      </c>
      <c r="B2223" t="s" s="11">
        <v>79</v>
      </c>
      <c r="C2223" t="s" s="12">
        <v>82</v>
      </c>
      <c r="D2223" s="13">
        <v>5000</v>
      </c>
      <c r="E2223" s="13"/>
      <c r="F2223" s="14"/>
      <c r="G2223" s="14"/>
      <c r="H2223" s="14"/>
      <c r="I2223" s="14"/>
    </row>
    <row r="2224" ht="20.7" customHeight="1">
      <c r="A2224" s="10">
        <v>45560</v>
      </c>
      <c r="B2224" t="s" s="11">
        <v>8</v>
      </c>
      <c r="C2224" t="s" s="12">
        <v>8</v>
      </c>
      <c r="D2224" s="15" cm="1">
        <f t="array" ref="D2224">SUM(D2222:D2223)</f>
        <v>5000</v>
      </c>
      <c r="E2224" s="15" cm="1">
        <f t="array" ref="E2224">SUM(E2222:E2223)</f>
        <v>5000</v>
      </c>
      <c r="F2224" s="16" cm="1">
        <f t="array" ref="F2224">SUM(F2222:F2223)</f>
        <v>0</v>
      </c>
      <c r="G2224" s="16" cm="1">
        <f t="array" ref="G2224">SUM(G2222:G2223)</f>
        <v>0</v>
      </c>
      <c r="H2224" s="16" cm="1">
        <f t="array" ref="H2224">SUM(H2222:H2223)</f>
        <v>0</v>
      </c>
      <c r="I2224" s="16" cm="1">
        <f t="array" ref="I2224">SUM(I2222:I2223)</f>
        <v>0</v>
      </c>
    </row>
    <row r="2225" ht="20.65" customHeight="1">
      <c r="A2225" s="10">
        <v>45560</v>
      </c>
      <c r="B2225" t="s" s="11">
        <v>5</v>
      </c>
      <c r="C2225" t="s" s="12">
        <v>405</v>
      </c>
      <c r="D2225" s="17"/>
      <c r="E2225" s="17">
        <v>143892</v>
      </c>
      <c r="F2225" s="18"/>
      <c r="G2225" s="18"/>
      <c r="H2225" s="18"/>
      <c r="I2225" s="18"/>
    </row>
    <row r="2226" ht="20.65" customHeight="1">
      <c r="A2226" s="10">
        <v>45560</v>
      </c>
      <c r="B2226" t="s" s="11">
        <v>10</v>
      </c>
      <c r="C2226" t="s" s="12">
        <v>405</v>
      </c>
      <c r="D2226" s="13">
        <v>143892</v>
      </c>
      <c r="E2226" s="13"/>
      <c r="F2226" s="14"/>
      <c r="G2226" s="14"/>
      <c r="H2226" s="14"/>
      <c r="I2226" s="14"/>
    </row>
    <row r="2227" ht="20.7" customHeight="1">
      <c r="A2227" s="10">
        <v>45560</v>
      </c>
      <c r="B2227" t="s" s="11">
        <v>8</v>
      </c>
      <c r="C2227" t="s" s="12">
        <v>8</v>
      </c>
      <c r="D2227" s="15" cm="1">
        <f t="array" ref="D2227">SUM(D2225:D2226)</f>
        <v>143892</v>
      </c>
      <c r="E2227" s="15" cm="1">
        <f t="array" ref="E2227">SUM(E2225:E2226)</f>
        <v>143892</v>
      </c>
      <c r="F2227" s="16" cm="1">
        <f t="array" ref="F2227">SUM(F2225:F2226)</f>
        <v>0</v>
      </c>
      <c r="G2227" s="16" cm="1">
        <f t="array" ref="G2227">SUM(G2225:G2226)</f>
        <v>0</v>
      </c>
      <c r="H2227" s="16" cm="1">
        <f t="array" ref="H2227">SUM(H2225:H2226)</f>
        <v>0</v>
      </c>
      <c r="I2227" s="16" cm="1">
        <f t="array" ref="I2227">SUM(I2225:I2226)</f>
        <v>0</v>
      </c>
    </row>
    <row r="2228" ht="20.35" customHeight="1">
      <c r="A2228" s="10">
        <v>45560</v>
      </c>
      <c r="B2228" t="s" s="11">
        <v>5</v>
      </c>
      <c r="C2228" t="s" s="12">
        <v>17</v>
      </c>
      <c r="D2228" s="17">
        <v>100</v>
      </c>
      <c r="E2228" s="17"/>
      <c r="F2228" s="18"/>
      <c r="G2228" s="18"/>
      <c r="H2228" s="18"/>
      <c r="I2228" s="18"/>
    </row>
    <row r="2229" ht="20.35" customHeight="1">
      <c r="A2229" s="10">
        <v>45560</v>
      </c>
      <c r="B2229" t="s" s="11">
        <v>18</v>
      </c>
      <c r="C2229" t="s" s="12">
        <v>17</v>
      </c>
      <c r="D2229" s="13"/>
      <c r="E2229" s="13">
        <v>100</v>
      </c>
      <c r="F2229" s="14"/>
      <c r="G2229" s="14"/>
      <c r="H2229" s="14"/>
      <c r="I2229" s="14"/>
    </row>
    <row r="2230" ht="20.7" customHeight="1">
      <c r="A2230" s="10">
        <v>45560</v>
      </c>
      <c r="B2230" t="s" s="11">
        <v>8</v>
      </c>
      <c r="C2230" t="s" s="12">
        <v>8</v>
      </c>
      <c r="D2230" s="15" cm="1">
        <f t="array" ref="D2230">SUM(D2228:D2229)</f>
        <v>100</v>
      </c>
      <c r="E2230" s="15" cm="1">
        <f t="array" ref="E2230">SUM(E2228:E2229)</f>
        <v>100</v>
      </c>
      <c r="F2230" s="16" cm="1">
        <f t="array" ref="F2230">SUM(F2228:F2229)</f>
        <v>0</v>
      </c>
      <c r="G2230" s="16" cm="1">
        <f t="array" ref="G2230">SUM(G2228:G2229)</f>
        <v>0</v>
      </c>
      <c r="H2230" s="16" cm="1">
        <f t="array" ref="H2230">SUM(H2228:H2229)</f>
        <v>0</v>
      </c>
      <c r="I2230" s="16" cm="1">
        <f t="array" ref="I2230">SUM(I2228:I2229)</f>
        <v>0</v>
      </c>
    </row>
    <row r="2231" ht="20.65" customHeight="1">
      <c r="A2231" s="10">
        <v>45560</v>
      </c>
      <c r="B2231" t="s" s="11">
        <v>5</v>
      </c>
      <c r="C2231" t="s" s="12">
        <v>390</v>
      </c>
      <c r="D2231" s="17"/>
      <c r="E2231" s="17">
        <v>104600</v>
      </c>
      <c r="F2231" s="18"/>
      <c r="G2231" s="18"/>
      <c r="H2231" s="18"/>
      <c r="I2231" s="18"/>
    </row>
    <row r="2232" ht="20.65" customHeight="1">
      <c r="A2232" s="10">
        <v>45560</v>
      </c>
      <c r="B2232" t="s" s="11">
        <v>10</v>
      </c>
      <c r="C2232" t="s" s="12">
        <v>390</v>
      </c>
      <c r="D2232" s="13">
        <v>104600</v>
      </c>
      <c r="E2232" s="13"/>
      <c r="F2232" s="14"/>
      <c r="G2232" s="14"/>
      <c r="H2232" s="14"/>
      <c r="I2232" s="14"/>
    </row>
    <row r="2233" ht="20.7" customHeight="1">
      <c r="A2233" s="10">
        <v>45560</v>
      </c>
      <c r="B2233" t="s" s="11">
        <v>8</v>
      </c>
      <c r="C2233" t="s" s="12">
        <v>8</v>
      </c>
      <c r="D2233" s="15" cm="1">
        <f t="array" ref="D2233">SUM(D2231:D2232)</f>
        <v>104600</v>
      </c>
      <c r="E2233" s="15" cm="1">
        <f t="array" ref="E2233">SUM(E2231:E2232)</f>
        <v>104600</v>
      </c>
      <c r="F2233" s="16" cm="1">
        <f t="array" ref="F2233">SUM(F2231:F2232)</f>
        <v>0</v>
      </c>
      <c r="G2233" s="16" cm="1">
        <f t="array" ref="G2233">SUM(G2231:G2232)</f>
        <v>0</v>
      </c>
      <c r="H2233" s="16" cm="1">
        <f t="array" ref="H2233">SUM(H2231:H2232)</f>
        <v>0</v>
      </c>
      <c r="I2233" s="16" cm="1">
        <f t="array" ref="I2233">SUM(I2231:I2232)</f>
        <v>0</v>
      </c>
    </row>
    <row r="2234" ht="21.25" customHeight="1">
      <c r="A2234" s="10">
        <v>45560</v>
      </c>
      <c r="B2234" t="s" s="11">
        <v>81</v>
      </c>
      <c r="C2234" t="s" s="12">
        <v>404</v>
      </c>
      <c r="D2234" s="17"/>
      <c r="E2234" s="17">
        <v>49919</v>
      </c>
      <c r="F2234" s="18"/>
      <c r="G2234" s="18"/>
      <c r="H2234" s="18"/>
      <c r="I2234" s="18"/>
    </row>
    <row r="2235" ht="21.25" customHeight="1">
      <c r="A2235" s="10">
        <v>45560</v>
      </c>
      <c r="B2235" t="s" s="11">
        <v>85</v>
      </c>
      <c r="C2235" t="s" s="12">
        <v>404</v>
      </c>
      <c r="D2235" s="13">
        <v>49919</v>
      </c>
      <c r="E2235" s="13"/>
      <c r="F2235" s="14"/>
      <c r="G2235" s="14"/>
      <c r="H2235" s="14"/>
      <c r="I2235" s="14"/>
    </row>
    <row r="2236" ht="20.7" customHeight="1">
      <c r="A2236" s="10">
        <v>45560</v>
      </c>
      <c r="B2236" t="s" s="11">
        <v>8</v>
      </c>
      <c r="C2236" t="s" s="12">
        <v>8</v>
      </c>
      <c r="D2236" s="15" cm="1">
        <f t="array" ref="D2236">SUM(D2234:D2235)</f>
        <v>49919</v>
      </c>
      <c r="E2236" s="15" cm="1">
        <f t="array" ref="E2236">SUM(E2234:E2235)</f>
        <v>49919</v>
      </c>
      <c r="F2236" s="16" cm="1">
        <f t="array" ref="F2236">SUM(F2234:F2235)</f>
        <v>0</v>
      </c>
      <c r="G2236" s="16" cm="1">
        <f t="array" ref="G2236">SUM(G2234:G2235)</f>
        <v>0</v>
      </c>
      <c r="H2236" s="16" cm="1">
        <f t="array" ref="H2236">SUM(H2234:H2235)</f>
        <v>0</v>
      </c>
      <c r="I2236" s="16" cm="1">
        <f t="array" ref="I2236">SUM(I2234:I2235)</f>
        <v>0</v>
      </c>
    </row>
    <row r="2237" ht="20.35" customHeight="1">
      <c r="A2237" s="10">
        <v>45560</v>
      </c>
      <c r="B2237" t="s" s="11">
        <v>5</v>
      </c>
      <c r="C2237" t="s" s="12">
        <v>82</v>
      </c>
      <c r="D2237" s="17"/>
      <c r="E2237" s="17">
        <v>50000</v>
      </c>
      <c r="F2237" s="18"/>
      <c r="G2237" s="18"/>
      <c r="H2237" s="18"/>
      <c r="I2237" s="18"/>
    </row>
    <row r="2238" ht="20.35" customHeight="1">
      <c r="A2238" s="10">
        <v>45560</v>
      </c>
      <c r="B2238" t="s" s="11">
        <v>79</v>
      </c>
      <c r="C2238" t="s" s="12">
        <v>82</v>
      </c>
      <c r="D2238" s="13">
        <v>50000</v>
      </c>
      <c r="E2238" s="13"/>
      <c r="F2238" s="14"/>
      <c r="G2238" s="14"/>
      <c r="H2238" s="14"/>
      <c r="I2238" s="14"/>
    </row>
    <row r="2239" ht="20.7" customHeight="1">
      <c r="A2239" s="10">
        <v>45560</v>
      </c>
      <c r="B2239" t="s" s="11">
        <v>8</v>
      </c>
      <c r="C2239" t="s" s="12">
        <v>8</v>
      </c>
      <c r="D2239" s="15" cm="1">
        <f t="array" ref="D2239">SUM(D2237:D2238)</f>
        <v>50000</v>
      </c>
      <c r="E2239" s="15" cm="1">
        <f t="array" ref="E2239">SUM(E2237:E2238)</f>
        <v>50000</v>
      </c>
      <c r="F2239" s="16" cm="1">
        <f t="array" ref="F2239">SUM(F2237:F2238)</f>
        <v>0</v>
      </c>
      <c r="G2239" s="16" cm="1">
        <f t="array" ref="G2239">SUM(G2237:G2238)</f>
        <v>0</v>
      </c>
      <c r="H2239" s="16" cm="1">
        <f t="array" ref="H2239">SUM(H2237:H2238)</f>
        <v>0</v>
      </c>
      <c r="I2239" s="16" cm="1">
        <f t="array" ref="I2239">SUM(I2237:I2238)</f>
        <v>0</v>
      </c>
    </row>
    <row r="2240" ht="21.25" customHeight="1">
      <c r="A2240" s="10">
        <v>45560</v>
      </c>
      <c r="B2240" t="s" s="11">
        <v>5</v>
      </c>
      <c r="C2240" t="s" s="12">
        <v>406</v>
      </c>
      <c r="D2240" s="17"/>
      <c r="E2240" s="17">
        <v>30000</v>
      </c>
      <c r="F2240" s="18"/>
      <c r="G2240" s="18"/>
      <c r="H2240" s="18"/>
      <c r="I2240" s="18"/>
    </row>
    <row r="2241" ht="20.9" customHeight="1">
      <c r="A2241" s="10">
        <v>45560</v>
      </c>
      <c r="B2241" t="s" s="11">
        <v>10</v>
      </c>
      <c r="C2241" t="s" s="12">
        <v>406</v>
      </c>
      <c r="D2241" s="19">
        <v>20000</v>
      </c>
      <c r="E2241" s="19"/>
      <c r="F2241" s="20"/>
      <c r="G2241" s="20"/>
      <c r="H2241" s="20"/>
      <c r="I2241" s="20"/>
    </row>
    <row r="2242" ht="21.25" customHeight="1">
      <c r="A2242" s="10">
        <v>45560</v>
      </c>
      <c r="B2242" t="s" s="11">
        <v>12</v>
      </c>
      <c r="C2242" t="s" s="12">
        <v>406</v>
      </c>
      <c r="D2242" s="13">
        <v>10000</v>
      </c>
      <c r="E2242" s="13"/>
      <c r="F2242" s="14"/>
      <c r="G2242" s="14"/>
      <c r="H2242" s="14"/>
      <c r="I2242" s="14"/>
    </row>
    <row r="2243" ht="20.7" customHeight="1">
      <c r="A2243" s="10">
        <v>45560</v>
      </c>
      <c r="B2243" t="s" s="11">
        <v>8</v>
      </c>
      <c r="C2243" t="s" s="12">
        <v>8</v>
      </c>
      <c r="D2243" s="15" cm="1">
        <f t="array" ref="D2243">SUM(D2240:D2242)</f>
        <v>30000</v>
      </c>
      <c r="E2243" s="15" cm="1">
        <f t="array" ref="E2243">SUM(E2240:E2242)</f>
        <v>30000</v>
      </c>
      <c r="F2243" s="16" cm="1">
        <f t="array" ref="F2243">SUM(F2240:F2242)</f>
        <v>0</v>
      </c>
      <c r="G2243" s="16" cm="1">
        <f t="array" ref="G2243">SUM(G2240:G2242)</f>
        <v>0</v>
      </c>
      <c r="H2243" s="16" cm="1">
        <f t="array" ref="H2243">SUM(H2240:H2242)</f>
        <v>0</v>
      </c>
      <c r="I2243" s="16" cm="1">
        <f t="array" ref="I2243">SUM(I2240:I2242)</f>
        <v>0</v>
      </c>
    </row>
    <row r="2244" ht="20.35" customHeight="1">
      <c r="A2244" s="10">
        <v>45560</v>
      </c>
      <c r="B2244" t="s" s="11">
        <v>5</v>
      </c>
      <c r="C2244" t="s" s="12">
        <v>407</v>
      </c>
      <c r="D2244" s="17"/>
      <c r="E2244" s="17">
        <v>412000</v>
      </c>
      <c r="F2244" s="18"/>
      <c r="G2244" s="18"/>
      <c r="H2244" s="18"/>
      <c r="I2244" s="18"/>
    </row>
    <row r="2245" ht="20.05" customHeight="1">
      <c r="A2245" s="10">
        <v>45560</v>
      </c>
      <c r="B2245" t="s" s="11">
        <v>10</v>
      </c>
      <c r="C2245" t="s" s="12">
        <v>407</v>
      </c>
      <c r="D2245" s="19">
        <v>206000</v>
      </c>
      <c r="E2245" s="19"/>
      <c r="F2245" s="20"/>
      <c r="G2245" s="20"/>
      <c r="H2245" s="20"/>
      <c r="I2245" s="20"/>
    </row>
    <row r="2246" ht="20.35" customHeight="1">
      <c r="A2246" s="10">
        <v>45560</v>
      </c>
      <c r="B2246" t="s" s="11">
        <v>12</v>
      </c>
      <c r="C2246" t="s" s="12">
        <v>407</v>
      </c>
      <c r="D2246" s="13">
        <v>206000</v>
      </c>
      <c r="E2246" s="13"/>
      <c r="F2246" s="14"/>
      <c r="G2246" s="14"/>
      <c r="H2246" s="14"/>
      <c r="I2246" s="14"/>
    </row>
    <row r="2247" ht="20.7" customHeight="1">
      <c r="A2247" s="10">
        <v>45560</v>
      </c>
      <c r="B2247" t="s" s="11">
        <v>8</v>
      </c>
      <c r="C2247" t="s" s="12">
        <v>8</v>
      </c>
      <c r="D2247" s="15" cm="1">
        <f t="array" ref="D2247">SUM(D2244:D2246)</f>
        <v>412000</v>
      </c>
      <c r="E2247" s="15" cm="1">
        <f t="array" ref="E2247">SUM(E2244:E2246)</f>
        <v>412000</v>
      </c>
      <c r="F2247" s="16" cm="1">
        <f t="array" ref="F2247">SUM(F2244:F2246)</f>
        <v>0</v>
      </c>
      <c r="G2247" s="16" cm="1">
        <f t="array" ref="G2247">SUM(G2244:G2246)</f>
        <v>0</v>
      </c>
      <c r="H2247" s="16" cm="1">
        <f t="array" ref="H2247">SUM(H2244:H2246)</f>
        <v>0</v>
      </c>
      <c r="I2247" s="16" cm="1">
        <f t="array" ref="I2247">SUM(I2244:I2246)</f>
        <v>0</v>
      </c>
    </row>
    <row r="2248" ht="21.25" customHeight="1">
      <c r="A2248" s="10">
        <v>45560</v>
      </c>
      <c r="B2248" t="s" s="11">
        <v>28</v>
      </c>
      <c r="C2248" t="s" s="12">
        <v>361</v>
      </c>
      <c r="D2248" s="17">
        <v>41000</v>
      </c>
      <c r="E2248" s="17"/>
      <c r="F2248" s="18"/>
      <c r="G2248" s="18"/>
      <c r="H2248" s="18"/>
      <c r="I2248" s="18"/>
    </row>
    <row r="2249" ht="20.9" customHeight="1">
      <c r="A2249" s="10">
        <v>45560</v>
      </c>
      <c r="B2249" t="s" s="11">
        <v>91</v>
      </c>
      <c r="C2249" t="s" s="12">
        <v>361</v>
      </c>
      <c r="D2249" s="19"/>
      <c r="E2249" s="19">
        <v>500</v>
      </c>
      <c r="F2249" s="20"/>
      <c r="G2249" s="20"/>
      <c r="H2249" s="20"/>
      <c r="I2249" s="20"/>
    </row>
    <row r="2250" ht="21.25" customHeight="1">
      <c r="A2250" s="10">
        <v>45560</v>
      </c>
      <c r="B2250" t="s" s="11">
        <v>89</v>
      </c>
      <c r="C2250" t="s" s="12">
        <v>361</v>
      </c>
      <c r="D2250" s="13"/>
      <c r="E2250" s="13">
        <v>40500</v>
      </c>
      <c r="F2250" s="14"/>
      <c r="G2250" s="14"/>
      <c r="H2250" s="14"/>
      <c r="I2250" s="14"/>
    </row>
    <row r="2251" ht="20.7" customHeight="1">
      <c r="A2251" s="10">
        <v>45560</v>
      </c>
      <c r="B2251" t="s" s="11">
        <v>8</v>
      </c>
      <c r="C2251" t="s" s="12">
        <v>8</v>
      </c>
      <c r="D2251" s="15" cm="1">
        <f t="array" ref="D2251">SUM(D2248:D2250)</f>
        <v>41000</v>
      </c>
      <c r="E2251" s="15" cm="1">
        <f t="array" ref="E2251">SUM(E2248:E2250)</f>
        <v>41000</v>
      </c>
      <c r="F2251" s="16" cm="1">
        <f t="array" ref="F2251">SUM(F2248:F2250)</f>
        <v>0</v>
      </c>
      <c r="G2251" s="16" cm="1">
        <f t="array" ref="G2251">SUM(G2248:G2250)</f>
        <v>0</v>
      </c>
      <c r="H2251" s="16" cm="1">
        <f t="array" ref="H2251">SUM(H2248:H2250)</f>
        <v>0</v>
      </c>
      <c r="I2251" s="16" cm="1">
        <f t="array" ref="I2251">SUM(I2248:I2250)</f>
        <v>0</v>
      </c>
    </row>
    <row r="2252" ht="21.25" customHeight="1">
      <c r="A2252" s="10">
        <v>45560</v>
      </c>
      <c r="B2252" t="s" s="11">
        <v>21</v>
      </c>
      <c r="C2252" t="s" s="12">
        <v>408</v>
      </c>
      <c r="D2252" s="17"/>
      <c r="E2252" s="17">
        <v>2800</v>
      </c>
      <c r="F2252" s="18"/>
      <c r="G2252" s="18"/>
      <c r="H2252" s="18"/>
      <c r="I2252" s="18"/>
    </row>
    <row r="2253" ht="21.25" customHeight="1">
      <c r="A2253" s="10">
        <v>45560</v>
      </c>
      <c r="B2253" t="s" s="11">
        <v>16</v>
      </c>
      <c r="C2253" t="s" s="12">
        <v>408</v>
      </c>
      <c r="D2253" s="13">
        <v>2800</v>
      </c>
      <c r="E2253" s="13"/>
      <c r="F2253" s="14"/>
      <c r="G2253" s="14"/>
      <c r="H2253" s="14"/>
      <c r="I2253" s="14"/>
    </row>
    <row r="2254" ht="20.7" customHeight="1">
      <c r="A2254" s="10">
        <v>45560</v>
      </c>
      <c r="B2254" t="s" s="11">
        <v>8</v>
      </c>
      <c r="C2254" t="s" s="12">
        <v>8</v>
      </c>
      <c r="D2254" s="15" cm="1">
        <f t="array" ref="D2254">SUM(D2252:D2253)</f>
        <v>2800</v>
      </c>
      <c r="E2254" s="15" cm="1">
        <f t="array" ref="E2254">SUM(E2252:E2253)</f>
        <v>2800</v>
      </c>
      <c r="F2254" s="16" cm="1">
        <f t="array" ref="F2254">SUM(F2252:F2253)</f>
        <v>0</v>
      </c>
      <c r="G2254" s="16" cm="1">
        <f t="array" ref="G2254">SUM(G2252:G2253)</f>
        <v>0</v>
      </c>
      <c r="H2254" s="16" cm="1">
        <f t="array" ref="H2254">SUM(H2252:H2253)</f>
        <v>0</v>
      </c>
      <c r="I2254" s="16" cm="1">
        <f t="array" ref="I2254">SUM(I2252:I2253)</f>
        <v>0</v>
      </c>
    </row>
    <row r="2255" ht="21.25" customHeight="1">
      <c r="A2255" s="10">
        <v>45561</v>
      </c>
      <c r="B2255" t="s" s="11">
        <v>79</v>
      </c>
      <c r="C2255" t="s" s="12">
        <v>409</v>
      </c>
      <c r="D2255" s="17"/>
      <c r="E2255" s="17">
        <v>49989</v>
      </c>
      <c r="F2255" s="18"/>
      <c r="G2255" s="18"/>
      <c r="H2255" s="18"/>
      <c r="I2255" s="18"/>
    </row>
    <row r="2256" ht="20.05" customHeight="1">
      <c r="A2256" s="10">
        <v>45561</v>
      </c>
      <c r="B2256" t="s" s="11">
        <v>10</v>
      </c>
      <c r="C2256" t="s" s="12">
        <v>45</v>
      </c>
      <c r="D2256" s="19">
        <v>70</v>
      </c>
      <c r="E2256" s="19"/>
      <c r="F2256" s="20"/>
      <c r="G2256" s="20"/>
      <c r="H2256" s="20"/>
      <c r="I2256" s="20"/>
    </row>
    <row r="2257" ht="20.35" customHeight="1">
      <c r="A2257" s="10">
        <v>45561</v>
      </c>
      <c r="B2257" t="s" s="11">
        <v>81</v>
      </c>
      <c r="C2257" t="s" s="12">
        <v>45</v>
      </c>
      <c r="D2257" s="13">
        <v>49919</v>
      </c>
      <c r="E2257" s="13"/>
      <c r="F2257" s="14"/>
      <c r="G2257" s="14"/>
      <c r="H2257" s="14"/>
      <c r="I2257" s="14"/>
    </row>
    <row r="2258" ht="20.7" customHeight="1">
      <c r="A2258" s="10">
        <v>45561</v>
      </c>
      <c r="B2258" t="s" s="11">
        <v>8</v>
      </c>
      <c r="C2258" t="s" s="12">
        <v>8</v>
      </c>
      <c r="D2258" s="15" cm="1">
        <f t="array" ref="D2258">SUM(D2255:D2257)</f>
        <v>49989</v>
      </c>
      <c r="E2258" s="15" cm="1">
        <f t="array" ref="E2258">SUM(E2255:E2257)</f>
        <v>49989</v>
      </c>
      <c r="F2258" s="16" cm="1">
        <f t="array" ref="F2258">SUM(F2255:F2257)</f>
        <v>0</v>
      </c>
      <c r="G2258" s="16" cm="1">
        <f t="array" ref="G2258">SUM(G2255:G2257)</f>
        <v>0</v>
      </c>
      <c r="H2258" s="16" cm="1">
        <f t="array" ref="H2258">SUM(H2255:H2257)</f>
        <v>0</v>
      </c>
      <c r="I2258" s="16" cm="1">
        <f t="array" ref="I2258">SUM(I2255:I2257)</f>
        <v>0</v>
      </c>
    </row>
    <row r="2259" ht="21.25" customHeight="1">
      <c r="A2259" s="10">
        <v>45561</v>
      </c>
      <c r="B2259" t="s" s="11">
        <v>81</v>
      </c>
      <c r="C2259" t="s" s="12">
        <v>409</v>
      </c>
      <c r="D2259" s="17"/>
      <c r="E2259" s="17">
        <v>49919</v>
      </c>
      <c r="F2259" s="18"/>
      <c r="G2259" s="18"/>
      <c r="H2259" s="18"/>
      <c r="I2259" s="18"/>
    </row>
    <row r="2260" ht="21.25" customHeight="1">
      <c r="A2260" s="10">
        <v>45561</v>
      </c>
      <c r="B2260" t="s" s="11">
        <v>85</v>
      </c>
      <c r="C2260" t="s" s="12">
        <v>409</v>
      </c>
      <c r="D2260" s="13">
        <v>49919</v>
      </c>
      <c r="E2260" s="13"/>
      <c r="F2260" s="14"/>
      <c r="G2260" s="14"/>
      <c r="H2260" s="14"/>
      <c r="I2260" s="14"/>
    </row>
    <row r="2261" ht="20.7" customHeight="1">
      <c r="A2261" s="10">
        <v>45561</v>
      </c>
      <c r="B2261" t="s" s="11">
        <v>8</v>
      </c>
      <c r="C2261" t="s" s="12">
        <v>8</v>
      </c>
      <c r="D2261" s="15" cm="1">
        <f t="array" ref="D2261">SUM(D2259:D2260)</f>
        <v>49919</v>
      </c>
      <c r="E2261" s="15" cm="1">
        <f t="array" ref="E2261">SUM(E2259:E2260)</f>
        <v>49919</v>
      </c>
      <c r="F2261" s="16" cm="1">
        <f t="array" ref="F2261">SUM(F2259:F2260)</f>
        <v>0</v>
      </c>
      <c r="G2261" s="16" cm="1">
        <f t="array" ref="G2261">SUM(G2259:G2260)</f>
        <v>0</v>
      </c>
      <c r="H2261" s="16" cm="1">
        <f t="array" ref="H2261">SUM(H2259:H2260)</f>
        <v>0</v>
      </c>
      <c r="I2261" s="16" cm="1">
        <f t="array" ref="I2261">SUM(I2259:I2260)</f>
        <v>0</v>
      </c>
    </row>
    <row r="2262" ht="20.35" customHeight="1">
      <c r="A2262" s="10">
        <v>45561</v>
      </c>
      <c r="B2262" t="s" s="11">
        <v>5</v>
      </c>
      <c r="C2262" t="s" s="12">
        <v>410</v>
      </c>
      <c r="D2262" s="17"/>
      <c r="E2262" s="17">
        <v>1600</v>
      </c>
      <c r="F2262" s="18"/>
      <c r="G2262" s="18"/>
      <c r="H2262" s="18"/>
      <c r="I2262" s="18"/>
    </row>
    <row r="2263" ht="20.35" customHeight="1">
      <c r="A2263" s="10">
        <v>45561</v>
      </c>
      <c r="B2263" t="s" s="11">
        <v>10</v>
      </c>
      <c r="C2263" t="s" s="12">
        <v>410</v>
      </c>
      <c r="D2263" s="13">
        <v>1600</v>
      </c>
      <c r="E2263" s="13"/>
      <c r="F2263" s="14"/>
      <c r="G2263" s="14"/>
      <c r="H2263" s="14"/>
      <c r="I2263" s="14"/>
    </row>
    <row r="2264" ht="20.7" customHeight="1">
      <c r="A2264" s="10">
        <v>45561</v>
      </c>
      <c r="B2264" t="s" s="11">
        <v>8</v>
      </c>
      <c r="C2264" t="s" s="12">
        <v>8</v>
      </c>
      <c r="D2264" s="15" cm="1">
        <f t="array" ref="D2264">SUM(D2262:D2263)</f>
        <v>1600</v>
      </c>
      <c r="E2264" s="15" cm="1">
        <f t="array" ref="E2264">SUM(E2262:E2263)</f>
        <v>1600</v>
      </c>
      <c r="F2264" s="16" cm="1">
        <f t="array" ref="F2264">SUM(F2262:F2263)</f>
        <v>0</v>
      </c>
      <c r="G2264" s="16" cm="1">
        <f t="array" ref="G2264">SUM(G2262:G2263)</f>
        <v>0</v>
      </c>
      <c r="H2264" s="16" cm="1">
        <f t="array" ref="H2264">SUM(H2262:H2263)</f>
        <v>0</v>
      </c>
      <c r="I2264" s="16" cm="1">
        <f t="array" ref="I2264">SUM(I2262:I2263)</f>
        <v>0</v>
      </c>
    </row>
    <row r="2265" ht="20.35" customHeight="1">
      <c r="A2265" s="10">
        <v>45561</v>
      </c>
      <c r="B2265" t="s" s="11">
        <v>5</v>
      </c>
      <c r="C2265" t="s" s="12">
        <v>17</v>
      </c>
      <c r="D2265" s="17">
        <v>100</v>
      </c>
      <c r="E2265" s="17"/>
      <c r="F2265" s="18"/>
      <c r="G2265" s="18"/>
      <c r="H2265" s="18"/>
      <c r="I2265" s="18"/>
    </row>
    <row r="2266" ht="20.35" customHeight="1">
      <c r="A2266" s="10">
        <v>45561</v>
      </c>
      <c r="B2266" t="s" s="11">
        <v>18</v>
      </c>
      <c r="C2266" t="s" s="12">
        <v>17</v>
      </c>
      <c r="D2266" s="13"/>
      <c r="E2266" s="13">
        <v>100</v>
      </c>
      <c r="F2266" s="14"/>
      <c r="G2266" s="14"/>
      <c r="H2266" s="14"/>
      <c r="I2266" s="14"/>
    </row>
    <row r="2267" ht="20.7" customHeight="1">
      <c r="A2267" s="10">
        <v>45561</v>
      </c>
      <c r="B2267" t="s" s="11">
        <v>8</v>
      </c>
      <c r="C2267" t="s" s="12">
        <v>8</v>
      </c>
      <c r="D2267" s="15" cm="1">
        <f t="array" ref="D2267">SUM(D2265:D2266)</f>
        <v>100</v>
      </c>
      <c r="E2267" s="15" cm="1">
        <f t="array" ref="E2267">SUM(E2265:E2266)</f>
        <v>100</v>
      </c>
      <c r="F2267" s="16" cm="1">
        <f t="array" ref="F2267">SUM(F2265:F2266)</f>
        <v>0</v>
      </c>
      <c r="G2267" s="16" cm="1">
        <f t="array" ref="G2267">SUM(G2265:G2266)</f>
        <v>0</v>
      </c>
      <c r="H2267" s="16" cm="1">
        <f t="array" ref="H2267">SUM(H2265:H2266)</f>
        <v>0</v>
      </c>
      <c r="I2267" s="16" cm="1">
        <f t="array" ref="I2267">SUM(I2265:I2266)</f>
        <v>0</v>
      </c>
    </row>
    <row r="2268" ht="20.35" customHeight="1">
      <c r="A2268" s="10">
        <v>45561</v>
      </c>
      <c r="B2268" t="s" s="11">
        <v>5</v>
      </c>
      <c r="C2268" t="s" s="12">
        <v>411</v>
      </c>
      <c r="D2268" s="17"/>
      <c r="E2268" s="17">
        <v>58900</v>
      </c>
      <c r="F2268" s="18"/>
      <c r="G2268" s="18"/>
      <c r="H2268" s="18"/>
      <c r="I2268" s="18"/>
    </row>
    <row r="2269" ht="20.05" customHeight="1">
      <c r="A2269" s="10">
        <v>45561</v>
      </c>
      <c r="B2269" t="s" s="11">
        <v>89</v>
      </c>
      <c r="C2269" t="s" s="12">
        <v>411</v>
      </c>
      <c r="D2269" s="19">
        <v>29450</v>
      </c>
      <c r="E2269" s="19"/>
      <c r="F2269" s="20"/>
      <c r="G2269" s="20"/>
      <c r="H2269" s="20"/>
      <c r="I2269" s="20"/>
    </row>
    <row r="2270" ht="20.35" customHeight="1">
      <c r="A2270" s="10">
        <v>45561</v>
      </c>
      <c r="B2270" t="s" s="11">
        <v>12</v>
      </c>
      <c r="C2270" t="s" s="12">
        <v>411</v>
      </c>
      <c r="D2270" s="13">
        <v>29450</v>
      </c>
      <c r="E2270" s="13"/>
      <c r="F2270" s="14"/>
      <c r="G2270" s="14"/>
      <c r="H2270" s="14"/>
      <c r="I2270" s="14"/>
    </row>
    <row r="2271" ht="20.7" customHeight="1">
      <c r="A2271" s="10">
        <v>45561</v>
      </c>
      <c r="B2271" t="s" s="11">
        <v>8</v>
      </c>
      <c r="C2271" t="s" s="12">
        <v>8</v>
      </c>
      <c r="D2271" s="15" cm="1">
        <f t="array" ref="D2271">SUM(D2268:D2270)</f>
        <v>58900</v>
      </c>
      <c r="E2271" s="15" cm="1">
        <f t="array" ref="E2271">SUM(E2268:E2270)</f>
        <v>58900</v>
      </c>
      <c r="F2271" s="16" cm="1">
        <f t="array" ref="F2271">SUM(F2268:F2270)</f>
        <v>0</v>
      </c>
      <c r="G2271" s="16" cm="1">
        <f t="array" ref="G2271">SUM(G2268:G2270)</f>
        <v>0</v>
      </c>
      <c r="H2271" s="16" cm="1">
        <f t="array" ref="H2271">SUM(H2268:H2270)</f>
        <v>0</v>
      </c>
      <c r="I2271" s="16" cm="1">
        <f t="array" ref="I2271">SUM(I2268:I2270)</f>
        <v>0</v>
      </c>
    </row>
    <row r="2272" ht="20.35" customHeight="1">
      <c r="A2272" s="10">
        <v>45561</v>
      </c>
      <c r="B2272" t="s" s="11">
        <v>28</v>
      </c>
      <c r="C2272" t="s" s="12">
        <v>8</v>
      </c>
      <c r="D2272" s="17">
        <v>30000</v>
      </c>
      <c r="E2272" s="17"/>
      <c r="F2272" s="18"/>
      <c r="G2272" s="18"/>
      <c r="H2272" s="18"/>
      <c r="I2272" s="18"/>
    </row>
    <row r="2273" ht="20.05" customHeight="1">
      <c r="A2273" s="10">
        <v>45561</v>
      </c>
      <c r="B2273" t="s" s="11">
        <v>91</v>
      </c>
      <c r="C2273" t="s" s="12">
        <v>8</v>
      </c>
      <c r="D2273" s="19"/>
      <c r="E2273" s="19">
        <v>550</v>
      </c>
      <c r="F2273" s="20"/>
      <c r="G2273" s="20"/>
      <c r="H2273" s="20"/>
      <c r="I2273" s="20"/>
    </row>
    <row r="2274" ht="20.35" customHeight="1">
      <c r="A2274" s="10">
        <v>45561</v>
      </c>
      <c r="B2274" t="s" s="11">
        <v>89</v>
      </c>
      <c r="C2274" t="s" s="12">
        <v>8</v>
      </c>
      <c r="D2274" s="13"/>
      <c r="E2274" s="13">
        <v>29450</v>
      </c>
      <c r="F2274" s="14"/>
      <c r="G2274" s="14"/>
      <c r="H2274" s="14"/>
      <c r="I2274" s="14"/>
    </row>
    <row r="2275" ht="20.7" customHeight="1">
      <c r="A2275" s="10">
        <v>45561</v>
      </c>
      <c r="B2275" t="s" s="11">
        <v>8</v>
      </c>
      <c r="C2275" t="s" s="12">
        <v>8</v>
      </c>
      <c r="D2275" s="15" cm="1">
        <f t="array" ref="D2275">SUM(D2272:D2274)</f>
        <v>30000</v>
      </c>
      <c r="E2275" s="15" cm="1">
        <f t="array" ref="E2275">SUM(E2272:E2274)</f>
        <v>30000</v>
      </c>
      <c r="F2275" s="16" cm="1">
        <f t="array" ref="F2275">SUM(F2272:F2274)</f>
        <v>0</v>
      </c>
      <c r="G2275" s="16" cm="1">
        <f t="array" ref="G2275">SUM(G2272:G2274)</f>
        <v>0</v>
      </c>
      <c r="H2275" s="16" cm="1">
        <f t="array" ref="H2275">SUM(H2272:H2274)</f>
        <v>0</v>
      </c>
      <c r="I2275" s="16" cm="1">
        <f t="array" ref="I2275">SUM(I2272:I2274)</f>
        <v>0</v>
      </c>
    </row>
    <row r="2276" ht="20.35" customHeight="1">
      <c r="A2276" s="10">
        <v>45562</v>
      </c>
      <c r="B2276" t="s" s="11">
        <v>5</v>
      </c>
      <c r="C2276" t="s" s="12">
        <v>412</v>
      </c>
      <c r="D2276" s="17"/>
      <c r="E2276" s="17">
        <v>33000</v>
      </c>
      <c r="F2276" s="18"/>
      <c r="G2276" s="18"/>
      <c r="H2276" s="18"/>
      <c r="I2276" s="18"/>
    </row>
    <row r="2277" ht="20.35" customHeight="1">
      <c r="A2277" s="10">
        <v>45562</v>
      </c>
      <c r="B2277" t="s" s="11">
        <v>89</v>
      </c>
      <c r="C2277" t="s" s="12">
        <v>412</v>
      </c>
      <c r="D2277" s="13">
        <v>33000</v>
      </c>
      <c r="E2277" s="13"/>
      <c r="F2277" s="14"/>
      <c r="G2277" s="14"/>
      <c r="H2277" s="14"/>
      <c r="I2277" s="14"/>
    </row>
    <row r="2278" ht="20.7" customHeight="1">
      <c r="A2278" s="10">
        <v>45562</v>
      </c>
      <c r="B2278" t="s" s="11">
        <v>8</v>
      </c>
      <c r="C2278" t="s" s="12">
        <v>8</v>
      </c>
      <c r="D2278" s="15" cm="1">
        <f t="array" ref="D2278">SUM(D2276:D2277)</f>
        <v>33000</v>
      </c>
      <c r="E2278" s="15" cm="1">
        <f t="array" ref="E2278">SUM(E2276:E2277)</f>
        <v>33000</v>
      </c>
      <c r="F2278" s="16" cm="1">
        <f t="array" ref="F2278">SUM(F2276:F2277)</f>
        <v>0</v>
      </c>
      <c r="G2278" s="16" cm="1">
        <f t="array" ref="G2278">SUM(G2276:G2277)</f>
        <v>0</v>
      </c>
      <c r="H2278" s="16" cm="1">
        <f t="array" ref="H2278">SUM(H2276:H2277)</f>
        <v>0</v>
      </c>
      <c r="I2278" s="16" cm="1">
        <f t="array" ref="I2278">SUM(I2276:I2277)</f>
        <v>0</v>
      </c>
    </row>
    <row r="2279" ht="20.35" customHeight="1">
      <c r="A2279" s="10">
        <v>45562</v>
      </c>
      <c r="B2279" t="s" s="11">
        <v>5</v>
      </c>
      <c r="C2279" t="s" s="12">
        <v>413</v>
      </c>
      <c r="D2279" s="17"/>
      <c r="E2279" s="17">
        <v>108800</v>
      </c>
      <c r="F2279" s="18"/>
      <c r="G2279" s="18"/>
      <c r="H2279" s="18"/>
      <c r="I2279" s="18"/>
    </row>
    <row r="2280" ht="20.05" customHeight="1">
      <c r="A2280" s="10">
        <v>45562</v>
      </c>
      <c r="B2280" t="s" s="11">
        <v>10</v>
      </c>
      <c r="C2280" t="s" s="12">
        <v>413</v>
      </c>
      <c r="D2280" s="19">
        <v>54400</v>
      </c>
      <c r="E2280" s="19"/>
      <c r="F2280" s="20"/>
      <c r="G2280" s="20"/>
      <c r="H2280" s="20"/>
      <c r="I2280" s="20"/>
    </row>
    <row r="2281" ht="20.35" customHeight="1">
      <c r="A2281" s="10">
        <v>45562</v>
      </c>
      <c r="B2281" t="s" s="11">
        <v>12</v>
      </c>
      <c r="C2281" t="s" s="12">
        <v>413</v>
      </c>
      <c r="D2281" s="13">
        <v>54400</v>
      </c>
      <c r="E2281" s="13"/>
      <c r="F2281" s="14"/>
      <c r="G2281" s="14"/>
      <c r="H2281" s="14"/>
      <c r="I2281" s="14"/>
    </row>
    <row r="2282" ht="20.7" customHeight="1">
      <c r="A2282" s="10">
        <v>45562</v>
      </c>
      <c r="B2282" t="s" s="11">
        <v>8</v>
      </c>
      <c r="C2282" t="s" s="12">
        <v>8</v>
      </c>
      <c r="D2282" s="15" cm="1">
        <f t="array" ref="D2282">SUM(D2279:D2281)</f>
        <v>108800</v>
      </c>
      <c r="E2282" s="15" cm="1">
        <f t="array" ref="E2282">SUM(E2279:E2281)</f>
        <v>108800</v>
      </c>
      <c r="F2282" s="16" cm="1">
        <f t="array" ref="F2282">SUM(F2279:F2281)</f>
        <v>0</v>
      </c>
      <c r="G2282" s="16" cm="1">
        <f t="array" ref="G2282">SUM(G2279:G2281)</f>
        <v>0</v>
      </c>
      <c r="H2282" s="16" cm="1">
        <f t="array" ref="H2282">SUM(H2279:H2281)</f>
        <v>0</v>
      </c>
      <c r="I2282" s="16" cm="1">
        <f t="array" ref="I2282">SUM(I2279:I2281)</f>
        <v>0</v>
      </c>
    </row>
    <row r="2283" ht="20.35" customHeight="1">
      <c r="A2283" s="10">
        <v>45562</v>
      </c>
      <c r="B2283" t="s" s="11">
        <v>5</v>
      </c>
      <c r="C2283" t="s" s="12">
        <v>169</v>
      </c>
      <c r="D2283" s="17"/>
      <c r="E2283" s="17">
        <v>1900</v>
      </c>
      <c r="F2283" s="18"/>
      <c r="G2283" s="18"/>
      <c r="H2283" s="18"/>
      <c r="I2283" s="18"/>
    </row>
    <row r="2284" ht="20.35" customHeight="1">
      <c r="A2284" s="10">
        <v>45562</v>
      </c>
      <c r="B2284" t="s" s="11">
        <v>12</v>
      </c>
      <c r="C2284" t="s" s="12">
        <v>169</v>
      </c>
      <c r="D2284" s="13">
        <v>1900</v>
      </c>
      <c r="E2284" s="13"/>
      <c r="F2284" s="14"/>
      <c r="G2284" s="14"/>
      <c r="H2284" s="14"/>
      <c r="I2284" s="14"/>
    </row>
    <row r="2285" ht="20.7" customHeight="1">
      <c r="A2285" s="10">
        <v>45562</v>
      </c>
      <c r="B2285" t="s" s="11">
        <v>8</v>
      </c>
      <c r="C2285" t="s" s="12">
        <v>8</v>
      </c>
      <c r="D2285" s="15" cm="1">
        <f t="array" ref="D2285">SUM(D2283:D2284)</f>
        <v>1900</v>
      </c>
      <c r="E2285" s="15" cm="1">
        <f t="array" ref="E2285">SUM(E2283:E2284)</f>
        <v>1900</v>
      </c>
      <c r="F2285" s="16" cm="1">
        <f t="array" ref="F2285">SUM(F2283:F2284)</f>
        <v>0</v>
      </c>
      <c r="G2285" s="16" cm="1">
        <f t="array" ref="G2285">SUM(G2283:G2284)</f>
        <v>0</v>
      </c>
      <c r="H2285" s="16" cm="1">
        <f t="array" ref="H2285">SUM(H2283:H2284)</f>
        <v>0</v>
      </c>
      <c r="I2285" s="16" cm="1">
        <f t="array" ref="I2285">SUM(I2283:I2284)</f>
        <v>0</v>
      </c>
    </row>
    <row r="2286" ht="20.35" customHeight="1">
      <c r="A2286" s="10">
        <v>45562</v>
      </c>
      <c r="B2286" t="s" s="11">
        <v>60</v>
      </c>
      <c r="C2286" t="s" s="12">
        <v>414</v>
      </c>
      <c r="D2286" s="17"/>
      <c r="E2286" s="17"/>
      <c r="F2286" s="18">
        <v>3.78</v>
      </c>
      <c r="G2286" s="18"/>
      <c r="H2286" s="18"/>
      <c r="I2286" s="18"/>
    </row>
    <row r="2287" ht="20.35" customHeight="1">
      <c r="A2287" s="10">
        <v>45562</v>
      </c>
      <c r="B2287" t="s" s="11">
        <v>63</v>
      </c>
      <c r="C2287" t="s" s="12">
        <v>414</v>
      </c>
      <c r="D2287" s="13"/>
      <c r="E2287" s="13"/>
      <c r="F2287" s="14"/>
      <c r="G2287" s="14">
        <v>3.78</v>
      </c>
      <c r="H2287" s="14"/>
      <c r="I2287" s="14"/>
    </row>
    <row r="2288" ht="20.7" customHeight="1">
      <c r="A2288" s="10">
        <v>45562</v>
      </c>
      <c r="B2288" t="s" s="11">
        <v>8</v>
      </c>
      <c r="C2288" t="s" s="12">
        <v>8</v>
      </c>
      <c r="D2288" s="15" cm="1">
        <f t="array" ref="D2288">SUM(D2286:D2287)</f>
        <v>0</v>
      </c>
      <c r="E2288" s="15" cm="1">
        <f t="array" ref="E2288">SUM(E2286:E2287)</f>
        <v>0</v>
      </c>
      <c r="F2288" s="16" cm="1">
        <f t="array" ref="F2288">SUM(F2286:F2287)</f>
        <v>3.78</v>
      </c>
      <c r="G2288" s="16" cm="1">
        <f t="array" ref="G2288">SUM(G2286:G2287)</f>
        <v>3.78</v>
      </c>
      <c r="H2288" s="16" cm="1">
        <f t="array" ref="H2288">SUM(H2286:H2287)</f>
        <v>0</v>
      </c>
      <c r="I2288" s="16" cm="1">
        <f t="array" ref="I2288">SUM(I2286:I2287)</f>
        <v>0</v>
      </c>
    </row>
    <row r="2289" ht="20.65" customHeight="1">
      <c r="A2289" s="10">
        <v>45562</v>
      </c>
      <c r="B2289" t="s" s="11">
        <v>5</v>
      </c>
      <c r="C2289" t="s" s="12">
        <v>415</v>
      </c>
      <c r="D2289" s="17"/>
      <c r="E2289" s="17">
        <v>10830</v>
      </c>
      <c r="F2289" s="18"/>
      <c r="G2289" s="18"/>
      <c r="H2289" s="18"/>
      <c r="I2289" s="18"/>
    </row>
    <row r="2290" ht="20.65" customHeight="1">
      <c r="A2290" s="10">
        <v>45562</v>
      </c>
      <c r="B2290" t="s" s="11">
        <v>12</v>
      </c>
      <c r="C2290" t="s" s="12">
        <v>415</v>
      </c>
      <c r="D2290" s="13">
        <v>10830</v>
      </c>
      <c r="E2290" s="13"/>
      <c r="F2290" s="14"/>
      <c r="G2290" s="14"/>
      <c r="H2290" s="14"/>
      <c r="I2290" s="14"/>
    </row>
    <row r="2291" ht="20.7" customHeight="1">
      <c r="A2291" s="10">
        <v>45562</v>
      </c>
      <c r="B2291" t="s" s="11">
        <v>8</v>
      </c>
      <c r="C2291" t="s" s="12">
        <v>8</v>
      </c>
      <c r="D2291" s="15" cm="1">
        <f t="array" ref="D2291">SUM(D2289:D2290)</f>
        <v>10830</v>
      </c>
      <c r="E2291" s="15" cm="1">
        <f t="array" ref="E2291">SUM(E2289:E2290)</f>
        <v>10830</v>
      </c>
      <c r="F2291" s="16" cm="1">
        <f t="array" ref="F2291">SUM(F2289:F2290)</f>
        <v>0</v>
      </c>
      <c r="G2291" s="16" cm="1">
        <f t="array" ref="G2291">SUM(G2289:G2290)</f>
        <v>0</v>
      </c>
      <c r="H2291" s="16" cm="1">
        <f t="array" ref="H2291">SUM(H2289:H2290)</f>
        <v>0</v>
      </c>
      <c r="I2291" s="16" cm="1">
        <f t="array" ref="I2291">SUM(I2289:I2290)</f>
        <v>0</v>
      </c>
    </row>
    <row r="2292" ht="21.25" customHeight="1">
      <c r="A2292" s="10">
        <v>45562</v>
      </c>
      <c r="B2292" t="s" s="11">
        <v>21</v>
      </c>
      <c r="C2292" t="s" s="12">
        <v>416</v>
      </c>
      <c r="D2292" s="17"/>
      <c r="E2292" s="17">
        <v>4500</v>
      </c>
      <c r="F2292" s="18"/>
      <c r="G2292" s="18"/>
      <c r="H2292" s="18"/>
      <c r="I2292" s="18"/>
    </row>
    <row r="2293" ht="21.25" customHeight="1">
      <c r="A2293" s="10">
        <v>45562</v>
      </c>
      <c r="B2293" t="s" s="11">
        <v>16</v>
      </c>
      <c r="C2293" t="s" s="12">
        <v>416</v>
      </c>
      <c r="D2293" s="13">
        <v>4500</v>
      </c>
      <c r="E2293" s="13"/>
      <c r="F2293" s="14"/>
      <c r="G2293" s="14"/>
      <c r="H2293" s="14"/>
      <c r="I2293" s="14"/>
    </row>
    <row r="2294" ht="20.7" customHeight="1">
      <c r="A2294" s="10">
        <v>45562</v>
      </c>
      <c r="B2294" t="s" s="11">
        <v>8</v>
      </c>
      <c r="C2294" t="s" s="12">
        <v>8</v>
      </c>
      <c r="D2294" s="15" cm="1">
        <f t="array" ref="D2294">SUM(D2292:D2293)</f>
        <v>4500</v>
      </c>
      <c r="E2294" s="15" cm="1">
        <f t="array" ref="E2294">SUM(E2292:E2293)</f>
        <v>4500</v>
      </c>
      <c r="F2294" s="16" cm="1">
        <f t="array" ref="F2294">SUM(F2292:F2293)</f>
        <v>0</v>
      </c>
      <c r="G2294" s="16" cm="1">
        <f t="array" ref="G2294">SUM(G2292:G2293)</f>
        <v>0</v>
      </c>
      <c r="H2294" s="16" cm="1">
        <f t="array" ref="H2294">SUM(H2292:H2293)</f>
        <v>0</v>
      </c>
      <c r="I2294" s="16" cm="1">
        <f t="array" ref="I2294">SUM(I2292:I2293)</f>
        <v>0</v>
      </c>
    </row>
    <row r="2295" ht="21.25" customHeight="1">
      <c r="A2295" s="10">
        <v>45563</v>
      </c>
      <c r="B2295" t="s" s="11">
        <v>5</v>
      </c>
      <c r="C2295" t="s" s="12">
        <v>417</v>
      </c>
      <c r="D2295" s="17"/>
      <c r="E2295" s="17">
        <v>19970</v>
      </c>
      <c r="F2295" s="18"/>
      <c r="G2295" s="18"/>
      <c r="H2295" s="18"/>
      <c r="I2295" s="18"/>
    </row>
    <row r="2296" ht="21.25" customHeight="1">
      <c r="A2296" s="10">
        <v>45563</v>
      </c>
      <c r="B2296" t="s" s="11">
        <v>89</v>
      </c>
      <c r="C2296" t="s" s="12">
        <v>417</v>
      </c>
      <c r="D2296" s="13">
        <v>19970</v>
      </c>
      <c r="E2296" s="13"/>
      <c r="F2296" s="14"/>
      <c r="G2296" s="14"/>
      <c r="H2296" s="14"/>
      <c r="I2296" s="14"/>
    </row>
    <row r="2297" ht="20.7" customHeight="1">
      <c r="A2297" s="10">
        <v>45563</v>
      </c>
      <c r="B2297" t="s" s="11">
        <v>8</v>
      </c>
      <c r="C2297" t="s" s="12">
        <v>8</v>
      </c>
      <c r="D2297" s="15" cm="1">
        <f t="array" ref="D2297">SUM(D2295:D2296)</f>
        <v>19970</v>
      </c>
      <c r="E2297" s="15" cm="1">
        <f t="array" ref="E2297">SUM(E2295:E2296)</f>
        <v>19970</v>
      </c>
      <c r="F2297" s="16" cm="1">
        <f t="array" ref="F2297">SUM(F2295:F2296)</f>
        <v>0</v>
      </c>
      <c r="G2297" s="16" cm="1">
        <f t="array" ref="G2297">SUM(G2295:G2296)</f>
        <v>0</v>
      </c>
      <c r="H2297" s="16" cm="1">
        <f t="array" ref="H2297">SUM(H2295:H2296)</f>
        <v>0</v>
      </c>
      <c r="I2297" s="16" cm="1">
        <f t="array" ref="I2297">SUM(I2295:I2296)</f>
        <v>0</v>
      </c>
    </row>
    <row r="2298" ht="21.25" customHeight="1">
      <c r="A2298" s="10">
        <v>45563</v>
      </c>
      <c r="B2298" t="s" s="11">
        <v>5</v>
      </c>
      <c r="C2298" t="s" s="12">
        <v>418</v>
      </c>
      <c r="D2298" s="17"/>
      <c r="E2298" s="17">
        <v>39000</v>
      </c>
      <c r="F2298" s="18"/>
      <c r="G2298" s="18"/>
      <c r="H2298" s="18"/>
      <c r="I2298" s="18"/>
    </row>
    <row r="2299" ht="21.25" customHeight="1">
      <c r="A2299" s="10">
        <v>45563</v>
      </c>
      <c r="B2299" t="s" s="11">
        <v>89</v>
      </c>
      <c r="C2299" t="s" s="12">
        <v>418</v>
      </c>
      <c r="D2299" s="13">
        <v>39000</v>
      </c>
      <c r="E2299" s="13"/>
      <c r="F2299" s="14"/>
      <c r="G2299" s="14"/>
      <c r="H2299" s="14"/>
      <c r="I2299" s="14"/>
    </row>
    <row r="2300" ht="20.7" customHeight="1">
      <c r="A2300" s="10">
        <v>45563</v>
      </c>
      <c r="B2300" t="s" s="11">
        <v>8</v>
      </c>
      <c r="C2300" t="s" s="12">
        <v>8</v>
      </c>
      <c r="D2300" s="15" cm="1">
        <f t="array" ref="D2300">SUM(D2298:D2299)</f>
        <v>39000</v>
      </c>
      <c r="E2300" s="15" cm="1">
        <f t="array" ref="E2300">SUM(E2298:E2299)</f>
        <v>39000</v>
      </c>
      <c r="F2300" s="16" cm="1">
        <f t="array" ref="F2300">SUM(F2298:F2299)</f>
        <v>0</v>
      </c>
      <c r="G2300" s="16" cm="1">
        <f t="array" ref="G2300">SUM(G2298:G2299)</f>
        <v>0</v>
      </c>
      <c r="H2300" s="16" cm="1">
        <f t="array" ref="H2300">SUM(H2298:H2299)</f>
        <v>0</v>
      </c>
      <c r="I2300" s="16" cm="1">
        <f t="array" ref="I2300">SUM(I2298:I2299)</f>
        <v>0</v>
      </c>
    </row>
    <row r="2301" ht="20.35" customHeight="1">
      <c r="A2301" s="10">
        <v>45563</v>
      </c>
      <c r="B2301" t="s" s="11">
        <v>5</v>
      </c>
      <c r="C2301" t="s" s="12">
        <v>17</v>
      </c>
      <c r="D2301" s="17">
        <v>100</v>
      </c>
      <c r="E2301" s="17"/>
      <c r="F2301" s="18"/>
      <c r="G2301" s="18"/>
      <c r="H2301" s="18"/>
      <c r="I2301" s="18"/>
    </row>
    <row r="2302" ht="20.35" customHeight="1">
      <c r="A2302" s="10">
        <v>45563</v>
      </c>
      <c r="B2302" t="s" s="11">
        <v>18</v>
      </c>
      <c r="C2302" t="s" s="12">
        <v>17</v>
      </c>
      <c r="D2302" s="13"/>
      <c r="E2302" s="13">
        <v>100</v>
      </c>
      <c r="F2302" s="14"/>
      <c r="G2302" s="14"/>
      <c r="H2302" s="14"/>
      <c r="I2302" s="14"/>
    </row>
    <row r="2303" ht="20.7" customHeight="1">
      <c r="A2303" s="10">
        <v>45563</v>
      </c>
      <c r="B2303" t="s" s="11">
        <v>8</v>
      </c>
      <c r="C2303" t="s" s="12">
        <v>8</v>
      </c>
      <c r="D2303" s="15" cm="1">
        <f t="array" ref="D2303">SUM(D2301:D2302)</f>
        <v>100</v>
      </c>
      <c r="E2303" s="15" cm="1">
        <f t="array" ref="E2303">SUM(E2301:E2302)</f>
        <v>100</v>
      </c>
      <c r="F2303" s="16" cm="1">
        <f t="array" ref="F2303">SUM(F2301:F2302)</f>
        <v>0</v>
      </c>
      <c r="G2303" s="16" cm="1">
        <f t="array" ref="G2303">SUM(G2301:G2302)</f>
        <v>0</v>
      </c>
      <c r="H2303" s="16" cm="1">
        <f t="array" ref="H2303">SUM(H2301:H2302)</f>
        <v>0</v>
      </c>
      <c r="I2303" s="16" cm="1">
        <f t="array" ref="I2303">SUM(I2301:I2302)</f>
        <v>0</v>
      </c>
    </row>
    <row r="2304" ht="21.25" customHeight="1">
      <c r="A2304" s="10">
        <v>45563</v>
      </c>
      <c r="B2304" t="s" s="11">
        <v>5</v>
      </c>
      <c r="C2304" t="s" s="12">
        <v>419</v>
      </c>
      <c r="D2304" s="17"/>
      <c r="E2304" s="17">
        <v>20000</v>
      </c>
      <c r="F2304" s="18"/>
      <c r="G2304" s="18"/>
      <c r="H2304" s="18"/>
      <c r="I2304" s="18"/>
    </row>
    <row r="2305" ht="21.25" customHeight="1">
      <c r="A2305" s="10">
        <v>45563</v>
      </c>
      <c r="B2305" t="s" s="11">
        <v>89</v>
      </c>
      <c r="C2305" t="s" s="12">
        <v>419</v>
      </c>
      <c r="D2305" s="13">
        <v>20000</v>
      </c>
      <c r="E2305" s="13"/>
      <c r="F2305" s="14"/>
      <c r="G2305" s="14"/>
      <c r="H2305" s="14"/>
      <c r="I2305" s="14"/>
    </row>
    <row r="2306" ht="20.7" customHeight="1">
      <c r="A2306" s="10">
        <v>45563</v>
      </c>
      <c r="B2306" t="s" s="11">
        <v>8</v>
      </c>
      <c r="C2306" t="s" s="12">
        <v>8</v>
      </c>
      <c r="D2306" s="15" cm="1">
        <f t="array" ref="D2306">SUM(D2304:D2305)</f>
        <v>20000</v>
      </c>
      <c r="E2306" s="15" cm="1">
        <f t="array" ref="E2306">SUM(E2304:E2305)</f>
        <v>20000</v>
      </c>
      <c r="F2306" s="16" cm="1">
        <f t="array" ref="F2306">SUM(F2304:F2305)</f>
        <v>0</v>
      </c>
      <c r="G2306" s="16" cm="1">
        <f t="array" ref="G2306">SUM(G2304:G2305)</f>
        <v>0</v>
      </c>
      <c r="H2306" s="16" cm="1">
        <f t="array" ref="H2306">SUM(H2304:H2305)</f>
        <v>0</v>
      </c>
      <c r="I2306" s="16" cm="1">
        <f t="array" ref="I2306">SUM(I2304:I2305)</f>
        <v>0</v>
      </c>
    </row>
    <row r="2307" ht="20.35" customHeight="1">
      <c r="A2307" s="10">
        <v>45563</v>
      </c>
      <c r="B2307" t="s" s="11">
        <v>28</v>
      </c>
      <c r="C2307" t="s" s="12">
        <v>420</v>
      </c>
      <c r="D2307" s="17">
        <v>95000</v>
      </c>
      <c r="E2307" s="24"/>
      <c r="F2307" s="18"/>
      <c r="G2307" s="18"/>
      <c r="H2307" s="18"/>
      <c r="I2307" s="18"/>
    </row>
    <row r="2308" ht="20.05" customHeight="1">
      <c r="A2308" s="10">
        <v>45563</v>
      </c>
      <c r="B2308" t="s" s="11">
        <v>91</v>
      </c>
      <c r="C2308" t="s" s="12">
        <v>420</v>
      </c>
      <c r="D2308" s="19"/>
      <c r="E2308" s="25">
        <v>100</v>
      </c>
      <c r="F2308" s="20"/>
      <c r="G2308" s="20"/>
      <c r="H2308" s="20"/>
      <c r="I2308" s="20"/>
    </row>
    <row r="2309" ht="20.35" customHeight="1">
      <c r="A2309" s="10">
        <v>45563</v>
      </c>
      <c r="B2309" t="s" s="11">
        <v>89</v>
      </c>
      <c r="C2309" t="s" s="12">
        <v>420</v>
      </c>
      <c r="D2309" s="13"/>
      <c r="E2309" s="13">
        <v>94900</v>
      </c>
      <c r="F2309" s="14"/>
      <c r="G2309" s="14"/>
      <c r="H2309" s="14"/>
      <c r="I2309" s="14"/>
    </row>
    <row r="2310" ht="20.7" customHeight="1">
      <c r="A2310" s="10">
        <v>45563</v>
      </c>
      <c r="B2310" t="s" s="11">
        <v>8</v>
      </c>
      <c r="C2310" t="s" s="12">
        <v>8</v>
      </c>
      <c r="D2310" s="15" cm="1">
        <f t="array" ref="D2310">SUM(D2307:D2309)</f>
        <v>95000</v>
      </c>
      <c r="E2310" s="15" cm="1">
        <f t="array" ref="E2310">SUM(E2307:E2309)</f>
        <v>95000</v>
      </c>
      <c r="F2310" s="16" cm="1">
        <f t="array" ref="F2310">SUM(F2307:F2309)</f>
        <v>0</v>
      </c>
      <c r="G2310" s="16" cm="1">
        <f t="array" ref="G2310">SUM(G2307:G2309)</f>
        <v>0</v>
      </c>
      <c r="H2310" s="16" cm="1">
        <f t="array" ref="H2310">SUM(H2307:H2309)</f>
        <v>0</v>
      </c>
      <c r="I2310" s="16" cm="1">
        <f t="array" ref="I2310">SUM(I2307:I2309)</f>
        <v>0</v>
      </c>
    </row>
    <row r="2311" ht="21.25" customHeight="1">
      <c r="A2311" s="10">
        <v>45563</v>
      </c>
      <c r="B2311" t="s" s="11">
        <v>28</v>
      </c>
      <c r="C2311" t="s" s="12">
        <v>421</v>
      </c>
      <c r="D2311" s="17"/>
      <c r="E2311" s="17">
        <v>4000</v>
      </c>
      <c r="F2311" s="18"/>
      <c r="G2311" s="18"/>
      <c r="H2311" s="18"/>
      <c r="I2311" s="18"/>
    </row>
    <row r="2312" ht="20.9" customHeight="1">
      <c r="A2312" s="10">
        <v>45563</v>
      </c>
      <c r="B2312" t="s" s="11">
        <v>10</v>
      </c>
      <c r="C2312" t="s" s="12">
        <v>421</v>
      </c>
      <c r="D2312" s="19">
        <v>2000</v>
      </c>
      <c r="E2312" s="19"/>
      <c r="F2312" s="20"/>
      <c r="G2312" s="20"/>
      <c r="H2312" s="20"/>
      <c r="I2312" s="20"/>
    </row>
    <row r="2313" ht="21.25" customHeight="1">
      <c r="A2313" s="10">
        <v>45563</v>
      </c>
      <c r="B2313" t="s" s="11">
        <v>12</v>
      </c>
      <c r="C2313" t="s" s="12">
        <v>421</v>
      </c>
      <c r="D2313" s="13">
        <v>2000</v>
      </c>
      <c r="E2313" s="13"/>
      <c r="F2313" s="14"/>
      <c r="G2313" s="14"/>
      <c r="H2313" s="14"/>
      <c r="I2313" s="14"/>
    </row>
    <row r="2314" ht="20.7" customHeight="1">
      <c r="A2314" s="10">
        <v>45563</v>
      </c>
      <c r="B2314" t="s" s="11">
        <v>8</v>
      </c>
      <c r="C2314" t="s" s="12">
        <v>8</v>
      </c>
      <c r="D2314" s="15" cm="1">
        <f t="array" ref="D2314">SUM(D2311:D2313)</f>
        <v>4000</v>
      </c>
      <c r="E2314" s="15" cm="1">
        <f t="array" ref="E2314">SUM(E2311:E2313)</f>
        <v>4000</v>
      </c>
      <c r="F2314" s="16" cm="1">
        <f t="array" ref="F2314">SUM(F2311:F2313)</f>
        <v>0</v>
      </c>
      <c r="G2314" s="16" cm="1">
        <f t="array" ref="G2314">SUM(G2311:G2313)</f>
        <v>0</v>
      </c>
      <c r="H2314" s="16" cm="1">
        <f t="array" ref="H2314">SUM(H2311:H2313)</f>
        <v>0</v>
      </c>
      <c r="I2314" s="16" cm="1">
        <f t="array" ref="I2314">SUM(I2311:I2313)</f>
        <v>0</v>
      </c>
    </row>
    <row r="2315" ht="21.25" customHeight="1">
      <c r="A2315" s="10">
        <v>45563</v>
      </c>
      <c r="B2315" t="s" s="11">
        <v>21</v>
      </c>
      <c r="C2315" t="s" s="12">
        <v>422</v>
      </c>
      <c r="D2315" s="17"/>
      <c r="E2315" s="17">
        <v>2800</v>
      </c>
      <c r="F2315" s="18"/>
      <c r="G2315" s="18"/>
      <c r="H2315" s="18"/>
      <c r="I2315" s="18"/>
    </row>
    <row r="2316" ht="21.25" customHeight="1">
      <c r="A2316" s="10">
        <v>45563</v>
      </c>
      <c r="B2316" t="s" s="11">
        <v>16</v>
      </c>
      <c r="C2316" t="s" s="12">
        <v>422</v>
      </c>
      <c r="D2316" s="13">
        <v>2800</v>
      </c>
      <c r="E2316" s="13"/>
      <c r="F2316" s="14"/>
      <c r="G2316" s="14"/>
      <c r="H2316" s="14"/>
      <c r="I2316" s="14"/>
    </row>
    <row r="2317" ht="20.7" customHeight="1">
      <c r="A2317" s="10">
        <v>45563</v>
      </c>
      <c r="B2317" t="s" s="11">
        <v>8</v>
      </c>
      <c r="C2317" t="s" s="12">
        <v>8</v>
      </c>
      <c r="D2317" s="15" cm="1">
        <f t="array" ref="D2317">SUM(D2315:D2316)</f>
        <v>2800</v>
      </c>
      <c r="E2317" s="15" cm="1">
        <f t="array" ref="E2317">SUM(E2315:E2316)</f>
        <v>2800</v>
      </c>
      <c r="F2317" s="16" cm="1">
        <f t="array" ref="F2317">SUM(F2315:F2316)</f>
        <v>0</v>
      </c>
      <c r="G2317" s="16" cm="1">
        <f t="array" ref="G2317">SUM(G2315:G2316)</f>
        <v>0</v>
      </c>
      <c r="H2317" s="16" cm="1">
        <f t="array" ref="H2317">SUM(H2315:H2316)</f>
        <v>0</v>
      </c>
      <c r="I2317" s="16" cm="1">
        <f t="array" ref="I2317">SUM(I2315:I2316)</f>
        <v>0</v>
      </c>
    </row>
    <row r="2318" ht="21.25" customHeight="1">
      <c r="A2318" s="10">
        <v>45564</v>
      </c>
      <c r="B2318" t="s" s="11">
        <v>5</v>
      </c>
      <c r="C2318" t="s" s="12">
        <v>418</v>
      </c>
      <c r="D2318" s="17"/>
      <c r="E2318" s="17">
        <v>25400</v>
      </c>
      <c r="F2318" s="18"/>
      <c r="G2318" s="18"/>
      <c r="H2318" s="18"/>
      <c r="I2318" s="18"/>
    </row>
    <row r="2319" ht="21.25" customHeight="1">
      <c r="A2319" s="10">
        <v>45564</v>
      </c>
      <c r="B2319" t="s" s="11">
        <v>89</v>
      </c>
      <c r="C2319" t="s" s="12">
        <v>418</v>
      </c>
      <c r="D2319" s="13">
        <v>25400</v>
      </c>
      <c r="E2319" s="13"/>
      <c r="F2319" s="14"/>
      <c r="G2319" s="14"/>
      <c r="H2319" s="14"/>
      <c r="I2319" s="14"/>
    </row>
    <row r="2320" ht="20.7" customHeight="1">
      <c r="A2320" s="10">
        <v>45564</v>
      </c>
      <c r="B2320" t="s" s="11">
        <v>8</v>
      </c>
      <c r="C2320" t="s" s="12">
        <v>8</v>
      </c>
      <c r="D2320" s="15" cm="1">
        <f t="array" ref="D2320">SUM(D2318:D2319)</f>
        <v>25400</v>
      </c>
      <c r="E2320" s="15" cm="1">
        <f t="array" ref="E2320">SUM(E2318:E2319)</f>
        <v>25400</v>
      </c>
      <c r="F2320" s="16" cm="1">
        <f t="array" ref="F2320">SUM(F2318:F2319)</f>
        <v>0</v>
      </c>
      <c r="G2320" s="16" cm="1">
        <f t="array" ref="G2320">SUM(G2318:G2319)</f>
        <v>0</v>
      </c>
      <c r="H2320" s="16" cm="1">
        <f t="array" ref="H2320">SUM(H2318:H2319)</f>
        <v>0</v>
      </c>
      <c r="I2320" s="16" cm="1">
        <f t="array" ref="I2320">SUM(I2318:I2319)</f>
        <v>0</v>
      </c>
    </row>
    <row r="2321" ht="20.35" customHeight="1">
      <c r="A2321" s="10">
        <v>45564</v>
      </c>
      <c r="B2321" t="s" s="11">
        <v>5</v>
      </c>
      <c r="C2321" t="s" s="12">
        <v>17</v>
      </c>
      <c r="D2321" s="17">
        <v>100</v>
      </c>
      <c r="E2321" s="17"/>
      <c r="F2321" s="18"/>
      <c r="G2321" s="18"/>
      <c r="H2321" s="18"/>
      <c r="I2321" s="18"/>
    </row>
    <row r="2322" ht="20.35" customHeight="1">
      <c r="A2322" s="10">
        <v>45564</v>
      </c>
      <c r="B2322" t="s" s="11">
        <v>18</v>
      </c>
      <c r="C2322" t="s" s="12">
        <v>17</v>
      </c>
      <c r="D2322" s="13"/>
      <c r="E2322" s="13">
        <v>100</v>
      </c>
      <c r="F2322" s="14"/>
      <c r="G2322" s="14"/>
      <c r="H2322" s="14"/>
      <c r="I2322" s="14"/>
    </row>
    <row r="2323" ht="20.7" customHeight="1">
      <c r="A2323" s="10">
        <v>45564</v>
      </c>
      <c r="B2323" t="s" s="11">
        <v>8</v>
      </c>
      <c r="C2323" t="s" s="12">
        <v>8</v>
      </c>
      <c r="D2323" s="15" cm="1">
        <f t="array" ref="D2323">SUM(D2321:D2322)</f>
        <v>100</v>
      </c>
      <c r="E2323" s="15" cm="1">
        <f t="array" ref="E2323">SUM(E2321:E2322)</f>
        <v>100</v>
      </c>
      <c r="F2323" s="16" cm="1">
        <f t="array" ref="F2323">SUM(F2321:F2322)</f>
        <v>0</v>
      </c>
      <c r="G2323" s="16" cm="1">
        <f t="array" ref="G2323">SUM(G2321:G2322)</f>
        <v>0</v>
      </c>
      <c r="H2323" s="16" cm="1">
        <f t="array" ref="H2323">SUM(H2321:H2322)</f>
        <v>0</v>
      </c>
      <c r="I2323" s="16" cm="1">
        <f t="array" ref="I2323">SUM(I2321:I2322)</f>
        <v>0</v>
      </c>
    </row>
    <row r="2324" ht="20.65" customHeight="1">
      <c r="A2324" s="10">
        <v>45564</v>
      </c>
      <c r="B2324" t="s" s="11">
        <v>5</v>
      </c>
      <c r="C2324" t="s" s="12">
        <v>423</v>
      </c>
      <c r="D2324" s="17"/>
      <c r="E2324" s="17">
        <v>66000</v>
      </c>
      <c r="F2324" s="18"/>
      <c r="G2324" s="18"/>
      <c r="H2324" s="18"/>
      <c r="I2324" s="18"/>
    </row>
    <row r="2325" ht="20.65" customHeight="1">
      <c r="A2325" s="10">
        <v>45564</v>
      </c>
      <c r="B2325" t="s" s="11">
        <v>12</v>
      </c>
      <c r="C2325" t="s" s="12">
        <v>423</v>
      </c>
      <c r="D2325" s="13">
        <v>66000</v>
      </c>
      <c r="E2325" s="13"/>
      <c r="F2325" s="14"/>
      <c r="G2325" s="14"/>
      <c r="H2325" s="14"/>
      <c r="I2325" s="14"/>
    </row>
    <row r="2326" ht="20.7" customHeight="1">
      <c r="A2326" s="10">
        <v>45564</v>
      </c>
      <c r="B2326" t="s" s="11">
        <v>8</v>
      </c>
      <c r="C2326" t="s" s="12">
        <v>8</v>
      </c>
      <c r="D2326" s="15" cm="1">
        <f t="array" ref="D2326">SUM(D2324:D2325)</f>
        <v>66000</v>
      </c>
      <c r="E2326" s="15" cm="1">
        <f t="array" ref="E2326">SUM(E2324:E2325)</f>
        <v>66000</v>
      </c>
      <c r="F2326" s="16" cm="1">
        <f t="array" ref="F2326">SUM(F2324:F2325)</f>
        <v>0</v>
      </c>
      <c r="G2326" s="16" cm="1">
        <f t="array" ref="G2326">SUM(G2324:G2325)</f>
        <v>0</v>
      </c>
      <c r="H2326" s="16" cm="1">
        <f t="array" ref="H2326">SUM(H2324:H2325)</f>
        <v>0</v>
      </c>
      <c r="I2326" s="16" cm="1">
        <f t="array" ref="I2326">SUM(I2324:I2325)</f>
        <v>0</v>
      </c>
    </row>
    <row r="2327" ht="20.65" customHeight="1">
      <c r="A2327" s="10">
        <v>45564</v>
      </c>
      <c r="B2327" t="s" s="11">
        <v>5</v>
      </c>
      <c r="C2327" t="s" s="12">
        <v>423</v>
      </c>
      <c r="D2327" s="17"/>
      <c r="E2327" s="17">
        <v>33500</v>
      </c>
      <c r="F2327" s="18"/>
      <c r="G2327" s="18"/>
      <c r="H2327" s="18"/>
      <c r="I2327" s="18"/>
    </row>
    <row r="2328" ht="20.65" customHeight="1">
      <c r="A2328" s="10">
        <v>45564</v>
      </c>
      <c r="B2328" t="s" s="11">
        <v>12</v>
      </c>
      <c r="C2328" t="s" s="12">
        <v>423</v>
      </c>
      <c r="D2328" s="13">
        <v>33500</v>
      </c>
      <c r="E2328" s="13"/>
      <c r="F2328" s="14"/>
      <c r="G2328" s="14"/>
      <c r="H2328" s="14"/>
      <c r="I2328" s="14"/>
    </row>
    <row r="2329" ht="20.7" customHeight="1">
      <c r="A2329" s="10">
        <v>45564</v>
      </c>
      <c r="B2329" t="s" s="11">
        <v>8</v>
      </c>
      <c r="C2329" t="s" s="12">
        <v>8</v>
      </c>
      <c r="D2329" s="15" cm="1">
        <f t="array" ref="D2329">SUM(D2327:D2328)</f>
        <v>33500</v>
      </c>
      <c r="E2329" s="15" cm="1">
        <f t="array" ref="E2329">SUM(E2327:E2328)</f>
        <v>33500</v>
      </c>
      <c r="F2329" s="16" cm="1">
        <f t="array" ref="F2329">SUM(F2327:F2328)</f>
        <v>0</v>
      </c>
      <c r="G2329" s="16" cm="1">
        <f t="array" ref="G2329">SUM(G2327:G2328)</f>
        <v>0</v>
      </c>
      <c r="H2329" s="16" cm="1">
        <f t="array" ref="H2329">SUM(H2327:H2328)</f>
        <v>0</v>
      </c>
      <c r="I2329" s="16" cm="1">
        <f t="array" ref="I2329">SUM(I2327:I2328)</f>
        <v>0</v>
      </c>
    </row>
    <row r="2330" ht="21.25" customHeight="1">
      <c r="A2330" s="10">
        <v>45564</v>
      </c>
      <c r="B2330" t="s" s="11">
        <v>21</v>
      </c>
      <c r="C2330" t="s" s="12">
        <v>424</v>
      </c>
      <c r="D2330" s="17"/>
      <c r="E2330" s="17">
        <v>1400</v>
      </c>
      <c r="F2330" s="18"/>
      <c r="G2330" s="18"/>
      <c r="H2330" s="18"/>
      <c r="I2330" s="18"/>
    </row>
    <row r="2331" ht="21.25" customHeight="1">
      <c r="A2331" s="10">
        <v>45564</v>
      </c>
      <c r="B2331" t="s" s="11">
        <v>16</v>
      </c>
      <c r="C2331" t="s" s="12">
        <v>424</v>
      </c>
      <c r="D2331" s="13">
        <v>1400</v>
      </c>
      <c r="E2331" s="13"/>
      <c r="F2331" s="14"/>
      <c r="G2331" s="14"/>
      <c r="H2331" s="14"/>
      <c r="I2331" s="14"/>
    </row>
    <row r="2332" ht="20.7" customHeight="1">
      <c r="A2332" s="10">
        <v>45564</v>
      </c>
      <c r="B2332" t="s" s="11">
        <v>8</v>
      </c>
      <c r="C2332" t="s" s="12">
        <v>8</v>
      </c>
      <c r="D2332" s="15" cm="1">
        <f t="array" ref="D2332">SUM(D2330:D2331)</f>
        <v>1400</v>
      </c>
      <c r="E2332" s="15" cm="1">
        <f t="array" ref="E2332">SUM(E2330:E2331)</f>
        <v>1400</v>
      </c>
      <c r="F2332" s="16" cm="1">
        <f t="array" ref="F2332">SUM(F2330:F2331)</f>
        <v>0</v>
      </c>
      <c r="G2332" s="16" cm="1">
        <f t="array" ref="G2332">SUM(G2330:G2331)</f>
        <v>0</v>
      </c>
      <c r="H2332" s="16" cm="1">
        <f t="array" ref="H2332">SUM(H2330:H2331)</f>
        <v>0</v>
      </c>
      <c r="I2332" s="16" cm="1">
        <f t="array" ref="I2332">SUM(I2330:I2331)</f>
        <v>0</v>
      </c>
    </row>
    <row r="2333" ht="21.25" customHeight="1">
      <c r="A2333" s="10">
        <v>45564</v>
      </c>
      <c r="B2333" t="s" s="11">
        <v>5</v>
      </c>
      <c r="C2333" t="s" s="12">
        <v>425</v>
      </c>
      <c r="D2333" s="17"/>
      <c r="E2333" s="17">
        <v>9900</v>
      </c>
      <c r="F2333" s="18"/>
      <c r="G2333" s="18"/>
      <c r="H2333" s="18"/>
      <c r="I2333" s="18"/>
    </row>
    <row r="2334" ht="21.25" customHeight="1">
      <c r="A2334" s="10">
        <v>45564</v>
      </c>
      <c r="B2334" t="s" s="11">
        <v>12</v>
      </c>
      <c r="C2334" t="s" s="12">
        <v>425</v>
      </c>
      <c r="D2334" s="13">
        <v>9900</v>
      </c>
      <c r="E2334" s="13"/>
      <c r="F2334" s="14"/>
      <c r="G2334" s="14"/>
      <c r="H2334" s="14"/>
      <c r="I2334" s="14"/>
    </row>
    <row r="2335" ht="20.7" customHeight="1">
      <c r="A2335" s="10">
        <v>45564</v>
      </c>
      <c r="B2335" t="s" s="11">
        <v>8</v>
      </c>
      <c r="C2335" t="s" s="12">
        <v>8</v>
      </c>
      <c r="D2335" s="15" cm="1">
        <f t="array" ref="D2335">SUM(D2333:D2334)</f>
        <v>9900</v>
      </c>
      <c r="E2335" s="15" cm="1">
        <f t="array" ref="E2335">SUM(E2333:E2334)</f>
        <v>9900</v>
      </c>
      <c r="F2335" s="16" cm="1">
        <f t="array" ref="F2335">SUM(F2333:F2334)</f>
        <v>0</v>
      </c>
      <c r="G2335" s="16" cm="1">
        <f t="array" ref="G2335">SUM(G2333:G2334)</f>
        <v>0</v>
      </c>
      <c r="H2335" s="16" cm="1">
        <f t="array" ref="H2335">SUM(H2333:H2334)</f>
        <v>0</v>
      </c>
      <c r="I2335" s="16" cm="1">
        <f t="array" ref="I2335">SUM(I2333:I2334)</f>
        <v>0</v>
      </c>
    </row>
    <row r="2336" ht="21.25" customHeight="1">
      <c r="A2336" s="10">
        <v>45564</v>
      </c>
      <c r="B2336" t="s" s="11">
        <v>21</v>
      </c>
      <c r="C2336" t="s" s="12">
        <v>426</v>
      </c>
      <c r="D2336" s="17"/>
      <c r="E2336" s="17">
        <v>3000</v>
      </c>
      <c r="F2336" s="18"/>
      <c r="G2336" s="18"/>
      <c r="H2336" s="18"/>
      <c r="I2336" s="18"/>
    </row>
    <row r="2337" ht="21.25" customHeight="1">
      <c r="A2337" s="10">
        <v>45564</v>
      </c>
      <c r="B2337" t="s" s="11">
        <v>16</v>
      </c>
      <c r="C2337" t="s" s="12">
        <v>426</v>
      </c>
      <c r="D2337" s="13">
        <v>3000</v>
      </c>
      <c r="E2337" s="13"/>
      <c r="F2337" s="14"/>
      <c r="G2337" s="14"/>
      <c r="H2337" s="14"/>
      <c r="I2337" s="14"/>
    </row>
    <row r="2338" ht="20.7" customHeight="1">
      <c r="A2338" s="10">
        <v>45564</v>
      </c>
      <c r="B2338" t="s" s="11">
        <v>8</v>
      </c>
      <c r="C2338" t="s" s="12">
        <v>8</v>
      </c>
      <c r="D2338" s="15" cm="1">
        <f t="array" ref="D2338">SUM(D2336:D2337)</f>
        <v>3000</v>
      </c>
      <c r="E2338" s="15" cm="1">
        <f t="array" ref="E2338">SUM(E2336:E2337)</f>
        <v>3000</v>
      </c>
      <c r="F2338" s="16" cm="1">
        <f t="array" ref="F2338">SUM(F2336:F2337)</f>
        <v>0</v>
      </c>
      <c r="G2338" s="16" cm="1">
        <f t="array" ref="G2338">SUM(G2336:G2337)</f>
        <v>0</v>
      </c>
      <c r="H2338" s="16" cm="1">
        <f t="array" ref="H2338">SUM(H2336:H2337)</f>
        <v>0</v>
      </c>
      <c r="I2338" s="16" cm="1">
        <f t="array" ref="I2338">SUM(I2336:I2337)</f>
        <v>0</v>
      </c>
    </row>
    <row r="2339" ht="20.35" customHeight="1">
      <c r="A2339" s="10">
        <v>45565</v>
      </c>
      <c r="B2339" t="s" s="11">
        <v>93</v>
      </c>
      <c r="C2339" t="s" s="12">
        <v>368</v>
      </c>
      <c r="D2339" s="17">
        <v>500000</v>
      </c>
      <c r="E2339" s="17"/>
      <c r="F2339" s="18"/>
      <c r="G2339" s="18"/>
      <c r="H2339" s="18"/>
      <c r="I2339" s="18"/>
    </row>
    <row r="2340" ht="20.35" customHeight="1">
      <c r="A2340" s="10">
        <v>45565</v>
      </c>
      <c r="B2340" t="s" s="11">
        <v>89</v>
      </c>
      <c r="C2340" t="s" s="12">
        <v>368</v>
      </c>
      <c r="D2340" s="13"/>
      <c r="E2340" s="13">
        <v>500000</v>
      </c>
      <c r="F2340" s="14"/>
      <c r="G2340" s="14"/>
      <c r="H2340" s="14"/>
      <c r="I2340" s="14"/>
    </row>
    <row r="2341" ht="20.7" customHeight="1">
      <c r="A2341" s="10">
        <v>45565</v>
      </c>
      <c r="B2341" t="s" s="11">
        <v>8</v>
      </c>
      <c r="C2341" t="s" s="12">
        <v>8</v>
      </c>
      <c r="D2341" s="15" cm="1">
        <f t="array" ref="D2341">SUM(D2339:D2340)</f>
        <v>500000</v>
      </c>
      <c r="E2341" s="15" cm="1">
        <f t="array" ref="E2341">SUM(E2339:E2340)</f>
        <v>500000</v>
      </c>
      <c r="F2341" s="16" cm="1">
        <f t="array" ref="F2341">SUM(F2339:F2340)</f>
        <v>0</v>
      </c>
      <c r="G2341" s="16" cm="1">
        <f t="array" ref="G2341">SUM(G2339:G2340)</f>
        <v>0</v>
      </c>
      <c r="H2341" s="16" cm="1">
        <f t="array" ref="H2341">SUM(H2339:H2340)</f>
        <v>0</v>
      </c>
      <c r="I2341" s="16" cm="1">
        <f t="array" ref="I2341">SUM(I2339:I2340)</f>
        <v>0</v>
      </c>
    </row>
    <row r="2342" ht="20.35" customHeight="1">
      <c r="A2342" s="10">
        <v>45565</v>
      </c>
      <c r="B2342" t="s" s="11">
        <v>5</v>
      </c>
      <c r="C2342" t="s" s="12">
        <v>96</v>
      </c>
      <c r="D2342" s="17">
        <v>500000</v>
      </c>
      <c r="E2342" s="17"/>
      <c r="F2342" s="18"/>
      <c r="G2342" s="18"/>
      <c r="H2342" s="18"/>
      <c r="I2342" s="18"/>
    </row>
    <row r="2343" ht="20.35" customHeight="1">
      <c r="A2343" s="10">
        <v>45565</v>
      </c>
      <c r="B2343" t="s" s="11">
        <v>93</v>
      </c>
      <c r="C2343" t="s" s="12">
        <v>96</v>
      </c>
      <c r="D2343" s="13"/>
      <c r="E2343" s="13">
        <v>500000</v>
      </c>
      <c r="F2343" s="14"/>
      <c r="G2343" s="14"/>
      <c r="H2343" s="14"/>
      <c r="I2343" s="14"/>
    </row>
    <row r="2344" ht="20.7" customHeight="1">
      <c r="A2344" s="10">
        <v>45565</v>
      </c>
      <c r="B2344" t="s" s="11">
        <v>8</v>
      </c>
      <c r="C2344" t="s" s="12">
        <v>8</v>
      </c>
      <c r="D2344" s="15" cm="1">
        <f t="array" ref="D2344">SUM(D2342:D2343)</f>
        <v>500000</v>
      </c>
      <c r="E2344" s="15" cm="1">
        <f t="array" ref="E2344">SUM(E2342:E2343)</f>
        <v>500000</v>
      </c>
      <c r="F2344" s="16" cm="1">
        <f t="array" ref="F2344">SUM(F2342:F2343)</f>
        <v>0</v>
      </c>
      <c r="G2344" s="16" cm="1">
        <f t="array" ref="G2344">SUM(G2342:G2343)</f>
        <v>0</v>
      </c>
      <c r="H2344" s="16" cm="1">
        <f t="array" ref="H2344">SUM(H2342:H2343)</f>
        <v>0</v>
      </c>
      <c r="I2344" s="16" cm="1">
        <f t="array" ref="I2344">SUM(I2342:I2343)</f>
        <v>0</v>
      </c>
    </row>
    <row r="2345" ht="20.65" customHeight="1">
      <c r="A2345" s="10">
        <v>45565</v>
      </c>
      <c r="B2345" t="s" s="11">
        <v>5</v>
      </c>
      <c r="C2345" t="s" s="12">
        <v>427</v>
      </c>
      <c r="D2345" s="17"/>
      <c r="E2345" s="17">
        <v>13500</v>
      </c>
      <c r="F2345" s="18"/>
      <c r="G2345" s="18"/>
      <c r="H2345" s="18"/>
      <c r="I2345" s="18"/>
    </row>
    <row r="2346" ht="20.35" customHeight="1">
      <c r="A2346" s="10">
        <v>45565</v>
      </c>
      <c r="B2346" t="s" s="11">
        <v>10</v>
      </c>
      <c r="C2346" t="s" s="12">
        <v>427</v>
      </c>
      <c r="D2346" s="19">
        <v>4500</v>
      </c>
      <c r="E2346" s="19"/>
      <c r="F2346" s="20"/>
      <c r="G2346" s="20"/>
      <c r="H2346" s="20"/>
      <c r="I2346" s="20"/>
    </row>
    <row r="2347" ht="20.65" customHeight="1">
      <c r="A2347" s="10">
        <v>45565</v>
      </c>
      <c r="B2347" t="s" s="11">
        <v>12</v>
      </c>
      <c r="C2347" t="s" s="12">
        <v>427</v>
      </c>
      <c r="D2347" s="13">
        <v>9000</v>
      </c>
      <c r="E2347" s="13"/>
      <c r="F2347" s="14"/>
      <c r="G2347" s="14"/>
      <c r="H2347" s="14"/>
      <c r="I2347" s="14"/>
    </row>
    <row r="2348" ht="20.7" customHeight="1">
      <c r="A2348" s="10">
        <v>45565</v>
      </c>
      <c r="B2348" t="s" s="11">
        <v>8</v>
      </c>
      <c r="C2348" t="s" s="12">
        <v>8</v>
      </c>
      <c r="D2348" s="15" cm="1">
        <f t="array" ref="D2348">SUM(D2345:D2347)</f>
        <v>13500</v>
      </c>
      <c r="E2348" s="15" cm="1">
        <f t="array" ref="E2348">SUM(E2345:E2347)</f>
        <v>13500</v>
      </c>
      <c r="F2348" s="16" cm="1">
        <f t="array" ref="F2348">SUM(F2345:F2347)</f>
        <v>0</v>
      </c>
      <c r="G2348" s="16" cm="1">
        <f t="array" ref="G2348">SUM(G2345:G2347)</f>
        <v>0</v>
      </c>
      <c r="H2348" s="16" cm="1">
        <f t="array" ref="H2348">SUM(H2345:H2347)</f>
        <v>0</v>
      </c>
      <c r="I2348" s="16" cm="1">
        <f t="array" ref="I2348">SUM(I2345:I2347)</f>
        <v>0</v>
      </c>
    </row>
    <row r="2349" ht="20.35" customHeight="1">
      <c r="A2349" s="10">
        <v>45565</v>
      </c>
      <c r="B2349" t="s" s="11">
        <v>5</v>
      </c>
      <c r="C2349" t="s" s="12">
        <v>202</v>
      </c>
      <c r="D2349" s="17"/>
      <c r="E2349" s="17">
        <v>10000</v>
      </c>
      <c r="F2349" s="18"/>
      <c r="G2349" s="18"/>
      <c r="H2349" s="18"/>
      <c r="I2349" s="18"/>
    </row>
    <row r="2350" ht="20.35" customHeight="1">
      <c r="A2350" s="10">
        <v>45565</v>
      </c>
      <c r="B2350" t="s" s="11">
        <v>93</v>
      </c>
      <c r="C2350" t="s" s="12">
        <v>202</v>
      </c>
      <c r="D2350" s="13">
        <v>10000</v>
      </c>
      <c r="E2350" s="13"/>
      <c r="F2350" s="14"/>
      <c r="G2350" s="14"/>
      <c r="H2350" s="14"/>
      <c r="I2350" s="14"/>
    </row>
    <row r="2351" ht="20.7" customHeight="1">
      <c r="A2351" s="10">
        <v>45565</v>
      </c>
      <c r="B2351" t="s" s="11">
        <v>8</v>
      </c>
      <c r="C2351" t="s" s="12">
        <v>8</v>
      </c>
      <c r="D2351" s="15" cm="1">
        <f t="array" ref="D2351">SUM(D2349:D2350)</f>
        <v>10000</v>
      </c>
      <c r="E2351" s="15" cm="1">
        <f t="array" ref="E2351">SUM(E2349:E2350)</f>
        <v>10000</v>
      </c>
      <c r="F2351" s="16" cm="1">
        <f t="array" ref="F2351">SUM(F2349:F2350)</f>
        <v>0</v>
      </c>
      <c r="G2351" s="16" cm="1">
        <f t="array" ref="G2351">SUM(G2349:G2350)</f>
        <v>0</v>
      </c>
      <c r="H2351" s="16" cm="1">
        <f t="array" ref="H2351">SUM(H2349:H2350)</f>
        <v>0</v>
      </c>
      <c r="I2351" s="16" cm="1">
        <f t="array" ref="I2351">SUM(I2349:I2350)</f>
        <v>0</v>
      </c>
    </row>
    <row r="2352" ht="20.65" customHeight="1">
      <c r="A2352" s="10">
        <v>45565</v>
      </c>
      <c r="B2352" t="s" s="11">
        <v>93</v>
      </c>
      <c r="C2352" t="s" s="12">
        <v>428</v>
      </c>
      <c r="D2352" s="17"/>
      <c r="E2352" s="17">
        <v>3807</v>
      </c>
      <c r="F2352" s="18"/>
      <c r="G2352" s="18"/>
      <c r="H2352" s="18"/>
      <c r="I2352" s="18"/>
    </row>
    <row r="2353" ht="20.65" customHeight="1">
      <c r="A2353" s="10">
        <v>45565</v>
      </c>
      <c r="B2353" t="s" s="11">
        <v>12</v>
      </c>
      <c r="C2353" t="s" s="12">
        <v>428</v>
      </c>
      <c r="D2353" s="13">
        <v>3807</v>
      </c>
      <c r="E2353" s="13"/>
      <c r="F2353" s="14"/>
      <c r="G2353" s="14"/>
      <c r="H2353" s="14"/>
      <c r="I2353" s="14"/>
    </row>
    <row r="2354" ht="20.7" customHeight="1">
      <c r="A2354" s="10">
        <v>45565</v>
      </c>
      <c r="B2354" t="s" s="11">
        <v>8</v>
      </c>
      <c r="C2354" t="s" s="12">
        <v>8</v>
      </c>
      <c r="D2354" s="15" cm="1">
        <f t="array" ref="D2354">SUM(D2352:D2353)</f>
        <v>3807</v>
      </c>
      <c r="E2354" s="15" cm="1">
        <f t="array" ref="E2354">SUM(E2352:E2353)</f>
        <v>3807</v>
      </c>
      <c r="F2354" s="16" cm="1">
        <f t="array" ref="F2354">SUM(F2352:F2353)</f>
        <v>0</v>
      </c>
      <c r="G2354" s="16" cm="1">
        <f t="array" ref="G2354">SUM(G2352:G2353)</f>
        <v>0</v>
      </c>
      <c r="H2354" s="16" cm="1">
        <f t="array" ref="H2354">SUM(H2352:H2353)</f>
        <v>0</v>
      </c>
      <c r="I2354" s="16" cm="1">
        <f t="array" ref="I2354">SUM(I2352:I2353)</f>
        <v>0</v>
      </c>
    </row>
    <row r="2355" ht="20.35" customHeight="1">
      <c r="A2355" s="10">
        <v>45565</v>
      </c>
      <c r="B2355" t="s" s="11">
        <v>5</v>
      </c>
      <c r="C2355" t="s" s="12">
        <v>17</v>
      </c>
      <c r="D2355" s="17">
        <v>100</v>
      </c>
      <c r="E2355" s="17"/>
      <c r="F2355" s="18"/>
      <c r="G2355" s="18"/>
      <c r="H2355" s="18"/>
      <c r="I2355" s="18"/>
    </row>
    <row r="2356" ht="20.35" customHeight="1">
      <c r="A2356" s="10">
        <v>45565</v>
      </c>
      <c r="B2356" t="s" s="11">
        <v>18</v>
      </c>
      <c r="C2356" t="s" s="12">
        <v>17</v>
      </c>
      <c r="D2356" s="13"/>
      <c r="E2356" s="13">
        <v>100</v>
      </c>
      <c r="F2356" s="14"/>
      <c r="G2356" s="14"/>
      <c r="H2356" s="14"/>
      <c r="I2356" s="14"/>
    </row>
    <row r="2357" ht="20.7" customHeight="1">
      <c r="A2357" s="10">
        <v>45565</v>
      </c>
      <c r="B2357" t="s" s="11">
        <v>8</v>
      </c>
      <c r="C2357" t="s" s="12">
        <v>8</v>
      </c>
      <c r="D2357" s="15" cm="1">
        <f t="array" ref="D2357">SUM(D2355:D2356)</f>
        <v>100</v>
      </c>
      <c r="E2357" s="15" cm="1">
        <f t="array" ref="E2357">SUM(E2355:E2356)</f>
        <v>100</v>
      </c>
      <c r="F2357" s="16" cm="1">
        <f t="array" ref="F2357">SUM(F2355:F2356)</f>
        <v>0</v>
      </c>
      <c r="G2357" s="16" cm="1">
        <f t="array" ref="G2357">SUM(G2355:G2356)</f>
        <v>0</v>
      </c>
      <c r="H2357" s="16" cm="1">
        <f t="array" ref="H2357">SUM(H2355:H2356)</f>
        <v>0</v>
      </c>
      <c r="I2357" s="16" cm="1">
        <f t="array" ref="I2357">SUM(I2355:I2356)</f>
        <v>0</v>
      </c>
    </row>
    <row r="2358" ht="20.65" customHeight="1">
      <c r="A2358" s="10">
        <v>45565</v>
      </c>
      <c r="B2358" t="s" s="11">
        <v>5</v>
      </c>
      <c r="C2358" t="s" s="12">
        <v>429</v>
      </c>
      <c r="D2358" s="17"/>
      <c r="E2358" s="17">
        <v>252400</v>
      </c>
      <c r="F2358" s="18"/>
      <c r="G2358" s="18"/>
      <c r="H2358" s="18"/>
      <c r="I2358" s="18"/>
    </row>
    <row r="2359" ht="20.35" customHeight="1">
      <c r="A2359" s="10">
        <v>45565</v>
      </c>
      <c r="B2359" t="s" s="11">
        <v>10</v>
      </c>
      <c r="C2359" t="s" s="12">
        <v>429</v>
      </c>
      <c r="D2359" s="19" cm="1">
        <f t="array" ref="D2359">252400*5/6</f>
        <v>210333.333333333</v>
      </c>
      <c r="E2359" s="19"/>
      <c r="F2359" s="20"/>
      <c r="G2359" s="20"/>
      <c r="H2359" s="20"/>
      <c r="I2359" s="20"/>
    </row>
    <row r="2360" ht="20.65" customHeight="1">
      <c r="A2360" s="10">
        <v>45565</v>
      </c>
      <c r="B2360" t="s" s="11">
        <v>12</v>
      </c>
      <c r="C2360" t="s" s="12">
        <v>429</v>
      </c>
      <c r="D2360" s="13" cm="1">
        <f t="array" ref="D2360">252400/6</f>
        <v>42066.6666666667</v>
      </c>
      <c r="E2360" s="13"/>
      <c r="F2360" s="14"/>
      <c r="G2360" s="14"/>
      <c r="H2360" s="14"/>
      <c r="I2360" s="14"/>
    </row>
    <row r="2361" ht="20.7" customHeight="1">
      <c r="A2361" s="10">
        <v>45565</v>
      </c>
      <c r="B2361" t="s" s="11">
        <v>8</v>
      </c>
      <c r="C2361" t="s" s="12">
        <v>8</v>
      </c>
      <c r="D2361" s="15" cm="1">
        <f t="array" ref="D2361">SUM(D2358:D2360)</f>
        <v>252400</v>
      </c>
      <c r="E2361" s="15" cm="1">
        <f t="array" ref="E2361">SUM(E2358:E2360)</f>
        <v>252400</v>
      </c>
      <c r="F2361" s="16" cm="1">
        <f t="array" ref="F2361">SUM(F2358:F2360)</f>
        <v>0</v>
      </c>
      <c r="G2361" s="16" cm="1">
        <f t="array" ref="G2361">SUM(G2358:G2360)</f>
        <v>0</v>
      </c>
      <c r="H2361" s="16" cm="1">
        <f t="array" ref="H2361">SUM(H2358:H2360)</f>
        <v>0</v>
      </c>
      <c r="I2361" s="16" cm="1">
        <f t="array" ref="I2361">SUM(I2358:I2360)</f>
        <v>0</v>
      </c>
    </row>
    <row r="2362" ht="21.25" customHeight="1">
      <c r="A2362" s="10">
        <v>45566</v>
      </c>
      <c r="B2362" t="s" s="11">
        <v>32</v>
      </c>
      <c r="C2362" t="s" s="12">
        <v>430</v>
      </c>
      <c r="D2362" s="17"/>
      <c r="E2362" s="17">
        <v>150000</v>
      </c>
      <c r="F2362" s="18"/>
      <c r="G2362" s="18"/>
      <c r="H2362" s="18"/>
      <c r="I2362" s="18"/>
    </row>
    <row r="2363" ht="21.25" customHeight="1">
      <c r="A2363" s="10">
        <v>45566</v>
      </c>
      <c r="B2363" t="s" s="11">
        <v>101</v>
      </c>
      <c r="C2363" t="s" s="12">
        <v>430</v>
      </c>
      <c r="D2363" s="13">
        <v>150000</v>
      </c>
      <c r="E2363" s="13"/>
      <c r="F2363" s="14"/>
      <c r="G2363" s="14"/>
      <c r="H2363" s="14"/>
      <c r="I2363" s="14"/>
    </row>
    <row r="2364" ht="20.7" customHeight="1">
      <c r="A2364" s="10">
        <v>45566</v>
      </c>
      <c r="B2364" t="s" s="11">
        <v>8</v>
      </c>
      <c r="C2364" t="s" s="12">
        <v>8</v>
      </c>
      <c r="D2364" s="15" cm="1">
        <f t="array" ref="D2364">SUM(D2362:D2363)</f>
        <v>150000</v>
      </c>
      <c r="E2364" s="15" cm="1">
        <f t="array" ref="E2364">SUM(E2362:E2363)</f>
        <v>150000</v>
      </c>
      <c r="F2364" s="16" cm="1">
        <f t="array" ref="F2364">SUM(F2362:F2363)</f>
        <v>0</v>
      </c>
      <c r="G2364" s="16" cm="1">
        <f t="array" ref="G2364">SUM(G2362:G2363)</f>
        <v>0</v>
      </c>
      <c r="H2364" s="16" cm="1">
        <f t="array" ref="H2364">SUM(H2362:H2363)</f>
        <v>0</v>
      </c>
      <c r="I2364" s="16" cm="1">
        <f t="array" ref="I2364">SUM(I2362:I2363)</f>
        <v>0</v>
      </c>
    </row>
    <row r="2365" ht="21.25" customHeight="1">
      <c r="A2365" s="10">
        <v>45566</v>
      </c>
      <c r="B2365" t="s" s="11">
        <v>97</v>
      </c>
      <c r="C2365" t="s" s="12">
        <v>431</v>
      </c>
      <c r="D2365" s="17"/>
      <c r="E2365" s="17">
        <v>650000</v>
      </c>
      <c r="F2365" s="18"/>
      <c r="G2365" s="18"/>
      <c r="H2365" s="18"/>
      <c r="I2365" s="18"/>
    </row>
    <row r="2366" ht="21.25" customHeight="1">
      <c r="A2366" s="10">
        <v>45566</v>
      </c>
      <c r="B2366" t="s" s="11">
        <v>99</v>
      </c>
      <c r="C2366" t="s" s="12">
        <v>431</v>
      </c>
      <c r="D2366" s="13">
        <v>650000</v>
      </c>
      <c r="E2366" s="13"/>
      <c r="F2366" s="14"/>
      <c r="G2366" s="14"/>
      <c r="H2366" s="14"/>
      <c r="I2366" s="14"/>
    </row>
    <row r="2367" ht="20.7" customHeight="1">
      <c r="A2367" s="10">
        <v>45566</v>
      </c>
      <c r="B2367" t="s" s="11">
        <v>8</v>
      </c>
      <c r="C2367" t="s" s="12">
        <v>8</v>
      </c>
      <c r="D2367" s="15" cm="1">
        <f t="array" ref="D2367">SUM(D2365:D2366)</f>
        <v>650000</v>
      </c>
      <c r="E2367" s="15" cm="1">
        <f t="array" ref="E2367">SUM(E2365:E2366)</f>
        <v>650000</v>
      </c>
      <c r="F2367" s="16" cm="1">
        <f t="array" ref="F2367">SUM(F2365:F2366)</f>
        <v>0</v>
      </c>
      <c r="G2367" s="16" cm="1">
        <f t="array" ref="G2367">SUM(G2365:G2366)</f>
        <v>0</v>
      </c>
      <c r="H2367" s="16" cm="1">
        <f t="array" ref="H2367">SUM(H2365:H2366)</f>
        <v>0</v>
      </c>
      <c r="I2367" s="16" cm="1">
        <f t="array" ref="I2367">SUM(I2365:I2366)</f>
        <v>0</v>
      </c>
    </row>
    <row r="2368" ht="20.35" customHeight="1">
      <c r="A2368" s="10">
        <v>45566</v>
      </c>
      <c r="B2368" t="s" s="11">
        <v>106</v>
      </c>
      <c r="C2368" t="s" s="12">
        <v>301</v>
      </c>
      <c r="D2368" s="17"/>
      <c r="E2368" s="17">
        <v>20000</v>
      </c>
      <c r="F2368" s="18"/>
      <c r="G2368" s="18"/>
      <c r="H2368" s="18"/>
      <c r="I2368" s="18"/>
    </row>
    <row r="2369" ht="20.35" customHeight="1">
      <c r="A2369" s="10">
        <v>45566</v>
      </c>
      <c r="B2369" t="s" s="11">
        <v>10</v>
      </c>
      <c r="C2369" t="s" s="12">
        <v>301</v>
      </c>
      <c r="D2369" s="13">
        <v>20000</v>
      </c>
      <c r="E2369" s="13"/>
      <c r="F2369" s="14"/>
      <c r="G2369" s="14"/>
      <c r="H2369" s="14"/>
      <c r="I2369" s="14"/>
    </row>
    <row r="2370" ht="20.7" customHeight="1">
      <c r="A2370" s="10">
        <v>45566</v>
      </c>
      <c r="B2370" t="s" s="11">
        <v>8</v>
      </c>
      <c r="C2370" t="s" s="12">
        <v>8</v>
      </c>
      <c r="D2370" s="15" cm="1">
        <f t="array" ref="D2370">SUM(D2368:D2369)</f>
        <v>20000</v>
      </c>
      <c r="E2370" s="15" cm="1">
        <f t="array" ref="E2370">SUM(E2368:E2369)</f>
        <v>20000</v>
      </c>
      <c r="F2370" s="16" cm="1">
        <f t="array" ref="F2370">SUM(F2368:F2369)</f>
        <v>0</v>
      </c>
      <c r="G2370" s="16" cm="1">
        <f t="array" ref="G2370">SUM(G2368:G2369)</f>
        <v>0</v>
      </c>
      <c r="H2370" s="16" cm="1">
        <f t="array" ref="H2370">SUM(H2368:H2369)</f>
        <v>0</v>
      </c>
      <c r="I2370" s="16" cm="1">
        <f t="array" ref="I2370">SUM(I2368:I2369)</f>
        <v>0</v>
      </c>
    </row>
    <row r="2371" ht="21.25" customHeight="1">
      <c r="A2371" s="10">
        <v>45566</v>
      </c>
      <c r="B2371" t="s" s="11">
        <v>5</v>
      </c>
      <c r="C2371" t="s" s="12">
        <v>432</v>
      </c>
      <c r="D2371" s="17">
        <v>302</v>
      </c>
      <c r="E2371" s="17"/>
      <c r="F2371" s="18"/>
      <c r="G2371" s="18"/>
      <c r="H2371" s="18"/>
      <c r="I2371" s="18"/>
    </row>
    <row r="2372" ht="21.25" customHeight="1">
      <c r="A2372" s="10">
        <v>45566</v>
      </c>
      <c r="B2372" t="s" s="11">
        <v>7</v>
      </c>
      <c r="C2372" t="s" s="12">
        <v>432</v>
      </c>
      <c r="D2372" s="13"/>
      <c r="E2372" s="13">
        <v>302</v>
      </c>
      <c r="F2372" s="14"/>
      <c r="G2372" s="14"/>
      <c r="H2372" s="14"/>
      <c r="I2372" s="14"/>
    </row>
    <row r="2373" ht="20.7" customHeight="1">
      <c r="A2373" s="10">
        <v>45566</v>
      </c>
      <c r="B2373" t="s" s="11">
        <v>8</v>
      </c>
      <c r="C2373" t="s" s="12">
        <v>8</v>
      </c>
      <c r="D2373" s="15" cm="1">
        <f t="array" ref="D2373">SUM(D2371:D2372)</f>
        <v>302</v>
      </c>
      <c r="E2373" s="15" cm="1">
        <f t="array" ref="E2373">SUM(E2371:E2372)</f>
        <v>302</v>
      </c>
      <c r="F2373" s="16" cm="1">
        <f t="array" ref="F2373">SUM(F2371:F2372)</f>
        <v>0</v>
      </c>
      <c r="G2373" s="16" cm="1">
        <f t="array" ref="G2373">SUM(G2371:G2372)</f>
        <v>0</v>
      </c>
      <c r="H2373" s="16" cm="1">
        <f t="array" ref="H2373">SUM(H2371:H2372)</f>
        <v>0</v>
      </c>
      <c r="I2373" s="16" cm="1">
        <f t="array" ref="I2373">SUM(I2371:I2372)</f>
        <v>0</v>
      </c>
    </row>
    <row r="2374" ht="21.25" customHeight="1">
      <c r="A2374" s="10">
        <v>45566</v>
      </c>
      <c r="B2374" t="s" s="11">
        <v>5</v>
      </c>
      <c r="C2374" t="s" s="12">
        <v>433</v>
      </c>
      <c r="D2374" s="17"/>
      <c r="E2374" s="17">
        <v>74150</v>
      </c>
      <c r="F2374" s="18"/>
      <c r="G2374" s="18"/>
      <c r="H2374" s="18"/>
      <c r="I2374" s="18"/>
    </row>
    <row r="2375" ht="21.25" customHeight="1">
      <c r="A2375" s="10">
        <v>45566</v>
      </c>
      <c r="B2375" t="s" s="11">
        <v>21</v>
      </c>
      <c r="C2375" t="s" s="12">
        <v>433</v>
      </c>
      <c r="D2375" s="13">
        <v>74150</v>
      </c>
      <c r="E2375" s="13"/>
      <c r="F2375" s="14"/>
      <c r="G2375" s="14"/>
      <c r="H2375" s="14"/>
      <c r="I2375" s="14"/>
    </row>
    <row r="2376" ht="20.7" customHeight="1">
      <c r="A2376" s="10">
        <v>45566</v>
      </c>
      <c r="B2376" t="s" s="11">
        <v>8</v>
      </c>
      <c r="C2376" t="s" s="12">
        <v>8</v>
      </c>
      <c r="D2376" s="15" cm="1">
        <f t="array" ref="D2376">SUM(D2374:D2375)</f>
        <v>74150</v>
      </c>
      <c r="E2376" s="15" cm="1">
        <f t="array" ref="E2376">SUM(E2374:E2375)</f>
        <v>74150</v>
      </c>
      <c r="F2376" s="16" cm="1">
        <f t="array" ref="F2376">SUM(F2374:F2375)</f>
        <v>0</v>
      </c>
      <c r="G2376" s="16" cm="1">
        <f t="array" ref="G2376">SUM(G2374:G2375)</f>
        <v>0</v>
      </c>
      <c r="H2376" s="16" cm="1">
        <f t="array" ref="H2376">SUM(H2374:H2375)</f>
        <v>0</v>
      </c>
      <c r="I2376" s="16" cm="1">
        <f t="array" ref="I2376">SUM(I2374:I2375)</f>
        <v>0</v>
      </c>
    </row>
    <row r="2377" ht="21.25" customHeight="1">
      <c r="A2377" s="10">
        <v>45566</v>
      </c>
      <c r="B2377" t="s" s="11">
        <v>5</v>
      </c>
      <c r="C2377" t="s" s="12">
        <v>434</v>
      </c>
      <c r="D2377" s="17"/>
      <c r="E2377" s="17">
        <v>56400</v>
      </c>
      <c r="F2377" s="18"/>
      <c r="G2377" s="18"/>
      <c r="H2377" s="18"/>
      <c r="I2377" s="18"/>
    </row>
    <row r="2378" ht="20.9" customHeight="1">
      <c r="A2378" s="10">
        <v>45566</v>
      </c>
      <c r="B2378" t="s" s="11">
        <v>10</v>
      </c>
      <c r="C2378" t="s" s="12">
        <v>434</v>
      </c>
      <c r="D2378" s="19">
        <v>37600</v>
      </c>
      <c r="E2378" s="19"/>
      <c r="F2378" s="20"/>
      <c r="G2378" s="20"/>
      <c r="H2378" s="20"/>
      <c r="I2378" s="20"/>
    </row>
    <row r="2379" ht="21.25" customHeight="1">
      <c r="A2379" s="10">
        <v>45566</v>
      </c>
      <c r="B2379" t="s" s="11">
        <v>12</v>
      </c>
      <c r="C2379" t="s" s="12">
        <v>434</v>
      </c>
      <c r="D2379" s="13">
        <v>18800</v>
      </c>
      <c r="E2379" s="13"/>
      <c r="F2379" s="14"/>
      <c r="G2379" s="14"/>
      <c r="H2379" s="14"/>
      <c r="I2379" s="14"/>
    </row>
    <row r="2380" ht="20.7" customHeight="1">
      <c r="A2380" s="10">
        <v>45566</v>
      </c>
      <c r="B2380" t="s" s="11">
        <v>8</v>
      </c>
      <c r="C2380" t="s" s="12">
        <v>8</v>
      </c>
      <c r="D2380" s="15" cm="1">
        <f t="array" ref="D2380">SUM(D2377:D2379)</f>
        <v>56400</v>
      </c>
      <c r="E2380" s="15" cm="1">
        <f t="array" ref="E2380">SUM(E2377:E2379)</f>
        <v>56400</v>
      </c>
      <c r="F2380" s="16" cm="1">
        <f t="array" ref="F2380">SUM(F2377:F2379)</f>
        <v>0</v>
      </c>
      <c r="G2380" s="16" cm="1">
        <f t="array" ref="G2380">SUM(G2377:G2379)</f>
        <v>0</v>
      </c>
      <c r="H2380" s="16" cm="1">
        <f t="array" ref="H2380">SUM(H2377:H2379)</f>
        <v>0</v>
      </c>
      <c r="I2380" s="16" cm="1">
        <f t="array" ref="I2380">SUM(I2377:I2379)</f>
        <v>0</v>
      </c>
    </row>
    <row r="2381" ht="20.35" customHeight="1">
      <c r="A2381" s="10">
        <v>45566</v>
      </c>
      <c r="B2381" t="s" s="11">
        <v>5</v>
      </c>
      <c r="C2381" t="s" s="12">
        <v>17</v>
      </c>
      <c r="D2381" s="17">
        <v>100</v>
      </c>
      <c r="E2381" s="17"/>
      <c r="F2381" s="18"/>
      <c r="G2381" s="18"/>
      <c r="H2381" s="18"/>
      <c r="I2381" s="18"/>
    </row>
    <row r="2382" ht="20.35" customHeight="1">
      <c r="A2382" s="10">
        <v>45566</v>
      </c>
      <c r="B2382" t="s" s="11">
        <v>18</v>
      </c>
      <c r="C2382" t="s" s="12">
        <v>17</v>
      </c>
      <c r="D2382" s="13"/>
      <c r="E2382" s="13">
        <v>100</v>
      </c>
      <c r="F2382" s="14"/>
      <c r="G2382" s="14"/>
      <c r="H2382" s="14"/>
      <c r="I2382" s="14"/>
    </row>
    <row r="2383" ht="20.7" customHeight="1">
      <c r="A2383" s="10">
        <v>45566</v>
      </c>
      <c r="B2383" t="s" s="11">
        <v>8</v>
      </c>
      <c r="C2383" t="s" s="12">
        <v>8</v>
      </c>
      <c r="D2383" s="15" cm="1">
        <f t="array" ref="D2383">SUM(D2381:D2382)</f>
        <v>100</v>
      </c>
      <c r="E2383" s="15" cm="1">
        <f t="array" ref="E2383">SUM(E2381:E2382)</f>
        <v>100</v>
      </c>
      <c r="F2383" s="16" cm="1">
        <f t="array" ref="F2383">SUM(F2381:F2382)</f>
        <v>0</v>
      </c>
      <c r="G2383" s="16" cm="1">
        <f t="array" ref="G2383">SUM(G2381:G2382)</f>
        <v>0</v>
      </c>
      <c r="H2383" s="16" cm="1">
        <f t="array" ref="H2383">SUM(H2381:H2382)</f>
        <v>0</v>
      </c>
      <c r="I2383" s="16" cm="1">
        <f t="array" ref="I2383">SUM(I2381:I2382)</f>
        <v>0</v>
      </c>
    </row>
    <row r="2384" ht="20.35" customHeight="1">
      <c r="A2384" s="10">
        <v>45566</v>
      </c>
      <c r="B2384" t="s" s="11">
        <v>91</v>
      </c>
      <c r="C2384" t="s" s="12">
        <v>435</v>
      </c>
      <c r="D2384" s="17"/>
      <c r="E2384" s="17">
        <v>2626</v>
      </c>
      <c r="F2384" s="18"/>
      <c r="G2384" s="18"/>
      <c r="H2384" s="18"/>
      <c r="I2384" s="18"/>
    </row>
    <row r="2385" ht="20.35" customHeight="1">
      <c r="A2385" s="10">
        <v>45566</v>
      </c>
      <c r="B2385" t="s" s="11">
        <v>436</v>
      </c>
      <c r="C2385" t="s" s="12">
        <v>435</v>
      </c>
      <c r="D2385" s="13">
        <v>2626</v>
      </c>
      <c r="E2385" s="13"/>
      <c r="F2385" s="14"/>
      <c r="G2385" s="14"/>
      <c r="H2385" s="14"/>
      <c r="I2385" s="14"/>
    </row>
    <row r="2386" ht="20.7" customHeight="1">
      <c r="A2386" s="10">
        <v>45566</v>
      </c>
      <c r="B2386" t="s" s="11">
        <v>8</v>
      </c>
      <c r="C2386" t="s" s="12">
        <v>8</v>
      </c>
      <c r="D2386" s="15" cm="1">
        <f t="array" ref="D2386">SUM(D2384:D2385)</f>
        <v>2626</v>
      </c>
      <c r="E2386" s="15" cm="1">
        <f t="array" ref="E2386">SUM(E2384:E2385)</f>
        <v>2626</v>
      </c>
      <c r="F2386" s="16" cm="1">
        <f t="array" ref="F2386">SUM(F2384:F2385)</f>
        <v>0</v>
      </c>
      <c r="G2386" s="16" cm="1">
        <f t="array" ref="G2386">SUM(G2384:G2385)</f>
        <v>0</v>
      </c>
      <c r="H2386" s="16" cm="1">
        <f t="array" ref="H2386">SUM(H2384:H2385)</f>
        <v>0</v>
      </c>
      <c r="I2386" s="16" cm="1">
        <f t="array" ref="I2386">SUM(I2384:I2385)</f>
        <v>0</v>
      </c>
    </row>
    <row r="2387" ht="20.35" customHeight="1">
      <c r="A2387" s="10">
        <v>45566</v>
      </c>
      <c r="B2387" t="s" s="11">
        <v>5</v>
      </c>
      <c r="C2387" t="s" s="12">
        <v>437</v>
      </c>
      <c r="D2387" s="17"/>
      <c r="E2387" s="17">
        <v>10000</v>
      </c>
      <c r="F2387" s="18"/>
      <c r="G2387" s="18"/>
      <c r="H2387" s="18"/>
      <c r="I2387" s="18"/>
    </row>
    <row r="2388" ht="20.35" customHeight="1">
      <c r="A2388" s="10">
        <v>45566</v>
      </c>
      <c r="B2388" t="s" s="11">
        <v>436</v>
      </c>
      <c r="C2388" t="s" s="12">
        <v>437</v>
      </c>
      <c r="D2388" s="13">
        <v>10000</v>
      </c>
      <c r="E2388" s="13"/>
      <c r="F2388" s="14"/>
      <c r="G2388" s="14"/>
      <c r="H2388" s="14"/>
      <c r="I2388" s="14"/>
    </row>
    <row r="2389" ht="20.7" customHeight="1">
      <c r="A2389" s="10">
        <v>45566</v>
      </c>
      <c r="B2389" t="s" s="11">
        <v>8</v>
      </c>
      <c r="C2389" t="s" s="12">
        <v>8</v>
      </c>
      <c r="D2389" s="15" cm="1">
        <f t="array" ref="D2389">SUM(D2387:D2388)</f>
        <v>10000</v>
      </c>
      <c r="E2389" s="15" cm="1">
        <f t="array" ref="E2389">SUM(E2387:E2388)</f>
        <v>10000</v>
      </c>
      <c r="F2389" s="16" cm="1">
        <f t="array" ref="F2389">SUM(F2387:F2388)</f>
        <v>0</v>
      </c>
      <c r="G2389" s="16" cm="1">
        <f t="array" ref="G2389">SUM(G2387:G2388)</f>
        <v>0</v>
      </c>
      <c r="H2389" s="16" cm="1">
        <f t="array" ref="H2389">SUM(H2387:H2388)</f>
        <v>0</v>
      </c>
      <c r="I2389" s="16" cm="1">
        <f t="array" ref="I2389">SUM(I2387:I2388)</f>
        <v>0</v>
      </c>
    </row>
    <row r="2390" ht="21.25" customHeight="1">
      <c r="A2390" s="10">
        <v>45566</v>
      </c>
      <c r="B2390" t="s" s="11">
        <v>21</v>
      </c>
      <c r="C2390" t="s" s="12">
        <v>438</v>
      </c>
      <c r="D2390" s="17"/>
      <c r="E2390" s="17">
        <v>1400</v>
      </c>
      <c r="F2390" s="18"/>
      <c r="G2390" s="18"/>
      <c r="H2390" s="18"/>
      <c r="I2390" s="18"/>
    </row>
    <row r="2391" ht="21.25" customHeight="1">
      <c r="A2391" s="10">
        <v>45566</v>
      </c>
      <c r="B2391" t="s" s="11">
        <v>16</v>
      </c>
      <c r="C2391" t="s" s="12">
        <v>438</v>
      </c>
      <c r="D2391" s="13">
        <v>1400</v>
      </c>
      <c r="E2391" s="13"/>
      <c r="F2391" s="14"/>
      <c r="G2391" s="14"/>
      <c r="H2391" s="14"/>
      <c r="I2391" s="14"/>
    </row>
    <row r="2392" ht="20.7" customHeight="1">
      <c r="A2392" s="10">
        <v>45566</v>
      </c>
      <c r="B2392" t="s" s="11">
        <v>8</v>
      </c>
      <c r="C2392" t="s" s="12">
        <v>8</v>
      </c>
      <c r="D2392" s="15" cm="1">
        <f t="array" ref="D2392">SUM(D2390:D2391)</f>
        <v>1400</v>
      </c>
      <c r="E2392" s="15" cm="1">
        <f t="array" ref="E2392">SUM(E2390:E2391)</f>
        <v>1400</v>
      </c>
      <c r="F2392" s="16" cm="1">
        <f t="array" ref="F2392">SUM(F2390:F2391)</f>
        <v>0</v>
      </c>
      <c r="G2392" s="16" cm="1">
        <f t="array" ref="G2392">SUM(G2390:G2391)</f>
        <v>0</v>
      </c>
      <c r="H2392" s="16" cm="1">
        <f t="array" ref="H2392">SUM(H2390:H2391)</f>
        <v>0</v>
      </c>
      <c r="I2392" s="16" cm="1">
        <f t="array" ref="I2392">SUM(I2390:I2391)</f>
        <v>0</v>
      </c>
    </row>
    <row r="2393" ht="20.35" customHeight="1">
      <c r="A2393" s="10">
        <v>45566</v>
      </c>
      <c r="B2393" t="s" s="11">
        <v>436</v>
      </c>
      <c r="C2393" t="s" s="12">
        <v>53</v>
      </c>
      <c r="D2393" s="17"/>
      <c r="E2393" s="17">
        <v>4000</v>
      </c>
      <c r="F2393" s="18"/>
      <c r="G2393" s="18"/>
      <c r="H2393" s="18"/>
      <c r="I2393" s="18"/>
    </row>
    <row r="2394" ht="20.05" customHeight="1">
      <c r="A2394" s="10">
        <v>45566</v>
      </c>
      <c r="B2394" t="s" s="11">
        <v>10</v>
      </c>
      <c r="C2394" t="s" s="12">
        <v>53</v>
      </c>
      <c r="D2394" s="19">
        <v>1150</v>
      </c>
      <c r="E2394" s="19"/>
      <c r="F2394" s="20"/>
      <c r="G2394" s="20"/>
      <c r="H2394" s="20"/>
      <c r="I2394" s="20"/>
    </row>
    <row r="2395" ht="20.35" customHeight="1">
      <c r="A2395" s="10">
        <v>45566</v>
      </c>
      <c r="B2395" t="s" s="11">
        <v>12</v>
      </c>
      <c r="C2395" t="s" s="12">
        <v>53</v>
      </c>
      <c r="D2395" s="13">
        <v>2850</v>
      </c>
      <c r="E2395" s="13"/>
      <c r="F2395" s="14"/>
      <c r="G2395" s="14"/>
      <c r="H2395" s="14"/>
      <c r="I2395" s="14"/>
    </row>
    <row r="2396" ht="20.7" customHeight="1">
      <c r="A2396" s="10">
        <v>45566</v>
      </c>
      <c r="B2396" t="s" s="11">
        <v>8</v>
      </c>
      <c r="C2396" t="s" s="12">
        <v>8</v>
      </c>
      <c r="D2396" s="15" cm="1">
        <f t="array" ref="D2396">SUM(D2393:D2395)</f>
        <v>4000</v>
      </c>
      <c r="E2396" s="15" cm="1">
        <f t="array" ref="E2396">SUM(E2393:E2395)</f>
        <v>4000</v>
      </c>
      <c r="F2396" s="16" cm="1">
        <f t="array" ref="F2396">SUM(F2393:F2395)</f>
        <v>0</v>
      </c>
      <c r="G2396" s="16" cm="1">
        <f t="array" ref="G2396">SUM(G2393:G2395)</f>
        <v>0</v>
      </c>
      <c r="H2396" s="16" cm="1">
        <f t="array" ref="H2396">SUM(H2393:H2395)</f>
        <v>0</v>
      </c>
      <c r="I2396" s="16" cm="1">
        <f t="array" ref="I2396">SUM(I2393:I2395)</f>
        <v>0</v>
      </c>
    </row>
    <row r="2397" ht="20.35" customHeight="1">
      <c r="A2397" s="10">
        <v>45566</v>
      </c>
      <c r="B2397" t="s" s="11">
        <v>436</v>
      </c>
      <c r="C2397" t="s" s="12">
        <v>96</v>
      </c>
      <c r="D2397" s="17"/>
      <c r="E2397" s="17">
        <v>8626</v>
      </c>
      <c r="F2397" s="18"/>
      <c r="G2397" s="18"/>
      <c r="H2397" s="18"/>
      <c r="I2397" s="18"/>
    </row>
    <row r="2398" ht="20.35" customHeight="1">
      <c r="A2398" s="10">
        <v>45566</v>
      </c>
      <c r="B2398" t="s" s="11">
        <v>5</v>
      </c>
      <c r="C2398" t="s" s="12">
        <v>96</v>
      </c>
      <c r="D2398" s="13">
        <v>8626</v>
      </c>
      <c r="E2398" s="13"/>
      <c r="F2398" s="14"/>
      <c r="G2398" s="14"/>
      <c r="H2398" s="14"/>
      <c r="I2398" s="14"/>
    </row>
    <row r="2399" ht="20.7" customHeight="1">
      <c r="A2399" s="10">
        <v>45566</v>
      </c>
      <c r="B2399" t="s" s="11">
        <v>8</v>
      </c>
      <c r="C2399" t="s" s="12">
        <v>8</v>
      </c>
      <c r="D2399" s="15" cm="1">
        <f t="array" ref="D2399">SUM(D2397:D2398)</f>
        <v>8626</v>
      </c>
      <c r="E2399" s="15" cm="1">
        <f t="array" ref="E2399">SUM(E2397:E2398)</f>
        <v>8626</v>
      </c>
      <c r="F2399" s="16" cm="1">
        <f t="array" ref="F2399">SUM(F2397:F2398)</f>
        <v>0</v>
      </c>
      <c r="G2399" s="16" cm="1">
        <f t="array" ref="G2399">SUM(G2397:G2398)</f>
        <v>0</v>
      </c>
      <c r="H2399" s="16" cm="1">
        <f t="array" ref="H2399">SUM(H2397:H2398)</f>
        <v>0</v>
      </c>
      <c r="I2399" s="16" cm="1">
        <f t="array" ref="I2399">SUM(I2397:I2398)</f>
        <v>0</v>
      </c>
    </row>
    <row r="2400" ht="20.35" customHeight="1">
      <c r="A2400" s="10">
        <v>45567</v>
      </c>
      <c r="B2400" t="s" s="11">
        <v>5</v>
      </c>
      <c r="C2400" t="s" s="12">
        <v>439</v>
      </c>
      <c r="D2400" s="17"/>
      <c r="E2400" s="17">
        <v>50000</v>
      </c>
      <c r="F2400" s="18"/>
      <c r="G2400" s="18"/>
      <c r="H2400" s="18"/>
      <c r="I2400" s="18"/>
    </row>
    <row r="2401" ht="20.35" customHeight="1">
      <c r="A2401" s="10">
        <v>45567</v>
      </c>
      <c r="B2401" t="s" s="11">
        <v>121</v>
      </c>
      <c r="C2401" t="s" s="12">
        <v>439</v>
      </c>
      <c r="D2401" s="13">
        <v>50000</v>
      </c>
      <c r="E2401" s="13"/>
      <c r="F2401" s="14"/>
      <c r="G2401" s="14"/>
      <c r="H2401" s="14"/>
      <c r="I2401" s="14"/>
    </row>
    <row r="2402" ht="20.7" customHeight="1">
      <c r="A2402" s="10">
        <v>45567</v>
      </c>
      <c r="B2402" t="s" s="11">
        <v>8</v>
      </c>
      <c r="C2402" t="s" s="12">
        <v>8</v>
      </c>
      <c r="D2402" s="15" cm="1">
        <f t="array" ref="D2402">SUM(D2400:D2401)</f>
        <v>50000</v>
      </c>
      <c r="E2402" s="15" cm="1">
        <f t="array" ref="E2402">SUM(E2400:E2401)</f>
        <v>50000</v>
      </c>
      <c r="F2402" s="16" cm="1">
        <f t="array" ref="F2402">SUM(F2400:F2401)</f>
        <v>0</v>
      </c>
      <c r="G2402" s="16" cm="1">
        <f t="array" ref="G2402">SUM(G2400:G2401)</f>
        <v>0</v>
      </c>
      <c r="H2402" s="16" cm="1">
        <f t="array" ref="H2402">SUM(H2400:H2401)</f>
        <v>0</v>
      </c>
      <c r="I2402" s="16" cm="1">
        <f t="array" ref="I2402">SUM(I2400:I2401)</f>
        <v>0</v>
      </c>
    </row>
    <row r="2403" ht="21.25" customHeight="1">
      <c r="A2403" s="10">
        <v>45567</v>
      </c>
      <c r="B2403" t="s" s="11">
        <v>121</v>
      </c>
      <c r="C2403" t="s" s="12">
        <v>440</v>
      </c>
      <c r="D2403" s="17"/>
      <c r="E2403" s="17">
        <v>49826</v>
      </c>
      <c r="F2403" s="18"/>
      <c r="G2403" s="18"/>
      <c r="H2403" s="18"/>
      <c r="I2403" s="18"/>
    </row>
    <row r="2404" ht="21.25" customHeight="1">
      <c r="A2404" s="10">
        <v>45567</v>
      </c>
      <c r="B2404" t="s" s="11">
        <v>441</v>
      </c>
      <c r="C2404" t="s" s="12">
        <v>440</v>
      </c>
      <c r="D2404" s="13">
        <v>49826</v>
      </c>
      <c r="E2404" s="13"/>
      <c r="F2404" s="14"/>
      <c r="G2404" s="14"/>
      <c r="H2404" s="14"/>
      <c r="I2404" s="14"/>
    </row>
    <row r="2405" ht="20.7" customHeight="1">
      <c r="A2405" s="10">
        <v>45567</v>
      </c>
      <c r="B2405" t="s" s="11">
        <v>8</v>
      </c>
      <c r="C2405" t="s" s="12">
        <v>8</v>
      </c>
      <c r="D2405" s="15" cm="1">
        <f t="array" ref="D2405">SUM(D2403:D2404)</f>
        <v>49826</v>
      </c>
      <c r="E2405" s="15" cm="1">
        <f t="array" ref="E2405">SUM(E2403:E2404)</f>
        <v>49826</v>
      </c>
      <c r="F2405" s="16" cm="1">
        <f t="array" ref="F2405">SUM(F2403:F2404)</f>
        <v>0</v>
      </c>
      <c r="G2405" s="16" cm="1">
        <f t="array" ref="G2405">SUM(G2403:G2404)</f>
        <v>0</v>
      </c>
      <c r="H2405" s="16" cm="1">
        <f t="array" ref="H2405">SUM(H2403:H2404)</f>
        <v>0</v>
      </c>
      <c r="I2405" s="16" cm="1">
        <f t="array" ref="I2405">SUM(I2403:I2404)</f>
        <v>0</v>
      </c>
    </row>
    <row r="2406" ht="21.25" customHeight="1">
      <c r="A2406" s="10">
        <v>45567</v>
      </c>
      <c r="B2406" t="s" s="11">
        <v>5</v>
      </c>
      <c r="C2406" t="s" s="12">
        <v>442</v>
      </c>
      <c r="D2406" s="17">
        <v>1</v>
      </c>
      <c r="E2406" s="17"/>
      <c r="F2406" s="18"/>
      <c r="G2406" s="18"/>
      <c r="H2406" s="18"/>
      <c r="I2406" s="18"/>
    </row>
    <row r="2407" ht="21.25" customHeight="1">
      <c r="A2407" s="10">
        <v>45567</v>
      </c>
      <c r="B2407" t="s" s="11">
        <v>91</v>
      </c>
      <c r="C2407" t="s" s="12">
        <v>442</v>
      </c>
      <c r="D2407" s="13"/>
      <c r="E2407" s="13">
        <v>1</v>
      </c>
      <c r="F2407" s="14"/>
      <c r="G2407" s="14"/>
      <c r="H2407" s="14"/>
      <c r="I2407" s="14"/>
    </row>
    <row r="2408" ht="20.7" customHeight="1">
      <c r="A2408" s="10">
        <v>45567</v>
      </c>
      <c r="B2408" t="s" s="11">
        <v>8</v>
      </c>
      <c r="C2408" t="s" s="12">
        <v>8</v>
      </c>
      <c r="D2408" s="15" cm="1">
        <f t="array" ref="D2408">SUM(D2406:D2407)</f>
        <v>1</v>
      </c>
      <c r="E2408" s="15" cm="1">
        <f t="array" ref="E2408">SUM(E2406:E2407)</f>
        <v>1</v>
      </c>
      <c r="F2408" s="16" cm="1">
        <f t="array" ref="F2408">SUM(F2406:F2407)</f>
        <v>0</v>
      </c>
      <c r="G2408" s="16" cm="1">
        <f t="array" ref="G2408">SUM(G2406:G2407)</f>
        <v>0</v>
      </c>
      <c r="H2408" s="16" cm="1">
        <f t="array" ref="H2408">SUM(H2406:H2407)</f>
        <v>0</v>
      </c>
      <c r="I2408" s="16" cm="1">
        <f t="array" ref="I2408">SUM(I2406:I2407)</f>
        <v>0</v>
      </c>
    </row>
    <row r="2409" ht="20.35" customHeight="1">
      <c r="A2409" s="10">
        <v>45567</v>
      </c>
      <c r="B2409" t="s" s="11">
        <v>5</v>
      </c>
      <c r="C2409" t="s" s="12">
        <v>182</v>
      </c>
      <c r="D2409" s="17"/>
      <c r="E2409" s="17">
        <v>20000</v>
      </c>
      <c r="F2409" s="18"/>
      <c r="G2409" s="18"/>
      <c r="H2409" s="18"/>
      <c r="I2409" s="18"/>
    </row>
    <row r="2410" ht="20.35" customHeight="1">
      <c r="A2410" s="10">
        <v>45567</v>
      </c>
      <c r="B2410" t="s" s="11">
        <v>10</v>
      </c>
      <c r="C2410" t="s" s="12">
        <v>182</v>
      </c>
      <c r="D2410" s="13">
        <v>20000</v>
      </c>
      <c r="E2410" s="13"/>
      <c r="F2410" s="14"/>
      <c r="G2410" s="14"/>
      <c r="H2410" s="14"/>
      <c r="I2410" s="14"/>
    </row>
    <row r="2411" ht="20.7" customHeight="1">
      <c r="A2411" s="10">
        <v>45567</v>
      </c>
      <c r="B2411" t="s" s="11">
        <v>8</v>
      </c>
      <c r="C2411" t="s" s="12">
        <v>8</v>
      </c>
      <c r="D2411" s="15" cm="1">
        <f t="array" ref="D2411">SUM(D2409:D2410)</f>
        <v>20000</v>
      </c>
      <c r="E2411" s="15" cm="1">
        <f t="array" ref="E2411">SUM(E2409:E2410)</f>
        <v>20000</v>
      </c>
      <c r="F2411" s="16" cm="1">
        <f t="array" ref="F2411">SUM(F2409:F2410)</f>
        <v>0</v>
      </c>
      <c r="G2411" s="16" cm="1">
        <f t="array" ref="G2411">SUM(G2409:G2410)</f>
        <v>0</v>
      </c>
      <c r="H2411" s="16" cm="1">
        <f t="array" ref="H2411">SUM(H2409:H2410)</f>
        <v>0</v>
      </c>
      <c r="I2411" s="16" cm="1">
        <f t="array" ref="I2411">SUM(I2409:I2410)</f>
        <v>0</v>
      </c>
    </row>
    <row r="2412" ht="20.35" customHeight="1">
      <c r="A2412" s="10">
        <v>45567</v>
      </c>
      <c r="B2412" t="s" s="11">
        <v>5</v>
      </c>
      <c r="C2412" t="s" s="12">
        <v>25</v>
      </c>
      <c r="D2412" s="17"/>
      <c r="E2412" s="17">
        <v>95890</v>
      </c>
      <c r="F2412" s="18"/>
      <c r="G2412" s="18"/>
      <c r="H2412" s="18"/>
      <c r="I2412" s="18"/>
    </row>
    <row r="2413" ht="20.05" customHeight="1">
      <c r="A2413" s="10">
        <v>45567</v>
      </c>
      <c r="B2413" t="s" s="11">
        <v>12</v>
      </c>
      <c r="C2413" t="s" s="12">
        <v>25</v>
      </c>
      <c r="D2413" s="19">
        <v>7630</v>
      </c>
      <c r="E2413" s="19"/>
      <c r="F2413" s="20"/>
      <c r="G2413" s="20"/>
      <c r="H2413" s="20"/>
      <c r="I2413" s="20"/>
    </row>
    <row r="2414" ht="20.35" customHeight="1">
      <c r="A2414" s="10">
        <v>45567</v>
      </c>
      <c r="B2414" t="s" s="11">
        <v>10</v>
      </c>
      <c r="C2414" t="s" s="12">
        <v>25</v>
      </c>
      <c r="D2414" s="13">
        <v>88260</v>
      </c>
      <c r="E2414" s="13"/>
      <c r="F2414" s="14"/>
      <c r="G2414" s="14"/>
      <c r="H2414" s="14"/>
      <c r="I2414" s="14"/>
    </row>
    <row r="2415" ht="20.7" customHeight="1">
      <c r="A2415" s="10">
        <v>45567</v>
      </c>
      <c r="B2415" t="s" s="11">
        <v>8</v>
      </c>
      <c r="C2415" t="s" s="12">
        <v>8</v>
      </c>
      <c r="D2415" s="15" cm="1">
        <f t="array" ref="D2415">SUM(D2412:D2414)</f>
        <v>95890</v>
      </c>
      <c r="E2415" s="15" cm="1">
        <f t="array" ref="E2415">SUM(E2412:E2414)</f>
        <v>95890</v>
      </c>
      <c r="F2415" s="16" cm="1">
        <f t="array" ref="F2415">SUM(F2412:F2414)</f>
        <v>0</v>
      </c>
      <c r="G2415" s="16" cm="1">
        <f t="array" ref="G2415">SUM(G2412:G2414)</f>
        <v>0</v>
      </c>
      <c r="H2415" s="16" cm="1">
        <f t="array" ref="H2415">SUM(H2412:H2414)</f>
        <v>0</v>
      </c>
      <c r="I2415" s="16" cm="1">
        <f t="array" ref="I2415">SUM(I2412:I2414)</f>
        <v>0</v>
      </c>
    </row>
    <row r="2416" ht="20.35" customHeight="1">
      <c r="A2416" s="10">
        <v>45567</v>
      </c>
      <c r="B2416" t="s" s="11">
        <v>5</v>
      </c>
      <c r="C2416" t="s" s="12">
        <v>17</v>
      </c>
      <c r="D2416" s="17">
        <v>100</v>
      </c>
      <c r="E2416" s="17"/>
      <c r="F2416" s="18"/>
      <c r="G2416" s="18"/>
      <c r="H2416" s="18"/>
      <c r="I2416" s="18"/>
    </row>
    <row r="2417" ht="20.35" customHeight="1">
      <c r="A2417" s="10">
        <v>45567</v>
      </c>
      <c r="B2417" t="s" s="11">
        <v>18</v>
      </c>
      <c r="C2417" t="s" s="12">
        <v>17</v>
      </c>
      <c r="D2417" s="13"/>
      <c r="E2417" s="13">
        <v>100</v>
      </c>
      <c r="F2417" s="14"/>
      <c r="G2417" s="14"/>
      <c r="H2417" s="14"/>
      <c r="I2417" s="14"/>
    </row>
    <row r="2418" ht="20.7" customHeight="1">
      <c r="A2418" s="10">
        <v>45567</v>
      </c>
      <c r="B2418" t="s" s="11">
        <v>8</v>
      </c>
      <c r="C2418" t="s" s="12">
        <v>8</v>
      </c>
      <c r="D2418" s="15" cm="1">
        <f t="array" ref="D2418">SUM(D2416:D2417)</f>
        <v>100</v>
      </c>
      <c r="E2418" s="15" cm="1">
        <f t="array" ref="E2418">SUM(E2416:E2417)</f>
        <v>100</v>
      </c>
      <c r="F2418" s="16" cm="1">
        <f t="array" ref="F2418">SUM(F2416:F2417)</f>
        <v>0</v>
      </c>
      <c r="G2418" s="16" cm="1">
        <f t="array" ref="G2418">SUM(G2416:G2417)</f>
        <v>0</v>
      </c>
      <c r="H2418" s="16" cm="1">
        <f t="array" ref="H2418">SUM(H2416:H2417)</f>
        <v>0</v>
      </c>
      <c r="I2418" s="16" cm="1">
        <f t="array" ref="I2418">SUM(I2416:I2417)</f>
        <v>0</v>
      </c>
    </row>
    <row r="2419" ht="21.25" customHeight="1">
      <c r="A2419" s="10">
        <v>45567</v>
      </c>
      <c r="B2419" t="s" s="11">
        <v>21</v>
      </c>
      <c r="C2419" t="s" s="12">
        <v>443</v>
      </c>
      <c r="D2419" s="17"/>
      <c r="E2419" s="17">
        <v>1500</v>
      </c>
      <c r="F2419" s="18"/>
      <c r="G2419" s="18"/>
      <c r="H2419" s="18"/>
      <c r="I2419" s="18"/>
    </row>
    <row r="2420" ht="21.25" customHeight="1">
      <c r="A2420" s="10">
        <v>45567</v>
      </c>
      <c r="B2420" t="s" s="11">
        <v>16</v>
      </c>
      <c r="C2420" t="s" s="12">
        <v>443</v>
      </c>
      <c r="D2420" s="13">
        <v>1500</v>
      </c>
      <c r="E2420" s="13"/>
      <c r="F2420" s="14"/>
      <c r="G2420" s="14"/>
      <c r="H2420" s="14"/>
      <c r="I2420" s="14"/>
    </row>
    <row r="2421" ht="20.7" customHeight="1">
      <c r="A2421" s="10">
        <v>45567</v>
      </c>
      <c r="B2421" t="s" s="11">
        <v>8</v>
      </c>
      <c r="C2421" t="s" s="12">
        <v>8</v>
      </c>
      <c r="D2421" s="15" cm="1">
        <f t="array" ref="D2421">SUM(D2419:D2420)</f>
        <v>1500</v>
      </c>
      <c r="E2421" s="15" cm="1">
        <f t="array" ref="E2421">SUM(E2419:E2420)</f>
        <v>1500</v>
      </c>
      <c r="F2421" s="16" cm="1">
        <f t="array" ref="F2421">SUM(F2419:F2420)</f>
        <v>0</v>
      </c>
      <c r="G2421" s="16" cm="1">
        <f t="array" ref="G2421">SUM(G2419:G2420)</f>
        <v>0</v>
      </c>
      <c r="H2421" s="16" cm="1">
        <f t="array" ref="H2421">SUM(H2419:H2420)</f>
        <v>0</v>
      </c>
      <c r="I2421" s="16" cm="1">
        <f t="array" ref="I2421">SUM(I2419:I2420)</f>
        <v>0</v>
      </c>
    </row>
    <row r="2422" ht="20.35" customHeight="1">
      <c r="A2422" s="10">
        <v>45568</v>
      </c>
      <c r="B2422" t="s" s="11">
        <v>5</v>
      </c>
      <c r="C2422" t="s" s="12">
        <v>53</v>
      </c>
      <c r="D2422" s="17"/>
      <c r="E2422" s="17">
        <v>6000</v>
      </c>
      <c r="F2422" s="18"/>
      <c r="G2422" s="18"/>
      <c r="H2422" s="18"/>
      <c r="I2422" s="18"/>
    </row>
    <row r="2423" ht="20.05" customHeight="1">
      <c r="A2423" s="10">
        <v>45568</v>
      </c>
      <c r="B2423" t="s" s="11">
        <v>12</v>
      </c>
      <c r="C2423" t="s" s="12">
        <v>53</v>
      </c>
      <c r="D2423" s="19">
        <v>3000</v>
      </c>
      <c r="E2423" s="19"/>
      <c r="F2423" s="20"/>
      <c r="G2423" s="20"/>
      <c r="H2423" s="20"/>
      <c r="I2423" s="20"/>
    </row>
    <row r="2424" ht="20.35" customHeight="1">
      <c r="A2424" s="10">
        <v>45568</v>
      </c>
      <c r="B2424" t="s" s="11">
        <v>10</v>
      </c>
      <c r="C2424" t="s" s="12">
        <v>53</v>
      </c>
      <c r="D2424" s="13">
        <v>3000</v>
      </c>
      <c r="E2424" s="13"/>
      <c r="F2424" s="14"/>
      <c r="G2424" s="14"/>
      <c r="H2424" s="14"/>
      <c r="I2424" s="14"/>
    </row>
    <row r="2425" ht="20.7" customHeight="1">
      <c r="A2425" s="10">
        <v>45568</v>
      </c>
      <c r="B2425" t="s" s="11">
        <v>8</v>
      </c>
      <c r="C2425" t="s" s="12">
        <v>8</v>
      </c>
      <c r="D2425" s="15" cm="1">
        <f t="array" ref="D2425">SUM(D2422:D2424)</f>
        <v>6000</v>
      </c>
      <c r="E2425" s="15" cm="1">
        <f t="array" ref="E2425">SUM(E2422:E2424)</f>
        <v>6000</v>
      </c>
      <c r="F2425" s="16" cm="1">
        <f t="array" ref="F2425">SUM(F2422:F2424)</f>
        <v>0</v>
      </c>
      <c r="G2425" s="16" cm="1">
        <f t="array" ref="G2425">SUM(G2422:G2424)</f>
        <v>0</v>
      </c>
      <c r="H2425" s="16" cm="1">
        <f t="array" ref="H2425">SUM(H2422:H2424)</f>
        <v>0</v>
      </c>
      <c r="I2425" s="16" cm="1">
        <f t="array" ref="I2425">SUM(I2422:I2424)</f>
        <v>0</v>
      </c>
    </row>
    <row r="2426" ht="20.35" customHeight="1">
      <c r="A2426" s="10">
        <v>45568</v>
      </c>
      <c r="B2426" t="s" s="11">
        <v>5</v>
      </c>
      <c r="C2426" t="s" s="12">
        <v>17</v>
      </c>
      <c r="D2426" s="17">
        <v>100</v>
      </c>
      <c r="E2426" s="17"/>
      <c r="F2426" s="18"/>
      <c r="G2426" s="18"/>
      <c r="H2426" s="18"/>
      <c r="I2426" s="18"/>
    </row>
    <row r="2427" ht="20.35" customHeight="1">
      <c r="A2427" s="10">
        <v>45568</v>
      </c>
      <c r="B2427" t="s" s="11">
        <v>18</v>
      </c>
      <c r="C2427" t="s" s="12">
        <v>17</v>
      </c>
      <c r="D2427" s="13"/>
      <c r="E2427" s="13">
        <v>100</v>
      </c>
      <c r="F2427" s="14"/>
      <c r="G2427" s="14"/>
      <c r="H2427" s="14"/>
      <c r="I2427" s="14"/>
    </row>
    <row r="2428" ht="20.7" customHeight="1">
      <c r="A2428" s="10">
        <v>45568</v>
      </c>
      <c r="B2428" t="s" s="11">
        <v>8</v>
      </c>
      <c r="C2428" t="s" s="12">
        <v>8</v>
      </c>
      <c r="D2428" s="15" cm="1">
        <f t="array" ref="D2428">SUM(D2426:D2427)</f>
        <v>100</v>
      </c>
      <c r="E2428" s="15" cm="1">
        <f t="array" ref="E2428">SUM(E2426:E2427)</f>
        <v>100</v>
      </c>
      <c r="F2428" s="16" cm="1">
        <f t="array" ref="F2428">SUM(F2426:F2427)</f>
        <v>0</v>
      </c>
      <c r="G2428" s="16" cm="1">
        <f t="array" ref="G2428">SUM(G2426:G2427)</f>
        <v>0</v>
      </c>
      <c r="H2428" s="16" cm="1">
        <f t="array" ref="H2428">SUM(H2426:H2427)</f>
        <v>0</v>
      </c>
      <c r="I2428" s="16" cm="1">
        <f t="array" ref="I2428">SUM(I2426:I2427)</f>
        <v>0</v>
      </c>
    </row>
    <row r="2429" ht="20.65" customHeight="1">
      <c r="A2429" s="10">
        <v>45568</v>
      </c>
      <c r="B2429" t="s" s="11">
        <v>5</v>
      </c>
      <c r="C2429" t="s" s="12">
        <v>444</v>
      </c>
      <c r="D2429" s="17"/>
      <c r="E2429" s="17">
        <v>21000</v>
      </c>
      <c r="F2429" s="18"/>
      <c r="G2429" s="18"/>
      <c r="H2429" s="18"/>
      <c r="I2429" s="18"/>
    </row>
    <row r="2430" ht="20.35" customHeight="1">
      <c r="A2430" s="10">
        <v>45568</v>
      </c>
      <c r="B2430" t="s" s="11">
        <v>12</v>
      </c>
      <c r="C2430" t="s" s="12">
        <v>444</v>
      </c>
      <c r="D2430" s="19">
        <v>11000</v>
      </c>
      <c r="E2430" s="19"/>
      <c r="F2430" s="20"/>
      <c r="G2430" s="20"/>
      <c r="H2430" s="20"/>
      <c r="I2430" s="20"/>
    </row>
    <row r="2431" ht="20.65" customHeight="1">
      <c r="A2431" s="10">
        <v>45568</v>
      </c>
      <c r="B2431" t="s" s="11">
        <v>10</v>
      </c>
      <c r="C2431" t="s" s="12">
        <v>444</v>
      </c>
      <c r="D2431" s="13">
        <v>10000</v>
      </c>
      <c r="E2431" s="13"/>
      <c r="F2431" s="14"/>
      <c r="G2431" s="14"/>
      <c r="H2431" s="14"/>
      <c r="I2431" s="14"/>
    </row>
    <row r="2432" ht="20.7" customHeight="1">
      <c r="A2432" s="10">
        <v>45568</v>
      </c>
      <c r="B2432" t="s" s="11">
        <v>8</v>
      </c>
      <c r="C2432" t="s" s="12">
        <v>8</v>
      </c>
      <c r="D2432" s="15" cm="1">
        <f t="array" ref="D2432">SUM(D2429:D2431)</f>
        <v>21000</v>
      </c>
      <c r="E2432" s="15" cm="1">
        <f t="array" ref="E2432">SUM(E2429:E2431)</f>
        <v>21000</v>
      </c>
      <c r="F2432" s="16" cm="1">
        <f t="array" ref="F2432">SUM(F2429:F2431)</f>
        <v>0</v>
      </c>
      <c r="G2432" s="16" cm="1">
        <f t="array" ref="G2432">SUM(G2429:G2431)</f>
        <v>0</v>
      </c>
      <c r="H2432" s="16" cm="1">
        <f t="array" ref="H2432">SUM(H2429:H2431)</f>
        <v>0</v>
      </c>
      <c r="I2432" s="16" cm="1">
        <f t="array" ref="I2432">SUM(I2429:I2431)</f>
        <v>0</v>
      </c>
    </row>
    <row r="2433" ht="20.35" customHeight="1">
      <c r="A2433" s="10">
        <v>45568</v>
      </c>
      <c r="B2433" t="s" s="11">
        <v>5</v>
      </c>
      <c r="C2433" t="s" s="12">
        <v>202</v>
      </c>
      <c r="D2433" s="17"/>
      <c r="E2433" s="17">
        <v>10000</v>
      </c>
      <c r="F2433" s="18"/>
      <c r="G2433" s="18"/>
      <c r="H2433" s="18"/>
      <c r="I2433" s="18"/>
    </row>
    <row r="2434" ht="20.35" customHeight="1">
      <c r="A2434" s="10">
        <v>45568</v>
      </c>
      <c r="B2434" t="s" s="11">
        <v>93</v>
      </c>
      <c r="C2434" t="s" s="12">
        <v>202</v>
      </c>
      <c r="D2434" s="13">
        <v>10000</v>
      </c>
      <c r="E2434" s="13"/>
      <c r="F2434" s="14"/>
      <c r="G2434" s="14"/>
      <c r="H2434" s="14"/>
      <c r="I2434" s="14"/>
    </row>
    <row r="2435" ht="20.7" customHeight="1">
      <c r="A2435" s="10">
        <v>45568</v>
      </c>
      <c r="B2435" t="s" s="11">
        <v>8</v>
      </c>
      <c r="C2435" t="s" s="12">
        <v>8</v>
      </c>
      <c r="D2435" s="15" cm="1">
        <f t="array" ref="D2435">SUM(D2433:D2434)</f>
        <v>10000</v>
      </c>
      <c r="E2435" s="15" cm="1">
        <f t="array" ref="E2435">SUM(E2433:E2434)</f>
        <v>10000</v>
      </c>
      <c r="F2435" s="16" cm="1">
        <f t="array" ref="F2435">SUM(F2433:F2434)</f>
        <v>0</v>
      </c>
      <c r="G2435" s="16" cm="1">
        <f t="array" ref="G2435">SUM(G2433:G2434)</f>
        <v>0</v>
      </c>
      <c r="H2435" s="16" cm="1">
        <f t="array" ref="H2435">SUM(H2433:H2434)</f>
        <v>0</v>
      </c>
      <c r="I2435" s="16" cm="1">
        <f t="array" ref="I2435">SUM(I2433:I2434)</f>
        <v>0</v>
      </c>
    </row>
    <row r="2436" ht="20.35" customHeight="1">
      <c r="A2436" s="10">
        <v>45568</v>
      </c>
      <c r="B2436" t="s" s="11">
        <v>93</v>
      </c>
      <c r="C2436" t="s" s="12">
        <v>13</v>
      </c>
      <c r="D2436" s="17"/>
      <c r="E2436" s="17">
        <v>8900</v>
      </c>
      <c r="F2436" s="18"/>
      <c r="G2436" s="18"/>
      <c r="H2436" s="18"/>
      <c r="I2436" s="18"/>
    </row>
    <row r="2437" ht="20.35" customHeight="1">
      <c r="A2437" s="10">
        <v>45568</v>
      </c>
      <c r="B2437" t="s" s="11">
        <v>10</v>
      </c>
      <c r="C2437" t="s" s="12">
        <v>13</v>
      </c>
      <c r="D2437" s="13">
        <v>8900</v>
      </c>
      <c r="E2437" s="13"/>
      <c r="F2437" s="14"/>
      <c r="G2437" s="14"/>
      <c r="H2437" s="14"/>
      <c r="I2437" s="14"/>
    </row>
    <row r="2438" ht="20.7" customHeight="1">
      <c r="A2438" s="10">
        <v>45568</v>
      </c>
      <c r="B2438" t="s" s="11">
        <v>8</v>
      </c>
      <c r="C2438" t="s" s="12">
        <v>8</v>
      </c>
      <c r="D2438" s="15" cm="1">
        <f t="array" ref="D2438">SUM(D2436:D2437)</f>
        <v>8900</v>
      </c>
      <c r="E2438" s="15" cm="1">
        <f t="array" ref="E2438">SUM(E2436:E2437)</f>
        <v>8900</v>
      </c>
      <c r="F2438" s="16" cm="1">
        <f t="array" ref="F2438">SUM(F2436:F2437)</f>
        <v>0</v>
      </c>
      <c r="G2438" s="16" cm="1">
        <f t="array" ref="G2438">SUM(G2436:G2437)</f>
        <v>0</v>
      </c>
      <c r="H2438" s="16" cm="1">
        <f t="array" ref="H2438">SUM(H2436:H2437)</f>
        <v>0</v>
      </c>
      <c r="I2438" s="16" cm="1">
        <f t="array" ref="I2438">SUM(I2436:I2437)</f>
        <v>0</v>
      </c>
    </row>
    <row r="2439" ht="20.35" customHeight="1">
      <c r="A2439" s="10">
        <v>45568</v>
      </c>
      <c r="B2439" t="s" s="11">
        <v>5</v>
      </c>
      <c r="C2439" t="s" s="12">
        <v>47</v>
      </c>
      <c r="D2439" s="17"/>
      <c r="E2439" s="17">
        <v>41000</v>
      </c>
      <c r="F2439" s="18"/>
      <c r="G2439" s="18"/>
      <c r="H2439" s="18"/>
      <c r="I2439" s="18"/>
    </row>
    <row r="2440" ht="20.35" customHeight="1">
      <c r="A2440" s="10">
        <v>45568</v>
      </c>
      <c r="B2440" t="s" s="11">
        <v>10</v>
      </c>
      <c r="C2440" t="s" s="12">
        <v>47</v>
      </c>
      <c r="D2440" s="13">
        <v>41000</v>
      </c>
      <c r="E2440" s="13"/>
      <c r="F2440" s="14"/>
      <c r="G2440" s="14"/>
      <c r="H2440" s="14"/>
      <c r="I2440" s="14"/>
    </row>
    <row r="2441" ht="20.7" customHeight="1">
      <c r="A2441" s="10">
        <v>45568</v>
      </c>
      <c r="B2441" t="s" s="11">
        <v>8</v>
      </c>
      <c r="C2441" t="s" s="12">
        <v>8</v>
      </c>
      <c r="D2441" s="15" cm="1">
        <f t="array" ref="D2441">SUM(D2439:D2440)</f>
        <v>41000</v>
      </c>
      <c r="E2441" s="15" cm="1">
        <f t="array" ref="E2441">SUM(E2439:E2440)</f>
        <v>41000</v>
      </c>
      <c r="F2441" s="16" cm="1">
        <f t="array" ref="F2441">SUM(F2439:F2440)</f>
        <v>0</v>
      </c>
      <c r="G2441" s="16" cm="1">
        <f t="array" ref="G2441">SUM(G2439:G2440)</f>
        <v>0</v>
      </c>
      <c r="H2441" s="16" cm="1">
        <f t="array" ref="H2441">SUM(H2439:H2440)</f>
        <v>0</v>
      </c>
      <c r="I2441" s="16" cm="1">
        <f t="array" ref="I2441">SUM(I2439:I2440)</f>
        <v>0</v>
      </c>
    </row>
    <row r="2442" ht="21.25" customHeight="1">
      <c r="A2442" s="10">
        <v>45568</v>
      </c>
      <c r="B2442" t="s" s="11">
        <v>5</v>
      </c>
      <c r="C2442" t="s" s="12">
        <v>445</v>
      </c>
      <c r="D2442" s="17"/>
      <c r="E2442" s="17">
        <v>7000</v>
      </c>
      <c r="F2442" s="18"/>
      <c r="G2442" s="18"/>
      <c r="H2442" s="18"/>
      <c r="I2442" s="18"/>
    </row>
    <row r="2443" ht="21.25" customHeight="1">
      <c r="A2443" s="10">
        <v>45568</v>
      </c>
      <c r="B2443" t="s" s="11">
        <v>86</v>
      </c>
      <c r="C2443" t="s" s="12">
        <v>445</v>
      </c>
      <c r="D2443" s="13">
        <v>7000</v>
      </c>
      <c r="E2443" s="13"/>
      <c r="F2443" s="14"/>
      <c r="G2443" s="14"/>
      <c r="H2443" s="14"/>
      <c r="I2443" s="14"/>
    </row>
    <row r="2444" ht="20.7" customHeight="1">
      <c r="A2444" s="10">
        <v>45568</v>
      </c>
      <c r="B2444" t="s" s="11">
        <v>8</v>
      </c>
      <c r="C2444" t="s" s="12">
        <v>8</v>
      </c>
      <c r="D2444" s="15" cm="1">
        <f t="array" ref="D2444">SUM(D2442:D2443)</f>
        <v>7000</v>
      </c>
      <c r="E2444" s="15" cm="1">
        <f t="array" ref="E2444">SUM(E2442:E2443)</f>
        <v>7000</v>
      </c>
      <c r="F2444" s="16" cm="1">
        <f t="array" ref="F2444">SUM(F2442:F2443)</f>
        <v>0</v>
      </c>
      <c r="G2444" s="16" cm="1">
        <f t="array" ref="G2444">SUM(G2442:G2443)</f>
        <v>0</v>
      </c>
      <c r="H2444" s="16" cm="1">
        <f t="array" ref="H2444">SUM(H2442:H2443)</f>
        <v>0</v>
      </c>
      <c r="I2444" s="16" cm="1">
        <f t="array" ref="I2444">SUM(I2442:I2443)</f>
        <v>0</v>
      </c>
    </row>
    <row r="2445" ht="21.25" customHeight="1">
      <c r="A2445" s="10">
        <v>45568</v>
      </c>
      <c r="B2445" t="s" s="11">
        <v>5</v>
      </c>
      <c r="C2445" t="s" s="12">
        <v>446</v>
      </c>
      <c r="D2445" s="17"/>
      <c r="E2445" s="17">
        <v>9000</v>
      </c>
      <c r="F2445" s="18"/>
      <c r="G2445" s="18"/>
      <c r="H2445" s="18"/>
      <c r="I2445" s="18"/>
    </row>
    <row r="2446" ht="21.25" customHeight="1">
      <c r="A2446" s="10">
        <v>45568</v>
      </c>
      <c r="B2446" t="s" s="11">
        <v>10</v>
      </c>
      <c r="C2446" t="s" s="12">
        <v>446</v>
      </c>
      <c r="D2446" s="13">
        <v>9000</v>
      </c>
      <c r="E2446" s="13"/>
      <c r="F2446" s="14"/>
      <c r="G2446" s="14"/>
      <c r="H2446" s="14"/>
      <c r="I2446" s="14"/>
    </row>
    <row r="2447" ht="20.7" customHeight="1">
      <c r="A2447" s="10">
        <v>45568</v>
      </c>
      <c r="B2447" t="s" s="11">
        <v>8</v>
      </c>
      <c r="C2447" t="s" s="12">
        <v>8</v>
      </c>
      <c r="D2447" s="15" cm="1">
        <f t="array" ref="D2447">SUM(D2445:D2446)</f>
        <v>9000</v>
      </c>
      <c r="E2447" s="15" cm="1">
        <f t="array" ref="E2447">SUM(E2445:E2446)</f>
        <v>9000</v>
      </c>
      <c r="F2447" s="16" cm="1">
        <f t="array" ref="F2447">SUM(F2445:F2446)</f>
        <v>0</v>
      </c>
      <c r="G2447" s="16" cm="1">
        <f t="array" ref="G2447">SUM(G2445:G2446)</f>
        <v>0</v>
      </c>
      <c r="H2447" s="16" cm="1">
        <f t="array" ref="H2447">SUM(H2445:H2446)</f>
        <v>0</v>
      </c>
      <c r="I2447" s="16" cm="1">
        <f t="array" ref="I2447">SUM(I2445:I2446)</f>
        <v>0</v>
      </c>
    </row>
    <row r="2448" ht="20.35" customHeight="1">
      <c r="A2448" s="10">
        <v>45568</v>
      </c>
      <c r="B2448" t="s" s="11">
        <v>5</v>
      </c>
      <c r="C2448" t="s" s="12">
        <v>447</v>
      </c>
      <c r="D2448" s="17"/>
      <c r="E2448" s="17">
        <v>17700</v>
      </c>
      <c r="F2448" s="18"/>
      <c r="G2448" s="18"/>
      <c r="H2448" s="18"/>
      <c r="I2448" s="18"/>
    </row>
    <row r="2449" ht="20.35" customHeight="1">
      <c r="A2449" s="10">
        <v>45568</v>
      </c>
      <c r="B2449" t="s" s="11">
        <v>10</v>
      </c>
      <c r="C2449" t="s" s="12">
        <v>447</v>
      </c>
      <c r="D2449" s="13">
        <v>17700</v>
      </c>
      <c r="E2449" s="13"/>
      <c r="F2449" s="14"/>
      <c r="G2449" s="14"/>
      <c r="H2449" s="14"/>
      <c r="I2449" s="14"/>
    </row>
    <row r="2450" ht="20.7" customHeight="1">
      <c r="A2450" s="10">
        <v>45568</v>
      </c>
      <c r="B2450" t="s" s="11">
        <v>8</v>
      </c>
      <c r="C2450" t="s" s="12">
        <v>8</v>
      </c>
      <c r="D2450" s="15" cm="1">
        <f t="array" ref="D2450">SUM(D2448:D2449)</f>
        <v>17700</v>
      </c>
      <c r="E2450" s="15" cm="1">
        <f t="array" ref="E2450">SUM(E2448:E2449)</f>
        <v>17700</v>
      </c>
      <c r="F2450" s="16" cm="1">
        <f t="array" ref="F2450">SUM(F2448:F2449)</f>
        <v>0</v>
      </c>
      <c r="G2450" s="16" cm="1">
        <f t="array" ref="G2450">SUM(G2448:G2449)</f>
        <v>0</v>
      </c>
      <c r="H2450" s="16" cm="1">
        <f t="array" ref="H2450">SUM(H2448:H2449)</f>
        <v>0</v>
      </c>
      <c r="I2450" s="16" cm="1">
        <f t="array" ref="I2450">SUM(I2448:I2449)</f>
        <v>0</v>
      </c>
    </row>
    <row r="2451" ht="20.35" customHeight="1">
      <c r="A2451" s="10">
        <v>45568</v>
      </c>
      <c r="B2451" t="s" s="11">
        <v>5</v>
      </c>
      <c r="C2451" t="s" s="12">
        <v>17</v>
      </c>
      <c r="D2451" s="17">
        <v>500</v>
      </c>
      <c r="E2451" s="17"/>
      <c r="F2451" s="18"/>
      <c r="G2451" s="18"/>
      <c r="H2451" s="18"/>
      <c r="I2451" s="18"/>
    </row>
    <row r="2452" ht="20.35" customHeight="1">
      <c r="A2452" s="10">
        <v>45568</v>
      </c>
      <c r="B2452" t="s" s="11">
        <v>18</v>
      </c>
      <c r="C2452" t="s" s="12">
        <v>17</v>
      </c>
      <c r="D2452" s="13"/>
      <c r="E2452" s="13">
        <v>500</v>
      </c>
      <c r="F2452" s="14"/>
      <c r="G2452" s="14"/>
      <c r="H2452" s="14"/>
      <c r="I2452" s="14"/>
    </row>
    <row r="2453" ht="20.7" customHeight="1">
      <c r="A2453" s="10">
        <v>45568</v>
      </c>
      <c r="B2453" t="s" s="11">
        <v>8</v>
      </c>
      <c r="C2453" t="s" s="12">
        <v>8</v>
      </c>
      <c r="D2453" s="15" cm="1">
        <f t="array" ref="D2453">SUM(D2451:D2452)</f>
        <v>500</v>
      </c>
      <c r="E2453" s="15" cm="1">
        <f t="array" ref="E2453">SUM(E2451:E2452)</f>
        <v>500</v>
      </c>
      <c r="F2453" s="16" cm="1">
        <f t="array" ref="F2453">SUM(F2451:F2452)</f>
        <v>0</v>
      </c>
      <c r="G2453" s="16" cm="1">
        <f t="array" ref="G2453">SUM(G2451:G2452)</f>
        <v>0</v>
      </c>
      <c r="H2453" s="16" cm="1">
        <f t="array" ref="H2453">SUM(H2451:H2452)</f>
        <v>0</v>
      </c>
      <c r="I2453" s="16" cm="1">
        <f t="array" ref="I2453">SUM(I2451:I2452)</f>
        <v>0</v>
      </c>
    </row>
    <row r="2454" ht="20.35" customHeight="1">
      <c r="A2454" s="10">
        <v>45568</v>
      </c>
      <c r="B2454" t="s" s="11">
        <v>5</v>
      </c>
      <c r="C2454" t="s" s="12">
        <v>447</v>
      </c>
      <c r="D2454" s="17"/>
      <c r="E2454" s="17">
        <v>8400</v>
      </c>
      <c r="F2454" s="18"/>
      <c r="G2454" s="18"/>
      <c r="H2454" s="18"/>
      <c r="I2454" s="18"/>
    </row>
    <row r="2455" ht="20.35" customHeight="1">
      <c r="A2455" s="10">
        <v>45568</v>
      </c>
      <c r="B2455" t="s" s="11">
        <v>10</v>
      </c>
      <c r="C2455" t="s" s="12">
        <v>447</v>
      </c>
      <c r="D2455" s="13">
        <v>8400</v>
      </c>
      <c r="E2455" s="13"/>
      <c r="F2455" s="14"/>
      <c r="G2455" s="14"/>
      <c r="H2455" s="14"/>
      <c r="I2455" s="14"/>
    </row>
    <row r="2456" ht="20.7" customHeight="1">
      <c r="A2456" s="10">
        <v>45568</v>
      </c>
      <c r="B2456" t="s" s="11">
        <v>8</v>
      </c>
      <c r="C2456" t="s" s="12">
        <v>8</v>
      </c>
      <c r="D2456" s="15" cm="1">
        <f t="array" ref="D2456">SUM(D2454:D2455)</f>
        <v>8400</v>
      </c>
      <c r="E2456" s="15" cm="1">
        <f t="array" ref="E2456">SUM(E2454:E2455)</f>
        <v>8400</v>
      </c>
      <c r="F2456" s="16" cm="1">
        <f t="array" ref="F2456">SUM(F2454:F2455)</f>
        <v>0</v>
      </c>
      <c r="G2456" s="16" cm="1">
        <f t="array" ref="G2456">SUM(G2454:G2455)</f>
        <v>0</v>
      </c>
      <c r="H2456" s="16" cm="1">
        <f t="array" ref="H2456">SUM(H2454:H2455)</f>
        <v>0</v>
      </c>
      <c r="I2456" s="16" cm="1">
        <f t="array" ref="I2456">SUM(I2454:I2455)</f>
        <v>0</v>
      </c>
    </row>
    <row r="2457" ht="20.35" customHeight="1">
      <c r="A2457" s="10">
        <v>45568</v>
      </c>
      <c r="B2457" t="s" s="11">
        <v>5</v>
      </c>
      <c r="C2457" t="s" s="12">
        <v>17</v>
      </c>
      <c r="D2457" s="17">
        <v>100</v>
      </c>
      <c r="E2457" s="17"/>
      <c r="F2457" s="18"/>
      <c r="G2457" s="18"/>
      <c r="H2457" s="18"/>
      <c r="I2457" s="18"/>
    </row>
    <row r="2458" ht="20.35" customHeight="1">
      <c r="A2458" s="10">
        <v>45568</v>
      </c>
      <c r="B2458" t="s" s="11">
        <v>18</v>
      </c>
      <c r="C2458" t="s" s="12">
        <v>17</v>
      </c>
      <c r="D2458" s="13"/>
      <c r="E2458" s="13">
        <v>100</v>
      </c>
      <c r="F2458" s="14"/>
      <c r="G2458" s="14"/>
      <c r="H2458" s="14"/>
      <c r="I2458" s="14"/>
    </row>
    <row r="2459" ht="20.7" customHeight="1">
      <c r="A2459" s="10">
        <v>45568</v>
      </c>
      <c r="B2459" t="s" s="11">
        <v>8</v>
      </c>
      <c r="C2459" t="s" s="12">
        <v>8</v>
      </c>
      <c r="D2459" s="15" cm="1">
        <f t="array" ref="D2459">SUM(D2457:D2458)</f>
        <v>100</v>
      </c>
      <c r="E2459" s="15" cm="1">
        <f t="array" ref="E2459">SUM(E2457:E2458)</f>
        <v>100</v>
      </c>
      <c r="F2459" s="16" cm="1">
        <f t="array" ref="F2459">SUM(F2457:F2458)</f>
        <v>0</v>
      </c>
      <c r="G2459" s="16" cm="1">
        <f t="array" ref="G2459">SUM(G2457:G2458)</f>
        <v>0</v>
      </c>
      <c r="H2459" s="16" cm="1">
        <f t="array" ref="H2459">SUM(H2457:H2458)</f>
        <v>0</v>
      </c>
      <c r="I2459" s="16" cm="1">
        <f t="array" ref="I2459">SUM(I2457:I2458)</f>
        <v>0</v>
      </c>
    </row>
    <row r="2460" ht="20.35" customHeight="1">
      <c r="A2460" s="10">
        <v>45568</v>
      </c>
      <c r="B2460" t="s" s="11">
        <v>5</v>
      </c>
      <c r="C2460" t="s" s="12">
        <v>448</v>
      </c>
      <c r="D2460" s="17"/>
      <c r="E2460" s="17">
        <v>60000</v>
      </c>
      <c r="F2460" s="18"/>
      <c r="G2460" s="18"/>
      <c r="H2460" s="18"/>
      <c r="I2460" s="18"/>
    </row>
    <row r="2461" ht="20.35" customHeight="1">
      <c r="A2461" s="10">
        <v>45568</v>
      </c>
      <c r="B2461" t="s" s="11">
        <v>28</v>
      </c>
      <c r="C2461" t="s" s="12">
        <v>448</v>
      </c>
      <c r="D2461" s="13">
        <v>60000</v>
      </c>
      <c r="E2461" s="13"/>
      <c r="F2461" s="14"/>
      <c r="G2461" s="14"/>
      <c r="H2461" s="14"/>
      <c r="I2461" s="14"/>
    </row>
    <row r="2462" ht="20.7" customHeight="1">
      <c r="A2462" s="10">
        <v>45568</v>
      </c>
      <c r="B2462" t="s" s="11">
        <v>8</v>
      </c>
      <c r="C2462" t="s" s="12">
        <v>8</v>
      </c>
      <c r="D2462" s="15" cm="1">
        <f t="array" ref="D2462">SUM(D2460:D2461)</f>
        <v>60000</v>
      </c>
      <c r="E2462" s="15" cm="1">
        <f t="array" ref="E2462">SUM(E2460:E2461)</f>
        <v>60000</v>
      </c>
      <c r="F2462" s="16" cm="1">
        <f t="array" ref="F2462">SUM(F2460:F2461)</f>
        <v>0</v>
      </c>
      <c r="G2462" s="16" cm="1">
        <f t="array" ref="G2462">SUM(G2460:G2461)</f>
        <v>0</v>
      </c>
      <c r="H2462" s="16" cm="1">
        <f t="array" ref="H2462">SUM(H2460:H2461)</f>
        <v>0</v>
      </c>
      <c r="I2462" s="16" cm="1">
        <f t="array" ref="I2462">SUM(I2460:I2461)</f>
        <v>0</v>
      </c>
    </row>
    <row r="2463" ht="21.25" customHeight="1">
      <c r="A2463" s="10">
        <v>45568</v>
      </c>
      <c r="B2463" t="s" s="11">
        <v>28</v>
      </c>
      <c r="C2463" t="s" s="12">
        <v>449</v>
      </c>
      <c r="D2463" s="17"/>
      <c r="E2463" s="17">
        <v>3000</v>
      </c>
      <c r="F2463" s="18"/>
      <c r="G2463" s="18"/>
      <c r="H2463" s="18"/>
      <c r="I2463" s="18"/>
    </row>
    <row r="2464" ht="21.25" customHeight="1">
      <c r="A2464" s="10">
        <v>45568</v>
      </c>
      <c r="B2464" t="s" s="11">
        <v>89</v>
      </c>
      <c r="C2464" t="s" s="12">
        <v>449</v>
      </c>
      <c r="D2464" s="13">
        <v>3000</v>
      </c>
      <c r="E2464" s="13"/>
      <c r="F2464" s="14"/>
      <c r="G2464" s="14"/>
      <c r="H2464" s="14"/>
      <c r="I2464" s="14"/>
    </row>
    <row r="2465" ht="20.7" customHeight="1">
      <c r="A2465" s="10">
        <v>45568</v>
      </c>
      <c r="B2465" t="s" s="11">
        <v>8</v>
      </c>
      <c r="C2465" t="s" s="12">
        <v>8</v>
      </c>
      <c r="D2465" s="15" cm="1">
        <f t="array" ref="D2465">SUM(D2463:D2464)</f>
        <v>3000</v>
      </c>
      <c r="E2465" s="15" cm="1">
        <f t="array" ref="E2465">SUM(E2463:E2464)</f>
        <v>3000</v>
      </c>
      <c r="F2465" s="16" cm="1">
        <f t="array" ref="F2465">SUM(F2463:F2464)</f>
        <v>0</v>
      </c>
      <c r="G2465" s="16" cm="1">
        <f t="array" ref="G2465">SUM(G2463:G2464)</f>
        <v>0</v>
      </c>
      <c r="H2465" s="16" cm="1">
        <f t="array" ref="H2465">SUM(H2463:H2464)</f>
        <v>0</v>
      </c>
      <c r="I2465" s="16" cm="1">
        <f t="array" ref="I2465">SUM(I2463:I2464)</f>
        <v>0</v>
      </c>
    </row>
    <row r="2466" ht="21.25" customHeight="1">
      <c r="A2466" s="10">
        <v>45568</v>
      </c>
      <c r="B2466" t="s" s="11">
        <v>28</v>
      </c>
      <c r="C2466" t="s" s="12">
        <v>450</v>
      </c>
      <c r="D2466" s="17"/>
      <c r="E2466" s="17">
        <v>55000</v>
      </c>
      <c r="F2466" s="18"/>
      <c r="G2466" s="18"/>
      <c r="H2466" s="18"/>
      <c r="I2466" s="18"/>
    </row>
    <row r="2467" ht="21.25" customHeight="1">
      <c r="A2467" s="10">
        <v>45568</v>
      </c>
      <c r="B2467" t="s" s="11">
        <v>89</v>
      </c>
      <c r="C2467" t="s" s="12">
        <v>450</v>
      </c>
      <c r="D2467" s="13">
        <v>55000</v>
      </c>
      <c r="E2467" s="13"/>
      <c r="F2467" s="14"/>
      <c r="G2467" s="14"/>
      <c r="H2467" s="14"/>
      <c r="I2467" s="14"/>
    </row>
    <row r="2468" ht="20.7" customHeight="1">
      <c r="A2468" s="10">
        <v>45568</v>
      </c>
      <c r="B2468" t="s" s="11">
        <v>8</v>
      </c>
      <c r="C2468" t="s" s="12">
        <v>8</v>
      </c>
      <c r="D2468" s="15" cm="1">
        <f t="array" ref="D2468">SUM(D2466:D2467)</f>
        <v>55000</v>
      </c>
      <c r="E2468" s="15" cm="1">
        <f t="array" ref="E2468">SUM(E2466:E2467)</f>
        <v>55000</v>
      </c>
      <c r="F2468" s="16" cm="1">
        <f t="array" ref="F2468">SUM(F2466:F2467)</f>
        <v>0</v>
      </c>
      <c r="G2468" s="16" cm="1">
        <f t="array" ref="G2468">SUM(G2466:G2467)</f>
        <v>0</v>
      </c>
      <c r="H2468" s="16" cm="1">
        <f t="array" ref="H2468">SUM(H2466:H2467)</f>
        <v>0</v>
      </c>
      <c r="I2468" s="16" cm="1">
        <f t="array" ref="I2468">SUM(I2466:I2467)</f>
        <v>0</v>
      </c>
    </row>
    <row r="2469" ht="21.25" customHeight="1">
      <c r="A2469" s="10">
        <v>45568</v>
      </c>
      <c r="B2469" t="s" s="11">
        <v>21</v>
      </c>
      <c r="C2469" t="s" s="12">
        <v>289</v>
      </c>
      <c r="D2469" s="17"/>
      <c r="E2469" s="17">
        <v>2800</v>
      </c>
      <c r="F2469" s="18"/>
      <c r="G2469" s="18"/>
      <c r="H2469" s="18"/>
      <c r="I2469" s="18"/>
    </row>
    <row r="2470" ht="21.25" customHeight="1">
      <c r="A2470" s="10">
        <v>45568</v>
      </c>
      <c r="B2470" t="s" s="11">
        <v>16</v>
      </c>
      <c r="C2470" t="s" s="12">
        <v>289</v>
      </c>
      <c r="D2470" s="13">
        <v>2800</v>
      </c>
      <c r="E2470" s="13"/>
      <c r="F2470" s="14"/>
      <c r="G2470" s="14"/>
      <c r="H2470" s="14"/>
      <c r="I2470" s="14"/>
    </row>
    <row r="2471" ht="20.7" customHeight="1">
      <c r="A2471" s="10">
        <v>45568</v>
      </c>
      <c r="B2471" t="s" s="11">
        <v>8</v>
      </c>
      <c r="C2471" t="s" s="12">
        <v>8</v>
      </c>
      <c r="D2471" s="15" cm="1">
        <f t="array" ref="D2471">SUM(D2469:D2470)</f>
        <v>2800</v>
      </c>
      <c r="E2471" s="15" cm="1">
        <f t="array" ref="E2471">SUM(E2469:E2470)</f>
        <v>2800</v>
      </c>
      <c r="F2471" s="16" cm="1">
        <f t="array" ref="F2471">SUM(F2469:F2470)</f>
        <v>0</v>
      </c>
      <c r="G2471" s="16" cm="1">
        <f t="array" ref="G2471">SUM(G2469:G2470)</f>
        <v>0</v>
      </c>
      <c r="H2471" s="16" cm="1">
        <f t="array" ref="H2471">SUM(H2469:H2470)</f>
        <v>0</v>
      </c>
      <c r="I2471" s="16" cm="1">
        <f t="array" ref="I2471">SUM(I2469:I2470)</f>
        <v>0</v>
      </c>
    </row>
    <row r="2472" ht="21.25" customHeight="1">
      <c r="A2472" s="10">
        <v>45569</v>
      </c>
      <c r="B2472" t="s" s="11">
        <v>5</v>
      </c>
      <c r="C2472" t="s" s="12">
        <v>451</v>
      </c>
      <c r="D2472" s="17"/>
      <c r="E2472" s="17">
        <v>36100</v>
      </c>
      <c r="F2472" s="18"/>
      <c r="G2472" s="18"/>
      <c r="H2472" s="18"/>
      <c r="I2472" s="18"/>
    </row>
    <row r="2473" ht="20.9" customHeight="1">
      <c r="A2473" s="10">
        <v>45569</v>
      </c>
      <c r="B2473" t="s" s="11">
        <v>12</v>
      </c>
      <c r="C2473" t="s" s="12">
        <v>451</v>
      </c>
      <c r="D2473" s="19">
        <v>18050</v>
      </c>
      <c r="E2473" s="19"/>
      <c r="F2473" s="20"/>
      <c r="G2473" s="20"/>
      <c r="H2473" s="20"/>
      <c r="I2473" s="20"/>
    </row>
    <row r="2474" ht="21.25" customHeight="1">
      <c r="A2474" s="10">
        <v>45569</v>
      </c>
      <c r="B2474" t="s" s="11">
        <v>10</v>
      </c>
      <c r="C2474" t="s" s="12">
        <v>451</v>
      </c>
      <c r="D2474" s="13">
        <v>18050</v>
      </c>
      <c r="E2474" s="13"/>
      <c r="F2474" s="14"/>
      <c r="G2474" s="14"/>
      <c r="H2474" s="14"/>
      <c r="I2474" s="14"/>
    </row>
    <row r="2475" ht="20.7" customHeight="1">
      <c r="A2475" s="10">
        <v>45569</v>
      </c>
      <c r="B2475" t="s" s="11">
        <v>8</v>
      </c>
      <c r="C2475" t="s" s="12">
        <v>8</v>
      </c>
      <c r="D2475" s="15" cm="1">
        <f t="array" ref="D2475">SUM(D2472:D2474)</f>
        <v>36100</v>
      </c>
      <c r="E2475" s="15" cm="1">
        <f t="array" ref="E2475">SUM(E2472:E2474)</f>
        <v>36100</v>
      </c>
      <c r="F2475" s="16" cm="1">
        <f t="array" ref="F2475">SUM(F2472:F2474)</f>
        <v>0</v>
      </c>
      <c r="G2475" s="16" cm="1">
        <f t="array" ref="G2475">SUM(G2472:G2474)</f>
        <v>0</v>
      </c>
      <c r="H2475" s="16" cm="1">
        <f t="array" ref="H2475">SUM(H2472:H2474)</f>
        <v>0</v>
      </c>
      <c r="I2475" s="16" cm="1">
        <f t="array" ref="I2475">SUM(I2472:I2474)</f>
        <v>0</v>
      </c>
    </row>
    <row r="2476" ht="20.35" customHeight="1">
      <c r="A2476" s="10">
        <v>45569</v>
      </c>
      <c r="B2476" t="s" s="11">
        <v>89</v>
      </c>
      <c r="C2476" t="s" s="12">
        <v>452</v>
      </c>
      <c r="D2476" s="17"/>
      <c r="E2476" s="17">
        <v>141750</v>
      </c>
      <c r="F2476" s="18"/>
      <c r="G2476" s="18"/>
      <c r="H2476" s="18"/>
      <c r="I2476" s="18"/>
    </row>
    <row r="2477" ht="20.05" customHeight="1">
      <c r="A2477" s="10">
        <v>45569</v>
      </c>
      <c r="B2477" t="s" s="11">
        <v>21</v>
      </c>
      <c r="C2477" t="s" s="12">
        <v>452</v>
      </c>
      <c r="D2477" s="23"/>
      <c r="E2477" s="19">
        <v>8250</v>
      </c>
      <c r="F2477" s="20"/>
      <c r="G2477" s="20"/>
      <c r="H2477" s="20"/>
      <c r="I2477" s="20"/>
    </row>
    <row r="2478" ht="20.35" customHeight="1">
      <c r="A2478" s="10">
        <v>45569</v>
      </c>
      <c r="B2478" t="s" s="11">
        <v>28</v>
      </c>
      <c r="C2478" t="s" s="12">
        <v>452</v>
      </c>
      <c r="D2478" s="13">
        <v>150000</v>
      </c>
      <c r="E2478" s="13"/>
      <c r="F2478" s="14"/>
      <c r="G2478" s="14"/>
      <c r="H2478" s="14"/>
      <c r="I2478" s="14"/>
    </row>
    <row r="2479" ht="20.7" customHeight="1">
      <c r="A2479" s="10">
        <v>45569</v>
      </c>
      <c r="B2479" t="s" s="11">
        <v>8</v>
      </c>
      <c r="C2479" t="s" s="12">
        <v>8</v>
      </c>
      <c r="D2479" s="15" cm="1">
        <f t="array" ref="D2479">SUM(D2476:D2478)</f>
        <v>150000</v>
      </c>
      <c r="E2479" s="15" cm="1">
        <f t="array" ref="E2479">SUM(E2476:E2478)</f>
        <v>150000</v>
      </c>
      <c r="F2479" s="16" cm="1">
        <f t="array" ref="F2479">SUM(F2476:F2478)</f>
        <v>0</v>
      </c>
      <c r="G2479" s="16" cm="1">
        <f t="array" ref="G2479">SUM(G2476:G2478)</f>
        <v>0</v>
      </c>
      <c r="H2479" s="16" cm="1">
        <f t="array" ref="H2479">SUM(H2476:H2478)</f>
        <v>0</v>
      </c>
      <c r="I2479" s="16" cm="1">
        <f t="array" ref="I2479">SUM(I2476:I2478)</f>
        <v>0</v>
      </c>
    </row>
    <row r="2480" ht="20.35" customHeight="1">
      <c r="A2480" s="10">
        <v>45569</v>
      </c>
      <c r="B2480" t="s" s="11">
        <v>5</v>
      </c>
      <c r="C2480" t="s" s="12">
        <v>202</v>
      </c>
      <c r="D2480" s="17"/>
      <c r="E2480" s="17">
        <v>12707</v>
      </c>
      <c r="F2480" s="18"/>
      <c r="G2480" s="18"/>
      <c r="H2480" s="18"/>
      <c r="I2480" s="18"/>
    </row>
    <row r="2481" ht="20.35" customHeight="1">
      <c r="A2481" s="10">
        <v>45569</v>
      </c>
      <c r="B2481" t="s" s="11">
        <v>93</v>
      </c>
      <c r="C2481" t="s" s="12">
        <v>202</v>
      </c>
      <c r="D2481" s="13">
        <v>12707</v>
      </c>
      <c r="E2481" s="13"/>
      <c r="F2481" s="14"/>
      <c r="G2481" s="14"/>
      <c r="H2481" s="14"/>
      <c r="I2481" s="14"/>
    </row>
    <row r="2482" ht="20.7" customHeight="1">
      <c r="A2482" s="10">
        <v>45569</v>
      </c>
      <c r="B2482" t="s" s="11">
        <v>8</v>
      </c>
      <c r="C2482" t="s" s="12">
        <v>8</v>
      </c>
      <c r="D2482" s="15" cm="1">
        <f t="array" ref="D2482">SUM(D2480:D2481)</f>
        <v>12707</v>
      </c>
      <c r="E2482" s="15" cm="1">
        <f t="array" ref="E2482">SUM(E2480:E2481)</f>
        <v>12707</v>
      </c>
      <c r="F2482" s="16" cm="1">
        <f t="array" ref="F2482">SUM(F2480:F2481)</f>
        <v>0</v>
      </c>
      <c r="G2482" s="16" cm="1">
        <f t="array" ref="G2482">SUM(G2480:G2481)</f>
        <v>0</v>
      </c>
      <c r="H2482" s="16" cm="1">
        <f t="array" ref="H2482">SUM(H2480:H2481)</f>
        <v>0</v>
      </c>
      <c r="I2482" s="16" cm="1">
        <f t="array" ref="I2482">SUM(I2480:I2481)</f>
        <v>0</v>
      </c>
    </row>
    <row r="2483" ht="20.35" customHeight="1">
      <c r="A2483" s="10">
        <v>45569</v>
      </c>
      <c r="B2483" t="s" s="11">
        <v>93</v>
      </c>
      <c r="C2483" t="s" s="12">
        <v>20</v>
      </c>
      <c r="D2483" s="17"/>
      <c r="E2483" s="17">
        <v>20000</v>
      </c>
      <c r="F2483" s="18"/>
      <c r="G2483" s="18"/>
      <c r="H2483" s="18"/>
      <c r="I2483" s="18"/>
    </row>
    <row r="2484" ht="20.35" customHeight="1">
      <c r="A2484" s="10">
        <v>45569</v>
      </c>
      <c r="B2484" t="s" s="11">
        <v>89</v>
      </c>
      <c r="C2484" t="s" s="12">
        <v>20</v>
      </c>
      <c r="D2484" s="13">
        <v>20000</v>
      </c>
      <c r="E2484" s="13"/>
      <c r="F2484" s="14"/>
      <c r="G2484" s="14"/>
      <c r="H2484" s="14"/>
      <c r="I2484" s="14"/>
    </row>
    <row r="2485" ht="20.7" customHeight="1">
      <c r="A2485" s="10">
        <v>45569</v>
      </c>
      <c r="B2485" t="s" s="11">
        <v>8</v>
      </c>
      <c r="C2485" t="s" s="12">
        <v>8</v>
      </c>
      <c r="D2485" s="15" cm="1">
        <f t="array" ref="D2485">SUM(D2483:D2484)</f>
        <v>20000</v>
      </c>
      <c r="E2485" s="15" cm="1">
        <f t="array" ref="E2485">SUM(E2483:E2484)</f>
        <v>20000</v>
      </c>
      <c r="F2485" s="16" cm="1">
        <f t="array" ref="F2485">SUM(F2483:F2484)</f>
        <v>0</v>
      </c>
      <c r="G2485" s="16" cm="1">
        <f t="array" ref="G2485">SUM(G2483:G2484)</f>
        <v>0</v>
      </c>
      <c r="H2485" s="16" cm="1">
        <f t="array" ref="H2485">SUM(H2483:H2484)</f>
        <v>0</v>
      </c>
      <c r="I2485" s="16" cm="1">
        <f t="array" ref="I2485">SUM(I2483:I2484)</f>
        <v>0</v>
      </c>
    </row>
    <row r="2486" ht="20.35" customHeight="1">
      <c r="A2486" s="10">
        <v>45569</v>
      </c>
      <c r="B2486" t="s" s="11">
        <v>5</v>
      </c>
      <c r="C2486" t="s" s="12">
        <v>17</v>
      </c>
      <c r="D2486" s="17">
        <v>100</v>
      </c>
      <c r="E2486" s="17"/>
      <c r="F2486" s="18"/>
      <c r="G2486" s="18"/>
      <c r="H2486" s="18"/>
      <c r="I2486" s="18"/>
    </row>
    <row r="2487" ht="20.35" customHeight="1">
      <c r="A2487" s="10">
        <v>45569</v>
      </c>
      <c r="B2487" t="s" s="11">
        <v>18</v>
      </c>
      <c r="C2487" t="s" s="12">
        <v>17</v>
      </c>
      <c r="D2487" s="13"/>
      <c r="E2487" s="13">
        <v>100</v>
      </c>
      <c r="F2487" s="14"/>
      <c r="G2487" s="14"/>
      <c r="H2487" s="14"/>
      <c r="I2487" s="14"/>
    </row>
    <row r="2488" ht="20.7" customHeight="1">
      <c r="A2488" s="10">
        <v>45569</v>
      </c>
      <c r="B2488" t="s" s="11">
        <v>8</v>
      </c>
      <c r="C2488" t="s" s="12">
        <v>8</v>
      </c>
      <c r="D2488" s="15" cm="1">
        <f t="array" ref="D2488">SUM(D2486:D2487)</f>
        <v>100</v>
      </c>
      <c r="E2488" s="15" cm="1">
        <f t="array" ref="E2488">SUM(E2486:E2487)</f>
        <v>100</v>
      </c>
      <c r="F2488" s="16" cm="1">
        <f t="array" ref="F2488">SUM(F2486:F2487)</f>
        <v>0</v>
      </c>
      <c r="G2488" s="16" cm="1">
        <f t="array" ref="G2488">SUM(G2486:G2487)</f>
        <v>0</v>
      </c>
      <c r="H2488" s="16" cm="1">
        <f t="array" ref="H2488">SUM(H2486:H2487)</f>
        <v>0</v>
      </c>
      <c r="I2488" s="16" cm="1">
        <f t="array" ref="I2488">SUM(I2486:I2487)</f>
        <v>0</v>
      </c>
    </row>
    <row r="2489" ht="20.35" customHeight="1">
      <c r="A2489" s="10">
        <v>45569</v>
      </c>
      <c r="B2489" t="s" s="11">
        <v>5</v>
      </c>
      <c r="C2489" t="s" s="12">
        <v>17</v>
      </c>
      <c r="D2489" s="17">
        <v>100</v>
      </c>
      <c r="E2489" s="17"/>
      <c r="F2489" s="18"/>
      <c r="G2489" s="18"/>
      <c r="H2489" s="18"/>
      <c r="I2489" s="18"/>
    </row>
    <row r="2490" ht="20.35" customHeight="1">
      <c r="A2490" s="10">
        <v>45569</v>
      </c>
      <c r="B2490" t="s" s="11">
        <v>18</v>
      </c>
      <c r="C2490" t="s" s="12">
        <v>17</v>
      </c>
      <c r="D2490" s="13"/>
      <c r="E2490" s="13">
        <v>100</v>
      </c>
      <c r="F2490" s="14"/>
      <c r="G2490" s="14"/>
      <c r="H2490" s="14"/>
      <c r="I2490" s="14"/>
    </row>
    <row r="2491" ht="20.7" customHeight="1">
      <c r="A2491" s="10">
        <v>45569</v>
      </c>
      <c r="B2491" t="s" s="11">
        <v>8</v>
      </c>
      <c r="C2491" t="s" s="12">
        <v>8</v>
      </c>
      <c r="D2491" s="15" cm="1">
        <f t="array" ref="D2491">SUM(D2489:D2490)</f>
        <v>100</v>
      </c>
      <c r="E2491" s="15" cm="1">
        <f t="array" ref="E2491">SUM(E2489:E2490)</f>
        <v>100</v>
      </c>
      <c r="F2491" s="16" cm="1">
        <f t="array" ref="F2491">SUM(F2489:F2490)</f>
        <v>0</v>
      </c>
      <c r="G2491" s="16" cm="1">
        <f t="array" ref="G2491">SUM(G2489:G2490)</f>
        <v>0</v>
      </c>
      <c r="H2491" s="16" cm="1">
        <f t="array" ref="H2491">SUM(H2489:H2490)</f>
        <v>0</v>
      </c>
      <c r="I2491" s="16" cm="1">
        <f t="array" ref="I2491">SUM(I2489:I2490)</f>
        <v>0</v>
      </c>
    </row>
    <row r="2492" ht="20.35" customHeight="1">
      <c r="A2492" s="10">
        <v>45569</v>
      </c>
      <c r="B2492" t="s" s="11">
        <v>5</v>
      </c>
      <c r="C2492" t="s" s="12">
        <v>453</v>
      </c>
      <c r="D2492" s="17"/>
      <c r="E2492" s="17">
        <v>12900</v>
      </c>
      <c r="F2492" s="18"/>
      <c r="G2492" s="18"/>
      <c r="H2492" s="18"/>
      <c r="I2492" s="18"/>
    </row>
    <row r="2493" ht="20.05" customHeight="1">
      <c r="A2493" s="10">
        <v>45569</v>
      </c>
      <c r="B2493" t="s" s="11">
        <v>12</v>
      </c>
      <c r="C2493" t="s" s="12">
        <v>453</v>
      </c>
      <c r="D2493" s="19">
        <v>4300</v>
      </c>
      <c r="E2493" s="19"/>
      <c r="F2493" s="20"/>
      <c r="G2493" s="20"/>
      <c r="H2493" s="20"/>
      <c r="I2493" s="20"/>
    </row>
    <row r="2494" ht="20.35" customHeight="1">
      <c r="A2494" s="10">
        <v>45569</v>
      </c>
      <c r="B2494" t="s" s="11">
        <v>10</v>
      </c>
      <c r="C2494" t="s" s="12">
        <v>453</v>
      </c>
      <c r="D2494" s="13">
        <v>8600</v>
      </c>
      <c r="E2494" s="13"/>
      <c r="F2494" s="14"/>
      <c r="G2494" s="14"/>
      <c r="H2494" s="14"/>
      <c r="I2494" s="14"/>
    </row>
    <row r="2495" ht="20.7" customHeight="1">
      <c r="A2495" s="10">
        <v>45569</v>
      </c>
      <c r="B2495" t="s" s="11">
        <v>8</v>
      </c>
      <c r="C2495" t="s" s="12">
        <v>8</v>
      </c>
      <c r="D2495" s="15" cm="1">
        <f t="array" ref="D2495">SUM(D2492:D2494)</f>
        <v>12900</v>
      </c>
      <c r="E2495" s="15" cm="1">
        <f t="array" ref="E2495">SUM(E2492:E2494)</f>
        <v>12900</v>
      </c>
      <c r="F2495" s="16" cm="1">
        <f t="array" ref="F2495">SUM(F2492:F2494)</f>
        <v>0</v>
      </c>
      <c r="G2495" s="16" cm="1">
        <f t="array" ref="G2495">SUM(G2492:G2494)</f>
        <v>0</v>
      </c>
      <c r="H2495" s="16" cm="1">
        <f t="array" ref="H2495">SUM(H2492:H2494)</f>
        <v>0</v>
      </c>
      <c r="I2495" s="16" cm="1">
        <f t="array" ref="I2495">SUM(I2492:I2494)</f>
        <v>0</v>
      </c>
    </row>
    <row r="2496" ht="20.35" customHeight="1">
      <c r="A2496" s="10">
        <v>45569</v>
      </c>
      <c r="B2496" t="s" s="11">
        <v>5</v>
      </c>
      <c r="C2496" t="s" s="12">
        <v>454</v>
      </c>
      <c r="D2496" s="17"/>
      <c r="E2496" s="17">
        <v>13600</v>
      </c>
      <c r="F2496" s="18"/>
      <c r="G2496" s="18"/>
      <c r="H2496" s="18"/>
      <c r="I2496" s="18"/>
    </row>
    <row r="2497" ht="20.05" customHeight="1">
      <c r="A2497" s="10">
        <v>45569</v>
      </c>
      <c r="B2497" t="s" s="11">
        <v>12</v>
      </c>
      <c r="C2497" t="s" s="12">
        <v>454</v>
      </c>
      <c r="D2497" s="19">
        <v>3000</v>
      </c>
      <c r="E2497" s="19"/>
      <c r="F2497" s="20"/>
      <c r="G2497" s="20"/>
      <c r="H2497" s="20"/>
      <c r="I2497" s="20"/>
    </row>
    <row r="2498" ht="20.35" customHeight="1">
      <c r="A2498" s="10">
        <v>45569</v>
      </c>
      <c r="B2498" t="s" s="11">
        <v>10</v>
      </c>
      <c r="C2498" t="s" s="12">
        <v>454</v>
      </c>
      <c r="D2498" s="13">
        <v>10600</v>
      </c>
      <c r="E2498" s="13"/>
      <c r="F2498" s="14"/>
      <c r="G2498" s="14"/>
      <c r="H2498" s="14"/>
      <c r="I2498" s="14"/>
    </row>
    <row r="2499" ht="20.7" customHeight="1">
      <c r="A2499" s="10">
        <v>45569</v>
      </c>
      <c r="B2499" t="s" s="11">
        <v>8</v>
      </c>
      <c r="C2499" t="s" s="12">
        <v>8</v>
      </c>
      <c r="D2499" s="15" cm="1">
        <f t="array" ref="D2499">SUM(D2496:D2498)</f>
        <v>13600</v>
      </c>
      <c r="E2499" s="15" cm="1">
        <f t="array" ref="E2499">SUM(E2496:E2498)</f>
        <v>13600</v>
      </c>
      <c r="F2499" s="16" cm="1">
        <f t="array" ref="F2499">SUM(F2496:F2498)</f>
        <v>0</v>
      </c>
      <c r="G2499" s="16" cm="1">
        <f t="array" ref="G2499">SUM(G2496:G2498)</f>
        <v>0</v>
      </c>
      <c r="H2499" s="16" cm="1">
        <f t="array" ref="H2499">SUM(H2496:H2498)</f>
        <v>0</v>
      </c>
      <c r="I2499" s="16" cm="1">
        <f t="array" ref="I2499">SUM(I2496:I2498)</f>
        <v>0</v>
      </c>
    </row>
    <row r="2500" ht="20.35" customHeight="1">
      <c r="A2500" s="10">
        <v>45569</v>
      </c>
      <c r="B2500" t="s" s="11">
        <v>5</v>
      </c>
      <c r="C2500" t="s" s="12">
        <v>17</v>
      </c>
      <c r="D2500" s="17">
        <v>500</v>
      </c>
      <c r="E2500" s="17"/>
      <c r="F2500" s="18"/>
      <c r="G2500" s="18"/>
      <c r="H2500" s="18"/>
      <c r="I2500" s="18"/>
    </row>
    <row r="2501" ht="20.35" customHeight="1">
      <c r="A2501" s="10">
        <v>45569</v>
      </c>
      <c r="B2501" t="s" s="11">
        <v>18</v>
      </c>
      <c r="C2501" t="s" s="12">
        <v>17</v>
      </c>
      <c r="D2501" s="13"/>
      <c r="E2501" s="13">
        <v>500</v>
      </c>
      <c r="F2501" s="14"/>
      <c r="G2501" s="14"/>
      <c r="H2501" s="14"/>
      <c r="I2501" s="14"/>
    </row>
    <row r="2502" ht="20.7" customHeight="1">
      <c r="A2502" s="10">
        <v>45569</v>
      </c>
      <c r="B2502" t="s" s="11">
        <v>8</v>
      </c>
      <c r="C2502" t="s" s="12">
        <v>8</v>
      </c>
      <c r="D2502" s="15" cm="1">
        <f t="array" ref="D2502">SUM(D2500:D2501)</f>
        <v>500</v>
      </c>
      <c r="E2502" s="15" cm="1">
        <f t="array" ref="E2502">SUM(E2500:E2501)</f>
        <v>500</v>
      </c>
      <c r="F2502" s="16" cm="1">
        <f t="array" ref="F2502">SUM(F2500:F2501)</f>
        <v>0</v>
      </c>
      <c r="G2502" s="16" cm="1">
        <f t="array" ref="G2502">SUM(G2500:G2501)</f>
        <v>0</v>
      </c>
      <c r="H2502" s="16" cm="1">
        <f t="array" ref="H2502">SUM(H2500:H2501)</f>
        <v>0</v>
      </c>
      <c r="I2502" s="16" cm="1">
        <f t="array" ref="I2502">SUM(I2500:I2501)</f>
        <v>0</v>
      </c>
    </row>
    <row r="2503" ht="21.25" customHeight="1">
      <c r="A2503" s="10">
        <v>45569</v>
      </c>
      <c r="B2503" t="s" s="11">
        <v>21</v>
      </c>
      <c r="C2503" t="s" s="12">
        <v>455</v>
      </c>
      <c r="D2503" s="17"/>
      <c r="E2503" s="17">
        <v>5500</v>
      </c>
      <c r="F2503" s="18"/>
      <c r="G2503" s="18"/>
      <c r="H2503" s="18"/>
      <c r="I2503" s="18"/>
    </row>
    <row r="2504" ht="21.25" customHeight="1">
      <c r="A2504" s="10">
        <v>45569</v>
      </c>
      <c r="B2504" t="s" s="11">
        <v>16</v>
      </c>
      <c r="C2504" t="s" s="12">
        <v>455</v>
      </c>
      <c r="D2504" s="13">
        <v>5500</v>
      </c>
      <c r="E2504" s="13"/>
      <c r="F2504" s="14"/>
      <c r="G2504" s="14"/>
      <c r="H2504" s="14"/>
      <c r="I2504" s="14"/>
    </row>
    <row r="2505" ht="20.7" customHeight="1">
      <c r="A2505" s="10">
        <v>45569</v>
      </c>
      <c r="B2505" t="s" s="11">
        <v>8</v>
      </c>
      <c r="C2505" t="s" s="12">
        <v>8</v>
      </c>
      <c r="D2505" s="15" cm="1">
        <f t="array" ref="D2505">SUM(D2503:D2504)</f>
        <v>5500</v>
      </c>
      <c r="E2505" s="15" cm="1">
        <f t="array" ref="E2505">SUM(E2503:E2504)</f>
        <v>5500</v>
      </c>
      <c r="F2505" s="16" cm="1">
        <f t="array" ref="F2505">SUM(F2503:F2504)</f>
        <v>0</v>
      </c>
      <c r="G2505" s="16" cm="1">
        <f t="array" ref="G2505">SUM(G2503:G2504)</f>
        <v>0</v>
      </c>
      <c r="H2505" s="16" cm="1">
        <f t="array" ref="H2505">SUM(H2503:H2504)</f>
        <v>0</v>
      </c>
      <c r="I2505" s="16" cm="1">
        <f t="array" ref="I2505">SUM(I2503:I2504)</f>
        <v>0</v>
      </c>
    </row>
    <row r="2506" ht="20.35" customHeight="1">
      <c r="A2506" s="10">
        <v>45570</v>
      </c>
      <c r="B2506" t="s" s="11">
        <v>5</v>
      </c>
      <c r="C2506" t="s" s="12">
        <v>456</v>
      </c>
      <c r="D2506" s="17"/>
      <c r="E2506" s="17">
        <v>5000</v>
      </c>
      <c r="F2506" s="18"/>
      <c r="G2506" s="18"/>
      <c r="H2506" s="18"/>
      <c r="I2506" s="18"/>
    </row>
    <row r="2507" ht="20.35" customHeight="1">
      <c r="A2507" s="10">
        <v>45570</v>
      </c>
      <c r="B2507" t="s" s="11">
        <v>12</v>
      </c>
      <c r="C2507" t="s" s="12">
        <v>456</v>
      </c>
      <c r="D2507" s="13">
        <v>5000</v>
      </c>
      <c r="E2507" s="13"/>
      <c r="F2507" s="14"/>
      <c r="G2507" s="14"/>
      <c r="H2507" s="14"/>
      <c r="I2507" s="14"/>
    </row>
    <row r="2508" ht="20.7" customHeight="1">
      <c r="A2508" s="10">
        <v>45570</v>
      </c>
      <c r="B2508" t="s" s="11">
        <v>8</v>
      </c>
      <c r="C2508" t="s" s="12">
        <v>8</v>
      </c>
      <c r="D2508" s="15" cm="1">
        <f t="array" ref="D2508">SUM(D2506:D2507)</f>
        <v>5000</v>
      </c>
      <c r="E2508" s="15" cm="1">
        <f t="array" ref="E2508">SUM(E2506:E2507)</f>
        <v>5000</v>
      </c>
      <c r="F2508" s="16" cm="1">
        <f t="array" ref="F2508">SUM(F2506:F2507)</f>
        <v>0</v>
      </c>
      <c r="G2508" s="16" cm="1">
        <f t="array" ref="G2508">SUM(G2506:G2507)</f>
        <v>0</v>
      </c>
      <c r="H2508" s="16" cm="1">
        <f t="array" ref="H2508">SUM(H2506:H2507)</f>
        <v>0</v>
      </c>
      <c r="I2508" s="16" cm="1">
        <f t="array" ref="I2508">SUM(I2506:I2507)</f>
        <v>0</v>
      </c>
    </row>
    <row r="2509" ht="21.25" customHeight="1">
      <c r="A2509" s="10">
        <v>45570</v>
      </c>
      <c r="B2509" t="s" s="11">
        <v>5</v>
      </c>
      <c r="C2509" t="s" s="12">
        <v>457</v>
      </c>
      <c r="D2509" s="17"/>
      <c r="E2509" s="17">
        <v>9000</v>
      </c>
      <c r="F2509" s="18"/>
      <c r="G2509" s="18"/>
      <c r="H2509" s="18"/>
      <c r="I2509" s="18"/>
    </row>
    <row r="2510" ht="20.9" customHeight="1">
      <c r="A2510" s="10">
        <v>45570</v>
      </c>
      <c r="B2510" t="s" s="11">
        <v>89</v>
      </c>
      <c r="C2510" t="s" s="12">
        <v>457</v>
      </c>
      <c r="D2510" s="19">
        <v>7200</v>
      </c>
      <c r="E2510" s="19"/>
      <c r="F2510" s="20"/>
      <c r="G2510" s="20"/>
      <c r="H2510" s="20"/>
      <c r="I2510" s="20"/>
    </row>
    <row r="2511" ht="21.25" customHeight="1">
      <c r="A2511" s="10">
        <v>45570</v>
      </c>
      <c r="B2511" t="s" s="11">
        <v>12</v>
      </c>
      <c r="C2511" t="s" s="12">
        <v>457</v>
      </c>
      <c r="D2511" s="13">
        <v>1800</v>
      </c>
      <c r="E2511" s="13"/>
      <c r="F2511" s="14"/>
      <c r="G2511" s="14"/>
      <c r="H2511" s="14"/>
      <c r="I2511" s="14"/>
    </row>
    <row r="2512" ht="20.7" customHeight="1">
      <c r="A2512" s="10">
        <v>45570</v>
      </c>
      <c r="B2512" t="s" s="11">
        <v>8</v>
      </c>
      <c r="C2512" t="s" s="12">
        <v>8</v>
      </c>
      <c r="D2512" s="15" cm="1">
        <f t="array" ref="D2512">SUM(D2509:D2511)</f>
        <v>9000</v>
      </c>
      <c r="E2512" s="15" cm="1">
        <f t="array" ref="E2512">SUM(E2509:E2511)</f>
        <v>9000</v>
      </c>
      <c r="F2512" s="16" cm="1">
        <f t="array" ref="F2512">SUM(F2509:F2511)</f>
        <v>0</v>
      </c>
      <c r="G2512" s="16" cm="1">
        <f t="array" ref="G2512">SUM(G2509:G2511)</f>
        <v>0</v>
      </c>
      <c r="H2512" s="16" cm="1">
        <f t="array" ref="H2512">SUM(H2509:H2511)</f>
        <v>0</v>
      </c>
      <c r="I2512" s="16" cm="1">
        <f t="array" ref="I2512">SUM(I2509:I2511)</f>
        <v>0</v>
      </c>
    </row>
    <row r="2513" ht="20.35" customHeight="1">
      <c r="A2513" s="10">
        <v>45570</v>
      </c>
      <c r="B2513" t="s" s="11">
        <v>5</v>
      </c>
      <c r="C2513" t="s" s="12">
        <v>458</v>
      </c>
      <c r="D2513" s="17"/>
      <c r="E2513" s="17">
        <v>18000</v>
      </c>
      <c r="F2513" s="18"/>
      <c r="G2513" s="18"/>
      <c r="H2513" s="18"/>
      <c r="I2513" s="18"/>
    </row>
    <row r="2514" ht="20.35" customHeight="1">
      <c r="A2514" s="10">
        <v>45570</v>
      </c>
      <c r="B2514" t="s" s="11">
        <v>12</v>
      </c>
      <c r="C2514" t="s" s="12">
        <v>458</v>
      </c>
      <c r="D2514" s="13">
        <v>18000</v>
      </c>
      <c r="E2514" s="13"/>
      <c r="F2514" s="14"/>
      <c r="G2514" s="14"/>
      <c r="H2514" s="14"/>
      <c r="I2514" s="14"/>
    </row>
    <row r="2515" ht="20.7" customHeight="1">
      <c r="A2515" s="10">
        <v>45570</v>
      </c>
      <c r="B2515" t="s" s="11">
        <v>8</v>
      </c>
      <c r="C2515" t="s" s="12">
        <v>8</v>
      </c>
      <c r="D2515" s="15" cm="1">
        <f t="array" ref="D2515">SUM(D2513:D2514)</f>
        <v>18000</v>
      </c>
      <c r="E2515" s="15" cm="1">
        <f t="array" ref="E2515">SUM(E2513:E2514)</f>
        <v>18000</v>
      </c>
      <c r="F2515" s="16" cm="1">
        <f t="array" ref="F2515">SUM(F2513:F2514)</f>
        <v>0</v>
      </c>
      <c r="G2515" s="16" cm="1">
        <f t="array" ref="G2515">SUM(G2513:G2514)</f>
        <v>0</v>
      </c>
      <c r="H2515" s="16" cm="1">
        <f t="array" ref="H2515">SUM(H2513:H2514)</f>
        <v>0</v>
      </c>
      <c r="I2515" s="16" cm="1">
        <f t="array" ref="I2515">SUM(I2513:I2514)</f>
        <v>0</v>
      </c>
    </row>
    <row r="2516" ht="21.25" customHeight="1">
      <c r="A2516" s="10">
        <v>45570</v>
      </c>
      <c r="B2516" t="s" s="11">
        <v>5</v>
      </c>
      <c r="C2516" t="s" s="12">
        <v>434</v>
      </c>
      <c r="D2516" s="17"/>
      <c r="E2516" s="17">
        <v>25000</v>
      </c>
      <c r="F2516" s="18"/>
      <c r="G2516" s="18"/>
      <c r="H2516" s="18"/>
      <c r="I2516" s="18"/>
    </row>
    <row r="2517" ht="21.25" customHeight="1">
      <c r="A2517" s="10">
        <v>45570</v>
      </c>
      <c r="B2517" t="s" s="11">
        <v>89</v>
      </c>
      <c r="C2517" t="s" s="12">
        <v>434</v>
      </c>
      <c r="D2517" s="13">
        <v>25000</v>
      </c>
      <c r="E2517" s="13"/>
      <c r="F2517" s="14"/>
      <c r="G2517" s="14"/>
      <c r="H2517" s="14"/>
      <c r="I2517" s="14"/>
    </row>
    <row r="2518" ht="20.7" customHeight="1">
      <c r="A2518" s="10">
        <v>45570</v>
      </c>
      <c r="B2518" t="s" s="11">
        <v>8</v>
      </c>
      <c r="C2518" t="s" s="12">
        <v>8</v>
      </c>
      <c r="D2518" s="15" cm="1">
        <f t="array" ref="D2518">SUM(D2516:D2517)</f>
        <v>25000</v>
      </c>
      <c r="E2518" s="15" cm="1">
        <f t="array" ref="E2518">SUM(E2516:E2517)</f>
        <v>25000</v>
      </c>
      <c r="F2518" s="16" cm="1">
        <f t="array" ref="F2518">SUM(F2516:F2517)</f>
        <v>0</v>
      </c>
      <c r="G2518" s="16" cm="1">
        <f t="array" ref="G2518">SUM(G2516:G2517)</f>
        <v>0</v>
      </c>
      <c r="H2518" s="16" cm="1">
        <f t="array" ref="H2518">SUM(H2516:H2517)</f>
        <v>0</v>
      </c>
      <c r="I2518" s="16" cm="1">
        <f t="array" ref="I2518">SUM(I2516:I2517)</f>
        <v>0</v>
      </c>
    </row>
    <row r="2519" ht="20.35" customHeight="1">
      <c r="A2519" s="10">
        <v>45570</v>
      </c>
      <c r="B2519" t="s" s="11">
        <v>12</v>
      </c>
      <c r="C2519" t="s" s="12">
        <v>459</v>
      </c>
      <c r="D2519" s="17">
        <v>9600</v>
      </c>
      <c r="E2519" s="17"/>
      <c r="F2519" s="18"/>
      <c r="G2519" s="18"/>
      <c r="H2519" s="18"/>
      <c r="I2519" s="18"/>
    </row>
    <row r="2520" ht="20.35" customHeight="1">
      <c r="A2520" s="10">
        <v>45570</v>
      </c>
      <c r="B2520" t="s" s="11">
        <v>21</v>
      </c>
      <c r="C2520" t="s" s="12">
        <v>459</v>
      </c>
      <c r="D2520" s="13"/>
      <c r="E2520" s="13">
        <v>9600</v>
      </c>
      <c r="F2520" s="14"/>
      <c r="G2520" s="14"/>
      <c r="H2520" s="14"/>
      <c r="I2520" s="14"/>
    </row>
    <row r="2521" ht="20.7" customHeight="1">
      <c r="A2521" s="10">
        <v>45570</v>
      </c>
      <c r="B2521" t="s" s="11">
        <v>8</v>
      </c>
      <c r="C2521" t="s" s="12">
        <v>8</v>
      </c>
      <c r="D2521" s="15" cm="1">
        <f t="array" ref="D2521">SUM(D2519:D2520)</f>
        <v>9600</v>
      </c>
      <c r="E2521" s="15" cm="1">
        <f t="array" ref="E2521">SUM(E2519:E2520)</f>
        <v>9600</v>
      </c>
      <c r="F2521" s="16" cm="1">
        <f t="array" ref="F2521">SUM(F2519:F2520)</f>
        <v>0</v>
      </c>
      <c r="G2521" s="16" cm="1">
        <f t="array" ref="G2521">SUM(G2519:G2520)</f>
        <v>0</v>
      </c>
      <c r="H2521" s="16" cm="1">
        <f t="array" ref="H2521">SUM(H2519:H2520)</f>
        <v>0</v>
      </c>
      <c r="I2521" s="16" cm="1">
        <f t="array" ref="I2521">SUM(I2519:I2520)</f>
        <v>0</v>
      </c>
    </row>
    <row r="2522" ht="20.35" customHeight="1">
      <c r="A2522" s="10">
        <v>45570</v>
      </c>
      <c r="B2522" t="s" s="11">
        <v>107</v>
      </c>
      <c r="C2522" t="s" s="12">
        <v>345</v>
      </c>
      <c r="D2522" s="17">
        <v>4100</v>
      </c>
      <c r="E2522" s="17"/>
      <c r="F2522" s="18"/>
      <c r="G2522" s="18"/>
      <c r="H2522" s="18"/>
      <c r="I2522" s="18"/>
    </row>
    <row r="2523" ht="20.05" customHeight="1">
      <c r="A2523" s="10">
        <v>45570</v>
      </c>
      <c r="B2523" t="s" s="11">
        <v>89</v>
      </c>
      <c r="C2523" t="s" s="12">
        <v>345</v>
      </c>
      <c r="D2523" s="19"/>
      <c r="E2523" s="19">
        <v>1800</v>
      </c>
      <c r="F2523" s="20"/>
      <c r="G2523" s="20"/>
      <c r="H2523" s="20"/>
      <c r="I2523" s="20"/>
    </row>
    <row r="2524" ht="20.35" customHeight="1">
      <c r="A2524" s="10">
        <v>45570</v>
      </c>
      <c r="B2524" t="s" s="11">
        <v>21</v>
      </c>
      <c r="C2524" t="s" s="12">
        <v>345</v>
      </c>
      <c r="D2524" s="13"/>
      <c r="E2524" s="13">
        <v>2300</v>
      </c>
      <c r="F2524" s="14"/>
      <c r="G2524" s="14"/>
      <c r="H2524" s="14"/>
      <c r="I2524" s="14"/>
    </row>
    <row r="2525" ht="20.7" customHeight="1">
      <c r="A2525" s="10">
        <v>45570</v>
      </c>
      <c r="B2525" t="s" s="11">
        <v>8</v>
      </c>
      <c r="C2525" t="s" s="12">
        <v>8</v>
      </c>
      <c r="D2525" s="15" cm="1">
        <f t="array" ref="D2525">SUM(D2522:D2524)</f>
        <v>4100</v>
      </c>
      <c r="E2525" s="15" cm="1">
        <f t="array" ref="E2525">SUM(E2522:E2524)</f>
        <v>4100</v>
      </c>
      <c r="F2525" s="16" cm="1">
        <f t="array" ref="F2525">SUM(F2522:F2524)</f>
        <v>0</v>
      </c>
      <c r="G2525" s="16" cm="1">
        <f t="array" ref="G2525">SUM(G2522:G2524)</f>
        <v>0</v>
      </c>
      <c r="H2525" s="16" cm="1">
        <f t="array" ref="H2525">SUM(H2522:H2524)</f>
        <v>0</v>
      </c>
      <c r="I2525" s="16" cm="1">
        <f t="array" ref="I2525">SUM(I2522:I2524)</f>
        <v>0</v>
      </c>
    </row>
    <row r="2526" ht="20.35" customHeight="1">
      <c r="A2526" s="10">
        <v>45570</v>
      </c>
      <c r="B2526" t="s" s="11">
        <v>5</v>
      </c>
      <c r="C2526" t="s" s="12">
        <v>460</v>
      </c>
      <c r="D2526" s="17"/>
      <c r="E2526" s="17">
        <v>9000</v>
      </c>
      <c r="F2526" s="18"/>
      <c r="G2526" s="18"/>
      <c r="H2526" s="18"/>
      <c r="I2526" s="18"/>
    </row>
    <row r="2527" ht="20.05" customHeight="1">
      <c r="A2527" s="10">
        <v>45570</v>
      </c>
      <c r="B2527" t="s" s="11">
        <v>12</v>
      </c>
      <c r="C2527" t="s" s="12">
        <v>460</v>
      </c>
      <c r="D2527" s="19">
        <v>3000</v>
      </c>
      <c r="E2527" s="19"/>
      <c r="F2527" s="20"/>
      <c r="G2527" s="20"/>
      <c r="H2527" s="20"/>
      <c r="I2527" s="20"/>
    </row>
    <row r="2528" ht="20.35" customHeight="1">
      <c r="A2528" s="10">
        <v>45570</v>
      </c>
      <c r="B2528" t="s" s="11">
        <v>10</v>
      </c>
      <c r="C2528" t="s" s="12">
        <v>460</v>
      </c>
      <c r="D2528" s="13">
        <v>6000</v>
      </c>
      <c r="E2528" s="13"/>
      <c r="F2528" s="14"/>
      <c r="G2528" s="14"/>
      <c r="H2528" s="14"/>
      <c r="I2528" s="14"/>
    </row>
    <row r="2529" ht="20.7" customHeight="1">
      <c r="A2529" s="10">
        <v>45570</v>
      </c>
      <c r="B2529" t="s" s="11">
        <v>8</v>
      </c>
      <c r="C2529" t="s" s="12">
        <v>8</v>
      </c>
      <c r="D2529" s="15" cm="1">
        <f t="array" ref="D2529">SUM(D2526:D2528)</f>
        <v>9000</v>
      </c>
      <c r="E2529" s="15" cm="1">
        <f t="array" ref="E2529">SUM(E2526:E2528)</f>
        <v>9000</v>
      </c>
      <c r="F2529" s="16" cm="1">
        <f t="array" ref="F2529">SUM(F2526:F2528)</f>
        <v>0</v>
      </c>
      <c r="G2529" s="16" cm="1">
        <f t="array" ref="G2529">SUM(G2526:G2528)</f>
        <v>0</v>
      </c>
      <c r="H2529" s="16" cm="1">
        <f t="array" ref="H2529">SUM(H2526:H2528)</f>
        <v>0</v>
      </c>
      <c r="I2529" s="16" cm="1">
        <f t="array" ref="I2529">SUM(I2526:I2528)</f>
        <v>0</v>
      </c>
    </row>
    <row r="2530" ht="20.35" customHeight="1">
      <c r="A2530" s="10">
        <v>45570</v>
      </c>
      <c r="B2530" t="s" s="11">
        <v>5</v>
      </c>
      <c r="C2530" t="s" s="12">
        <v>17</v>
      </c>
      <c r="D2530" s="17">
        <v>100</v>
      </c>
      <c r="E2530" s="17"/>
      <c r="F2530" s="18"/>
      <c r="G2530" s="18"/>
      <c r="H2530" s="18"/>
      <c r="I2530" s="18"/>
    </row>
    <row r="2531" ht="20.35" customHeight="1">
      <c r="A2531" s="10">
        <v>45570</v>
      </c>
      <c r="B2531" t="s" s="11">
        <v>18</v>
      </c>
      <c r="C2531" t="s" s="12">
        <v>17</v>
      </c>
      <c r="D2531" s="13"/>
      <c r="E2531" s="13">
        <v>100</v>
      </c>
      <c r="F2531" s="14"/>
      <c r="G2531" s="14"/>
      <c r="H2531" s="14"/>
      <c r="I2531" s="14"/>
    </row>
    <row r="2532" ht="20.7" customHeight="1">
      <c r="A2532" s="10">
        <v>45570</v>
      </c>
      <c r="B2532" t="s" s="11">
        <v>8</v>
      </c>
      <c r="C2532" t="s" s="12">
        <v>8</v>
      </c>
      <c r="D2532" s="15" cm="1">
        <f t="array" ref="D2532">SUM(D2530:D2531)</f>
        <v>100</v>
      </c>
      <c r="E2532" s="15" cm="1">
        <f t="array" ref="E2532">SUM(E2530:E2531)</f>
        <v>100</v>
      </c>
      <c r="F2532" s="16" cm="1">
        <f t="array" ref="F2532">SUM(F2530:F2531)</f>
        <v>0</v>
      </c>
      <c r="G2532" s="16" cm="1">
        <f t="array" ref="G2532">SUM(G2530:G2531)</f>
        <v>0</v>
      </c>
      <c r="H2532" s="16" cm="1">
        <f t="array" ref="H2532">SUM(H2530:H2531)</f>
        <v>0</v>
      </c>
      <c r="I2532" s="16" cm="1">
        <f t="array" ref="I2532">SUM(I2530:I2531)</f>
        <v>0</v>
      </c>
    </row>
    <row r="2533" ht="20.35" customHeight="1">
      <c r="A2533" s="10">
        <v>45570</v>
      </c>
      <c r="B2533" t="s" s="11">
        <v>107</v>
      </c>
      <c r="C2533" t="s" s="12">
        <v>461</v>
      </c>
      <c r="D2533" s="17">
        <v>1800</v>
      </c>
      <c r="E2533" s="17"/>
      <c r="F2533" s="18"/>
      <c r="G2533" s="18"/>
      <c r="H2533" s="18"/>
      <c r="I2533" s="18"/>
    </row>
    <row r="2534" ht="20.35" customHeight="1">
      <c r="A2534" s="10">
        <v>45570</v>
      </c>
      <c r="B2534" t="s" s="11">
        <v>89</v>
      </c>
      <c r="C2534" t="s" s="12">
        <v>461</v>
      </c>
      <c r="D2534" s="13"/>
      <c r="E2534" s="13">
        <v>1800</v>
      </c>
      <c r="F2534" s="14"/>
      <c r="G2534" s="14"/>
      <c r="H2534" s="14"/>
      <c r="I2534" s="14"/>
    </row>
    <row r="2535" ht="20.7" customHeight="1">
      <c r="A2535" s="10">
        <v>45570</v>
      </c>
      <c r="B2535" t="s" s="11">
        <v>8</v>
      </c>
      <c r="C2535" t="s" s="12">
        <v>8</v>
      </c>
      <c r="D2535" s="15" cm="1">
        <f t="array" ref="D2535">SUM(D2533:D2534)</f>
        <v>1800</v>
      </c>
      <c r="E2535" s="15" cm="1">
        <f t="array" ref="E2535">SUM(E2533:E2534)</f>
        <v>1800</v>
      </c>
      <c r="F2535" s="16" cm="1">
        <f t="array" ref="F2535">SUM(F2533:F2534)</f>
        <v>0</v>
      </c>
      <c r="G2535" s="16" cm="1">
        <f t="array" ref="G2535">SUM(G2533:G2534)</f>
        <v>0</v>
      </c>
      <c r="H2535" s="16" cm="1">
        <f t="array" ref="H2535">SUM(H2533:H2534)</f>
        <v>0</v>
      </c>
      <c r="I2535" s="16" cm="1">
        <f t="array" ref="I2535">SUM(I2533:I2534)</f>
        <v>0</v>
      </c>
    </row>
    <row r="2536" ht="21.25" customHeight="1">
      <c r="A2536" s="10">
        <v>45570</v>
      </c>
      <c r="B2536" t="s" s="11">
        <v>21</v>
      </c>
      <c r="C2536" t="s" s="12">
        <v>462</v>
      </c>
      <c r="D2536" s="17"/>
      <c r="E2536" s="17">
        <v>4500</v>
      </c>
      <c r="F2536" s="18"/>
      <c r="G2536" s="18"/>
      <c r="H2536" s="18"/>
      <c r="I2536" s="18"/>
    </row>
    <row r="2537" ht="21.25" customHeight="1">
      <c r="A2537" s="10">
        <v>45570</v>
      </c>
      <c r="B2537" t="s" s="11">
        <v>16</v>
      </c>
      <c r="C2537" t="s" s="12">
        <v>462</v>
      </c>
      <c r="D2537" s="13">
        <v>4500</v>
      </c>
      <c r="E2537" s="13"/>
      <c r="F2537" s="14"/>
      <c r="G2537" s="14"/>
      <c r="H2537" s="14"/>
      <c r="I2537" s="14"/>
    </row>
    <row r="2538" ht="20.7" customHeight="1">
      <c r="A2538" s="10">
        <v>45570</v>
      </c>
      <c r="B2538" t="s" s="11">
        <v>8</v>
      </c>
      <c r="C2538" t="s" s="12">
        <v>8</v>
      </c>
      <c r="D2538" s="15" cm="1">
        <f t="array" ref="D2538">SUM(D2536:D2537)</f>
        <v>4500</v>
      </c>
      <c r="E2538" s="15" cm="1">
        <f t="array" ref="E2538">SUM(E2536:E2537)</f>
        <v>4500</v>
      </c>
      <c r="F2538" s="16" cm="1">
        <f t="array" ref="F2538">SUM(F2536:F2537)</f>
        <v>0</v>
      </c>
      <c r="G2538" s="16" cm="1">
        <f t="array" ref="G2538">SUM(G2536:G2537)</f>
        <v>0</v>
      </c>
      <c r="H2538" s="16" cm="1">
        <f t="array" ref="H2538">SUM(H2536:H2537)</f>
        <v>0</v>
      </c>
      <c r="I2538" s="16" cm="1">
        <f t="array" ref="I2538">SUM(I2536:I2537)</f>
        <v>0</v>
      </c>
    </row>
    <row r="2539" ht="20.35" customHeight="1">
      <c r="A2539" s="10">
        <v>45570</v>
      </c>
      <c r="B2539" t="s" s="11">
        <v>107</v>
      </c>
      <c r="C2539" t="s" s="12">
        <v>461</v>
      </c>
      <c r="D2539" s="17">
        <v>17700</v>
      </c>
      <c r="E2539" s="17"/>
      <c r="F2539" s="18"/>
      <c r="G2539" s="18"/>
      <c r="H2539" s="18"/>
      <c r="I2539" s="18"/>
    </row>
    <row r="2540" ht="20.35" customHeight="1">
      <c r="A2540" s="10">
        <v>45570</v>
      </c>
      <c r="B2540" t="s" s="11">
        <v>21</v>
      </c>
      <c r="C2540" t="s" s="12">
        <v>461</v>
      </c>
      <c r="D2540" s="13"/>
      <c r="E2540" s="13">
        <v>17700</v>
      </c>
      <c r="F2540" s="14"/>
      <c r="G2540" s="14"/>
      <c r="H2540" s="14"/>
      <c r="I2540" s="14"/>
    </row>
    <row r="2541" ht="20.7" customHeight="1">
      <c r="A2541" s="10">
        <v>45570</v>
      </c>
      <c r="B2541" t="s" s="11">
        <v>8</v>
      </c>
      <c r="C2541" t="s" s="12">
        <v>8</v>
      </c>
      <c r="D2541" s="15" cm="1">
        <f t="array" ref="D2541">SUM(D2539:D2540)</f>
        <v>17700</v>
      </c>
      <c r="E2541" s="15" cm="1">
        <f t="array" ref="E2541">SUM(E2539:E2540)</f>
        <v>17700</v>
      </c>
      <c r="F2541" s="16" cm="1">
        <f t="array" ref="F2541">SUM(F2539:F2540)</f>
        <v>0</v>
      </c>
      <c r="G2541" s="16" cm="1">
        <f t="array" ref="G2541">SUM(G2539:G2540)</f>
        <v>0</v>
      </c>
      <c r="H2541" s="16" cm="1">
        <f t="array" ref="H2541">SUM(H2539:H2540)</f>
        <v>0</v>
      </c>
      <c r="I2541" s="16" cm="1">
        <f t="array" ref="I2541">SUM(I2539:I2540)</f>
        <v>0</v>
      </c>
    </row>
    <row r="2542" ht="20.35" customHeight="1">
      <c r="A2542" s="10">
        <v>45570</v>
      </c>
      <c r="B2542" t="s" s="11">
        <v>107</v>
      </c>
      <c r="C2542" t="s" s="12">
        <v>463</v>
      </c>
      <c r="D2542" s="17">
        <v>11400</v>
      </c>
      <c r="E2542" s="17"/>
      <c r="F2542" s="18"/>
      <c r="G2542" s="18"/>
      <c r="H2542" s="18"/>
      <c r="I2542" s="18"/>
    </row>
    <row r="2543" ht="20.05" customHeight="1">
      <c r="A2543" s="10">
        <v>45570</v>
      </c>
      <c r="B2543" t="s" s="11">
        <v>89</v>
      </c>
      <c r="C2543" t="s" s="12">
        <v>463</v>
      </c>
      <c r="D2543" s="19"/>
      <c r="E2543" s="19">
        <v>1800</v>
      </c>
      <c r="F2543" s="20"/>
      <c r="G2543" s="20"/>
      <c r="H2543" s="20"/>
      <c r="I2543" s="20"/>
    </row>
    <row r="2544" ht="20.35" customHeight="1">
      <c r="A2544" s="10">
        <v>45570</v>
      </c>
      <c r="B2544" t="s" s="11">
        <v>21</v>
      </c>
      <c r="C2544" t="s" s="12">
        <v>463</v>
      </c>
      <c r="D2544" s="13"/>
      <c r="E2544" s="13">
        <v>9600</v>
      </c>
      <c r="F2544" s="14"/>
      <c r="G2544" s="14"/>
      <c r="H2544" s="14"/>
      <c r="I2544" s="14"/>
    </row>
    <row r="2545" ht="20.7" customHeight="1">
      <c r="A2545" s="10">
        <v>45570</v>
      </c>
      <c r="B2545" t="s" s="11">
        <v>8</v>
      </c>
      <c r="C2545" t="s" s="12">
        <v>8</v>
      </c>
      <c r="D2545" s="15" cm="1">
        <f t="array" ref="D2545">SUM(D2542:D2544)</f>
        <v>11400</v>
      </c>
      <c r="E2545" s="15" cm="1">
        <f t="array" ref="E2545">SUM(E2542:E2544)</f>
        <v>11400</v>
      </c>
      <c r="F2545" s="16" cm="1">
        <f t="array" ref="F2545">SUM(F2542:F2544)</f>
        <v>0</v>
      </c>
      <c r="G2545" s="16" cm="1">
        <f t="array" ref="G2545">SUM(G2542:G2544)</f>
        <v>0</v>
      </c>
      <c r="H2545" s="16" cm="1">
        <f t="array" ref="H2545">SUM(H2542:H2544)</f>
        <v>0</v>
      </c>
      <c r="I2545" s="16" cm="1">
        <f t="array" ref="I2545">SUM(I2542:I2544)</f>
        <v>0</v>
      </c>
    </row>
    <row r="2546" ht="20.35" customHeight="1">
      <c r="A2546" s="10">
        <v>45570</v>
      </c>
      <c r="B2546" t="s" s="11">
        <v>5</v>
      </c>
      <c r="C2546" t="s" s="12">
        <v>209</v>
      </c>
      <c r="D2546" s="17"/>
      <c r="E2546" s="17">
        <v>9598</v>
      </c>
      <c r="F2546" s="18"/>
      <c r="G2546" s="18"/>
      <c r="H2546" s="18"/>
      <c r="I2546" s="18"/>
    </row>
    <row r="2547" ht="20.35" customHeight="1">
      <c r="A2547" s="10">
        <v>45570</v>
      </c>
      <c r="B2547" t="s" s="11">
        <v>107</v>
      </c>
      <c r="C2547" t="s" s="12">
        <v>209</v>
      </c>
      <c r="D2547" s="13">
        <v>9598</v>
      </c>
      <c r="E2547" s="13"/>
      <c r="F2547" s="14"/>
      <c r="G2547" s="14"/>
      <c r="H2547" s="14"/>
      <c r="I2547" s="14"/>
    </row>
    <row r="2548" ht="20.7" customHeight="1">
      <c r="A2548" s="10">
        <v>45570</v>
      </c>
      <c r="B2548" t="s" s="11">
        <v>8</v>
      </c>
      <c r="C2548" t="s" s="12">
        <v>8</v>
      </c>
      <c r="D2548" s="15" cm="1">
        <f t="array" ref="D2548">SUM(D2546:D2547)</f>
        <v>9598</v>
      </c>
      <c r="E2548" s="15" cm="1">
        <f t="array" ref="E2548">SUM(E2546:E2547)</f>
        <v>9598</v>
      </c>
      <c r="F2548" s="16" cm="1">
        <f t="array" ref="F2548">SUM(F2546:F2547)</f>
        <v>0</v>
      </c>
      <c r="G2548" s="16" cm="1">
        <f t="array" ref="G2548">SUM(G2546:G2547)</f>
        <v>0</v>
      </c>
      <c r="H2548" s="16" cm="1">
        <f t="array" ref="H2548">SUM(H2546:H2547)</f>
        <v>0</v>
      </c>
      <c r="I2548" s="16" cm="1">
        <f t="array" ref="I2548">SUM(I2546:I2547)</f>
        <v>0</v>
      </c>
    </row>
    <row r="2549" ht="20.35" customHeight="1">
      <c r="A2549" s="10">
        <v>45571</v>
      </c>
      <c r="B2549" t="s" s="11">
        <v>5</v>
      </c>
      <c r="C2549" t="s" s="12">
        <v>460</v>
      </c>
      <c r="D2549" s="17"/>
      <c r="E2549" s="17">
        <v>6000</v>
      </c>
      <c r="F2549" s="18"/>
      <c r="G2549" s="18"/>
      <c r="H2549" s="18"/>
      <c r="I2549" s="18"/>
    </row>
    <row r="2550" ht="20.05" customHeight="1">
      <c r="A2550" s="10">
        <v>45571</v>
      </c>
      <c r="B2550" t="s" s="11">
        <v>12</v>
      </c>
      <c r="C2550" t="s" s="12">
        <v>460</v>
      </c>
      <c r="D2550" s="19">
        <v>3000</v>
      </c>
      <c r="E2550" s="19"/>
      <c r="F2550" s="20"/>
      <c r="G2550" s="20"/>
      <c r="H2550" s="20"/>
      <c r="I2550" s="20"/>
    </row>
    <row r="2551" ht="20.35" customHeight="1">
      <c r="A2551" s="10">
        <v>45571</v>
      </c>
      <c r="B2551" t="s" s="11">
        <v>10</v>
      </c>
      <c r="C2551" t="s" s="12">
        <v>460</v>
      </c>
      <c r="D2551" s="13">
        <v>3000</v>
      </c>
      <c r="E2551" s="13"/>
      <c r="F2551" s="14"/>
      <c r="G2551" s="14"/>
      <c r="H2551" s="14"/>
      <c r="I2551" s="14"/>
    </row>
    <row r="2552" ht="20.7" customHeight="1">
      <c r="A2552" s="10">
        <v>45571</v>
      </c>
      <c r="B2552" t="s" s="11">
        <v>8</v>
      </c>
      <c r="C2552" t="s" s="12">
        <v>8</v>
      </c>
      <c r="D2552" s="15" cm="1">
        <f t="array" ref="D2552">SUM(D2549:D2551)</f>
        <v>6000</v>
      </c>
      <c r="E2552" s="15" cm="1">
        <f t="array" ref="E2552">SUM(E2549:E2551)</f>
        <v>6000</v>
      </c>
      <c r="F2552" s="16" cm="1">
        <f t="array" ref="F2552">SUM(F2549:F2551)</f>
        <v>0</v>
      </c>
      <c r="G2552" s="16" cm="1">
        <f t="array" ref="G2552">SUM(G2549:G2551)</f>
        <v>0</v>
      </c>
      <c r="H2552" s="16" cm="1">
        <f t="array" ref="H2552">SUM(H2549:H2551)</f>
        <v>0</v>
      </c>
      <c r="I2552" s="16" cm="1">
        <f t="array" ref="I2552">SUM(I2549:I2551)</f>
        <v>0</v>
      </c>
    </row>
    <row r="2553" ht="20.35" customHeight="1">
      <c r="A2553" s="10">
        <v>45571</v>
      </c>
      <c r="B2553" t="s" s="11">
        <v>5</v>
      </c>
      <c r="C2553" t="s" s="12">
        <v>17</v>
      </c>
      <c r="D2553" s="17">
        <v>100</v>
      </c>
      <c r="E2553" s="17"/>
      <c r="F2553" s="18"/>
      <c r="G2553" s="18"/>
      <c r="H2553" s="18"/>
      <c r="I2553" s="18"/>
    </row>
    <row r="2554" ht="20.35" customHeight="1">
      <c r="A2554" s="10">
        <v>45571</v>
      </c>
      <c r="B2554" t="s" s="11">
        <v>18</v>
      </c>
      <c r="C2554" t="s" s="12">
        <v>17</v>
      </c>
      <c r="D2554" s="13"/>
      <c r="E2554" s="13">
        <v>100</v>
      </c>
      <c r="F2554" s="14"/>
      <c r="G2554" s="14"/>
      <c r="H2554" s="14"/>
      <c r="I2554" s="14"/>
    </row>
    <row r="2555" ht="20.7" customHeight="1">
      <c r="A2555" s="10">
        <v>45571</v>
      </c>
      <c r="B2555" t="s" s="11">
        <v>8</v>
      </c>
      <c r="C2555" t="s" s="12">
        <v>8</v>
      </c>
      <c r="D2555" s="15" cm="1">
        <f t="array" ref="D2555">SUM(D2553:D2554)</f>
        <v>100</v>
      </c>
      <c r="E2555" s="15" cm="1">
        <f t="array" ref="E2555">SUM(E2553:E2554)</f>
        <v>100</v>
      </c>
      <c r="F2555" s="16" cm="1">
        <f t="array" ref="F2555">SUM(F2553:F2554)</f>
        <v>0</v>
      </c>
      <c r="G2555" s="16" cm="1">
        <f t="array" ref="G2555">SUM(G2553:G2554)</f>
        <v>0</v>
      </c>
      <c r="H2555" s="16" cm="1">
        <f t="array" ref="H2555">SUM(H2553:H2554)</f>
        <v>0</v>
      </c>
      <c r="I2555" s="16" cm="1">
        <f t="array" ref="I2555">SUM(I2553:I2554)</f>
        <v>0</v>
      </c>
    </row>
    <row r="2556" ht="20.35" customHeight="1">
      <c r="A2556" s="10">
        <v>45571</v>
      </c>
      <c r="B2556" t="s" s="11">
        <v>5</v>
      </c>
      <c r="C2556" t="s" s="12">
        <v>464</v>
      </c>
      <c r="D2556" s="17"/>
      <c r="E2556" s="17">
        <v>19700</v>
      </c>
      <c r="F2556" s="18"/>
      <c r="G2556" s="18"/>
      <c r="H2556" s="18"/>
      <c r="I2556" s="18"/>
    </row>
    <row r="2557" ht="20.05" customHeight="1">
      <c r="A2557" s="10">
        <v>45571</v>
      </c>
      <c r="B2557" t="s" s="11">
        <v>12</v>
      </c>
      <c r="C2557" t="s" s="12">
        <v>464</v>
      </c>
      <c r="D2557" s="19">
        <v>9850</v>
      </c>
      <c r="E2557" s="19"/>
      <c r="F2557" s="20"/>
      <c r="G2557" s="20"/>
      <c r="H2557" s="20"/>
      <c r="I2557" s="20"/>
    </row>
    <row r="2558" ht="20.35" customHeight="1">
      <c r="A2558" s="10">
        <v>45571</v>
      </c>
      <c r="B2558" t="s" s="11">
        <v>10</v>
      </c>
      <c r="C2558" t="s" s="12">
        <v>464</v>
      </c>
      <c r="D2558" s="13">
        <v>9850</v>
      </c>
      <c r="E2558" s="13"/>
      <c r="F2558" s="14"/>
      <c r="G2558" s="14"/>
      <c r="H2558" s="14"/>
      <c r="I2558" s="14"/>
    </row>
    <row r="2559" ht="20.7" customHeight="1">
      <c r="A2559" s="10">
        <v>45571</v>
      </c>
      <c r="B2559" t="s" s="11">
        <v>8</v>
      </c>
      <c r="C2559" t="s" s="12">
        <v>8</v>
      </c>
      <c r="D2559" s="15" cm="1">
        <f t="array" ref="D2559">SUM(D2556:D2558)</f>
        <v>19700</v>
      </c>
      <c r="E2559" s="15" cm="1">
        <f t="array" ref="E2559">SUM(E2556:E2558)</f>
        <v>19700</v>
      </c>
      <c r="F2559" s="16" cm="1">
        <f t="array" ref="F2559">SUM(F2556:F2558)</f>
        <v>0</v>
      </c>
      <c r="G2559" s="16" cm="1">
        <f t="array" ref="G2559">SUM(G2556:G2558)</f>
        <v>0</v>
      </c>
      <c r="H2559" s="16" cm="1">
        <f t="array" ref="H2559">SUM(H2556:H2558)</f>
        <v>0</v>
      </c>
      <c r="I2559" s="16" cm="1">
        <f t="array" ref="I2559">SUM(I2556:I2558)</f>
        <v>0</v>
      </c>
    </row>
    <row r="2560" ht="20.35" customHeight="1">
      <c r="A2560" s="10">
        <v>45571</v>
      </c>
      <c r="B2560" t="s" s="11">
        <v>107</v>
      </c>
      <c r="C2560" t="s" s="12">
        <v>465</v>
      </c>
      <c r="D2560" s="17">
        <v>13700</v>
      </c>
      <c r="E2560" s="24"/>
      <c r="F2560" s="18"/>
      <c r="G2560" s="18"/>
      <c r="H2560" s="18"/>
      <c r="I2560" s="18"/>
    </row>
    <row r="2561" ht="20.05" customHeight="1">
      <c r="A2561" s="10">
        <v>45571</v>
      </c>
      <c r="B2561" t="s" s="11">
        <v>89</v>
      </c>
      <c r="C2561" t="s" s="12">
        <v>465</v>
      </c>
      <c r="D2561" s="19"/>
      <c r="E2561" s="19">
        <v>1800</v>
      </c>
      <c r="F2561" s="20"/>
      <c r="G2561" s="20"/>
      <c r="H2561" s="20"/>
      <c r="I2561" s="20"/>
    </row>
    <row r="2562" ht="20.35" customHeight="1">
      <c r="A2562" s="10">
        <v>45571</v>
      </c>
      <c r="B2562" t="s" s="11">
        <v>21</v>
      </c>
      <c r="C2562" t="s" s="12">
        <v>465</v>
      </c>
      <c r="D2562" s="13"/>
      <c r="E2562" s="13">
        <v>11900</v>
      </c>
      <c r="F2562" s="14"/>
      <c r="G2562" s="14"/>
      <c r="H2562" s="14"/>
      <c r="I2562" s="14"/>
    </row>
    <row r="2563" ht="20.7" customHeight="1">
      <c r="A2563" s="10">
        <v>45571</v>
      </c>
      <c r="B2563" t="s" s="11">
        <v>8</v>
      </c>
      <c r="C2563" t="s" s="12">
        <v>8</v>
      </c>
      <c r="D2563" s="15" cm="1">
        <f t="array" ref="D2563">SUM(D2560:D2562)</f>
        <v>13700</v>
      </c>
      <c r="E2563" s="15" cm="1">
        <f t="array" ref="E2563">SUM(E2560:E2562)</f>
        <v>13700</v>
      </c>
      <c r="F2563" s="16" cm="1">
        <f t="array" ref="F2563">SUM(F2560:F2562)</f>
        <v>0</v>
      </c>
      <c r="G2563" s="16" cm="1">
        <f t="array" ref="G2563">SUM(G2560:G2562)</f>
        <v>0</v>
      </c>
      <c r="H2563" s="16" cm="1">
        <f t="array" ref="H2563">SUM(H2560:H2562)</f>
        <v>0</v>
      </c>
      <c r="I2563" s="16" cm="1">
        <f t="array" ref="I2563">SUM(I2560:I2562)</f>
        <v>0</v>
      </c>
    </row>
    <row r="2564" ht="20.35" customHeight="1">
      <c r="A2564" s="10">
        <v>45571</v>
      </c>
      <c r="B2564" t="s" s="11">
        <v>107</v>
      </c>
      <c r="C2564" t="s" s="12">
        <v>466</v>
      </c>
      <c r="D2564" s="17"/>
      <c r="E2564" s="17">
        <v>7700</v>
      </c>
      <c r="F2564" s="18"/>
      <c r="G2564" s="18"/>
      <c r="H2564" s="18"/>
      <c r="I2564" s="18"/>
    </row>
    <row r="2565" ht="20.35" customHeight="1">
      <c r="A2565" s="10">
        <v>45571</v>
      </c>
      <c r="B2565" t="s" s="11">
        <v>21</v>
      </c>
      <c r="C2565" t="s" s="12">
        <v>466</v>
      </c>
      <c r="D2565" s="13">
        <v>7700</v>
      </c>
      <c r="E2565" s="13"/>
      <c r="F2565" s="14"/>
      <c r="G2565" s="14"/>
      <c r="H2565" s="14"/>
      <c r="I2565" s="14"/>
    </row>
    <row r="2566" ht="20.7" customHeight="1">
      <c r="A2566" s="10">
        <v>45571</v>
      </c>
      <c r="B2566" t="s" s="11">
        <v>8</v>
      </c>
      <c r="C2566" t="s" s="12">
        <v>8</v>
      </c>
      <c r="D2566" s="15" cm="1">
        <f t="array" ref="D2566">SUM(D2564:D2565)</f>
        <v>7700</v>
      </c>
      <c r="E2566" s="15" cm="1">
        <f t="array" ref="E2566">SUM(E2564:E2565)</f>
        <v>7700</v>
      </c>
      <c r="F2566" s="16" cm="1">
        <f t="array" ref="F2566">SUM(F2564:F2565)</f>
        <v>0</v>
      </c>
      <c r="G2566" s="16" cm="1">
        <f t="array" ref="G2566">SUM(G2564:G2565)</f>
        <v>0</v>
      </c>
      <c r="H2566" s="16" cm="1">
        <f t="array" ref="H2566">SUM(H2564:H2565)</f>
        <v>0</v>
      </c>
      <c r="I2566" s="16" cm="1">
        <f t="array" ref="I2566">SUM(I2564:I2565)</f>
        <v>0</v>
      </c>
    </row>
    <row r="2567" ht="20.35" customHeight="1">
      <c r="A2567" s="10">
        <v>45571</v>
      </c>
      <c r="B2567" t="s" s="11">
        <v>107</v>
      </c>
      <c r="C2567" t="s" s="12">
        <v>467</v>
      </c>
      <c r="D2567" s="17"/>
      <c r="E2567" s="17">
        <v>43400</v>
      </c>
      <c r="F2567" s="18"/>
      <c r="G2567" s="18"/>
      <c r="H2567" s="18"/>
      <c r="I2567" s="18"/>
    </row>
    <row r="2568" ht="20.35" customHeight="1">
      <c r="A2568" s="10">
        <v>45571</v>
      </c>
      <c r="B2568" t="s" s="11">
        <v>21</v>
      </c>
      <c r="C2568" t="s" s="12">
        <v>467</v>
      </c>
      <c r="D2568" s="13">
        <v>43400</v>
      </c>
      <c r="E2568" s="13"/>
      <c r="F2568" s="14"/>
      <c r="G2568" s="14"/>
      <c r="H2568" s="14"/>
      <c r="I2568" s="14"/>
    </row>
    <row r="2569" ht="20.7" customHeight="1">
      <c r="A2569" s="10">
        <v>45571</v>
      </c>
      <c r="B2569" t="s" s="11">
        <v>8</v>
      </c>
      <c r="C2569" t="s" s="12">
        <v>8</v>
      </c>
      <c r="D2569" s="15" cm="1">
        <f t="array" ref="D2569">SUM(D2567:D2568)</f>
        <v>43400</v>
      </c>
      <c r="E2569" s="15" cm="1">
        <f t="array" ref="E2569">SUM(E2567:E2568)</f>
        <v>43400</v>
      </c>
      <c r="F2569" s="16" cm="1">
        <f t="array" ref="F2569">SUM(F2567:F2568)</f>
        <v>0</v>
      </c>
      <c r="G2569" s="16" cm="1">
        <f t="array" ref="G2569">SUM(G2567:G2568)</f>
        <v>0</v>
      </c>
      <c r="H2569" s="16" cm="1">
        <f t="array" ref="H2569">SUM(H2567:H2568)</f>
        <v>0</v>
      </c>
      <c r="I2569" s="16" cm="1">
        <f t="array" ref="I2569">SUM(I2567:I2568)</f>
        <v>0</v>
      </c>
    </row>
    <row r="2570" ht="20.35" customHeight="1">
      <c r="A2570" s="10">
        <v>45571</v>
      </c>
      <c r="B2570" t="s" s="11">
        <v>28</v>
      </c>
      <c r="C2570" t="s" s="12">
        <v>468</v>
      </c>
      <c r="D2570" s="17"/>
      <c r="E2570" s="17">
        <v>14600</v>
      </c>
      <c r="F2570" s="18"/>
      <c r="G2570" s="18"/>
      <c r="H2570" s="18"/>
      <c r="I2570" s="18"/>
    </row>
    <row r="2571" ht="20.05" customHeight="1">
      <c r="A2571" s="10">
        <v>45571</v>
      </c>
      <c r="B2571" t="s" s="11">
        <v>12</v>
      </c>
      <c r="C2571" t="s" s="12">
        <v>468</v>
      </c>
      <c r="D2571" s="19">
        <v>3000</v>
      </c>
      <c r="E2571" s="19"/>
      <c r="F2571" s="20"/>
      <c r="G2571" s="20"/>
      <c r="H2571" s="20"/>
      <c r="I2571" s="20"/>
    </row>
    <row r="2572" ht="20.35" customHeight="1">
      <c r="A2572" s="10">
        <v>45571</v>
      </c>
      <c r="B2572" t="s" s="11">
        <v>10</v>
      </c>
      <c r="C2572" t="s" s="12">
        <v>468</v>
      </c>
      <c r="D2572" s="13">
        <v>11600</v>
      </c>
      <c r="E2572" s="13"/>
      <c r="F2572" s="14"/>
      <c r="G2572" s="14"/>
      <c r="H2572" s="14"/>
      <c r="I2572" s="14"/>
    </row>
    <row r="2573" ht="20.7" customHeight="1">
      <c r="A2573" s="10">
        <v>45571</v>
      </c>
      <c r="B2573" t="s" s="11">
        <v>8</v>
      </c>
      <c r="C2573" t="s" s="12">
        <v>8</v>
      </c>
      <c r="D2573" s="15" cm="1">
        <f t="array" ref="D2573">SUM(D2570:D2572)</f>
        <v>14600</v>
      </c>
      <c r="E2573" s="15" cm="1">
        <f t="array" ref="E2573">SUM(E2570:E2572)</f>
        <v>14600</v>
      </c>
      <c r="F2573" s="16" cm="1">
        <f t="array" ref="F2573">SUM(F2570:F2572)</f>
        <v>0</v>
      </c>
      <c r="G2573" s="16" cm="1">
        <f t="array" ref="G2573">SUM(G2570:G2572)</f>
        <v>0</v>
      </c>
      <c r="H2573" s="16" cm="1">
        <f t="array" ref="H2573">SUM(H2570:H2572)</f>
        <v>0</v>
      </c>
      <c r="I2573" s="16" cm="1">
        <f t="array" ref="I2573">SUM(I2570:I2572)</f>
        <v>0</v>
      </c>
    </row>
    <row r="2574" ht="20.35" customHeight="1">
      <c r="A2574" s="10">
        <v>45571</v>
      </c>
      <c r="B2574" t="s" s="11">
        <v>28</v>
      </c>
      <c r="C2574" t="s" s="12">
        <v>96</v>
      </c>
      <c r="D2574" s="17"/>
      <c r="E2574" s="17">
        <v>80000</v>
      </c>
      <c r="F2574" s="18"/>
      <c r="G2574" s="18"/>
      <c r="H2574" s="18"/>
      <c r="I2574" s="18"/>
    </row>
    <row r="2575" ht="20.35" customHeight="1">
      <c r="A2575" s="10">
        <v>45571</v>
      </c>
      <c r="B2575" t="s" s="11">
        <v>5</v>
      </c>
      <c r="C2575" t="s" s="12">
        <v>96</v>
      </c>
      <c r="D2575" s="13">
        <v>80000</v>
      </c>
      <c r="E2575" s="13"/>
      <c r="F2575" s="14"/>
      <c r="G2575" s="14"/>
      <c r="H2575" s="14"/>
      <c r="I2575" s="14"/>
    </row>
    <row r="2576" ht="20.7" customHeight="1">
      <c r="A2576" s="10">
        <v>45571</v>
      </c>
      <c r="B2576" t="s" s="11">
        <v>8</v>
      </c>
      <c r="C2576" t="s" s="12">
        <v>8</v>
      </c>
      <c r="D2576" s="15" cm="1">
        <f t="array" ref="D2576">SUM(D2574:D2575)</f>
        <v>80000</v>
      </c>
      <c r="E2576" s="15" cm="1">
        <f t="array" ref="E2576">SUM(E2574:E2575)</f>
        <v>80000</v>
      </c>
      <c r="F2576" s="16" cm="1">
        <f t="array" ref="F2576">SUM(F2574:F2575)</f>
        <v>0</v>
      </c>
      <c r="G2576" s="16" cm="1">
        <f t="array" ref="G2576">SUM(G2574:G2575)</f>
        <v>0</v>
      </c>
      <c r="H2576" s="16" cm="1">
        <f t="array" ref="H2576">SUM(H2574:H2575)</f>
        <v>0</v>
      </c>
      <c r="I2576" s="16" cm="1">
        <f t="array" ref="I2576">SUM(I2574:I2575)</f>
        <v>0</v>
      </c>
    </row>
    <row r="2577" ht="20.35" customHeight="1">
      <c r="A2577" s="10">
        <v>45571</v>
      </c>
      <c r="B2577" t="s" s="11">
        <v>5</v>
      </c>
      <c r="C2577" t="s" s="12">
        <v>169</v>
      </c>
      <c r="D2577" s="17"/>
      <c r="E2577" s="17">
        <v>1200</v>
      </c>
      <c r="F2577" s="18"/>
      <c r="G2577" s="18"/>
      <c r="H2577" s="18"/>
      <c r="I2577" s="18"/>
    </row>
    <row r="2578" ht="20.35" customHeight="1">
      <c r="A2578" s="10">
        <v>45571</v>
      </c>
      <c r="B2578" t="s" s="11">
        <v>12</v>
      </c>
      <c r="C2578" t="s" s="12">
        <v>169</v>
      </c>
      <c r="D2578" s="13">
        <v>1200</v>
      </c>
      <c r="E2578" s="13"/>
      <c r="F2578" s="14"/>
      <c r="G2578" s="14"/>
      <c r="H2578" s="14"/>
      <c r="I2578" s="14"/>
    </row>
    <row r="2579" ht="20.7" customHeight="1">
      <c r="A2579" s="10">
        <v>45571</v>
      </c>
      <c r="B2579" t="s" s="11">
        <v>8</v>
      </c>
      <c r="C2579" t="s" s="12">
        <v>8</v>
      </c>
      <c r="D2579" s="15" cm="1">
        <f t="array" ref="D2579">SUM(D2577:D2578)</f>
        <v>1200</v>
      </c>
      <c r="E2579" s="15" cm="1">
        <f t="array" ref="E2579">SUM(E2577:E2578)</f>
        <v>1200</v>
      </c>
      <c r="F2579" s="16" cm="1">
        <f t="array" ref="F2579">SUM(F2577:F2578)</f>
        <v>0</v>
      </c>
      <c r="G2579" s="16" cm="1">
        <f t="array" ref="G2579">SUM(G2577:G2578)</f>
        <v>0</v>
      </c>
      <c r="H2579" s="16" cm="1">
        <f t="array" ref="H2579">SUM(H2577:H2578)</f>
        <v>0</v>
      </c>
      <c r="I2579" s="16" cm="1">
        <f t="array" ref="I2579">SUM(I2577:I2578)</f>
        <v>0</v>
      </c>
    </row>
    <row r="2580" ht="20.35" customHeight="1">
      <c r="A2580" s="10">
        <v>45571</v>
      </c>
      <c r="B2580" t="s" s="11">
        <v>5</v>
      </c>
      <c r="C2580" t="s" s="12">
        <v>469</v>
      </c>
      <c r="D2580" s="17"/>
      <c r="E2580" s="17">
        <v>5300</v>
      </c>
      <c r="F2580" s="18"/>
      <c r="G2580" s="18"/>
      <c r="H2580" s="18"/>
      <c r="I2580" s="18"/>
    </row>
    <row r="2581" ht="20.35" customHeight="1">
      <c r="A2581" s="10">
        <v>45571</v>
      </c>
      <c r="B2581" t="s" s="11">
        <v>12</v>
      </c>
      <c r="C2581" t="s" s="12">
        <v>469</v>
      </c>
      <c r="D2581" s="13">
        <v>5300</v>
      </c>
      <c r="E2581" s="13"/>
      <c r="F2581" s="14"/>
      <c r="G2581" s="14"/>
      <c r="H2581" s="14"/>
      <c r="I2581" s="14"/>
    </row>
    <row r="2582" ht="20.7" customHeight="1">
      <c r="A2582" s="10">
        <v>45571</v>
      </c>
      <c r="B2582" t="s" s="11">
        <v>8</v>
      </c>
      <c r="C2582" t="s" s="12">
        <v>8</v>
      </c>
      <c r="D2582" s="15" cm="1">
        <f t="array" ref="D2582">SUM(D2580:D2581)</f>
        <v>5300</v>
      </c>
      <c r="E2582" s="15" cm="1">
        <f t="array" ref="E2582">SUM(E2580:E2581)</f>
        <v>5300</v>
      </c>
      <c r="F2582" s="16" cm="1">
        <f t="array" ref="F2582">SUM(F2580:F2581)</f>
        <v>0</v>
      </c>
      <c r="G2582" s="16" cm="1">
        <f t="array" ref="G2582">SUM(G2580:G2581)</f>
        <v>0</v>
      </c>
      <c r="H2582" s="16" cm="1">
        <f t="array" ref="H2582">SUM(H2580:H2581)</f>
        <v>0</v>
      </c>
      <c r="I2582" s="16" cm="1">
        <f t="array" ref="I2582">SUM(I2580:I2581)</f>
        <v>0</v>
      </c>
    </row>
    <row r="2583" ht="20.35" customHeight="1">
      <c r="A2583" s="10">
        <v>45571</v>
      </c>
      <c r="B2583" t="s" s="11">
        <v>5</v>
      </c>
      <c r="C2583" t="s" s="12">
        <v>17</v>
      </c>
      <c r="D2583" s="17">
        <v>100</v>
      </c>
      <c r="E2583" s="17"/>
      <c r="F2583" s="18"/>
      <c r="G2583" s="18"/>
      <c r="H2583" s="18"/>
      <c r="I2583" s="18"/>
    </row>
    <row r="2584" ht="20.35" customHeight="1">
      <c r="A2584" s="10">
        <v>45571</v>
      </c>
      <c r="B2584" t="s" s="11">
        <v>18</v>
      </c>
      <c r="C2584" t="s" s="12">
        <v>17</v>
      </c>
      <c r="D2584" s="13"/>
      <c r="E2584" s="13">
        <v>100</v>
      </c>
      <c r="F2584" s="14"/>
      <c r="G2584" s="14"/>
      <c r="H2584" s="14"/>
      <c r="I2584" s="14"/>
    </row>
    <row r="2585" ht="20.7" customHeight="1">
      <c r="A2585" s="10">
        <v>45571</v>
      </c>
      <c r="B2585" t="s" s="11">
        <v>8</v>
      </c>
      <c r="C2585" t="s" s="12">
        <v>8</v>
      </c>
      <c r="D2585" s="15" cm="1">
        <f t="array" ref="D2585">SUM(D2583:D2584)</f>
        <v>100</v>
      </c>
      <c r="E2585" s="15" cm="1">
        <f t="array" ref="E2585">SUM(E2583:E2584)</f>
        <v>100</v>
      </c>
      <c r="F2585" s="16" cm="1">
        <f t="array" ref="F2585">SUM(F2583:F2584)</f>
        <v>0</v>
      </c>
      <c r="G2585" s="16" cm="1">
        <f t="array" ref="G2585">SUM(G2583:G2584)</f>
        <v>0</v>
      </c>
      <c r="H2585" s="16" cm="1">
        <f t="array" ref="H2585">SUM(H2583:H2584)</f>
        <v>0</v>
      </c>
      <c r="I2585" s="16" cm="1">
        <f t="array" ref="I2585">SUM(I2583:I2584)</f>
        <v>0</v>
      </c>
    </row>
    <row r="2586" ht="21.25" customHeight="1">
      <c r="A2586" s="10">
        <v>45571</v>
      </c>
      <c r="B2586" t="s" s="11">
        <v>5</v>
      </c>
      <c r="C2586" t="s" s="12">
        <v>253</v>
      </c>
      <c r="D2586" s="17"/>
      <c r="E2586" s="17">
        <v>7890</v>
      </c>
      <c r="F2586" s="18"/>
      <c r="G2586" s="18"/>
      <c r="H2586" s="18"/>
      <c r="I2586" s="18"/>
    </row>
    <row r="2587" ht="21.25" customHeight="1">
      <c r="A2587" s="10">
        <v>45571</v>
      </c>
      <c r="B2587" t="s" s="11">
        <v>10</v>
      </c>
      <c r="C2587" t="s" s="12">
        <v>253</v>
      </c>
      <c r="D2587" s="13">
        <v>7890</v>
      </c>
      <c r="E2587" s="13"/>
      <c r="F2587" s="14"/>
      <c r="G2587" s="14"/>
      <c r="H2587" s="14"/>
      <c r="I2587" s="14"/>
    </row>
    <row r="2588" ht="20.7" customHeight="1">
      <c r="A2588" s="10">
        <v>45571</v>
      </c>
      <c r="B2588" t="s" s="11">
        <v>8</v>
      </c>
      <c r="C2588" t="s" s="12">
        <v>8</v>
      </c>
      <c r="D2588" s="15" cm="1">
        <f t="array" ref="D2588">SUM(D2586:D2587)</f>
        <v>7890</v>
      </c>
      <c r="E2588" s="15" cm="1">
        <f t="array" ref="E2588">SUM(E2586:E2587)</f>
        <v>7890</v>
      </c>
      <c r="F2588" s="16" cm="1">
        <f t="array" ref="F2588">SUM(F2586:F2587)</f>
        <v>0</v>
      </c>
      <c r="G2588" s="16" cm="1">
        <f t="array" ref="G2588">SUM(G2586:G2587)</f>
        <v>0</v>
      </c>
      <c r="H2588" s="16" cm="1">
        <f t="array" ref="H2588">SUM(H2586:H2587)</f>
        <v>0</v>
      </c>
      <c r="I2588" s="16" cm="1">
        <f t="array" ref="I2588">SUM(I2586:I2587)</f>
        <v>0</v>
      </c>
    </row>
    <row r="2589" ht="20.35" customHeight="1">
      <c r="A2589" s="10">
        <v>45571</v>
      </c>
      <c r="B2589" t="s" s="11">
        <v>93</v>
      </c>
      <c r="C2589" t="s" s="12">
        <v>20</v>
      </c>
      <c r="D2589" s="17">
        <v>20000</v>
      </c>
      <c r="E2589" s="17"/>
      <c r="F2589" s="18"/>
      <c r="G2589" s="18"/>
      <c r="H2589" s="18"/>
      <c r="I2589" s="18"/>
    </row>
    <row r="2590" ht="20.35" customHeight="1">
      <c r="A2590" s="10">
        <v>45571</v>
      </c>
      <c r="B2590" t="s" s="11">
        <v>89</v>
      </c>
      <c r="C2590" t="s" s="12">
        <v>20</v>
      </c>
      <c r="D2590" s="13"/>
      <c r="E2590" s="13">
        <v>20000</v>
      </c>
      <c r="F2590" s="14"/>
      <c r="G2590" s="14"/>
      <c r="H2590" s="14"/>
      <c r="I2590" s="14"/>
    </row>
    <row r="2591" ht="20.7" customHeight="1">
      <c r="A2591" s="10">
        <v>45571</v>
      </c>
      <c r="B2591" t="s" s="11">
        <v>8</v>
      </c>
      <c r="C2591" t="s" s="12">
        <v>8</v>
      </c>
      <c r="D2591" s="15" cm="1">
        <f t="array" ref="D2591">SUM(D2589:D2590)</f>
        <v>20000</v>
      </c>
      <c r="E2591" s="15" cm="1">
        <f t="array" ref="E2591">SUM(E2589:E2590)</f>
        <v>20000</v>
      </c>
      <c r="F2591" s="16" cm="1">
        <f t="array" ref="F2591">SUM(F2589:F2590)</f>
        <v>0</v>
      </c>
      <c r="G2591" s="16" cm="1">
        <f t="array" ref="G2591">SUM(G2589:G2590)</f>
        <v>0</v>
      </c>
      <c r="H2591" s="16" cm="1">
        <f t="array" ref="H2591">SUM(H2589:H2590)</f>
        <v>0</v>
      </c>
      <c r="I2591" s="16" cm="1">
        <f t="array" ref="I2591">SUM(I2589:I2590)</f>
        <v>0</v>
      </c>
    </row>
    <row r="2592" ht="21.25" customHeight="1">
      <c r="A2592" s="10">
        <v>45571</v>
      </c>
      <c r="B2592" t="s" s="11">
        <v>21</v>
      </c>
      <c r="C2592" t="s" s="12">
        <v>470</v>
      </c>
      <c r="D2592" s="17"/>
      <c r="E2592" s="17">
        <v>3300</v>
      </c>
      <c r="F2592" s="18"/>
      <c r="G2592" s="18"/>
      <c r="H2592" s="18"/>
      <c r="I2592" s="18"/>
    </row>
    <row r="2593" ht="21.25" customHeight="1">
      <c r="A2593" s="10">
        <v>45571</v>
      </c>
      <c r="B2593" t="s" s="11">
        <v>16</v>
      </c>
      <c r="C2593" t="s" s="12">
        <v>470</v>
      </c>
      <c r="D2593" s="13">
        <v>3300</v>
      </c>
      <c r="E2593" s="13"/>
      <c r="F2593" s="14"/>
      <c r="G2593" s="14"/>
      <c r="H2593" s="14"/>
      <c r="I2593" s="14"/>
    </row>
    <row r="2594" ht="20.7" customHeight="1">
      <c r="A2594" s="10">
        <v>45571</v>
      </c>
      <c r="B2594" t="s" s="11">
        <v>8</v>
      </c>
      <c r="C2594" t="s" s="12">
        <v>8</v>
      </c>
      <c r="D2594" s="15" cm="1">
        <f t="array" ref="D2594">SUM(D2592:D2593)</f>
        <v>3300</v>
      </c>
      <c r="E2594" s="15" cm="1">
        <f t="array" ref="E2594">SUM(E2592:E2593)</f>
        <v>3300</v>
      </c>
      <c r="F2594" s="16" cm="1">
        <f t="array" ref="F2594">SUM(F2592:F2593)</f>
        <v>0</v>
      </c>
      <c r="G2594" s="16" cm="1">
        <f t="array" ref="G2594">SUM(G2592:G2593)</f>
        <v>0</v>
      </c>
      <c r="H2594" s="16" cm="1">
        <f t="array" ref="H2594">SUM(H2592:H2593)</f>
        <v>0</v>
      </c>
      <c r="I2594" s="16" cm="1">
        <f t="array" ref="I2594">SUM(I2592:I2593)</f>
        <v>0</v>
      </c>
    </row>
    <row r="2595" ht="21.25" customHeight="1">
      <c r="A2595" s="10">
        <v>45571</v>
      </c>
      <c r="B2595" t="s" s="11">
        <v>5</v>
      </c>
      <c r="C2595" t="s" s="12">
        <v>471</v>
      </c>
      <c r="D2595" s="17"/>
      <c r="E2595" s="17">
        <v>57600</v>
      </c>
      <c r="F2595" s="18"/>
      <c r="G2595" s="18"/>
      <c r="H2595" s="18"/>
      <c r="I2595" s="18"/>
    </row>
    <row r="2596" ht="20.9" customHeight="1">
      <c r="A2596" s="10">
        <v>45571</v>
      </c>
      <c r="B2596" t="s" s="11">
        <v>12</v>
      </c>
      <c r="C2596" t="s" s="12">
        <v>471</v>
      </c>
      <c r="D2596" s="19">
        <v>29600</v>
      </c>
      <c r="E2596" s="19"/>
      <c r="F2596" s="20"/>
      <c r="G2596" s="20"/>
      <c r="H2596" s="20"/>
      <c r="I2596" s="20"/>
    </row>
    <row r="2597" ht="21.25" customHeight="1">
      <c r="A2597" s="10">
        <v>45571</v>
      </c>
      <c r="B2597" t="s" s="11">
        <v>89</v>
      </c>
      <c r="C2597" t="s" s="12">
        <v>471</v>
      </c>
      <c r="D2597" s="13">
        <v>28000</v>
      </c>
      <c r="E2597" s="13"/>
      <c r="F2597" s="14"/>
      <c r="G2597" s="14"/>
      <c r="H2597" s="14"/>
      <c r="I2597" s="14"/>
    </row>
    <row r="2598" ht="20.7" customHeight="1">
      <c r="A2598" s="10">
        <v>45571</v>
      </c>
      <c r="B2598" t="s" s="11">
        <v>8</v>
      </c>
      <c r="C2598" t="s" s="12">
        <v>8</v>
      </c>
      <c r="D2598" s="15" cm="1">
        <f t="array" ref="D2598">SUM(D2595:D2597)</f>
        <v>57600</v>
      </c>
      <c r="E2598" s="15" cm="1">
        <f t="array" ref="E2598">SUM(E2595:E2597)</f>
        <v>57600</v>
      </c>
      <c r="F2598" s="16" cm="1">
        <f t="array" ref="F2598">SUM(F2595:F2597)</f>
        <v>0</v>
      </c>
      <c r="G2598" s="16" cm="1">
        <f t="array" ref="G2598">SUM(G2595:G2597)</f>
        <v>0</v>
      </c>
      <c r="H2598" s="16" cm="1">
        <f t="array" ref="H2598">SUM(H2595:H2597)</f>
        <v>0</v>
      </c>
      <c r="I2598" s="16" cm="1">
        <f t="array" ref="I2598">SUM(I2595:I2597)</f>
        <v>0</v>
      </c>
    </row>
    <row r="2599" ht="20.35" customHeight="1">
      <c r="A2599" s="10">
        <v>45572</v>
      </c>
      <c r="B2599" t="s" s="11">
        <v>28</v>
      </c>
      <c r="C2599" t="s" s="12">
        <v>472</v>
      </c>
      <c r="D2599" s="17">
        <v>23000</v>
      </c>
      <c r="E2599" s="17"/>
      <c r="F2599" s="18"/>
      <c r="G2599" s="18"/>
      <c r="H2599" s="18"/>
      <c r="I2599" s="18"/>
    </row>
    <row r="2600" ht="20.35" customHeight="1">
      <c r="A2600" s="10">
        <v>45572</v>
      </c>
      <c r="B2600" t="s" s="11">
        <v>89</v>
      </c>
      <c r="C2600" t="s" s="12">
        <v>472</v>
      </c>
      <c r="D2600" s="13"/>
      <c r="E2600" s="13">
        <v>23000</v>
      </c>
      <c r="F2600" s="14"/>
      <c r="G2600" s="14"/>
      <c r="H2600" s="14"/>
      <c r="I2600" s="14"/>
    </row>
    <row r="2601" ht="20.7" customHeight="1">
      <c r="A2601" s="10">
        <v>45572</v>
      </c>
      <c r="B2601" t="s" s="11">
        <v>8</v>
      </c>
      <c r="C2601" t="s" s="12">
        <v>8</v>
      </c>
      <c r="D2601" s="15" cm="1">
        <f t="array" ref="D2601">SUM(D2599:D2600)</f>
        <v>23000</v>
      </c>
      <c r="E2601" s="15" cm="1">
        <f t="array" ref="E2601">SUM(E2599:E2600)</f>
        <v>23000</v>
      </c>
      <c r="F2601" s="16" cm="1">
        <f t="array" ref="F2601">SUM(F2599:F2600)</f>
        <v>0</v>
      </c>
      <c r="G2601" s="16" cm="1">
        <f t="array" ref="G2601">SUM(G2599:G2600)</f>
        <v>0</v>
      </c>
      <c r="H2601" s="16" cm="1">
        <f t="array" ref="H2601">SUM(H2599:H2600)</f>
        <v>0</v>
      </c>
      <c r="I2601" s="16" cm="1">
        <f t="array" ref="I2601">SUM(I2599:I2600)</f>
        <v>0</v>
      </c>
    </row>
    <row r="2602" ht="20.35" customHeight="1">
      <c r="A2602" s="10">
        <v>45572</v>
      </c>
      <c r="B2602" t="s" s="11">
        <v>93</v>
      </c>
      <c r="C2602" t="s" s="12">
        <v>472</v>
      </c>
      <c r="D2602" s="17">
        <v>5000</v>
      </c>
      <c r="E2602" s="17"/>
      <c r="F2602" s="18"/>
      <c r="G2602" s="18"/>
      <c r="H2602" s="18"/>
      <c r="I2602" s="18"/>
    </row>
    <row r="2603" ht="20.35" customHeight="1">
      <c r="A2603" s="10">
        <v>45572</v>
      </c>
      <c r="B2603" t="s" s="11">
        <v>89</v>
      </c>
      <c r="C2603" t="s" s="12">
        <v>472</v>
      </c>
      <c r="D2603" s="13"/>
      <c r="E2603" s="13">
        <v>5000</v>
      </c>
      <c r="F2603" s="14"/>
      <c r="G2603" s="14"/>
      <c r="H2603" s="14"/>
      <c r="I2603" s="14"/>
    </row>
    <row r="2604" ht="20.7" customHeight="1">
      <c r="A2604" s="10">
        <v>45572</v>
      </c>
      <c r="B2604" t="s" s="11">
        <v>8</v>
      </c>
      <c r="C2604" t="s" s="12">
        <v>8</v>
      </c>
      <c r="D2604" s="15" cm="1">
        <f t="array" ref="D2604">SUM(D2602:D2603)</f>
        <v>5000</v>
      </c>
      <c r="E2604" s="15" cm="1">
        <f t="array" ref="E2604">SUM(E2602:E2603)</f>
        <v>5000</v>
      </c>
      <c r="F2604" s="16" cm="1">
        <f t="array" ref="F2604">SUM(F2602:F2603)</f>
        <v>0</v>
      </c>
      <c r="G2604" s="16" cm="1">
        <f t="array" ref="G2604">SUM(G2602:G2603)</f>
        <v>0</v>
      </c>
      <c r="H2604" s="16" cm="1">
        <f t="array" ref="H2604">SUM(H2602:H2603)</f>
        <v>0</v>
      </c>
      <c r="I2604" s="16" cm="1">
        <f t="array" ref="I2604">SUM(I2602:I2603)</f>
        <v>0</v>
      </c>
    </row>
    <row r="2605" ht="20.35" customHeight="1">
      <c r="A2605" s="10">
        <v>45572</v>
      </c>
      <c r="B2605" t="s" s="11">
        <v>5</v>
      </c>
      <c r="C2605" t="s" s="12">
        <v>17</v>
      </c>
      <c r="D2605" s="17">
        <v>100</v>
      </c>
      <c r="E2605" s="17"/>
      <c r="F2605" s="18"/>
      <c r="G2605" s="18"/>
      <c r="H2605" s="18"/>
      <c r="I2605" s="18"/>
    </row>
    <row r="2606" ht="20.35" customHeight="1">
      <c r="A2606" s="10">
        <v>45572</v>
      </c>
      <c r="B2606" t="s" s="11">
        <v>18</v>
      </c>
      <c r="C2606" t="s" s="12">
        <v>17</v>
      </c>
      <c r="D2606" s="13"/>
      <c r="E2606" s="13">
        <v>100</v>
      </c>
      <c r="F2606" s="14"/>
      <c r="G2606" s="14"/>
      <c r="H2606" s="14"/>
      <c r="I2606" s="14"/>
    </row>
    <row r="2607" ht="20.7" customHeight="1">
      <c r="A2607" s="10">
        <v>45572</v>
      </c>
      <c r="B2607" t="s" s="11">
        <v>8</v>
      </c>
      <c r="C2607" t="s" s="12">
        <v>8</v>
      </c>
      <c r="D2607" s="15" cm="1">
        <f t="array" ref="D2607">SUM(D2605:D2606)</f>
        <v>100</v>
      </c>
      <c r="E2607" s="15" cm="1">
        <f t="array" ref="E2607">SUM(E2605:E2606)</f>
        <v>100</v>
      </c>
      <c r="F2607" s="16" cm="1">
        <f t="array" ref="F2607">SUM(F2605:F2606)</f>
        <v>0</v>
      </c>
      <c r="G2607" s="16" cm="1">
        <f t="array" ref="G2607">SUM(G2605:G2606)</f>
        <v>0</v>
      </c>
      <c r="H2607" s="16" cm="1">
        <f t="array" ref="H2607">SUM(H2605:H2606)</f>
        <v>0</v>
      </c>
      <c r="I2607" s="16" cm="1">
        <f t="array" ref="I2607">SUM(I2605:I2606)</f>
        <v>0</v>
      </c>
    </row>
    <row r="2608" ht="20.35" customHeight="1">
      <c r="A2608" s="10">
        <v>45572</v>
      </c>
      <c r="B2608" t="s" s="11">
        <v>5</v>
      </c>
      <c r="C2608" t="s" s="12">
        <v>96</v>
      </c>
      <c r="D2608" s="17">
        <v>25000</v>
      </c>
      <c r="E2608" s="17"/>
      <c r="F2608" s="18"/>
      <c r="G2608" s="18"/>
      <c r="H2608" s="18"/>
      <c r="I2608" s="18"/>
    </row>
    <row r="2609" ht="20.35" customHeight="1">
      <c r="A2609" s="10">
        <v>45572</v>
      </c>
      <c r="B2609" t="s" s="11">
        <v>93</v>
      </c>
      <c r="C2609" t="s" s="12">
        <v>96</v>
      </c>
      <c r="D2609" s="13"/>
      <c r="E2609" s="13">
        <v>25000</v>
      </c>
      <c r="F2609" s="14"/>
      <c r="G2609" s="14"/>
      <c r="H2609" s="14"/>
      <c r="I2609" s="14"/>
    </row>
    <row r="2610" ht="20.7" customHeight="1">
      <c r="A2610" s="10">
        <v>45572</v>
      </c>
      <c r="B2610" t="s" s="11">
        <v>8</v>
      </c>
      <c r="C2610" t="s" s="12">
        <v>8</v>
      </c>
      <c r="D2610" s="15" cm="1">
        <f t="array" ref="D2610">SUM(D2608:D2609)</f>
        <v>25000</v>
      </c>
      <c r="E2610" s="15" cm="1">
        <f t="array" ref="E2610">SUM(E2608:E2609)</f>
        <v>25000</v>
      </c>
      <c r="F2610" s="16" cm="1">
        <f t="array" ref="F2610">SUM(F2608:F2609)</f>
        <v>0</v>
      </c>
      <c r="G2610" s="16" cm="1">
        <f t="array" ref="G2610">SUM(G2608:G2609)</f>
        <v>0</v>
      </c>
      <c r="H2610" s="16" cm="1">
        <f t="array" ref="H2610">SUM(H2608:H2609)</f>
        <v>0</v>
      </c>
      <c r="I2610" s="16" cm="1">
        <f t="array" ref="I2610">SUM(I2608:I2609)</f>
        <v>0</v>
      </c>
    </row>
    <row r="2611" ht="20.35" customHeight="1">
      <c r="A2611" s="10">
        <v>45572</v>
      </c>
      <c r="B2611" t="s" s="11">
        <v>5</v>
      </c>
      <c r="C2611" t="s" s="12">
        <v>473</v>
      </c>
      <c r="D2611" s="17"/>
      <c r="E2611" s="17">
        <v>14200</v>
      </c>
      <c r="F2611" s="18"/>
      <c r="G2611" s="18"/>
      <c r="H2611" s="18"/>
      <c r="I2611" s="18"/>
    </row>
    <row r="2612" ht="20.35" customHeight="1">
      <c r="A2612" s="10">
        <v>45572</v>
      </c>
      <c r="B2612" t="s" s="11">
        <v>89</v>
      </c>
      <c r="C2612" t="s" s="12">
        <v>473</v>
      </c>
      <c r="D2612" s="13">
        <v>14200</v>
      </c>
      <c r="E2612" s="13"/>
      <c r="F2612" s="14"/>
      <c r="G2612" s="14"/>
      <c r="H2612" s="14"/>
      <c r="I2612" s="14"/>
    </row>
    <row r="2613" ht="20.7" customHeight="1">
      <c r="A2613" s="10">
        <v>45572</v>
      </c>
      <c r="B2613" t="s" s="11">
        <v>8</v>
      </c>
      <c r="C2613" t="s" s="12">
        <v>8</v>
      </c>
      <c r="D2613" s="15" cm="1">
        <f t="array" ref="D2613">SUM(D2611:D2612)</f>
        <v>14200</v>
      </c>
      <c r="E2613" s="15" cm="1">
        <f t="array" ref="E2613">SUM(E2611:E2612)</f>
        <v>14200</v>
      </c>
      <c r="F2613" s="16" cm="1">
        <f t="array" ref="F2613">SUM(F2611:F2612)</f>
        <v>0</v>
      </c>
      <c r="G2613" s="16" cm="1">
        <f t="array" ref="G2613">SUM(G2611:G2612)</f>
        <v>0</v>
      </c>
      <c r="H2613" s="16" cm="1">
        <f t="array" ref="H2613">SUM(H2611:H2612)</f>
        <v>0</v>
      </c>
      <c r="I2613" s="16" cm="1">
        <f t="array" ref="I2613">SUM(I2611:I2612)</f>
        <v>0</v>
      </c>
    </row>
    <row r="2614" ht="20.35" customHeight="1">
      <c r="A2614" s="10">
        <v>45572</v>
      </c>
      <c r="B2614" t="s" s="11">
        <v>5</v>
      </c>
      <c r="C2614" t="s" s="12">
        <v>96</v>
      </c>
      <c r="D2614" s="17">
        <v>7200</v>
      </c>
      <c r="E2614" s="17"/>
      <c r="F2614" s="18"/>
      <c r="G2614" s="18"/>
      <c r="H2614" s="18"/>
      <c r="I2614" s="18"/>
    </row>
    <row r="2615" ht="20.35" customHeight="1">
      <c r="A2615" s="10">
        <v>45572</v>
      </c>
      <c r="B2615" t="s" s="11">
        <v>107</v>
      </c>
      <c r="C2615" t="s" s="12">
        <v>96</v>
      </c>
      <c r="D2615" s="13"/>
      <c r="E2615" s="13">
        <v>7200</v>
      </c>
      <c r="F2615" s="14"/>
      <c r="G2615" s="14"/>
      <c r="H2615" s="14"/>
      <c r="I2615" s="14"/>
    </row>
    <row r="2616" ht="20.7" customHeight="1">
      <c r="A2616" s="10">
        <v>45572</v>
      </c>
      <c r="B2616" t="s" s="11">
        <v>8</v>
      </c>
      <c r="C2616" t="s" s="12">
        <v>8</v>
      </c>
      <c r="D2616" s="15" cm="1">
        <f t="array" ref="D2616">SUM(D2614:D2615)</f>
        <v>7200</v>
      </c>
      <c r="E2616" s="15" cm="1">
        <f t="array" ref="E2616">SUM(E2614:E2615)</f>
        <v>7200</v>
      </c>
      <c r="F2616" s="16" cm="1">
        <f t="array" ref="F2616">SUM(F2614:F2615)</f>
        <v>0</v>
      </c>
      <c r="G2616" s="16" cm="1">
        <f t="array" ref="G2616">SUM(G2614:G2615)</f>
        <v>0</v>
      </c>
      <c r="H2616" s="16" cm="1">
        <f t="array" ref="H2616">SUM(H2614:H2615)</f>
        <v>0</v>
      </c>
      <c r="I2616" s="16" cm="1">
        <f t="array" ref="I2616">SUM(I2614:I2615)</f>
        <v>0</v>
      </c>
    </row>
    <row r="2617" ht="20.35" customHeight="1">
      <c r="A2617" s="10">
        <v>45572</v>
      </c>
      <c r="B2617" t="s" s="11">
        <v>5</v>
      </c>
      <c r="C2617" t="s" s="12">
        <v>473</v>
      </c>
      <c r="D2617" s="17"/>
      <c r="E2617" s="17">
        <v>5000</v>
      </c>
      <c r="F2617" s="18"/>
      <c r="G2617" s="18"/>
      <c r="H2617" s="18"/>
      <c r="I2617" s="18"/>
    </row>
    <row r="2618" ht="20.35" customHeight="1">
      <c r="A2618" s="10">
        <v>45572</v>
      </c>
      <c r="B2618" t="s" s="11">
        <v>89</v>
      </c>
      <c r="C2618" t="s" s="12">
        <v>473</v>
      </c>
      <c r="D2618" s="13">
        <v>5000</v>
      </c>
      <c r="E2618" s="13"/>
      <c r="F2618" s="14"/>
      <c r="G2618" s="14"/>
      <c r="H2618" s="14"/>
      <c r="I2618" s="14"/>
    </row>
    <row r="2619" ht="20.7" customHeight="1">
      <c r="A2619" s="10">
        <v>45572</v>
      </c>
      <c r="B2619" t="s" s="11">
        <v>8</v>
      </c>
      <c r="C2619" t="s" s="12">
        <v>8</v>
      </c>
      <c r="D2619" s="15" cm="1">
        <f t="array" ref="D2619">SUM(D2617:D2618)</f>
        <v>5000</v>
      </c>
      <c r="E2619" s="15" cm="1">
        <f t="array" ref="E2619">SUM(E2617:E2618)</f>
        <v>5000</v>
      </c>
      <c r="F2619" s="16" cm="1">
        <f t="array" ref="F2619">SUM(F2617:F2618)</f>
        <v>0</v>
      </c>
      <c r="G2619" s="16" cm="1">
        <f t="array" ref="G2619">SUM(G2617:G2618)</f>
        <v>0</v>
      </c>
      <c r="H2619" s="16" cm="1">
        <f t="array" ref="H2619">SUM(H2617:H2618)</f>
        <v>0</v>
      </c>
      <c r="I2619" s="16" cm="1">
        <f t="array" ref="I2619">SUM(I2617:I2618)</f>
        <v>0</v>
      </c>
    </row>
    <row r="2620" ht="20.35" customHeight="1">
      <c r="A2620" s="10">
        <v>45572</v>
      </c>
      <c r="B2620" t="s" s="11">
        <v>5</v>
      </c>
      <c r="C2620" t="s" s="12">
        <v>474</v>
      </c>
      <c r="D2620" s="17"/>
      <c r="E2620" s="17">
        <v>10000</v>
      </c>
      <c r="F2620" s="18"/>
      <c r="G2620" s="18"/>
      <c r="H2620" s="18"/>
      <c r="I2620" s="18"/>
    </row>
    <row r="2621" ht="20.05" customHeight="1">
      <c r="A2621" s="10">
        <v>45572</v>
      </c>
      <c r="B2621" t="s" s="11">
        <v>10</v>
      </c>
      <c r="C2621" t="s" s="12">
        <v>474</v>
      </c>
      <c r="D2621" s="19">
        <v>5000</v>
      </c>
      <c r="E2621" s="19"/>
      <c r="F2621" s="20"/>
      <c r="G2621" s="20"/>
      <c r="H2621" s="20"/>
      <c r="I2621" s="20"/>
    </row>
    <row r="2622" ht="20.35" customHeight="1">
      <c r="A2622" s="10">
        <v>45572</v>
      </c>
      <c r="B2622" t="s" s="11">
        <v>86</v>
      </c>
      <c r="C2622" t="s" s="12">
        <v>474</v>
      </c>
      <c r="D2622" s="13">
        <v>5000</v>
      </c>
      <c r="E2622" s="13"/>
      <c r="F2622" s="14"/>
      <c r="G2622" s="14"/>
      <c r="H2622" s="14"/>
      <c r="I2622" s="14"/>
    </row>
    <row r="2623" ht="20.7" customHeight="1">
      <c r="A2623" s="10">
        <v>45572</v>
      </c>
      <c r="B2623" t="s" s="11">
        <v>8</v>
      </c>
      <c r="C2623" t="s" s="12">
        <v>8</v>
      </c>
      <c r="D2623" s="15" cm="1">
        <f t="array" ref="D2623">SUM(D2620:D2622)</f>
        <v>10000</v>
      </c>
      <c r="E2623" s="15" cm="1">
        <f t="array" ref="E2623">SUM(E2620:E2622)</f>
        <v>10000</v>
      </c>
      <c r="F2623" s="16" cm="1">
        <f t="array" ref="F2623">SUM(F2620:F2622)</f>
        <v>0</v>
      </c>
      <c r="G2623" s="16" cm="1">
        <f t="array" ref="G2623">SUM(G2620:G2622)</f>
        <v>0</v>
      </c>
      <c r="H2623" s="16" cm="1">
        <f t="array" ref="H2623">SUM(H2620:H2622)</f>
        <v>0</v>
      </c>
      <c r="I2623" s="16" cm="1">
        <f t="array" ref="I2623">SUM(I2620:I2622)</f>
        <v>0</v>
      </c>
    </row>
    <row r="2624" ht="20.35" customHeight="1">
      <c r="A2624" s="10">
        <v>45572</v>
      </c>
      <c r="B2624" t="s" s="11">
        <v>28</v>
      </c>
      <c r="C2624" t="s" s="12">
        <v>475</v>
      </c>
      <c r="D2624" s="17"/>
      <c r="E2624" s="17">
        <v>26700</v>
      </c>
      <c r="F2624" s="18"/>
      <c r="G2624" s="18"/>
      <c r="H2624" s="18"/>
      <c r="I2624" s="18"/>
    </row>
    <row r="2625" ht="20.05" customHeight="1">
      <c r="A2625" s="10">
        <v>45572</v>
      </c>
      <c r="B2625" t="s" s="11">
        <v>10</v>
      </c>
      <c r="C2625" t="s" s="12">
        <v>475</v>
      </c>
      <c r="D2625" s="19">
        <v>13350</v>
      </c>
      <c r="E2625" s="19"/>
      <c r="F2625" s="20"/>
      <c r="G2625" s="20"/>
      <c r="H2625" s="20"/>
      <c r="I2625" s="20"/>
    </row>
    <row r="2626" ht="20.35" customHeight="1">
      <c r="A2626" s="10">
        <v>45572</v>
      </c>
      <c r="B2626" t="s" s="11">
        <v>12</v>
      </c>
      <c r="C2626" t="s" s="12">
        <v>475</v>
      </c>
      <c r="D2626" s="13">
        <v>13350</v>
      </c>
      <c r="E2626" s="13"/>
      <c r="F2626" s="14"/>
      <c r="G2626" s="14"/>
      <c r="H2626" s="14"/>
      <c r="I2626" s="14"/>
    </row>
    <row r="2627" ht="20.7" customHeight="1">
      <c r="A2627" s="10">
        <v>45572</v>
      </c>
      <c r="B2627" t="s" s="11">
        <v>8</v>
      </c>
      <c r="C2627" t="s" s="12">
        <v>8</v>
      </c>
      <c r="D2627" s="15" cm="1">
        <f t="array" ref="D2627">SUM(D2624:D2626)</f>
        <v>26700</v>
      </c>
      <c r="E2627" s="15" cm="1">
        <f t="array" ref="E2627">SUM(E2624:E2626)</f>
        <v>26700</v>
      </c>
      <c r="F2627" s="16" cm="1">
        <f t="array" ref="F2627">SUM(F2624:F2626)</f>
        <v>0</v>
      </c>
      <c r="G2627" s="16" cm="1">
        <f t="array" ref="G2627">SUM(G2624:G2626)</f>
        <v>0</v>
      </c>
      <c r="H2627" s="16" cm="1">
        <f t="array" ref="H2627">SUM(H2624:H2626)</f>
        <v>0</v>
      </c>
      <c r="I2627" s="16" cm="1">
        <f t="array" ref="I2627">SUM(I2624:I2626)</f>
        <v>0</v>
      </c>
    </row>
    <row r="2628" ht="21.25" customHeight="1">
      <c r="A2628" s="10">
        <v>45572</v>
      </c>
      <c r="B2628" t="s" s="11">
        <v>21</v>
      </c>
      <c r="C2628" t="s" s="12">
        <v>476</v>
      </c>
      <c r="D2628" s="17"/>
      <c r="E2628" s="17">
        <v>1200</v>
      </c>
      <c r="F2628" s="18"/>
      <c r="G2628" s="18"/>
      <c r="H2628" s="18"/>
      <c r="I2628" s="18"/>
    </row>
    <row r="2629" ht="21.25" customHeight="1">
      <c r="A2629" s="10">
        <v>45572</v>
      </c>
      <c r="B2629" t="s" s="11">
        <v>16</v>
      </c>
      <c r="C2629" t="s" s="12">
        <v>476</v>
      </c>
      <c r="D2629" s="13">
        <v>1200</v>
      </c>
      <c r="E2629" s="13"/>
      <c r="F2629" s="14"/>
      <c r="G2629" s="14"/>
      <c r="H2629" s="14"/>
      <c r="I2629" s="14"/>
    </row>
    <row r="2630" ht="20.7" customHeight="1">
      <c r="A2630" s="10">
        <v>45572</v>
      </c>
      <c r="B2630" t="s" s="11">
        <v>8</v>
      </c>
      <c r="C2630" t="s" s="12">
        <v>8</v>
      </c>
      <c r="D2630" s="15" cm="1">
        <f t="array" ref="D2630">SUM(D2628:D2629)</f>
        <v>1200</v>
      </c>
      <c r="E2630" s="15" cm="1">
        <f t="array" ref="E2630">SUM(E2628:E2629)</f>
        <v>1200</v>
      </c>
      <c r="F2630" s="16" cm="1">
        <f t="array" ref="F2630">SUM(F2628:F2629)</f>
        <v>0</v>
      </c>
      <c r="G2630" s="16" cm="1">
        <f t="array" ref="G2630">SUM(G2628:G2629)</f>
        <v>0</v>
      </c>
      <c r="H2630" s="16" cm="1">
        <f t="array" ref="H2630">SUM(H2628:H2629)</f>
        <v>0</v>
      </c>
      <c r="I2630" s="16" cm="1">
        <f t="array" ref="I2630">SUM(I2628:I2629)</f>
        <v>0</v>
      </c>
    </row>
    <row r="2631" ht="21.25" customHeight="1">
      <c r="A2631" s="10">
        <v>45572</v>
      </c>
      <c r="B2631" t="s" s="11">
        <v>21</v>
      </c>
      <c r="C2631" t="s" s="12">
        <v>477</v>
      </c>
      <c r="D2631" s="17"/>
      <c r="E2631" s="17">
        <v>1600</v>
      </c>
      <c r="F2631" s="18"/>
      <c r="G2631" s="18"/>
      <c r="H2631" s="18"/>
      <c r="I2631" s="18"/>
    </row>
    <row r="2632" ht="21.25" customHeight="1">
      <c r="A2632" s="10">
        <v>45572</v>
      </c>
      <c r="B2632" t="s" s="11">
        <v>16</v>
      </c>
      <c r="C2632" t="s" s="12">
        <v>477</v>
      </c>
      <c r="D2632" s="13">
        <v>1600</v>
      </c>
      <c r="E2632" s="13"/>
      <c r="F2632" s="14"/>
      <c r="G2632" s="14"/>
      <c r="H2632" s="14"/>
      <c r="I2632" s="14"/>
    </row>
    <row r="2633" ht="20.7" customHeight="1">
      <c r="A2633" s="10">
        <v>45572</v>
      </c>
      <c r="B2633" t="s" s="11">
        <v>8</v>
      </c>
      <c r="C2633" t="s" s="12">
        <v>8</v>
      </c>
      <c r="D2633" s="15" cm="1">
        <f t="array" ref="D2633">SUM(D2631:D2632)</f>
        <v>1600</v>
      </c>
      <c r="E2633" s="15" cm="1">
        <f t="array" ref="E2633">SUM(E2631:E2632)</f>
        <v>1600</v>
      </c>
      <c r="F2633" s="16" cm="1">
        <f t="array" ref="F2633">SUM(F2631:F2632)</f>
        <v>0</v>
      </c>
      <c r="G2633" s="16" cm="1">
        <f t="array" ref="G2633">SUM(G2631:G2632)</f>
        <v>0</v>
      </c>
      <c r="H2633" s="16" cm="1">
        <f t="array" ref="H2633">SUM(H2631:H2632)</f>
        <v>0</v>
      </c>
      <c r="I2633" s="16" cm="1">
        <f t="array" ref="I2633">SUM(I2631:I2632)</f>
        <v>0</v>
      </c>
    </row>
    <row r="2634" ht="20.35" customHeight="1">
      <c r="A2634" s="10">
        <v>45572</v>
      </c>
      <c r="B2634" t="s" s="11">
        <v>5</v>
      </c>
      <c r="C2634" t="s" s="12">
        <v>478</v>
      </c>
      <c r="D2634" s="17"/>
      <c r="E2634" s="17">
        <v>30</v>
      </c>
      <c r="F2634" s="18"/>
      <c r="G2634" s="18"/>
      <c r="H2634" s="18"/>
      <c r="I2634" s="18"/>
    </row>
    <row r="2635" ht="20.35" customHeight="1">
      <c r="A2635" s="10">
        <v>45572</v>
      </c>
      <c r="B2635" t="s" s="11">
        <v>84</v>
      </c>
      <c r="C2635" t="s" s="12">
        <v>478</v>
      </c>
      <c r="D2635" s="13">
        <v>30</v>
      </c>
      <c r="E2635" s="13"/>
      <c r="F2635" s="14"/>
      <c r="G2635" s="14"/>
      <c r="H2635" s="14"/>
      <c r="I2635" s="14"/>
    </row>
    <row r="2636" ht="20.7" customHeight="1">
      <c r="A2636" s="10">
        <v>45572</v>
      </c>
      <c r="B2636" t="s" s="11">
        <v>8</v>
      </c>
      <c r="C2636" t="s" s="12">
        <v>8</v>
      </c>
      <c r="D2636" s="15" cm="1">
        <f t="array" ref="D2636">SUM(D2634:D2635)</f>
        <v>30</v>
      </c>
      <c r="E2636" s="15" cm="1">
        <f t="array" ref="E2636">SUM(E2634:E2635)</f>
        <v>30</v>
      </c>
      <c r="F2636" s="16" cm="1">
        <f t="array" ref="F2636">SUM(F2634:F2635)</f>
        <v>0</v>
      </c>
      <c r="G2636" s="16" cm="1">
        <f t="array" ref="G2636">SUM(G2634:G2635)</f>
        <v>0</v>
      </c>
      <c r="H2636" s="16" cm="1">
        <f t="array" ref="H2636">SUM(H2634:H2635)</f>
        <v>0</v>
      </c>
      <c r="I2636" s="16" cm="1">
        <f t="array" ref="I2636">SUM(I2634:I2635)</f>
        <v>0</v>
      </c>
    </row>
    <row r="2637" ht="21.25" customHeight="1">
      <c r="A2637" s="10">
        <v>45573</v>
      </c>
      <c r="B2637" t="s" s="11">
        <v>28</v>
      </c>
      <c r="C2637" t="s" s="12">
        <v>479</v>
      </c>
      <c r="D2637" s="17"/>
      <c r="E2637" s="17">
        <v>30000</v>
      </c>
      <c r="F2637" s="18"/>
      <c r="G2637" s="18"/>
      <c r="H2637" s="18"/>
      <c r="I2637" s="18"/>
    </row>
    <row r="2638" ht="20.9" customHeight="1">
      <c r="A2638" s="10">
        <v>45573</v>
      </c>
      <c r="B2638" t="s" s="11">
        <v>12</v>
      </c>
      <c r="C2638" t="s" s="12">
        <v>479</v>
      </c>
      <c r="D2638" s="19">
        <v>15000</v>
      </c>
      <c r="E2638" s="19"/>
      <c r="F2638" s="20"/>
      <c r="G2638" s="20"/>
      <c r="H2638" s="20"/>
      <c r="I2638" s="20"/>
    </row>
    <row r="2639" ht="21.25" customHeight="1">
      <c r="A2639" s="10">
        <v>45573</v>
      </c>
      <c r="B2639" t="s" s="11">
        <v>89</v>
      </c>
      <c r="C2639" t="s" s="12">
        <v>479</v>
      </c>
      <c r="D2639" s="13">
        <v>15000</v>
      </c>
      <c r="E2639" s="13"/>
      <c r="F2639" s="14"/>
      <c r="G2639" s="14"/>
      <c r="H2639" s="14"/>
      <c r="I2639" s="14"/>
    </row>
    <row r="2640" ht="20.7" customHeight="1">
      <c r="A2640" s="10">
        <v>45573</v>
      </c>
      <c r="B2640" t="s" s="11">
        <v>8</v>
      </c>
      <c r="C2640" t="s" s="12">
        <v>8</v>
      </c>
      <c r="D2640" s="15" cm="1">
        <f t="array" ref="D2640">SUM(D2637:D2639)</f>
        <v>30000</v>
      </c>
      <c r="E2640" s="15" cm="1">
        <f t="array" ref="E2640">SUM(E2637:E2639)</f>
        <v>30000</v>
      </c>
      <c r="F2640" s="16" cm="1">
        <f t="array" ref="F2640">SUM(F2637:F2639)</f>
        <v>0</v>
      </c>
      <c r="G2640" s="16" cm="1">
        <f t="array" ref="G2640">SUM(G2637:G2639)</f>
        <v>0</v>
      </c>
      <c r="H2640" s="16" cm="1">
        <f t="array" ref="H2640">SUM(H2637:H2639)</f>
        <v>0</v>
      </c>
      <c r="I2640" s="16" cm="1">
        <f t="array" ref="I2640">SUM(I2637:I2639)</f>
        <v>0</v>
      </c>
    </row>
    <row r="2641" ht="20.65" customHeight="1">
      <c r="A2641" s="10">
        <v>45573</v>
      </c>
      <c r="B2641" t="s" s="11">
        <v>107</v>
      </c>
      <c r="C2641" t="s" s="12">
        <v>480</v>
      </c>
      <c r="D2641" s="17">
        <v>15000</v>
      </c>
      <c r="E2641" s="17"/>
      <c r="F2641" s="18"/>
      <c r="G2641" s="18"/>
      <c r="H2641" s="18"/>
      <c r="I2641" s="18"/>
    </row>
    <row r="2642" ht="20.65" customHeight="1">
      <c r="A2642" s="10">
        <v>45573</v>
      </c>
      <c r="B2642" t="s" s="11">
        <v>89</v>
      </c>
      <c r="C2642" t="s" s="12">
        <v>480</v>
      </c>
      <c r="D2642" s="13"/>
      <c r="E2642" s="13">
        <v>15000</v>
      </c>
      <c r="F2642" s="14"/>
      <c r="G2642" s="14"/>
      <c r="H2642" s="14"/>
      <c r="I2642" s="14"/>
    </row>
    <row r="2643" ht="20.7" customHeight="1">
      <c r="A2643" s="10">
        <v>45573</v>
      </c>
      <c r="B2643" t="s" s="11">
        <v>8</v>
      </c>
      <c r="C2643" t="s" s="12">
        <v>8</v>
      </c>
      <c r="D2643" s="15" cm="1">
        <f t="array" ref="D2643">SUM(D2641:D2642)</f>
        <v>15000</v>
      </c>
      <c r="E2643" s="15" cm="1">
        <f t="array" ref="E2643">SUM(E2641:E2642)</f>
        <v>15000</v>
      </c>
      <c r="F2643" s="16" cm="1">
        <f t="array" ref="F2643">SUM(F2641:F2642)</f>
        <v>0</v>
      </c>
      <c r="G2643" s="16" cm="1">
        <f t="array" ref="G2643">SUM(G2641:G2642)</f>
        <v>0</v>
      </c>
      <c r="H2643" s="16" cm="1">
        <f t="array" ref="H2643">SUM(H2641:H2642)</f>
        <v>0</v>
      </c>
      <c r="I2643" s="16" cm="1">
        <f t="array" ref="I2643">SUM(I2641:I2642)</f>
        <v>0</v>
      </c>
    </row>
    <row r="2644" ht="20.35" customHeight="1">
      <c r="A2644" s="10">
        <v>45573</v>
      </c>
      <c r="B2644" t="s" s="11">
        <v>107</v>
      </c>
      <c r="C2644" t="s" s="12">
        <v>96</v>
      </c>
      <c r="D2644" s="17"/>
      <c r="E2644" s="17">
        <v>15000</v>
      </c>
      <c r="F2644" s="18"/>
      <c r="G2644" s="18"/>
      <c r="H2644" s="18"/>
      <c r="I2644" s="18"/>
    </row>
    <row r="2645" ht="20.35" customHeight="1">
      <c r="A2645" s="10">
        <v>45573</v>
      </c>
      <c r="B2645" t="s" s="11">
        <v>5</v>
      </c>
      <c r="C2645" t="s" s="12">
        <v>96</v>
      </c>
      <c r="D2645" s="13">
        <v>15000</v>
      </c>
      <c r="E2645" s="13"/>
      <c r="F2645" s="14"/>
      <c r="G2645" s="14"/>
      <c r="H2645" s="14"/>
      <c r="I2645" s="14"/>
    </row>
    <row r="2646" ht="20.7" customHeight="1">
      <c r="A2646" s="10">
        <v>45573</v>
      </c>
      <c r="B2646" t="s" s="11">
        <v>8</v>
      </c>
      <c r="C2646" t="s" s="12">
        <v>8</v>
      </c>
      <c r="D2646" s="15" cm="1">
        <f t="array" ref="D2646">SUM(D2644:D2645)</f>
        <v>15000</v>
      </c>
      <c r="E2646" s="15" cm="1">
        <f t="array" ref="E2646">SUM(E2644:E2645)</f>
        <v>15000</v>
      </c>
      <c r="F2646" s="16" cm="1">
        <f t="array" ref="F2646">SUM(F2644:F2645)</f>
        <v>0</v>
      </c>
      <c r="G2646" s="16" cm="1">
        <f t="array" ref="G2646">SUM(G2644:G2645)</f>
        <v>0</v>
      </c>
      <c r="H2646" s="16" cm="1">
        <f t="array" ref="H2646">SUM(H2644:H2645)</f>
        <v>0</v>
      </c>
      <c r="I2646" s="16" cm="1">
        <f t="array" ref="I2646">SUM(I2644:I2645)</f>
        <v>0</v>
      </c>
    </row>
    <row r="2647" ht="21.25" customHeight="1">
      <c r="A2647" s="10">
        <v>45573</v>
      </c>
      <c r="B2647" t="s" s="11">
        <v>5</v>
      </c>
      <c r="C2647" t="s" s="12">
        <v>481</v>
      </c>
      <c r="D2647" s="17"/>
      <c r="E2647" s="17">
        <v>7000</v>
      </c>
      <c r="F2647" s="18"/>
      <c r="G2647" s="18"/>
      <c r="H2647" s="18"/>
      <c r="I2647" s="18"/>
    </row>
    <row r="2648" ht="20.9" customHeight="1">
      <c r="A2648" s="10">
        <v>45573</v>
      </c>
      <c r="B2648" t="s" s="11">
        <v>12</v>
      </c>
      <c r="C2648" t="s" s="12">
        <v>481</v>
      </c>
      <c r="D2648" s="19">
        <v>3500</v>
      </c>
      <c r="E2648" s="19"/>
      <c r="F2648" s="20"/>
      <c r="G2648" s="20"/>
      <c r="H2648" s="20"/>
      <c r="I2648" s="20"/>
    </row>
    <row r="2649" ht="21.25" customHeight="1">
      <c r="A2649" s="10">
        <v>45573</v>
      </c>
      <c r="B2649" t="s" s="11">
        <v>89</v>
      </c>
      <c r="C2649" t="s" s="12">
        <v>481</v>
      </c>
      <c r="D2649" s="13">
        <v>3500</v>
      </c>
      <c r="E2649" s="13"/>
      <c r="F2649" s="14"/>
      <c r="G2649" s="14"/>
      <c r="H2649" s="14"/>
      <c r="I2649" s="14"/>
    </row>
    <row r="2650" ht="20.7" customHeight="1">
      <c r="A2650" s="10">
        <v>45573</v>
      </c>
      <c r="B2650" t="s" s="11">
        <v>8</v>
      </c>
      <c r="C2650" t="s" s="12">
        <v>8</v>
      </c>
      <c r="D2650" s="15" cm="1">
        <f t="array" ref="D2650">SUM(D2647:D2649)</f>
        <v>7000</v>
      </c>
      <c r="E2650" s="15" cm="1">
        <f t="array" ref="E2650">SUM(E2647:E2649)</f>
        <v>7000</v>
      </c>
      <c r="F2650" s="16" cm="1">
        <f t="array" ref="F2650">SUM(F2647:F2649)</f>
        <v>0</v>
      </c>
      <c r="G2650" s="16" cm="1">
        <f t="array" ref="G2650">SUM(G2647:G2649)</f>
        <v>0</v>
      </c>
      <c r="H2650" s="16" cm="1">
        <f t="array" ref="H2650">SUM(H2647:H2649)</f>
        <v>0</v>
      </c>
      <c r="I2650" s="16" cm="1">
        <f t="array" ref="I2650">SUM(I2647:I2649)</f>
        <v>0</v>
      </c>
    </row>
    <row r="2651" ht="21.25" customHeight="1">
      <c r="A2651" s="10">
        <v>45573</v>
      </c>
      <c r="B2651" t="s" s="11">
        <v>5</v>
      </c>
      <c r="C2651" t="s" s="12">
        <v>481</v>
      </c>
      <c r="D2651" s="17"/>
      <c r="E2651" s="17">
        <v>6400</v>
      </c>
      <c r="F2651" s="18"/>
      <c r="G2651" s="18"/>
      <c r="H2651" s="18"/>
      <c r="I2651" s="18"/>
    </row>
    <row r="2652" ht="20.9" customHeight="1">
      <c r="A2652" s="10">
        <v>45573</v>
      </c>
      <c r="B2652" t="s" s="11">
        <v>10</v>
      </c>
      <c r="C2652" t="s" s="12">
        <v>481</v>
      </c>
      <c r="D2652" s="19">
        <v>3400</v>
      </c>
      <c r="E2652" s="19"/>
      <c r="F2652" s="20"/>
      <c r="G2652" s="20"/>
      <c r="H2652" s="20"/>
      <c r="I2652" s="20"/>
    </row>
    <row r="2653" ht="21.25" customHeight="1">
      <c r="A2653" s="10">
        <v>45573</v>
      </c>
      <c r="B2653" t="s" s="11">
        <v>89</v>
      </c>
      <c r="C2653" t="s" s="12">
        <v>481</v>
      </c>
      <c r="D2653" s="13">
        <v>3000</v>
      </c>
      <c r="E2653" s="13"/>
      <c r="F2653" s="14"/>
      <c r="G2653" s="14"/>
      <c r="H2653" s="14"/>
      <c r="I2653" s="14"/>
    </row>
    <row r="2654" ht="20.7" customHeight="1">
      <c r="A2654" s="10">
        <v>45573</v>
      </c>
      <c r="B2654" t="s" s="11">
        <v>8</v>
      </c>
      <c r="C2654" t="s" s="12">
        <v>8</v>
      </c>
      <c r="D2654" s="15" cm="1">
        <f t="array" ref="D2654">SUM(D2651:D2653)</f>
        <v>6400</v>
      </c>
      <c r="E2654" s="15" cm="1">
        <f t="array" ref="E2654">SUM(E2651:E2653)</f>
        <v>6400</v>
      </c>
      <c r="F2654" s="16" cm="1">
        <f t="array" ref="F2654">SUM(F2651:F2653)</f>
        <v>0</v>
      </c>
      <c r="G2654" s="16" cm="1">
        <f t="array" ref="G2654">SUM(G2651:G2653)</f>
        <v>0</v>
      </c>
      <c r="H2654" s="16" cm="1">
        <f t="array" ref="H2654">SUM(H2651:H2653)</f>
        <v>0</v>
      </c>
      <c r="I2654" s="16" cm="1">
        <f t="array" ref="I2654">SUM(I2651:I2653)</f>
        <v>0</v>
      </c>
    </row>
    <row r="2655" ht="20.35" customHeight="1">
      <c r="A2655" s="10">
        <v>45573</v>
      </c>
      <c r="B2655" t="s" s="11">
        <v>107</v>
      </c>
      <c r="C2655" t="s" s="12">
        <v>96</v>
      </c>
      <c r="D2655" s="17">
        <v>6500</v>
      </c>
      <c r="E2655" s="17"/>
      <c r="F2655" s="18"/>
      <c r="G2655" s="18"/>
      <c r="H2655" s="18"/>
      <c r="I2655" s="18"/>
    </row>
    <row r="2656" ht="20.35" customHeight="1">
      <c r="A2656" s="10">
        <v>45573</v>
      </c>
      <c r="B2656" t="s" s="11">
        <v>89</v>
      </c>
      <c r="C2656" t="s" s="12">
        <v>96</v>
      </c>
      <c r="D2656" s="13"/>
      <c r="E2656" s="13">
        <v>6500</v>
      </c>
      <c r="F2656" s="14"/>
      <c r="G2656" s="14"/>
      <c r="H2656" s="14"/>
      <c r="I2656" s="14"/>
    </row>
    <row r="2657" ht="20.7" customHeight="1">
      <c r="A2657" s="10">
        <v>45573</v>
      </c>
      <c r="B2657" t="s" s="11">
        <v>8</v>
      </c>
      <c r="C2657" t="s" s="12">
        <v>8</v>
      </c>
      <c r="D2657" s="15" cm="1">
        <f t="array" ref="D2657">SUM(D2655:D2656)</f>
        <v>6500</v>
      </c>
      <c r="E2657" s="15" cm="1">
        <f t="array" ref="E2657">SUM(E2655:E2656)</f>
        <v>6500</v>
      </c>
      <c r="F2657" s="16" cm="1">
        <f t="array" ref="F2657">SUM(F2655:F2656)</f>
        <v>0</v>
      </c>
      <c r="G2657" s="16" cm="1">
        <f t="array" ref="G2657">SUM(G2655:G2656)</f>
        <v>0</v>
      </c>
      <c r="H2657" s="16" cm="1">
        <f t="array" ref="H2657">SUM(H2655:H2656)</f>
        <v>0</v>
      </c>
      <c r="I2657" s="16" cm="1">
        <f t="array" ref="I2657">SUM(I2655:I2656)</f>
        <v>0</v>
      </c>
    </row>
    <row r="2658" ht="20.35" customHeight="1">
      <c r="A2658" s="10">
        <v>45573</v>
      </c>
      <c r="B2658" t="s" s="11">
        <v>5</v>
      </c>
      <c r="C2658" t="s" s="12">
        <v>17</v>
      </c>
      <c r="D2658" s="17">
        <v>100</v>
      </c>
      <c r="E2658" s="17"/>
      <c r="F2658" s="18"/>
      <c r="G2658" s="18"/>
      <c r="H2658" s="18"/>
      <c r="I2658" s="18"/>
    </row>
    <row r="2659" ht="20.35" customHeight="1">
      <c r="A2659" s="10">
        <v>45573</v>
      </c>
      <c r="B2659" t="s" s="11">
        <v>18</v>
      </c>
      <c r="C2659" t="s" s="12">
        <v>17</v>
      </c>
      <c r="D2659" s="13"/>
      <c r="E2659" s="13">
        <v>100</v>
      </c>
      <c r="F2659" s="14"/>
      <c r="G2659" s="14"/>
      <c r="H2659" s="14"/>
      <c r="I2659" s="14"/>
    </row>
    <row r="2660" ht="20.7" customHeight="1">
      <c r="A2660" s="10">
        <v>45573</v>
      </c>
      <c r="B2660" t="s" s="11">
        <v>8</v>
      </c>
      <c r="C2660" t="s" s="12">
        <v>8</v>
      </c>
      <c r="D2660" s="15" cm="1">
        <f t="array" ref="D2660">SUM(D2658:D2659)</f>
        <v>100</v>
      </c>
      <c r="E2660" s="15" cm="1">
        <f t="array" ref="E2660">SUM(E2658:E2659)</f>
        <v>100</v>
      </c>
      <c r="F2660" s="16" cm="1">
        <f t="array" ref="F2660">SUM(F2658:F2659)</f>
        <v>0</v>
      </c>
      <c r="G2660" s="16" cm="1">
        <f t="array" ref="G2660">SUM(G2658:G2659)</f>
        <v>0</v>
      </c>
      <c r="H2660" s="16" cm="1">
        <f t="array" ref="H2660">SUM(H2658:H2659)</f>
        <v>0</v>
      </c>
      <c r="I2660" s="16" cm="1">
        <f t="array" ref="I2660">SUM(I2658:I2659)</f>
        <v>0</v>
      </c>
    </row>
    <row r="2661" ht="20.35" customHeight="1">
      <c r="A2661" s="10">
        <v>45573</v>
      </c>
      <c r="B2661" t="s" s="11">
        <v>28</v>
      </c>
      <c r="C2661" t="s" s="12">
        <v>96</v>
      </c>
      <c r="D2661" s="17"/>
      <c r="E2661" s="17">
        <v>100000</v>
      </c>
      <c r="F2661" s="18"/>
      <c r="G2661" s="18"/>
      <c r="H2661" s="18"/>
      <c r="I2661" s="18"/>
    </row>
    <row r="2662" ht="20.35" customHeight="1">
      <c r="A2662" s="10">
        <v>45573</v>
      </c>
      <c r="B2662" t="s" s="11">
        <v>5</v>
      </c>
      <c r="C2662" t="s" s="12">
        <v>96</v>
      </c>
      <c r="D2662" s="13">
        <v>100000</v>
      </c>
      <c r="E2662" s="13"/>
      <c r="F2662" s="14"/>
      <c r="G2662" s="14"/>
      <c r="H2662" s="14"/>
      <c r="I2662" s="14"/>
    </row>
    <row r="2663" ht="20.7" customHeight="1">
      <c r="A2663" s="10">
        <v>45573</v>
      </c>
      <c r="B2663" t="s" s="11">
        <v>8</v>
      </c>
      <c r="C2663" t="s" s="12">
        <v>8</v>
      </c>
      <c r="D2663" s="15" cm="1">
        <f t="array" ref="D2663">SUM(D2661:D2662)</f>
        <v>100000</v>
      </c>
      <c r="E2663" s="15" cm="1">
        <f t="array" ref="E2663">SUM(E2661:E2662)</f>
        <v>100000</v>
      </c>
      <c r="F2663" s="16" cm="1">
        <f t="array" ref="F2663">SUM(F2661:F2662)</f>
        <v>0</v>
      </c>
      <c r="G2663" s="16" cm="1">
        <f t="array" ref="G2663">SUM(G2661:G2662)</f>
        <v>0</v>
      </c>
      <c r="H2663" s="16" cm="1">
        <f t="array" ref="H2663">SUM(H2661:H2662)</f>
        <v>0</v>
      </c>
      <c r="I2663" s="16" cm="1">
        <f t="array" ref="I2663">SUM(I2661:I2662)</f>
        <v>0</v>
      </c>
    </row>
    <row r="2664" ht="20.35" customHeight="1">
      <c r="A2664" s="10">
        <v>45573</v>
      </c>
      <c r="B2664" t="s" s="11">
        <v>5</v>
      </c>
      <c r="C2664" t="s" s="12">
        <v>437</v>
      </c>
      <c r="D2664" s="17"/>
      <c r="E2664" s="17">
        <v>90000</v>
      </c>
      <c r="F2664" s="18"/>
      <c r="G2664" s="18"/>
      <c r="H2664" s="18"/>
      <c r="I2664" s="18"/>
    </row>
    <row r="2665" ht="20.35" customHeight="1">
      <c r="A2665" s="10">
        <v>45573</v>
      </c>
      <c r="B2665" t="s" s="11">
        <v>436</v>
      </c>
      <c r="C2665" t="s" s="12">
        <v>437</v>
      </c>
      <c r="D2665" s="13">
        <v>90000</v>
      </c>
      <c r="E2665" s="13"/>
      <c r="F2665" s="14"/>
      <c r="G2665" s="14"/>
      <c r="H2665" s="14"/>
      <c r="I2665" s="14"/>
    </row>
    <row r="2666" ht="20.7" customHeight="1">
      <c r="A2666" s="10">
        <v>45573</v>
      </c>
      <c r="B2666" t="s" s="11">
        <v>8</v>
      </c>
      <c r="C2666" t="s" s="12">
        <v>8</v>
      </c>
      <c r="D2666" s="15" cm="1">
        <f t="array" ref="D2666">SUM(D2664:D2665)</f>
        <v>90000</v>
      </c>
      <c r="E2666" s="15" cm="1">
        <f t="array" ref="E2666">SUM(E2664:E2665)</f>
        <v>90000</v>
      </c>
      <c r="F2666" s="16" cm="1">
        <f t="array" ref="F2666">SUM(F2664:F2665)</f>
        <v>0</v>
      </c>
      <c r="G2666" s="16" cm="1">
        <f t="array" ref="G2666">SUM(G2664:G2665)</f>
        <v>0</v>
      </c>
      <c r="H2666" s="16" cm="1">
        <f t="array" ref="H2666">SUM(H2664:H2665)</f>
        <v>0</v>
      </c>
      <c r="I2666" s="16" cm="1">
        <f t="array" ref="I2666">SUM(I2664:I2665)</f>
        <v>0</v>
      </c>
    </row>
    <row r="2667" ht="21.25" customHeight="1">
      <c r="A2667" s="10">
        <v>45573</v>
      </c>
      <c r="B2667" t="s" s="11">
        <v>436</v>
      </c>
      <c r="C2667" t="s" s="12">
        <v>482</v>
      </c>
      <c r="D2667" s="17"/>
      <c r="E2667" s="17">
        <v>80974</v>
      </c>
      <c r="F2667" s="18"/>
      <c r="G2667" s="18"/>
      <c r="H2667" s="18"/>
      <c r="I2667" s="18"/>
    </row>
    <row r="2668" ht="20.9" customHeight="1">
      <c r="A2668" s="10">
        <v>45573</v>
      </c>
      <c r="B2668" t="s" s="11">
        <v>10</v>
      </c>
      <c r="C2668" t="s" s="12">
        <v>482</v>
      </c>
      <c r="D2668" s="19">
        <v>974</v>
      </c>
      <c r="E2668" s="19"/>
      <c r="F2668" s="20"/>
      <c r="G2668" s="20"/>
      <c r="H2668" s="20"/>
      <c r="I2668" s="20"/>
    </row>
    <row r="2669" ht="21.25" customHeight="1">
      <c r="A2669" s="10">
        <v>45573</v>
      </c>
      <c r="B2669" t="s" s="11">
        <v>89</v>
      </c>
      <c r="C2669" t="s" s="12">
        <v>482</v>
      </c>
      <c r="D2669" s="13">
        <v>80000</v>
      </c>
      <c r="E2669" s="13"/>
      <c r="F2669" s="14"/>
      <c r="G2669" s="14"/>
      <c r="H2669" s="14"/>
      <c r="I2669" s="14"/>
    </row>
    <row r="2670" ht="20.7" customHeight="1">
      <c r="A2670" s="10">
        <v>45573</v>
      </c>
      <c r="B2670" t="s" s="11">
        <v>8</v>
      </c>
      <c r="C2670" t="s" s="12">
        <v>8</v>
      </c>
      <c r="D2670" s="15" cm="1">
        <f t="array" ref="D2670">SUM(D2667:D2669)</f>
        <v>80974</v>
      </c>
      <c r="E2670" s="15" cm="1">
        <f t="array" ref="E2670">SUM(E2667:E2669)</f>
        <v>80974</v>
      </c>
      <c r="F2670" s="16" cm="1">
        <f t="array" ref="F2670">SUM(F2667:F2669)</f>
        <v>0</v>
      </c>
      <c r="G2670" s="16" cm="1">
        <f t="array" ref="G2670">SUM(G2667:G2669)</f>
        <v>0</v>
      </c>
      <c r="H2670" s="16" cm="1">
        <f t="array" ref="H2670">SUM(H2667:H2669)</f>
        <v>0</v>
      </c>
      <c r="I2670" s="16" cm="1">
        <f t="array" ref="I2670">SUM(I2667:I2669)</f>
        <v>0</v>
      </c>
    </row>
    <row r="2671" ht="20.35" customHeight="1">
      <c r="A2671" s="10">
        <v>45573</v>
      </c>
      <c r="B2671" t="s" s="11">
        <v>89</v>
      </c>
      <c r="C2671" t="s" s="12">
        <v>483</v>
      </c>
      <c r="D2671" s="17" cm="1">
        <f t="array" ref="D2671">73040+6240</f>
        <v>79280</v>
      </c>
      <c r="E2671" s="24"/>
      <c r="F2671" s="18"/>
      <c r="G2671" s="18"/>
      <c r="H2671" s="18"/>
      <c r="I2671" s="18"/>
    </row>
    <row r="2672" ht="20.35" customHeight="1">
      <c r="A2672" s="10">
        <v>45573</v>
      </c>
      <c r="B2672" t="s" s="11">
        <v>21</v>
      </c>
      <c r="C2672" t="s" s="12">
        <v>483</v>
      </c>
      <c r="D2672" s="13"/>
      <c r="E2672" s="13" cm="1">
        <f t="array" ref="E2672">73040+6240</f>
        <v>79280</v>
      </c>
      <c r="F2672" s="14"/>
      <c r="G2672" s="14"/>
      <c r="H2672" s="14"/>
      <c r="I2672" s="14"/>
    </row>
    <row r="2673" ht="20.7" customHeight="1">
      <c r="A2673" s="10">
        <v>45573</v>
      </c>
      <c r="B2673" t="s" s="11">
        <v>8</v>
      </c>
      <c r="C2673" t="s" s="12">
        <v>8</v>
      </c>
      <c r="D2673" s="15" cm="1">
        <f t="array" ref="D2673">SUM(D2671:D2672)</f>
        <v>79280</v>
      </c>
      <c r="E2673" s="15" cm="1">
        <f t="array" ref="E2673">SUM(E2671:E2672)</f>
        <v>79280</v>
      </c>
      <c r="F2673" s="16" cm="1">
        <f t="array" ref="F2673">SUM(F2671:F2672)</f>
        <v>0</v>
      </c>
      <c r="G2673" s="16" cm="1">
        <f t="array" ref="G2673">SUM(G2671:G2672)</f>
        <v>0</v>
      </c>
      <c r="H2673" s="16" cm="1">
        <f t="array" ref="H2673">SUM(H2671:H2672)</f>
        <v>0</v>
      </c>
      <c r="I2673" s="16" cm="1">
        <f t="array" ref="I2673">SUM(I2671:I2672)</f>
        <v>0</v>
      </c>
    </row>
    <row r="2674" ht="21.25" customHeight="1">
      <c r="A2674" s="10">
        <v>45573</v>
      </c>
      <c r="B2674" t="s" s="11">
        <v>89</v>
      </c>
      <c r="C2674" t="s" s="12">
        <v>484</v>
      </c>
      <c r="D2674" s="17">
        <v>2000</v>
      </c>
      <c r="E2674" s="17"/>
      <c r="F2674" s="18"/>
      <c r="G2674" s="18"/>
      <c r="H2674" s="18"/>
      <c r="I2674" s="18"/>
    </row>
    <row r="2675" ht="21.25" customHeight="1">
      <c r="A2675" s="10">
        <v>45573</v>
      </c>
      <c r="B2675" t="s" s="11">
        <v>21</v>
      </c>
      <c r="C2675" t="s" s="12">
        <v>484</v>
      </c>
      <c r="D2675" s="21"/>
      <c r="E2675" s="13">
        <v>2000</v>
      </c>
      <c r="F2675" s="14"/>
      <c r="G2675" s="14"/>
      <c r="H2675" s="14"/>
      <c r="I2675" s="14"/>
    </row>
    <row r="2676" ht="20.7" customHeight="1">
      <c r="A2676" s="10">
        <v>45573</v>
      </c>
      <c r="B2676" t="s" s="11">
        <v>8</v>
      </c>
      <c r="C2676" t="s" s="12">
        <v>8</v>
      </c>
      <c r="D2676" s="15" cm="1">
        <f t="array" ref="D2676">SUM(D2674:D2675)</f>
        <v>2000</v>
      </c>
      <c r="E2676" s="15" cm="1">
        <f t="array" ref="E2676">SUM(E2674:E2675)</f>
        <v>2000</v>
      </c>
      <c r="F2676" s="16" cm="1">
        <f t="array" ref="F2676">SUM(F2674:F2675)</f>
        <v>0</v>
      </c>
      <c r="G2676" s="16" cm="1">
        <f t="array" ref="G2676">SUM(G2674:G2675)</f>
        <v>0</v>
      </c>
      <c r="H2676" s="16" cm="1">
        <f t="array" ref="H2676">SUM(H2674:H2675)</f>
        <v>0</v>
      </c>
      <c r="I2676" s="16" cm="1">
        <f t="array" ref="I2676">SUM(I2674:I2675)</f>
        <v>0</v>
      </c>
    </row>
    <row r="2677" ht="20.35" customHeight="1">
      <c r="A2677" s="10">
        <v>45573</v>
      </c>
      <c r="B2677" t="s" s="11">
        <v>89</v>
      </c>
      <c r="C2677" t="s" s="12">
        <v>485</v>
      </c>
      <c r="D2677" s="17"/>
      <c r="E2677" s="17">
        <v>196980</v>
      </c>
      <c r="F2677" s="18"/>
      <c r="G2677" s="18"/>
      <c r="H2677" s="18"/>
      <c r="I2677" s="18"/>
    </row>
    <row r="2678" ht="20.05" customHeight="1">
      <c r="A2678" s="10">
        <v>45573</v>
      </c>
      <c r="B2678" t="s" s="11">
        <v>91</v>
      </c>
      <c r="C2678" t="s" s="12">
        <v>485</v>
      </c>
      <c r="D2678" s="19"/>
      <c r="E2678" s="19">
        <v>3020</v>
      </c>
      <c r="F2678" s="20"/>
      <c r="G2678" s="20"/>
      <c r="H2678" s="20"/>
      <c r="I2678" s="20"/>
    </row>
    <row r="2679" ht="20.35" customHeight="1">
      <c r="A2679" s="10">
        <v>45573</v>
      </c>
      <c r="B2679" t="s" s="11">
        <v>28</v>
      </c>
      <c r="C2679" t="s" s="12">
        <v>485</v>
      </c>
      <c r="D2679" s="13">
        <v>200000</v>
      </c>
      <c r="E2679" s="13"/>
      <c r="F2679" s="14"/>
      <c r="G2679" s="14"/>
      <c r="H2679" s="14"/>
      <c r="I2679" s="14"/>
    </row>
    <row r="2680" ht="20.7" customHeight="1">
      <c r="A2680" s="10">
        <v>45573</v>
      </c>
      <c r="B2680" t="s" s="11">
        <v>8</v>
      </c>
      <c r="C2680" t="s" s="12">
        <v>8</v>
      </c>
      <c r="D2680" s="15" cm="1">
        <f t="array" ref="D2680">SUM(D2677:D2679)</f>
        <v>200000</v>
      </c>
      <c r="E2680" s="15" cm="1">
        <f t="array" ref="E2680">SUM(E2677:E2679)</f>
        <v>200000</v>
      </c>
      <c r="F2680" s="16" cm="1">
        <f t="array" ref="F2680">SUM(F2677:F2679)</f>
        <v>0</v>
      </c>
      <c r="G2680" s="16" cm="1">
        <f t="array" ref="G2680">SUM(G2677:G2679)</f>
        <v>0</v>
      </c>
      <c r="H2680" s="16" cm="1">
        <f t="array" ref="H2680">SUM(H2677:H2679)</f>
        <v>0</v>
      </c>
      <c r="I2680" s="16" cm="1">
        <f t="array" ref="I2680">SUM(I2677:I2679)</f>
        <v>0</v>
      </c>
    </row>
    <row r="2681" ht="20.35" customHeight="1">
      <c r="A2681" s="10">
        <v>45573</v>
      </c>
      <c r="B2681" t="s" s="11">
        <v>28</v>
      </c>
      <c r="C2681" t="s" s="12">
        <v>96</v>
      </c>
      <c r="D2681" s="17"/>
      <c r="E2681" s="17">
        <v>200000</v>
      </c>
      <c r="F2681" s="18"/>
      <c r="G2681" s="18"/>
      <c r="H2681" s="18"/>
      <c r="I2681" s="18"/>
    </row>
    <row r="2682" ht="20.35" customHeight="1">
      <c r="A2682" s="10">
        <v>45573</v>
      </c>
      <c r="B2682" t="s" s="11">
        <v>5</v>
      </c>
      <c r="C2682" t="s" s="12">
        <v>96</v>
      </c>
      <c r="D2682" s="13">
        <v>200000</v>
      </c>
      <c r="E2682" s="13"/>
      <c r="F2682" s="14"/>
      <c r="G2682" s="14"/>
      <c r="H2682" s="14"/>
      <c r="I2682" s="14"/>
    </row>
    <row r="2683" ht="20.7" customHeight="1">
      <c r="A2683" s="10">
        <v>45573</v>
      </c>
      <c r="B2683" t="s" s="11">
        <v>8</v>
      </c>
      <c r="C2683" t="s" s="12">
        <v>8</v>
      </c>
      <c r="D2683" s="15" cm="1">
        <f t="array" ref="D2683">SUM(D2681:D2682)</f>
        <v>200000</v>
      </c>
      <c r="E2683" s="15" cm="1">
        <f t="array" ref="E2683">SUM(E2681:E2682)</f>
        <v>200000</v>
      </c>
      <c r="F2683" s="16" cm="1">
        <f t="array" ref="F2683">SUM(F2681:F2682)</f>
        <v>0</v>
      </c>
      <c r="G2683" s="16" cm="1">
        <f t="array" ref="G2683">SUM(G2681:G2682)</f>
        <v>0</v>
      </c>
      <c r="H2683" s="16" cm="1">
        <f t="array" ref="H2683">SUM(H2681:H2682)</f>
        <v>0</v>
      </c>
      <c r="I2683" s="16" cm="1">
        <f t="array" ref="I2683">SUM(I2681:I2682)</f>
        <v>0</v>
      </c>
    </row>
    <row r="2684" ht="21.25" customHeight="1">
      <c r="A2684" s="10">
        <v>45573</v>
      </c>
      <c r="B2684" t="s" s="11">
        <v>21</v>
      </c>
      <c r="C2684" t="s" s="12">
        <v>486</v>
      </c>
      <c r="D2684" s="17"/>
      <c r="E2684" s="17">
        <v>4200</v>
      </c>
      <c r="F2684" s="18"/>
      <c r="G2684" s="18"/>
      <c r="H2684" s="18"/>
      <c r="I2684" s="18"/>
    </row>
    <row r="2685" ht="21.25" customHeight="1">
      <c r="A2685" s="10">
        <v>45573</v>
      </c>
      <c r="B2685" t="s" s="11">
        <v>16</v>
      </c>
      <c r="C2685" t="s" s="12">
        <v>486</v>
      </c>
      <c r="D2685" s="13">
        <v>4200</v>
      </c>
      <c r="E2685" s="13"/>
      <c r="F2685" s="14"/>
      <c r="G2685" s="14"/>
      <c r="H2685" s="14"/>
      <c r="I2685" s="14"/>
    </row>
    <row r="2686" ht="20.7" customHeight="1">
      <c r="A2686" s="10">
        <v>45573</v>
      </c>
      <c r="B2686" t="s" s="11">
        <v>8</v>
      </c>
      <c r="C2686" t="s" s="12">
        <v>8</v>
      </c>
      <c r="D2686" s="15" cm="1">
        <f t="array" ref="D2686">SUM(D2684:D2685)</f>
        <v>4200</v>
      </c>
      <c r="E2686" s="15" cm="1">
        <f t="array" ref="E2686">SUM(E2684:E2685)</f>
        <v>4200</v>
      </c>
      <c r="F2686" s="16" cm="1">
        <f t="array" ref="F2686">SUM(F2684:F2685)</f>
        <v>0</v>
      </c>
      <c r="G2686" s="16" cm="1">
        <f t="array" ref="G2686">SUM(G2684:G2685)</f>
        <v>0</v>
      </c>
      <c r="H2686" s="16" cm="1">
        <f t="array" ref="H2686">SUM(H2684:H2685)</f>
        <v>0</v>
      </c>
      <c r="I2686" s="16" cm="1">
        <f t="array" ref="I2686">SUM(I2684:I2685)</f>
        <v>0</v>
      </c>
    </row>
    <row r="2687" ht="20.35" customHeight="1">
      <c r="A2687" s="10">
        <v>45574</v>
      </c>
      <c r="B2687" t="s" s="11">
        <v>5</v>
      </c>
      <c r="C2687" t="s" s="12">
        <v>483</v>
      </c>
      <c r="D2687" s="17"/>
      <c r="E2687" s="17">
        <v>73040</v>
      </c>
      <c r="F2687" s="18"/>
      <c r="G2687" s="18"/>
      <c r="H2687" s="18"/>
      <c r="I2687" s="18"/>
    </row>
    <row r="2688" ht="20.35" customHeight="1">
      <c r="A2688" s="10">
        <v>45574</v>
      </c>
      <c r="B2688" t="s" s="11">
        <v>21</v>
      </c>
      <c r="C2688" t="s" s="12">
        <v>483</v>
      </c>
      <c r="D2688" s="13">
        <v>73040</v>
      </c>
      <c r="E2688" s="13"/>
      <c r="F2688" s="14"/>
      <c r="G2688" s="14"/>
      <c r="H2688" s="14"/>
      <c r="I2688" s="14"/>
    </row>
    <row r="2689" ht="20.7" customHeight="1">
      <c r="A2689" s="10">
        <v>45574</v>
      </c>
      <c r="B2689" t="s" s="11">
        <v>8</v>
      </c>
      <c r="C2689" t="s" s="12">
        <v>8</v>
      </c>
      <c r="D2689" s="15" cm="1">
        <f t="array" ref="D2689">SUM(D2687:D2688)</f>
        <v>73040</v>
      </c>
      <c r="E2689" s="15" cm="1">
        <f t="array" ref="E2689">SUM(E2687:E2688)</f>
        <v>73040</v>
      </c>
      <c r="F2689" s="16" cm="1">
        <f t="array" ref="F2689">SUM(F2687:F2688)</f>
        <v>0</v>
      </c>
      <c r="G2689" s="16" cm="1">
        <f t="array" ref="G2689">SUM(G2687:G2688)</f>
        <v>0</v>
      </c>
      <c r="H2689" s="16" cm="1">
        <f t="array" ref="H2689">SUM(H2687:H2688)</f>
        <v>0</v>
      </c>
      <c r="I2689" s="16" cm="1">
        <f t="array" ref="I2689">SUM(I2687:I2688)</f>
        <v>0</v>
      </c>
    </row>
    <row r="2690" ht="20.65" customHeight="1">
      <c r="A2690" s="10">
        <v>45574</v>
      </c>
      <c r="B2690" t="s" s="11">
        <v>21</v>
      </c>
      <c r="C2690" t="s" s="12">
        <v>364</v>
      </c>
      <c r="D2690" s="17"/>
      <c r="E2690" s="17" cm="1">
        <f t="array" ref="E2690">121000*5/6</f>
        <v>100833.333333333</v>
      </c>
      <c r="F2690" s="18"/>
      <c r="G2690" s="18"/>
      <c r="H2690" s="18"/>
      <c r="I2690" s="18"/>
    </row>
    <row r="2691" ht="20.35" customHeight="1">
      <c r="A2691" s="10">
        <v>45574</v>
      </c>
      <c r="B2691" t="s" s="11">
        <v>10</v>
      </c>
      <c r="C2691" t="s" s="12">
        <v>364</v>
      </c>
      <c r="D2691" s="19" cm="1">
        <f t="array" ref="D2691">121000/6</f>
        <v>20166.6666666667</v>
      </c>
      <c r="E2691" s="23"/>
      <c r="F2691" s="20"/>
      <c r="G2691" s="20"/>
      <c r="H2691" s="20"/>
      <c r="I2691" s="20"/>
    </row>
    <row r="2692" ht="20.65" customHeight="1">
      <c r="A2692" s="10">
        <v>45574</v>
      </c>
      <c r="B2692" t="s" s="11">
        <v>89</v>
      </c>
      <c r="C2692" t="s" s="12">
        <v>364</v>
      </c>
      <c r="D2692" s="13" cm="1">
        <f t="array" ref="D2692">121000*4/6</f>
        <v>80666.6666666667</v>
      </c>
      <c r="E2692" s="13"/>
      <c r="F2692" s="14"/>
      <c r="G2692" s="14"/>
      <c r="H2692" s="14"/>
      <c r="I2692" s="14"/>
    </row>
    <row r="2693" ht="20.7" customHeight="1">
      <c r="A2693" s="10">
        <v>45574</v>
      </c>
      <c r="B2693" t="s" s="11">
        <v>8</v>
      </c>
      <c r="C2693" t="s" s="12">
        <v>8</v>
      </c>
      <c r="D2693" s="15" cm="1">
        <f t="array" ref="D2693">SUM(D2690:D2692)</f>
        <v>100833.333333333</v>
      </c>
      <c r="E2693" s="15" cm="1">
        <f t="array" ref="E2693">SUM(E2690:E2692)</f>
        <v>100833.333333333</v>
      </c>
      <c r="F2693" s="16" cm="1">
        <f t="array" ref="F2693">SUM(F2690:F2692)</f>
        <v>0</v>
      </c>
      <c r="G2693" s="16" cm="1">
        <f t="array" ref="G2693">SUM(G2690:G2692)</f>
        <v>0</v>
      </c>
      <c r="H2693" s="16" cm="1">
        <f t="array" ref="H2693">SUM(H2690:H2692)</f>
        <v>0</v>
      </c>
      <c r="I2693" s="16" cm="1">
        <f t="array" ref="I2693">SUM(I2690:I2692)</f>
        <v>0</v>
      </c>
    </row>
    <row r="2694" ht="20.35" customHeight="1">
      <c r="A2694" s="10">
        <v>45574</v>
      </c>
      <c r="B2694" t="s" s="11">
        <v>5</v>
      </c>
      <c r="C2694" t="s" s="12">
        <v>487</v>
      </c>
      <c r="D2694" s="17"/>
      <c r="E2694" s="17">
        <v>46000</v>
      </c>
      <c r="F2694" s="18"/>
      <c r="G2694" s="18"/>
      <c r="H2694" s="18"/>
      <c r="I2694" s="18"/>
    </row>
    <row r="2695" ht="20.05" customHeight="1">
      <c r="A2695" s="10">
        <v>45574</v>
      </c>
      <c r="B2695" t="s" s="11">
        <v>12</v>
      </c>
      <c r="C2695" t="s" s="12">
        <v>487</v>
      </c>
      <c r="D2695" s="19">
        <v>7000</v>
      </c>
      <c r="E2695" s="19"/>
      <c r="F2695" s="20"/>
      <c r="G2695" s="20"/>
      <c r="H2695" s="20"/>
      <c r="I2695" s="20"/>
    </row>
    <row r="2696" ht="20.35" customHeight="1">
      <c r="A2696" s="10">
        <v>45574</v>
      </c>
      <c r="B2696" t="s" s="11">
        <v>89</v>
      </c>
      <c r="C2696" t="s" s="12">
        <v>487</v>
      </c>
      <c r="D2696" s="13">
        <v>39000</v>
      </c>
      <c r="E2696" s="13"/>
      <c r="F2696" s="14"/>
      <c r="G2696" s="14"/>
      <c r="H2696" s="14"/>
      <c r="I2696" s="14"/>
    </row>
    <row r="2697" ht="20.7" customHeight="1">
      <c r="A2697" s="10">
        <v>45574</v>
      </c>
      <c r="B2697" t="s" s="11">
        <v>8</v>
      </c>
      <c r="C2697" t="s" s="12">
        <v>8</v>
      </c>
      <c r="D2697" s="15" cm="1">
        <f t="array" ref="D2697">SUM(D2694:D2696)</f>
        <v>46000</v>
      </c>
      <c r="E2697" s="15" cm="1">
        <f t="array" ref="E2697">SUM(E2694:E2696)</f>
        <v>46000</v>
      </c>
      <c r="F2697" s="16" cm="1">
        <f t="array" ref="F2697">SUM(F2694:F2696)</f>
        <v>0</v>
      </c>
      <c r="G2697" s="16" cm="1">
        <f t="array" ref="G2697">SUM(G2694:G2696)</f>
        <v>0</v>
      </c>
      <c r="H2697" s="16" cm="1">
        <f t="array" ref="H2697">SUM(H2694:H2696)</f>
        <v>0</v>
      </c>
      <c r="I2697" s="16" cm="1">
        <f t="array" ref="I2697">SUM(I2694:I2696)</f>
        <v>0</v>
      </c>
    </row>
    <row r="2698" ht="20.65" customHeight="1">
      <c r="A2698" s="10">
        <v>45574</v>
      </c>
      <c r="B2698" t="s" s="11">
        <v>5</v>
      </c>
      <c r="C2698" t="s" s="12">
        <v>488</v>
      </c>
      <c r="D2698" s="17"/>
      <c r="E2698" s="17">
        <v>30000</v>
      </c>
      <c r="F2698" s="18"/>
      <c r="G2698" s="18"/>
      <c r="H2698" s="18"/>
      <c r="I2698" s="18"/>
    </row>
    <row r="2699" ht="20.35" customHeight="1">
      <c r="A2699" s="10">
        <v>45574</v>
      </c>
      <c r="B2699" t="s" s="11">
        <v>12</v>
      </c>
      <c r="C2699" t="s" s="12">
        <v>488</v>
      </c>
      <c r="D2699" s="19">
        <v>7500</v>
      </c>
      <c r="E2699" s="19"/>
      <c r="F2699" s="20"/>
      <c r="G2699" s="20"/>
      <c r="H2699" s="20"/>
      <c r="I2699" s="20"/>
    </row>
    <row r="2700" ht="20.65" customHeight="1">
      <c r="A2700" s="10">
        <v>45574</v>
      </c>
      <c r="B2700" t="s" s="11">
        <v>89</v>
      </c>
      <c r="C2700" t="s" s="12">
        <v>488</v>
      </c>
      <c r="D2700" s="13">
        <v>22500</v>
      </c>
      <c r="E2700" s="13"/>
      <c r="F2700" s="14"/>
      <c r="G2700" s="14"/>
      <c r="H2700" s="14"/>
      <c r="I2700" s="14"/>
    </row>
    <row r="2701" ht="20.7" customHeight="1">
      <c r="A2701" s="10">
        <v>45574</v>
      </c>
      <c r="B2701" t="s" s="11">
        <v>8</v>
      </c>
      <c r="C2701" t="s" s="12">
        <v>8</v>
      </c>
      <c r="D2701" s="15" cm="1">
        <f t="array" ref="D2701">SUM(D2698:D2700)</f>
        <v>30000</v>
      </c>
      <c r="E2701" s="15" cm="1">
        <f t="array" ref="E2701">SUM(E2698:E2700)</f>
        <v>30000</v>
      </c>
      <c r="F2701" s="16" cm="1">
        <f t="array" ref="F2701">SUM(F2698:F2700)</f>
        <v>0</v>
      </c>
      <c r="G2701" s="16" cm="1">
        <f t="array" ref="G2701">SUM(G2698:G2700)</f>
        <v>0</v>
      </c>
      <c r="H2701" s="16" cm="1">
        <f t="array" ref="H2701">SUM(H2698:H2700)</f>
        <v>0</v>
      </c>
      <c r="I2701" s="16" cm="1">
        <f t="array" ref="I2701">SUM(I2698:I2700)</f>
        <v>0</v>
      </c>
    </row>
    <row r="2702" ht="20.35" customHeight="1">
      <c r="A2702" s="10">
        <v>45574</v>
      </c>
      <c r="B2702" t="s" s="11">
        <v>5</v>
      </c>
      <c r="C2702" t="s" s="12">
        <v>460</v>
      </c>
      <c r="D2702" s="17"/>
      <c r="E2702" s="17">
        <v>3000</v>
      </c>
      <c r="F2702" s="18"/>
      <c r="G2702" s="18"/>
      <c r="H2702" s="18"/>
      <c r="I2702" s="18"/>
    </row>
    <row r="2703" ht="20.35" customHeight="1">
      <c r="A2703" s="10">
        <v>45574</v>
      </c>
      <c r="B2703" t="s" s="11">
        <v>12</v>
      </c>
      <c r="C2703" t="s" s="12">
        <v>460</v>
      </c>
      <c r="D2703" s="13">
        <v>3000</v>
      </c>
      <c r="E2703" s="13"/>
      <c r="F2703" s="14"/>
      <c r="G2703" s="14"/>
      <c r="H2703" s="14"/>
      <c r="I2703" s="14"/>
    </row>
    <row r="2704" ht="20.7" customHeight="1">
      <c r="A2704" s="10">
        <v>45574</v>
      </c>
      <c r="B2704" t="s" s="11">
        <v>8</v>
      </c>
      <c r="C2704" t="s" s="12">
        <v>8</v>
      </c>
      <c r="D2704" s="15" cm="1">
        <f t="array" ref="D2704">SUM(D2702:D2703)</f>
        <v>3000</v>
      </c>
      <c r="E2704" s="15" cm="1">
        <f t="array" ref="E2704">SUM(E2702:E2703)</f>
        <v>3000</v>
      </c>
      <c r="F2704" s="16" cm="1">
        <f t="array" ref="F2704">SUM(F2702:F2703)</f>
        <v>0</v>
      </c>
      <c r="G2704" s="16" cm="1">
        <f t="array" ref="G2704">SUM(G2702:G2703)</f>
        <v>0</v>
      </c>
      <c r="H2704" s="16" cm="1">
        <f t="array" ref="H2704">SUM(H2702:H2703)</f>
        <v>0</v>
      </c>
      <c r="I2704" s="16" cm="1">
        <f t="array" ref="I2704">SUM(I2702:I2703)</f>
        <v>0</v>
      </c>
    </row>
    <row r="2705" ht="21.25" customHeight="1">
      <c r="A2705" s="10">
        <v>45574</v>
      </c>
      <c r="B2705" t="s" s="11">
        <v>21</v>
      </c>
      <c r="C2705" t="s" s="12">
        <v>486</v>
      </c>
      <c r="D2705" s="17"/>
      <c r="E2705" s="17">
        <v>1200</v>
      </c>
      <c r="F2705" s="18"/>
      <c r="G2705" s="18"/>
      <c r="H2705" s="18"/>
      <c r="I2705" s="18"/>
    </row>
    <row r="2706" ht="21.25" customHeight="1">
      <c r="A2706" s="10">
        <v>45574</v>
      </c>
      <c r="B2706" t="s" s="11">
        <v>16</v>
      </c>
      <c r="C2706" t="s" s="12">
        <v>486</v>
      </c>
      <c r="D2706" s="13">
        <v>1200</v>
      </c>
      <c r="E2706" s="13"/>
      <c r="F2706" s="14"/>
      <c r="G2706" s="14"/>
      <c r="H2706" s="14"/>
      <c r="I2706" s="14"/>
    </row>
    <row r="2707" ht="20.7" customHeight="1">
      <c r="A2707" s="10">
        <v>45574</v>
      </c>
      <c r="B2707" t="s" s="11">
        <v>8</v>
      </c>
      <c r="C2707" t="s" s="12">
        <v>8</v>
      </c>
      <c r="D2707" s="15" cm="1">
        <f t="array" ref="D2707">SUM(D2705:D2706)</f>
        <v>1200</v>
      </c>
      <c r="E2707" s="15" cm="1">
        <f t="array" ref="E2707">SUM(E2705:E2706)</f>
        <v>1200</v>
      </c>
      <c r="F2707" s="16" cm="1">
        <f t="array" ref="F2707">SUM(F2705:F2706)</f>
        <v>0</v>
      </c>
      <c r="G2707" s="16" cm="1">
        <f t="array" ref="G2707">SUM(G2705:G2706)</f>
        <v>0</v>
      </c>
      <c r="H2707" s="16" cm="1">
        <f t="array" ref="H2707">SUM(H2705:H2706)</f>
        <v>0</v>
      </c>
      <c r="I2707" s="16" cm="1">
        <f t="array" ref="I2707">SUM(I2705:I2706)</f>
        <v>0</v>
      </c>
    </row>
    <row r="2708" ht="20.35" customHeight="1">
      <c r="A2708" s="10">
        <v>45574</v>
      </c>
      <c r="B2708" t="s" s="11">
        <v>5</v>
      </c>
      <c r="C2708" t="s" s="12">
        <v>17</v>
      </c>
      <c r="D2708" s="17">
        <v>100</v>
      </c>
      <c r="E2708" s="17"/>
      <c r="F2708" s="18"/>
      <c r="G2708" s="18"/>
      <c r="H2708" s="18"/>
      <c r="I2708" s="18"/>
    </row>
    <row r="2709" ht="20.35" customHeight="1">
      <c r="A2709" s="10">
        <v>45574</v>
      </c>
      <c r="B2709" t="s" s="11">
        <v>18</v>
      </c>
      <c r="C2709" t="s" s="12">
        <v>17</v>
      </c>
      <c r="D2709" s="13"/>
      <c r="E2709" s="13">
        <v>100</v>
      </c>
      <c r="F2709" s="14"/>
      <c r="G2709" s="14"/>
      <c r="H2709" s="14"/>
      <c r="I2709" s="14"/>
    </row>
    <row r="2710" ht="20.7" customHeight="1">
      <c r="A2710" s="10">
        <v>45574</v>
      </c>
      <c r="B2710" t="s" s="11">
        <v>8</v>
      </c>
      <c r="C2710" t="s" s="12">
        <v>8</v>
      </c>
      <c r="D2710" s="15" cm="1">
        <f t="array" ref="D2710">SUM(D2708:D2709)</f>
        <v>100</v>
      </c>
      <c r="E2710" s="15" cm="1">
        <f t="array" ref="E2710">SUM(E2708:E2709)</f>
        <v>100</v>
      </c>
      <c r="F2710" s="16" cm="1">
        <f t="array" ref="F2710">SUM(F2708:F2709)</f>
        <v>0</v>
      </c>
      <c r="G2710" s="16" cm="1">
        <f t="array" ref="G2710">SUM(G2708:G2709)</f>
        <v>0</v>
      </c>
      <c r="H2710" s="16" cm="1">
        <f t="array" ref="H2710">SUM(H2708:H2709)</f>
        <v>0</v>
      </c>
      <c r="I2710" s="16" cm="1">
        <f t="array" ref="I2710">SUM(I2708:I2709)</f>
        <v>0</v>
      </c>
    </row>
    <row r="2711" ht="20.35" customHeight="1">
      <c r="A2711" s="10">
        <v>45574</v>
      </c>
      <c r="B2711" t="s" s="11">
        <v>5</v>
      </c>
      <c r="C2711" t="s" s="12">
        <v>483</v>
      </c>
      <c r="D2711" s="17"/>
      <c r="E2711" s="17">
        <v>6240</v>
      </c>
      <c r="F2711" s="18"/>
      <c r="G2711" s="18"/>
      <c r="H2711" s="18"/>
      <c r="I2711" s="18"/>
    </row>
    <row r="2712" ht="20.35" customHeight="1">
      <c r="A2712" s="10">
        <v>45574</v>
      </c>
      <c r="B2712" t="s" s="11">
        <v>21</v>
      </c>
      <c r="C2712" t="s" s="12">
        <v>483</v>
      </c>
      <c r="D2712" s="13">
        <v>6240</v>
      </c>
      <c r="E2712" s="13"/>
      <c r="F2712" s="14"/>
      <c r="G2712" s="14"/>
      <c r="H2712" s="14"/>
      <c r="I2712" s="14"/>
    </row>
    <row r="2713" ht="20.7" customHeight="1">
      <c r="A2713" s="10">
        <v>45574</v>
      </c>
      <c r="B2713" t="s" s="11">
        <v>8</v>
      </c>
      <c r="C2713" t="s" s="12">
        <v>8</v>
      </c>
      <c r="D2713" s="15" cm="1">
        <f t="array" ref="D2713">SUM(D2711:D2712)</f>
        <v>6240</v>
      </c>
      <c r="E2713" s="15" cm="1">
        <f t="array" ref="E2713">SUM(E2711:E2712)</f>
        <v>6240</v>
      </c>
      <c r="F2713" s="16" cm="1">
        <f t="array" ref="F2713">SUM(F2711:F2712)</f>
        <v>0</v>
      </c>
      <c r="G2713" s="16" cm="1">
        <f t="array" ref="G2713">SUM(G2711:G2712)</f>
        <v>0</v>
      </c>
      <c r="H2713" s="16" cm="1">
        <f t="array" ref="H2713">SUM(H2711:H2712)</f>
        <v>0</v>
      </c>
      <c r="I2713" s="16" cm="1">
        <f t="array" ref="I2713">SUM(I2711:I2712)</f>
        <v>0</v>
      </c>
    </row>
    <row r="2714" ht="20.35" customHeight="1">
      <c r="A2714" s="10">
        <v>45574</v>
      </c>
      <c r="B2714" t="s" s="11">
        <v>5</v>
      </c>
      <c r="C2714" t="s" s="12">
        <v>17</v>
      </c>
      <c r="D2714" s="17">
        <v>100</v>
      </c>
      <c r="E2714" s="17"/>
      <c r="F2714" s="18"/>
      <c r="G2714" s="18"/>
      <c r="H2714" s="18"/>
      <c r="I2714" s="18"/>
    </row>
    <row r="2715" ht="20.35" customHeight="1">
      <c r="A2715" s="10">
        <v>45574</v>
      </c>
      <c r="B2715" t="s" s="11">
        <v>18</v>
      </c>
      <c r="C2715" t="s" s="12">
        <v>17</v>
      </c>
      <c r="D2715" s="13"/>
      <c r="E2715" s="13">
        <v>100</v>
      </c>
      <c r="F2715" s="14"/>
      <c r="G2715" s="14"/>
      <c r="H2715" s="14"/>
      <c r="I2715" s="14"/>
    </row>
    <row r="2716" ht="20.7" customHeight="1">
      <c r="A2716" s="10">
        <v>45574</v>
      </c>
      <c r="B2716" t="s" s="11">
        <v>8</v>
      </c>
      <c r="C2716" t="s" s="12">
        <v>8</v>
      </c>
      <c r="D2716" s="15" cm="1">
        <f t="array" ref="D2716">SUM(D2714:D2715)</f>
        <v>100</v>
      </c>
      <c r="E2716" s="15" cm="1">
        <f t="array" ref="E2716">SUM(E2714:E2715)</f>
        <v>100</v>
      </c>
      <c r="F2716" s="16" cm="1">
        <f t="array" ref="F2716">SUM(F2714:F2715)</f>
        <v>0</v>
      </c>
      <c r="G2716" s="16" cm="1">
        <f t="array" ref="G2716">SUM(G2714:G2715)</f>
        <v>0</v>
      </c>
      <c r="H2716" s="16" cm="1">
        <f t="array" ref="H2716">SUM(H2714:H2715)</f>
        <v>0</v>
      </c>
      <c r="I2716" s="16" cm="1">
        <f t="array" ref="I2716">SUM(I2714:I2715)</f>
        <v>0</v>
      </c>
    </row>
    <row r="2717" ht="20.35" customHeight="1">
      <c r="A2717" s="10">
        <v>45574</v>
      </c>
      <c r="B2717" t="s" s="11">
        <v>5</v>
      </c>
      <c r="C2717" t="s" s="12">
        <v>169</v>
      </c>
      <c r="D2717" s="17"/>
      <c r="E2717" s="17">
        <v>10600</v>
      </c>
      <c r="F2717" s="18"/>
      <c r="G2717" s="18"/>
      <c r="H2717" s="18"/>
      <c r="I2717" s="18"/>
    </row>
    <row r="2718" ht="20.05" customHeight="1">
      <c r="A2718" s="10">
        <v>45574</v>
      </c>
      <c r="B2718" t="s" s="11">
        <v>12</v>
      </c>
      <c r="C2718" t="s" s="12">
        <v>169</v>
      </c>
      <c r="D2718" s="19">
        <v>5300</v>
      </c>
      <c r="E2718" s="19"/>
      <c r="F2718" s="20"/>
      <c r="G2718" s="20"/>
      <c r="H2718" s="20"/>
      <c r="I2718" s="20"/>
    </row>
    <row r="2719" ht="20.35" customHeight="1">
      <c r="A2719" s="10">
        <v>45574</v>
      </c>
      <c r="B2719" t="s" s="11">
        <v>10</v>
      </c>
      <c r="C2719" t="s" s="12">
        <v>169</v>
      </c>
      <c r="D2719" s="13">
        <v>5300</v>
      </c>
      <c r="E2719" s="13"/>
      <c r="F2719" s="14"/>
      <c r="G2719" s="14"/>
      <c r="H2719" s="14"/>
      <c r="I2719" s="14"/>
    </row>
    <row r="2720" ht="20.7" customHeight="1">
      <c r="A2720" s="10">
        <v>45574</v>
      </c>
      <c r="B2720" t="s" s="11">
        <v>8</v>
      </c>
      <c r="C2720" t="s" s="12">
        <v>8</v>
      </c>
      <c r="D2720" s="15" cm="1">
        <f t="array" ref="D2720">SUM(D2717:D2719)</f>
        <v>10600</v>
      </c>
      <c r="E2720" s="15" cm="1">
        <f t="array" ref="E2720">SUM(E2717:E2719)</f>
        <v>10600</v>
      </c>
      <c r="F2720" s="16" cm="1">
        <f t="array" ref="F2720">SUM(F2717:F2719)</f>
        <v>0</v>
      </c>
      <c r="G2720" s="16" cm="1">
        <f t="array" ref="G2720">SUM(G2717:G2719)</f>
        <v>0</v>
      </c>
      <c r="H2720" s="16" cm="1">
        <f t="array" ref="H2720">SUM(H2717:H2719)</f>
        <v>0</v>
      </c>
      <c r="I2720" s="16" cm="1">
        <f t="array" ref="I2720">SUM(I2717:I2719)</f>
        <v>0</v>
      </c>
    </row>
    <row r="2721" ht="21.25" customHeight="1">
      <c r="A2721" s="10">
        <v>45574</v>
      </c>
      <c r="B2721" t="s" s="11">
        <v>5</v>
      </c>
      <c r="C2721" t="s" s="12">
        <v>434</v>
      </c>
      <c r="D2721" s="17"/>
      <c r="E2721" s="17">
        <v>52400</v>
      </c>
      <c r="F2721" s="18"/>
      <c r="G2721" s="18"/>
      <c r="H2721" s="18"/>
      <c r="I2721" s="18"/>
    </row>
    <row r="2722" ht="20.9" customHeight="1">
      <c r="A2722" s="10">
        <v>45574</v>
      </c>
      <c r="B2722" t="s" s="11">
        <v>89</v>
      </c>
      <c r="C2722" t="s" s="12">
        <v>434</v>
      </c>
      <c r="D2722" s="19" cm="1">
        <f t="array" ref="D2722">52400*2/3</f>
        <v>34933.3333333333</v>
      </c>
      <c r="E2722" s="19"/>
      <c r="F2722" s="20"/>
      <c r="G2722" s="20"/>
      <c r="H2722" s="20"/>
      <c r="I2722" s="20"/>
    </row>
    <row r="2723" ht="21.25" customHeight="1">
      <c r="A2723" s="10">
        <v>45574</v>
      </c>
      <c r="B2723" t="s" s="11">
        <v>12</v>
      </c>
      <c r="C2723" t="s" s="12">
        <v>434</v>
      </c>
      <c r="D2723" s="13" cm="1">
        <f t="array" ref="D2723">52400/3</f>
        <v>17466.6666666667</v>
      </c>
      <c r="E2723" s="13"/>
      <c r="F2723" s="14"/>
      <c r="G2723" s="14"/>
      <c r="H2723" s="14"/>
      <c r="I2723" s="14"/>
    </row>
    <row r="2724" ht="20.7" customHeight="1">
      <c r="A2724" s="10">
        <v>45574</v>
      </c>
      <c r="B2724" t="s" s="11">
        <v>8</v>
      </c>
      <c r="C2724" t="s" s="12">
        <v>8</v>
      </c>
      <c r="D2724" s="15" cm="1">
        <f t="array" ref="D2724">SUM(D2721:D2723)</f>
        <v>52400</v>
      </c>
      <c r="E2724" s="15" cm="1">
        <f t="array" ref="E2724">SUM(E2721:E2723)</f>
        <v>52400</v>
      </c>
      <c r="F2724" s="16" cm="1">
        <f t="array" ref="F2724">SUM(F2721:F2723)</f>
        <v>0</v>
      </c>
      <c r="G2724" s="16" cm="1">
        <f t="array" ref="G2724">SUM(G2721:G2723)</f>
        <v>0</v>
      </c>
      <c r="H2724" s="16" cm="1">
        <f t="array" ref="H2724">SUM(H2721:H2723)</f>
        <v>0</v>
      </c>
      <c r="I2724" s="16" cm="1">
        <f t="array" ref="I2724">SUM(I2721:I2723)</f>
        <v>0</v>
      </c>
    </row>
    <row r="2725" ht="21.25" customHeight="1">
      <c r="A2725" s="10">
        <v>45574</v>
      </c>
      <c r="B2725" t="s" s="11">
        <v>89</v>
      </c>
      <c r="C2725" t="s" s="12">
        <v>489</v>
      </c>
      <c r="D2725" s="17"/>
      <c r="E2725" s="17">
        <v>20500</v>
      </c>
      <c r="F2725" s="18"/>
      <c r="G2725" s="18"/>
      <c r="H2725" s="18"/>
      <c r="I2725" s="18"/>
    </row>
    <row r="2726" ht="20.9" customHeight="1">
      <c r="A2726" s="10">
        <v>45574</v>
      </c>
      <c r="B2726" t="s" s="11">
        <v>10</v>
      </c>
      <c r="C2726" t="s" s="12">
        <v>489</v>
      </c>
      <c r="D2726" s="19">
        <v>333</v>
      </c>
      <c r="E2726" s="19"/>
      <c r="F2726" s="20"/>
      <c r="G2726" s="20"/>
      <c r="H2726" s="20"/>
      <c r="I2726" s="20"/>
    </row>
    <row r="2727" ht="21.25" customHeight="1">
      <c r="A2727" s="10">
        <v>45574</v>
      </c>
      <c r="B2727" t="s" s="11">
        <v>21</v>
      </c>
      <c r="C2727" t="s" s="12">
        <v>489</v>
      </c>
      <c r="D2727" s="13">
        <v>20167</v>
      </c>
      <c r="E2727" s="13"/>
      <c r="F2727" s="14"/>
      <c r="G2727" s="14"/>
      <c r="H2727" s="14"/>
      <c r="I2727" s="14"/>
    </row>
    <row r="2728" ht="20.7" customHeight="1">
      <c r="A2728" s="10">
        <v>45574</v>
      </c>
      <c r="B2728" t="s" s="11">
        <v>8</v>
      </c>
      <c r="C2728" t="s" s="12">
        <v>8</v>
      </c>
      <c r="D2728" s="15" cm="1">
        <f t="array" ref="D2728">SUM(D2725:D2727)</f>
        <v>20500</v>
      </c>
      <c r="E2728" s="15" cm="1">
        <f t="array" ref="E2728">SUM(E2725:E2727)</f>
        <v>20500</v>
      </c>
      <c r="F2728" s="16" cm="1">
        <f t="array" ref="F2728">SUM(F2725:F2727)</f>
        <v>0</v>
      </c>
      <c r="G2728" s="16" cm="1">
        <f t="array" ref="G2728">SUM(G2725:G2727)</f>
        <v>0</v>
      </c>
      <c r="H2728" s="16" cm="1">
        <f t="array" ref="H2728">SUM(H2725:H2727)</f>
        <v>0</v>
      </c>
      <c r="I2728" s="16" cm="1">
        <f t="array" ref="I2728">SUM(I2725:I2727)</f>
        <v>0</v>
      </c>
    </row>
    <row r="2729" ht="20.35" customHeight="1">
      <c r="A2729" s="10">
        <v>45575</v>
      </c>
      <c r="B2729" t="s" s="11">
        <v>28</v>
      </c>
      <c r="C2729" t="s" s="12">
        <v>96</v>
      </c>
      <c r="D2729" s="17"/>
      <c r="E2729" s="17">
        <v>10000</v>
      </c>
      <c r="F2729" s="18"/>
      <c r="G2729" s="18"/>
      <c r="H2729" s="18"/>
      <c r="I2729" s="18"/>
    </row>
    <row r="2730" ht="20.35" customHeight="1">
      <c r="A2730" s="10">
        <v>45575</v>
      </c>
      <c r="B2730" t="s" s="11">
        <v>5</v>
      </c>
      <c r="C2730" t="s" s="12">
        <v>96</v>
      </c>
      <c r="D2730" s="13">
        <v>10000</v>
      </c>
      <c r="E2730" s="13"/>
      <c r="F2730" s="14"/>
      <c r="G2730" s="14"/>
      <c r="H2730" s="14"/>
      <c r="I2730" s="14"/>
    </row>
    <row r="2731" ht="20.7" customHeight="1">
      <c r="A2731" s="10">
        <v>45575</v>
      </c>
      <c r="B2731" t="s" s="11">
        <v>8</v>
      </c>
      <c r="C2731" t="s" s="12">
        <v>8</v>
      </c>
      <c r="D2731" s="15" cm="1">
        <f t="array" ref="D2731">SUM(D2729:D2730)</f>
        <v>10000</v>
      </c>
      <c r="E2731" s="15" cm="1">
        <f t="array" ref="E2731">SUM(E2729:E2730)</f>
        <v>10000</v>
      </c>
      <c r="F2731" s="16" cm="1">
        <f t="array" ref="F2731">SUM(F2729:F2730)</f>
        <v>0</v>
      </c>
      <c r="G2731" s="16" cm="1">
        <f t="array" ref="G2731">SUM(G2729:G2730)</f>
        <v>0</v>
      </c>
      <c r="H2731" s="16" cm="1">
        <f t="array" ref="H2731">SUM(H2729:H2730)</f>
        <v>0</v>
      </c>
      <c r="I2731" s="16" cm="1">
        <f t="array" ref="I2731">SUM(I2729:I2730)</f>
        <v>0</v>
      </c>
    </row>
    <row r="2732" ht="20.35" customHeight="1">
      <c r="A2732" s="10">
        <v>45575</v>
      </c>
      <c r="B2732" t="s" s="11">
        <v>28</v>
      </c>
      <c r="C2732" t="s" s="12">
        <v>490</v>
      </c>
      <c r="D2732" s="17"/>
      <c r="E2732" s="17">
        <v>20000</v>
      </c>
      <c r="F2732" s="18"/>
      <c r="G2732" s="18"/>
      <c r="H2732" s="18"/>
      <c r="I2732" s="18"/>
    </row>
    <row r="2733" ht="20.35" customHeight="1">
      <c r="A2733" s="10">
        <v>45575</v>
      </c>
      <c r="B2733" t="s" s="11">
        <v>10</v>
      </c>
      <c r="C2733" t="s" s="12">
        <v>490</v>
      </c>
      <c r="D2733" s="13">
        <v>20000</v>
      </c>
      <c r="E2733" s="13"/>
      <c r="F2733" s="14"/>
      <c r="G2733" s="14"/>
      <c r="H2733" s="14"/>
      <c r="I2733" s="14"/>
    </row>
    <row r="2734" ht="20.7" customHeight="1">
      <c r="A2734" s="10">
        <v>45575</v>
      </c>
      <c r="B2734" t="s" s="11">
        <v>8</v>
      </c>
      <c r="C2734" t="s" s="12">
        <v>8</v>
      </c>
      <c r="D2734" s="15" cm="1">
        <f t="array" ref="D2734">SUM(D2732:D2733)</f>
        <v>20000</v>
      </c>
      <c r="E2734" s="15" cm="1">
        <f t="array" ref="E2734">SUM(E2732:E2733)</f>
        <v>20000</v>
      </c>
      <c r="F2734" s="16" cm="1">
        <f t="array" ref="F2734">SUM(F2732:F2733)</f>
        <v>0</v>
      </c>
      <c r="G2734" s="16" cm="1">
        <f t="array" ref="G2734">SUM(G2732:G2733)</f>
        <v>0</v>
      </c>
      <c r="H2734" s="16" cm="1">
        <f t="array" ref="H2734">SUM(H2732:H2733)</f>
        <v>0</v>
      </c>
      <c r="I2734" s="16" cm="1">
        <f t="array" ref="I2734">SUM(I2732:I2733)</f>
        <v>0</v>
      </c>
    </row>
    <row r="2735" ht="20.35" customHeight="1">
      <c r="A2735" s="10">
        <v>45575</v>
      </c>
      <c r="B2735" t="s" s="11">
        <v>5</v>
      </c>
      <c r="C2735" t="s" s="12">
        <v>53</v>
      </c>
      <c r="D2735" s="17"/>
      <c r="E2735" s="17">
        <v>4400</v>
      </c>
      <c r="F2735" s="18"/>
      <c r="G2735" s="18"/>
      <c r="H2735" s="18"/>
      <c r="I2735" s="18"/>
    </row>
    <row r="2736" ht="20.35" customHeight="1">
      <c r="A2736" s="10">
        <v>45575</v>
      </c>
      <c r="B2736" t="s" s="11">
        <v>12</v>
      </c>
      <c r="C2736" t="s" s="12">
        <v>53</v>
      </c>
      <c r="D2736" s="13">
        <v>4400</v>
      </c>
      <c r="E2736" s="13"/>
      <c r="F2736" s="14"/>
      <c r="G2736" s="14"/>
      <c r="H2736" s="14"/>
      <c r="I2736" s="14"/>
    </row>
    <row r="2737" ht="20.7" customHeight="1">
      <c r="A2737" s="10">
        <v>45575</v>
      </c>
      <c r="B2737" t="s" s="11">
        <v>8</v>
      </c>
      <c r="C2737" t="s" s="12">
        <v>8</v>
      </c>
      <c r="D2737" s="15" cm="1">
        <f t="array" ref="D2737">SUM(D2735:D2736)</f>
        <v>4400</v>
      </c>
      <c r="E2737" s="15" cm="1">
        <f t="array" ref="E2737">SUM(E2735:E2736)</f>
        <v>4400</v>
      </c>
      <c r="F2737" s="16" cm="1">
        <f t="array" ref="F2737">SUM(F2735:F2736)</f>
        <v>0</v>
      </c>
      <c r="G2737" s="16" cm="1">
        <f t="array" ref="G2737">SUM(G2735:G2736)</f>
        <v>0</v>
      </c>
      <c r="H2737" s="16" cm="1">
        <f t="array" ref="H2737">SUM(H2735:H2736)</f>
        <v>0</v>
      </c>
      <c r="I2737" s="16" cm="1">
        <f t="array" ref="I2737">SUM(I2735:I2736)</f>
        <v>0</v>
      </c>
    </row>
    <row r="2738" ht="20.35" customHeight="1">
      <c r="A2738" s="10">
        <v>45575</v>
      </c>
      <c r="B2738" t="s" s="11">
        <v>5</v>
      </c>
      <c r="C2738" t="s" s="12">
        <v>17</v>
      </c>
      <c r="D2738" s="17">
        <v>100</v>
      </c>
      <c r="E2738" s="17"/>
      <c r="F2738" s="18"/>
      <c r="G2738" s="18"/>
      <c r="H2738" s="18"/>
      <c r="I2738" s="18"/>
    </row>
    <row r="2739" ht="20.35" customHeight="1">
      <c r="A2739" s="10">
        <v>45575</v>
      </c>
      <c r="B2739" t="s" s="11">
        <v>18</v>
      </c>
      <c r="C2739" t="s" s="12">
        <v>17</v>
      </c>
      <c r="D2739" s="13"/>
      <c r="E2739" s="13">
        <v>100</v>
      </c>
      <c r="F2739" s="14"/>
      <c r="G2739" s="14"/>
      <c r="H2739" s="14"/>
      <c r="I2739" s="14"/>
    </row>
    <row r="2740" ht="20.7" customHeight="1">
      <c r="A2740" s="10">
        <v>45575</v>
      </c>
      <c r="B2740" t="s" s="11">
        <v>8</v>
      </c>
      <c r="C2740" t="s" s="12">
        <v>8</v>
      </c>
      <c r="D2740" s="15" cm="1">
        <f t="array" ref="D2740">SUM(D2738:D2739)</f>
        <v>100</v>
      </c>
      <c r="E2740" s="15" cm="1">
        <f t="array" ref="E2740">SUM(E2738:E2739)</f>
        <v>100</v>
      </c>
      <c r="F2740" s="16" cm="1">
        <f t="array" ref="F2740">SUM(F2738:F2739)</f>
        <v>0</v>
      </c>
      <c r="G2740" s="16" cm="1">
        <f t="array" ref="G2740">SUM(G2738:G2739)</f>
        <v>0</v>
      </c>
      <c r="H2740" s="16" cm="1">
        <f t="array" ref="H2740">SUM(H2738:H2739)</f>
        <v>0</v>
      </c>
      <c r="I2740" s="16" cm="1">
        <f t="array" ref="I2740">SUM(I2738:I2739)</f>
        <v>0</v>
      </c>
    </row>
    <row r="2741" ht="20.35" customHeight="1">
      <c r="A2741" s="10">
        <v>45575</v>
      </c>
      <c r="B2741" t="s" s="11">
        <v>5</v>
      </c>
      <c r="C2741" t="s" s="12">
        <v>31</v>
      </c>
      <c r="D2741" s="17">
        <v>50000</v>
      </c>
      <c r="E2741" s="17"/>
      <c r="F2741" s="18"/>
      <c r="G2741" s="18"/>
      <c r="H2741" s="18"/>
      <c r="I2741" s="18"/>
    </row>
    <row r="2742" ht="20.35" customHeight="1">
      <c r="A2742" s="10">
        <v>45575</v>
      </c>
      <c r="B2742" t="s" s="11">
        <v>32</v>
      </c>
      <c r="C2742" t="s" s="12">
        <v>31</v>
      </c>
      <c r="D2742" s="13"/>
      <c r="E2742" s="13">
        <v>50000</v>
      </c>
      <c r="F2742" s="14"/>
      <c r="G2742" s="14"/>
      <c r="H2742" s="14"/>
      <c r="I2742" s="14"/>
    </row>
    <row r="2743" ht="20.7" customHeight="1">
      <c r="A2743" s="10">
        <v>45575</v>
      </c>
      <c r="B2743" t="s" s="11">
        <v>8</v>
      </c>
      <c r="C2743" t="s" s="12">
        <v>8</v>
      </c>
      <c r="D2743" s="15" cm="1">
        <f t="array" ref="D2743">SUM(D2741:D2742)</f>
        <v>50000</v>
      </c>
      <c r="E2743" s="15" cm="1">
        <f t="array" ref="E2743">SUM(E2741:E2742)</f>
        <v>50000</v>
      </c>
      <c r="F2743" s="16" cm="1">
        <f t="array" ref="F2743">SUM(F2741:F2742)</f>
        <v>0</v>
      </c>
      <c r="G2743" s="16" cm="1">
        <f t="array" ref="G2743">SUM(G2741:G2742)</f>
        <v>0</v>
      </c>
      <c r="H2743" s="16" cm="1">
        <f t="array" ref="H2743">SUM(H2741:H2742)</f>
        <v>0</v>
      </c>
      <c r="I2743" s="16" cm="1">
        <f t="array" ref="I2743">SUM(I2741:I2742)</f>
        <v>0</v>
      </c>
    </row>
    <row r="2744" ht="20.35" customHeight="1">
      <c r="A2744" s="10">
        <v>45575</v>
      </c>
      <c r="B2744" t="s" s="11">
        <v>5</v>
      </c>
      <c r="C2744" t="s" s="12">
        <v>17</v>
      </c>
      <c r="D2744" s="17">
        <v>100</v>
      </c>
      <c r="E2744" s="17"/>
      <c r="F2744" s="18"/>
      <c r="G2744" s="18"/>
      <c r="H2744" s="18"/>
      <c r="I2744" s="18"/>
    </row>
    <row r="2745" ht="20.35" customHeight="1">
      <c r="A2745" s="10">
        <v>45575</v>
      </c>
      <c r="B2745" t="s" s="11">
        <v>18</v>
      </c>
      <c r="C2745" t="s" s="12">
        <v>17</v>
      </c>
      <c r="D2745" s="13"/>
      <c r="E2745" s="13">
        <v>100</v>
      </c>
      <c r="F2745" s="14"/>
      <c r="G2745" s="14"/>
      <c r="H2745" s="14"/>
      <c r="I2745" s="14"/>
    </row>
    <row r="2746" ht="20.7" customHeight="1">
      <c r="A2746" s="10">
        <v>45575</v>
      </c>
      <c r="B2746" t="s" s="11">
        <v>8</v>
      </c>
      <c r="C2746" t="s" s="12">
        <v>8</v>
      </c>
      <c r="D2746" s="15" cm="1">
        <f t="array" ref="D2746">SUM(D2744:D2745)</f>
        <v>100</v>
      </c>
      <c r="E2746" s="15" cm="1">
        <f t="array" ref="E2746">SUM(E2744:E2745)</f>
        <v>100</v>
      </c>
      <c r="F2746" s="16" cm="1">
        <f t="array" ref="F2746">SUM(F2744:F2745)</f>
        <v>0</v>
      </c>
      <c r="G2746" s="16" cm="1">
        <f t="array" ref="G2746">SUM(G2744:G2745)</f>
        <v>0</v>
      </c>
      <c r="H2746" s="16" cm="1">
        <f t="array" ref="H2746">SUM(H2744:H2745)</f>
        <v>0</v>
      </c>
      <c r="I2746" s="16" cm="1">
        <f t="array" ref="I2746">SUM(I2744:I2745)</f>
        <v>0</v>
      </c>
    </row>
    <row r="2747" ht="20.35" customHeight="1">
      <c r="A2747" s="10">
        <v>45575</v>
      </c>
      <c r="B2747" t="s" s="11">
        <v>121</v>
      </c>
      <c r="C2747" t="s" s="12">
        <v>491</v>
      </c>
      <c r="D2747" s="17"/>
      <c r="E2747" s="17">
        <v>174</v>
      </c>
      <c r="F2747" s="18"/>
      <c r="G2747" s="18"/>
      <c r="H2747" s="18"/>
      <c r="I2747" s="18"/>
    </row>
    <row r="2748" ht="20.35" customHeight="1">
      <c r="A2748" s="10">
        <v>45575</v>
      </c>
      <c r="B2748" t="s" s="11">
        <v>10</v>
      </c>
      <c r="C2748" t="s" s="12">
        <v>491</v>
      </c>
      <c r="D2748" s="13">
        <v>174</v>
      </c>
      <c r="E2748" s="13"/>
      <c r="F2748" s="14"/>
      <c r="G2748" s="14"/>
      <c r="H2748" s="14"/>
      <c r="I2748" s="14"/>
    </row>
    <row r="2749" ht="20.7" customHeight="1">
      <c r="A2749" s="10">
        <v>45575</v>
      </c>
      <c r="B2749" t="s" s="11">
        <v>8</v>
      </c>
      <c r="C2749" t="s" s="12">
        <v>8</v>
      </c>
      <c r="D2749" s="15" cm="1">
        <f t="array" ref="D2749">SUM(D2747:D2748)</f>
        <v>174</v>
      </c>
      <c r="E2749" s="15" cm="1">
        <f t="array" ref="E2749">SUM(E2747:E2748)</f>
        <v>174</v>
      </c>
      <c r="F2749" s="16" cm="1">
        <f t="array" ref="F2749">SUM(F2747:F2748)</f>
        <v>0</v>
      </c>
      <c r="G2749" s="16" cm="1">
        <f t="array" ref="G2749">SUM(G2747:G2748)</f>
        <v>0</v>
      </c>
      <c r="H2749" s="16" cm="1">
        <f t="array" ref="H2749">SUM(H2747:H2748)</f>
        <v>0</v>
      </c>
      <c r="I2749" s="16" cm="1">
        <f t="array" ref="I2749">SUM(I2747:I2748)</f>
        <v>0</v>
      </c>
    </row>
    <row r="2750" ht="21.25" customHeight="1">
      <c r="A2750" s="10">
        <v>45575</v>
      </c>
      <c r="B2750" t="s" s="11">
        <v>21</v>
      </c>
      <c r="C2750" t="s" s="12">
        <v>289</v>
      </c>
      <c r="D2750" s="17"/>
      <c r="E2750" s="17">
        <v>2800</v>
      </c>
      <c r="F2750" s="18"/>
      <c r="G2750" s="18"/>
      <c r="H2750" s="18"/>
      <c r="I2750" s="18"/>
    </row>
    <row r="2751" ht="21.25" customHeight="1">
      <c r="A2751" s="10">
        <v>45575</v>
      </c>
      <c r="B2751" t="s" s="11">
        <v>16</v>
      </c>
      <c r="C2751" t="s" s="12">
        <v>289</v>
      </c>
      <c r="D2751" s="13">
        <v>2800</v>
      </c>
      <c r="E2751" s="13"/>
      <c r="F2751" s="14"/>
      <c r="G2751" s="14"/>
      <c r="H2751" s="14"/>
      <c r="I2751" s="14"/>
    </row>
    <row r="2752" ht="20.7" customHeight="1">
      <c r="A2752" s="10">
        <v>45575</v>
      </c>
      <c r="B2752" t="s" s="11">
        <v>8</v>
      </c>
      <c r="C2752" t="s" s="12">
        <v>8</v>
      </c>
      <c r="D2752" s="15" cm="1">
        <f t="array" ref="D2752">SUM(D2750:D2751)</f>
        <v>2800</v>
      </c>
      <c r="E2752" s="15" cm="1">
        <f t="array" ref="E2752">SUM(E2750:E2751)</f>
        <v>2800</v>
      </c>
      <c r="F2752" s="16" cm="1">
        <f t="array" ref="F2752">SUM(F2750:F2751)</f>
        <v>0</v>
      </c>
      <c r="G2752" s="16" cm="1">
        <f t="array" ref="G2752">SUM(G2750:G2751)</f>
        <v>0</v>
      </c>
      <c r="H2752" s="16" cm="1">
        <f t="array" ref="H2752">SUM(H2750:H2751)</f>
        <v>0</v>
      </c>
      <c r="I2752" s="16" cm="1">
        <f t="array" ref="I2752">SUM(I2750:I2751)</f>
        <v>0</v>
      </c>
    </row>
    <row r="2753" ht="21.25" customHeight="1">
      <c r="A2753" s="10">
        <v>45575</v>
      </c>
      <c r="B2753" t="s" s="11">
        <v>21</v>
      </c>
      <c r="C2753" t="s" s="12">
        <v>492</v>
      </c>
      <c r="D2753" s="17"/>
      <c r="E2753" s="17">
        <v>2900</v>
      </c>
      <c r="F2753" s="18"/>
      <c r="G2753" s="18"/>
      <c r="H2753" s="18"/>
      <c r="I2753" s="18"/>
    </row>
    <row r="2754" ht="21.25" customHeight="1">
      <c r="A2754" s="10">
        <v>45575</v>
      </c>
      <c r="B2754" t="s" s="11">
        <v>16</v>
      </c>
      <c r="C2754" t="s" s="12">
        <v>492</v>
      </c>
      <c r="D2754" s="13">
        <v>2900</v>
      </c>
      <c r="E2754" s="13"/>
      <c r="F2754" s="14"/>
      <c r="G2754" s="14"/>
      <c r="H2754" s="14"/>
      <c r="I2754" s="14"/>
    </row>
    <row r="2755" ht="20.7" customHeight="1">
      <c r="A2755" s="10">
        <v>45575</v>
      </c>
      <c r="B2755" t="s" s="11">
        <v>8</v>
      </c>
      <c r="C2755" t="s" s="12">
        <v>8</v>
      </c>
      <c r="D2755" s="15" cm="1">
        <f t="array" ref="D2755">SUM(D2753:D2754)</f>
        <v>2900</v>
      </c>
      <c r="E2755" s="15" cm="1">
        <f t="array" ref="E2755">SUM(E2753:E2754)</f>
        <v>2900</v>
      </c>
      <c r="F2755" s="16" cm="1">
        <f t="array" ref="F2755">SUM(F2753:F2754)</f>
        <v>0</v>
      </c>
      <c r="G2755" s="16" cm="1">
        <f t="array" ref="G2755">SUM(G2753:G2754)</f>
        <v>0</v>
      </c>
      <c r="H2755" s="16" cm="1">
        <f t="array" ref="H2755">SUM(H2753:H2754)</f>
        <v>0</v>
      </c>
      <c r="I2755" s="16" cm="1">
        <f t="array" ref="I2755">SUM(I2753:I2754)</f>
        <v>0</v>
      </c>
    </row>
    <row r="2756" ht="20.35" customHeight="1">
      <c r="A2756" s="10">
        <v>45575</v>
      </c>
      <c r="B2756" t="s" s="11">
        <v>5</v>
      </c>
      <c r="C2756" t="s" s="12">
        <v>468</v>
      </c>
      <c r="D2756" s="17"/>
      <c r="E2756" s="17">
        <v>8000</v>
      </c>
      <c r="F2756" s="18"/>
      <c r="G2756" s="18"/>
      <c r="H2756" s="18"/>
      <c r="I2756" s="18"/>
    </row>
    <row r="2757" ht="20.35" customHeight="1">
      <c r="A2757" s="10">
        <v>45575</v>
      </c>
      <c r="B2757" t="s" s="11">
        <v>12</v>
      </c>
      <c r="C2757" t="s" s="12">
        <v>468</v>
      </c>
      <c r="D2757" s="13">
        <v>8000</v>
      </c>
      <c r="E2757" s="13"/>
      <c r="F2757" s="14"/>
      <c r="G2757" s="14"/>
      <c r="H2757" s="14"/>
      <c r="I2757" s="14"/>
    </row>
    <row r="2758" ht="20.7" customHeight="1">
      <c r="A2758" s="10">
        <v>45575</v>
      </c>
      <c r="B2758" t="s" s="11">
        <v>8</v>
      </c>
      <c r="C2758" t="s" s="12">
        <v>8</v>
      </c>
      <c r="D2758" s="15" cm="1">
        <f t="array" ref="D2758">SUM(D2756:D2757)</f>
        <v>8000</v>
      </c>
      <c r="E2758" s="15" cm="1">
        <f t="array" ref="E2758">SUM(E2756:E2757)</f>
        <v>8000</v>
      </c>
      <c r="F2758" s="16" cm="1">
        <f t="array" ref="F2758">SUM(F2756:F2757)</f>
        <v>0</v>
      </c>
      <c r="G2758" s="16" cm="1">
        <f t="array" ref="G2758">SUM(G2756:G2757)</f>
        <v>0</v>
      </c>
      <c r="H2758" s="16" cm="1">
        <f t="array" ref="H2758">SUM(H2756:H2757)</f>
        <v>0</v>
      </c>
      <c r="I2758" s="16" cm="1">
        <f t="array" ref="I2758">SUM(I2756:I2757)</f>
        <v>0</v>
      </c>
    </row>
    <row r="2759" ht="20.35" customHeight="1">
      <c r="A2759" s="10">
        <v>45575</v>
      </c>
      <c r="B2759" t="s" s="11">
        <v>5</v>
      </c>
      <c r="C2759" t="s" s="12">
        <v>493</v>
      </c>
      <c r="D2759" s="17"/>
      <c r="E2759" s="17">
        <v>5600</v>
      </c>
      <c r="F2759" s="18"/>
      <c r="G2759" s="18"/>
      <c r="H2759" s="18"/>
      <c r="I2759" s="18"/>
    </row>
    <row r="2760" ht="20.35" customHeight="1">
      <c r="A2760" s="10">
        <v>45575</v>
      </c>
      <c r="B2760" t="s" s="11">
        <v>12</v>
      </c>
      <c r="C2760" t="s" s="12">
        <v>493</v>
      </c>
      <c r="D2760" s="13">
        <v>5600</v>
      </c>
      <c r="E2760" s="13"/>
      <c r="F2760" s="14"/>
      <c r="G2760" s="14"/>
      <c r="H2760" s="14"/>
      <c r="I2760" s="14"/>
    </row>
    <row r="2761" ht="20.7" customHeight="1">
      <c r="A2761" s="10">
        <v>45575</v>
      </c>
      <c r="B2761" t="s" s="11">
        <v>8</v>
      </c>
      <c r="C2761" t="s" s="12">
        <v>8</v>
      </c>
      <c r="D2761" s="15" cm="1">
        <f t="array" ref="D2761">SUM(D2759:D2760)</f>
        <v>5600</v>
      </c>
      <c r="E2761" s="15" cm="1">
        <f t="array" ref="E2761">SUM(E2759:E2760)</f>
        <v>5600</v>
      </c>
      <c r="F2761" s="16" cm="1">
        <f t="array" ref="F2761">SUM(F2759:F2760)</f>
        <v>0</v>
      </c>
      <c r="G2761" s="16" cm="1">
        <f t="array" ref="G2761">SUM(G2759:G2760)</f>
        <v>0</v>
      </c>
      <c r="H2761" s="16" cm="1">
        <f t="array" ref="H2761">SUM(H2759:H2760)</f>
        <v>0</v>
      </c>
      <c r="I2761" s="16" cm="1">
        <f t="array" ref="I2761">SUM(I2759:I2760)</f>
        <v>0</v>
      </c>
    </row>
    <row r="2762" ht="20.35" customHeight="1">
      <c r="A2762" s="10">
        <v>45576</v>
      </c>
      <c r="B2762" t="s" s="11">
        <v>5</v>
      </c>
      <c r="C2762" t="s" s="12">
        <v>494</v>
      </c>
      <c r="D2762" s="17"/>
      <c r="E2762" s="17">
        <v>10100</v>
      </c>
      <c r="F2762" s="18"/>
      <c r="G2762" s="18"/>
      <c r="H2762" s="18"/>
      <c r="I2762" s="18"/>
    </row>
    <row r="2763" ht="20.05" customHeight="1">
      <c r="A2763" s="10">
        <v>45576</v>
      </c>
      <c r="B2763" t="s" s="11">
        <v>12</v>
      </c>
      <c r="C2763" t="s" s="12">
        <v>494</v>
      </c>
      <c r="D2763" s="19">
        <v>2700</v>
      </c>
      <c r="E2763" s="19"/>
      <c r="F2763" s="20"/>
      <c r="G2763" s="20"/>
      <c r="H2763" s="20"/>
      <c r="I2763" s="20"/>
    </row>
    <row r="2764" ht="20.35" customHeight="1">
      <c r="A2764" s="10">
        <v>45576</v>
      </c>
      <c r="B2764" t="s" s="11">
        <v>89</v>
      </c>
      <c r="C2764" t="s" s="12">
        <v>494</v>
      </c>
      <c r="D2764" s="13">
        <v>7400</v>
      </c>
      <c r="E2764" s="13"/>
      <c r="F2764" s="14"/>
      <c r="G2764" s="14"/>
      <c r="H2764" s="14"/>
      <c r="I2764" s="14"/>
    </row>
    <row r="2765" ht="20.7" customHeight="1">
      <c r="A2765" s="10">
        <v>45576</v>
      </c>
      <c r="B2765" t="s" s="11">
        <v>8</v>
      </c>
      <c r="C2765" t="s" s="12">
        <v>8</v>
      </c>
      <c r="D2765" s="15" cm="1">
        <f t="array" ref="D2765">SUM(D2762:D2764)</f>
        <v>10100</v>
      </c>
      <c r="E2765" s="15" cm="1">
        <f t="array" ref="E2765">SUM(E2762:E2764)</f>
        <v>10100</v>
      </c>
      <c r="F2765" s="16" cm="1">
        <f t="array" ref="F2765">SUM(F2762:F2764)</f>
        <v>0</v>
      </c>
      <c r="G2765" s="16" cm="1">
        <f t="array" ref="G2765">SUM(G2762:G2764)</f>
        <v>0</v>
      </c>
      <c r="H2765" s="16" cm="1">
        <f t="array" ref="H2765">SUM(H2762:H2764)</f>
        <v>0</v>
      </c>
      <c r="I2765" s="16" cm="1">
        <f t="array" ref="I2765">SUM(I2762:I2764)</f>
        <v>0</v>
      </c>
    </row>
    <row r="2766" ht="20.35" customHeight="1">
      <c r="A2766" s="10">
        <v>45576</v>
      </c>
      <c r="B2766" t="s" s="11">
        <v>5</v>
      </c>
      <c r="C2766" t="s" s="12">
        <v>495</v>
      </c>
      <c r="D2766" s="17"/>
      <c r="E2766" s="17">
        <v>5600</v>
      </c>
      <c r="F2766" s="18"/>
      <c r="G2766" s="18"/>
      <c r="H2766" s="18"/>
      <c r="I2766" s="18"/>
    </row>
    <row r="2767" ht="20.05" customHeight="1">
      <c r="A2767" s="10">
        <v>45576</v>
      </c>
      <c r="B2767" t="s" s="11">
        <v>10</v>
      </c>
      <c r="C2767" t="s" s="12">
        <v>495</v>
      </c>
      <c r="D2767" s="19">
        <v>2800</v>
      </c>
      <c r="E2767" s="19"/>
      <c r="F2767" s="20"/>
      <c r="G2767" s="20"/>
      <c r="H2767" s="20"/>
      <c r="I2767" s="20"/>
    </row>
    <row r="2768" ht="20.35" customHeight="1">
      <c r="A2768" s="10">
        <v>45576</v>
      </c>
      <c r="B2768" t="s" s="11">
        <v>12</v>
      </c>
      <c r="C2768" t="s" s="12">
        <v>495</v>
      </c>
      <c r="D2768" s="13">
        <v>2800</v>
      </c>
      <c r="E2768" s="13"/>
      <c r="F2768" s="14"/>
      <c r="G2768" s="14"/>
      <c r="H2768" s="14"/>
      <c r="I2768" s="14"/>
    </row>
    <row r="2769" ht="20.7" customHeight="1">
      <c r="A2769" s="10">
        <v>45576</v>
      </c>
      <c r="B2769" t="s" s="11">
        <v>8</v>
      </c>
      <c r="C2769" t="s" s="12">
        <v>8</v>
      </c>
      <c r="D2769" s="15" cm="1">
        <f t="array" ref="D2769">SUM(D2766:D2768)</f>
        <v>5600</v>
      </c>
      <c r="E2769" s="15" cm="1">
        <f t="array" ref="E2769">SUM(E2766:E2768)</f>
        <v>5600</v>
      </c>
      <c r="F2769" s="16" cm="1">
        <f t="array" ref="F2769">SUM(F2766:F2768)</f>
        <v>0</v>
      </c>
      <c r="G2769" s="16" cm="1">
        <f t="array" ref="G2769">SUM(G2766:G2768)</f>
        <v>0</v>
      </c>
      <c r="H2769" s="16" cm="1">
        <f t="array" ref="H2769">SUM(H2766:H2768)</f>
        <v>0</v>
      </c>
      <c r="I2769" s="16" cm="1">
        <f t="array" ref="I2769">SUM(I2766:I2768)</f>
        <v>0</v>
      </c>
    </row>
    <row r="2770" ht="20.35" customHeight="1">
      <c r="A2770" s="10">
        <v>45576</v>
      </c>
      <c r="B2770" t="s" s="11">
        <v>5</v>
      </c>
      <c r="C2770" t="s" s="12">
        <v>17</v>
      </c>
      <c r="D2770" s="17">
        <v>100</v>
      </c>
      <c r="E2770" s="17"/>
      <c r="F2770" s="18"/>
      <c r="G2770" s="18"/>
      <c r="H2770" s="18"/>
      <c r="I2770" s="18"/>
    </row>
    <row r="2771" ht="20.35" customHeight="1">
      <c r="A2771" s="10">
        <v>45576</v>
      </c>
      <c r="B2771" t="s" s="11">
        <v>18</v>
      </c>
      <c r="C2771" t="s" s="12">
        <v>17</v>
      </c>
      <c r="D2771" s="13"/>
      <c r="E2771" s="13">
        <v>100</v>
      </c>
      <c r="F2771" s="14"/>
      <c r="G2771" s="14"/>
      <c r="H2771" s="14"/>
      <c r="I2771" s="14"/>
    </row>
    <row r="2772" ht="20.7" customHeight="1">
      <c r="A2772" s="10">
        <v>45576</v>
      </c>
      <c r="B2772" t="s" s="11">
        <v>8</v>
      </c>
      <c r="C2772" t="s" s="12">
        <v>8</v>
      </c>
      <c r="D2772" s="15" cm="1">
        <f t="array" ref="D2772">SUM(D2770:D2771)</f>
        <v>100</v>
      </c>
      <c r="E2772" s="15" cm="1">
        <f t="array" ref="E2772">SUM(E2770:E2771)</f>
        <v>100</v>
      </c>
      <c r="F2772" s="16" cm="1">
        <f t="array" ref="F2772">SUM(F2770:F2771)</f>
        <v>0</v>
      </c>
      <c r="G2772" s="16" cm="1">
        <f t="array" ref="G2772">SUM(G2770:G2771)</f>
        <v>0</v>
      </c>
      <c r="H2772" s="16" cm="1">
        <f t="array" ref="H2772">SUM(H2770:H2771)</f>
        <v>0</v>
      </c>
      <c r="I2772" s="16" cm="1">
        <f t="array" ref="I2772">SUM(I2770:I2771)</f>
        <v>0</v>
      </c>
    </row>
    <row r="2773" ht="21.25" customHeight="1">
      <c r="A2773" s="10">
        <v>45576</v>
      </c>
      <c r="B2773" t="s" s="11">
        <v>21</v>
      </c>
      <c r="C2773" t="s" s="12">
        <v>496</v>
      </c>
      <c r="D2773" s="17"/>
      <c r="E2773" s="17">
        <v>1500</v>
      </c>
      <c r="F2773" s="18"/>
      <c r="G2773" s="18"/>
      <c r="H2773" s="18"/>
      <c r="I2773" s="18"/>
    </row>
    <row r="2774" ht="21.25" customHeight="1">
      <c r="A2774" s="10">
        <v>45576</v>
      </c>
      <c r="B2774" t="s" s="11">
        <v>16</v>
      </c>
      <c r="C2774" t="s" s="12">
        <v>496</v>
      </c>
      <c r="D2774" s="13">
        <v>1500</v>
      </c>
      <c r="E2774" s="13"/>
      <c r="F2774" s="14"/>
      <c r="G2774" s="14"/>
      <c r="H2774" s="14"/>
      <c r="I2774" s="14"/>
    </row>
    <row r="2775" ht="20.7" customHeight="1">
      <c r="A2775" s="10">
        <v>45576</v>
      </c>
      <c r="B2775" t="s" s="11">
        <v>8</v>
      </c>
      <c r="C2775" t="s" s="12">
        <v>8</v>
      </c>
      <c r="D2775" s="15" cm="1">
        <f t="array" ref="D2775">SUM(D2773:D2774)</f>
        <v>1500</v>
      </c>
      <c r="E2775" s="15" cm="1">
        <f t="array" ref="E2775">SUM(E2773:E2774)</f>
        <v>1500</v>
      </c>
      <c r="F2775" s="16" cm="1">
        <f t="array" ref="F2775">SUM(F2773:F2774)</f>
        <v>0</v>
      </c>
      <c r="G2775" s="16" cm="1">
        <f t="array" ref="G2775">SUM(G2773:G2774)</f>
        <v>0</v>
      </c>
      <c r="H2775" s="16" cm="1">
        <f t="array" ref="H2775">SUM(H2773:H2774)</f>
        <v>0</v>
      </c>
      <c r="I2775" s="16" cm="1">
        <f t="array" ref="I2775">SUM(I2773:I2774)</f>
        <v>0</v>
      </c>
    </row>
    <row r="2776" ht="21.25" customHeight="1">
      <c r="A2776" s="10">
        <v>45576</v>
      </c>
      <c r="B2776" t="s" s="11">
        <v>5</v>
      </c>
      <c r="C2776" t="s" s="12">
        <v>497</v>
      </c>
      <c r="D2776" s="17"/>
      <c r="E2776" s="17">
        <v>11500</v>
      </c>
      <c r="F2776" s="18"/>
      <c r="G2776" s="18"/>
      <c r="H2776" s="18"/>
      <c r="I2776" s="18"/>
    </row>
    <row r="2777" ht="21.25" customHeight="1">
      <c r="A2777" s="10">
        <v>45576</v>
      </c>
      <c r="B2777" t="s" s="11">
        <v>12</v>
      </c>
      <c r="C2777" t="s" s="12">
        <v>497</v>
      </c>
      <c r="D2777" s="13">
        <v>11500</v>
      </c>
      <c r="E2777" s="13"/>
      <c r="F2777" s="14"/>
      <c r="G2777" s="14"/>
      <c r="H2777" s="14"/>
      <c r="I2777" s="14"/>
    </row>
    <row r="2778" ht="20.7" customHeight="1">
      <c r="A2778" s="10">
        <v>45576</v>
      </c>
      <c r="B2778" t="s" s="11">
        <v>8</v>
      </c>
      <c r="C2778" t="s" s="12">
        <v>8</v>
      </c>
      <c r="D2778" s="15" cm="1">
        <f t="array" ref="D2778">SUM(D2776:D2777)</f>
        <v>11500</v>
      </c>
      <c r="E2778" s="15" cm="1">
        <f t="array" ref="E2778">SUM(E2776:E2777)</f>
        <v>11500</v>
      </c>
      <c r="F2778" s="16" cm="1">
        <f t="array" ref="F2778">SUM(F2776:F2777)</f>
        <v>0</v>
      </c>
      <c r="G2778" s="16" cm="1">
        <f t="array" ref="G2778">SUM(G2776:G2777)</f>
        <v>0</v>
      </c>
      <c r="H2778" s="16" cm="1">
        <f t="array" ref="H2778">SUM(H2776:H2777)</f>
        <v>0</v>
      </c>
      <c r="I2778" s="16" cm="1">
        <f t="array" ref="I2778">SUM(I2776:I2777)</f>
        <v>0</v>
      </c>
    </row>
    <row r="2779" ht="20.35" customHeight="1">
      <c r="A2779" s="10">
        <v>45576</v>
      </c>
      <c r="B2779" t="s" s="11">
        <v>5</v>
      </c>
      <c r="C2779" t="s" s="12">
        <v>468</v>
      </c>
      <c r="D2779" s="17"/>
      <c r="E2779" s="17">
        <v>5400</v>
      </c>
      <c r="F2779" s="18"/>
      <c r="G2779" s="18"/>
      <c r="H2779" s="18"/>
      <c r="I2779" s="18"/>
    </row>
    <row r="2780" ht="20.35" customHeight="1">
      <c r="A2780" s="10">
        <v>45576</v>
      </c>
      <c r="B2780" t="s" s="11">
        <v>12</v>
      </c>
      <c r="C2780" t="s" s="12">
        <v>468</v>
      </c>
      <c r="D2780" s="13">
        <v>5400</v>
      </c>
      <c r="E2780" s="13"/>
      <c r="F2780" s="14"/>
      <c r="G2780" s="14"/>
      <c r="H2780" s="14"/>
      <c r="I2780" s="14"/>
    </row>
    <row r="2781" ht="20.7" customHeight="1">
      <c r="A2781" s="10">
        <v>45576</v>
      </c>
      <c r="B2781" t="s" s="11">
        <v>8</v>
      </c>
      <c r="C2781" t="s" s="12">
        <v>8</v>
      </c>
      <c r="D2781" s="15" cm="1">
        <f t="array" ref="D2781">SUM(D2779:D2780)</f>
        <v>5400</v>
      </c>
      <c r="E2781" s="15" cm="1">
        <f t="array" ref="E2781">SUM(E2779:E2780)</f>
        <v>5400</v>
      </c>
      <c r="F2781" s="16" cm="1">
        <f t="array" ref="F2781">SUM(F2779:F2780)</f>
        <v>0</v>
      </c>
      <c r="G2781" s="16" cm="1">
        <f t="array" ref="G2781">SUM(G2779:G2780)</f>
        <v>0</v>
      </c>
      <c r="H2781" s="16" cm="1">
        <f t="array" ref="H2781">SUM(H2779:H2780)</f>
        <v>0</v>
      </c>
      <c r="I2781" s="16" cm="1">
        <f t="array" ref="I2781">SUM(I2779:I2780)</f>
        <v>0</v>
      </c>
    </row>
    <row r="2782" ht="20.35" customHeight="1">
      <c r="A2782" s="10">
        <v>45577</v>
      </c>
      <c r="B2782" t="s" s="11">
        <v>5</v>
      </c>
      <c r="C2782" t="s" s="12">
        <v>53</v>
      </c>
      <c r="D2782" s="17"/>
      <c r="E2782" s="17">
        <v>6000</v>
      </c>
      <c r="F2782" s="18"/>
      <c r="G2782" s="18"/>
      <c r="H2782" s="18"/>
      <c r="I2782" s="18"/>
    </row>
    <row r="2783" ht="20.05" customHeight="1">
      <c r="A2783" s="10">
        <v>45577</v>
      </c>
      <c r="B2783" t="s" s="11">
        <v>12</v>
      </c>
      <c r="C2783" t="s" s="12">
        <v>53</v>
      </c>
      <c r="D2783" s="19">
        <v>3000</v>
      </c>
      <c r="E2783" s="19"/>
      <c r="F2783" s="20"/>
      <c r="G2783" s="20"/>
      <c r="H2783" s="20"/>
      <c r="I2783" s="20"/>
    </row>
    <row r="2784" ht="20.35" customHeight="1">
      <c r="A2784" s="10">
        <v>45577</v>
      </c>
      <c r="B2784" t="s" s="11">
        <v>10</v>
      </c>
      <c r="C2784" t="s" s="12">
        <v>53</v>
      </c>
      <c r="D2784" s="13">
        <v>3000</v>
      </c>
      <c r="E2784" s="13"/>
      <c r="F2784" s="14"/>
      <c r="G2784" s="14"/>
      <c r="H2784" s="14"/>
      <c r="I2784" s="14"/>
    </row>
    <row r="2785" ht="20.7" customHeight="1">
      <c r="A2785" s="10">
        <v>45577</v>
      </c>
      <c r="B2785" t="s" s="11">
        <v>8</v>
      </c>
      <c r="C2785" t="s" s="12">
        <v>8</v>
      </c>
      <c r="D2785" s="15" cm="1">
        <f t="array" ref="D2785">SUM(D2782:D2784)</f>
        <v>6000</v>
      </c>
      <c r="E2785" s="15" cm="1">
        <f t="array" ref="E2785">SUM(E2782:E2784)</f>
        <v>6000</v>
      </c>
      <c r="F2785" s="16" cm="1">
        <f t="array" ref="F2785">SUM(F2782:F2784)</f>
        <v>0</v>
      </c>
      <c r="G2785" s="16" cm="1">
        <f t="array" ref="G2785">SUM(G2782:G2784)</f>
        <v>0</v>
      </c>
      <c r="H2785" s="16" cm="1">
        <f t="array" ref="H2785">SUM(H2782:H2784)</f>
        <v>0</v>
      </c>
      <c r="I2785" s="16" cm="1">
        <f t="array" ref="I2785">SUM(I2782:I2784)</f>
        <v>0</v>
      </c>
    </row>
    <row r="2786" ht="20.35" customHeight="1">
      <c r="A2786" s="10">
        <v>45577</v>
      </c>
      <c r="B2786" t="s" s="11">
        <v>5</v>
      </c>
      <c r="C2786" t="s" s="12">
        <v>17</v>
      </c>
      <c r="D2786" s="17">
        <v>100</v>
      </c>
      <c r="E2786" s="17"/>
      <c r="F2786" s="18"/>
      <c r="G2786" s="18"/>
      <c r="H2786" s="18"/>
      <c r="I2786" s="18"/>
    </row>
    <row r="2787" ht="20.35" customHeight="1">
      <c r="A2787" s="10">
        <v>45577</v>
      </c>
      <c r="B2787" t="s" s="11">
        <v>18</v>
      </c>
      <c r="C2787" t="s" s="12">
        <v>17</v>
      </c>
      <c r="D2787" s="13"/>
      <c r="E2787" s="13">
        <v>100</v>
      </c>
      <c r="F2787" s="14"/>
      <c r="G2787" s="14"/>
      <c r="H2787" s="14"/>
      <c r="I2787" s="14"/>
    </row>
    <row r="2788" ht="20.7" customHeight="1">
      <c r="A2788" s="10">
        <v>45577</v>
      </c>
      <c r="B2788" t="s" s="11">
        <v>8</v>
      </c>
      <c r="C2788" t="s" s="12">
        <v>8</v>
      </c>
      <c r="D2788" s="15" cm="1">
        <f t="array" ref="D2788">SUM(D2786:D2787)</f>
        <v>100</v>
      </c>
      <c r="E2788" s="15" cm="1">
        <f t="array" ref="E2788">SUM(E2786:E2787)</f>
        <v>100</v>
      </c>
      <c r="F2788" s="16" cm="1">
        <f t="array" ref="F2788">SUM(F2786:F2787)</f>
        <v>0</v>
      </c>
      <c r="G2788" s="16" cm="1">
        <f t="array" ref="G2788">SUM(G2786:G2787)</f>
        <v>0</v>
      </c>
      <c r="H2788" s="16" cm="1">
        <f t="array" ref="H2788">SUM(H2786:H2787)</f>
        <v>0</v>
      </c>
      <c r="I2788" s="16" cm="1">
        <f t="array" ref="I2788">SUM(I2786:I2787)</f>
        <v>0</v>
      </c>
    </row>
    <row r="2789" ht="20.65" customHeight="1">
      <c r="A2789" s="10">
        <v>45577</v>
      </c>
      <c r="B2789" t="s" s="11">
        <v>28</v>
      </c>
      <c r="C2789" t="s" s="12">
        <v>444</v>
      </c>
      <c r="D2789" s="17"/>
      <c r="E2789" s="17">
        <v>24000</v>
      </c>
      <c r="F2789" s="18"/>
      <c r="G2789" s="18"/>
      <c r="H2789" s="18"/>
      <c r="I2789" s="18"/>
    </row>
    <row r="2790" ht="20.35" customHeight="1">
      <c r="A2790" s="10">
        <v>45577</v>
      </c>
      <c r="B2790" t="s" s="11">
        <v>12</v>
      </c>
      <c r="C2790" t="s" s="12">
        <v>444</v>
      </c>
      <c r="D2790" s="19">
        <v>12000</v>
      </c>
      <c r="E2790" s="19"/>
      <c r="F2790" s="20"/>
      <c r="G2790" s="20"/>
      <c r="H2790" s="20"/>
      <c r="I2790" s="20"/>
    </row>
    <row r="2791" ht="20.65" customHeight="1">
      <c r="A2791" s="10">
        <v>45577</v>
      </c>
      <c r="B2791" t="s" s="11">
        <v>10</v>
      </c>
      <c r="C2791" t="s" s="12">
        <v>444</v>
      </c>
      <c r="D2791" s="13">
        <v>12000</v>
      </c>
      <c r="E2791" s="13"/>
      <c r="F2791" s="14"/>
      <c r="G2791" s="14"/>
      <c r="H2791" s="14"/>
      <c r="I2791" s="14"/>
    </row>
    <row r="2792" ht="20.7" customHeight="1">
      <c r="A2792" s="10">
        <v>45577</v>
      </c>
      <c r="B2792" t="s" s="11">
        <v>8</v>
      </c>
      <c r="C2792" t="s" s="12">
        <v>8</v>
      </c>
      <c r="D2792" s="15" cm="1">
        <f t="array" ref="D2792">SUM(D2789:D2791)</f>
        <v>24000</v>
      </c>
      <c r="E2792" s="15" cm="1">
        <f t="array" ref="E2792">SUM(E2789:E2791)</f>
        <v>24000</v>
      </c>
      <c r="F2792" s="16" cm="1">
        <f t="array" ref="F2792">SUM(F2789:F2791)</f>
        <v>0</v>
      </c>
      <c r="G2792" s="16" cm="1">
        <f t="array" ref="G2792">SUM(G2789:G2791)</f>
        <v>0</v>
      </c>
      <c r="H2792" s="16" cm="1">
        <f t="array" ref="H2792">SUM(H2789:H2791)</f>
        <v>0</v>
      </c>
      <c r="I2792" s="16" cm="1">
        <f t="array" ref="I2792">SUM(I2789:I2791)</f>
        <v>0</v>
      </c>
    </row>
    <row r="2793" ht="20.35" customHeight="1">
      <c r="A2793" s="10">
        <v>45577</v>
      </c>
      <c r="B2793" t="s" s="11">
        <v>5</v>
      </c>
      <c r="C2793" t="s" s="12">
        <v>498</v>
      </c>
      <c r="D2793" s="17"/>
      <c r="E2793" s="17">
        <v>800</v>
      </c>
      <c r="F2793" s="18"/>
      <c r="G2793" s="18"/>
      <c r="H2793" s="18"/>
      <c r="I2793" s="18"/>
    </row>
    <row r="2794" ht="20.35" customHeight="1">
      <c r="A2794" s="10">
        <v>45577</v>
      </c>
      <c r="B2794" t="s" s="11">
        <v>10</v>
      </c>
      <c r="C2794" t="s" s="12">
        <v>498</v>
      </c>
      <c r="D2794" s="13">
        <v>800</v>
      </c>
      <c r="E2794" s="13"/>
      <c r="F2794" s="14"/>
      <c r="G2794" s="14"/>
      <c r="H2794" s="14"/>
      <c r="I2794" s="14"/>
    </row>
    <row r="2795" ht="20.7" customHeight="1">
      <c r="A2795" s="10">
        <v>45577</v>
      </c>
      <c r="B2795" t="s" s="11">
        <v>8</v>
      </c>
      <c r="C2795" t="s" s="12">
        <v>8</v>
      </c>
      <c r="D2795" s="15" cm="1">
        <f t="array" ref="D2795">SUM(D2793:D2794)</f>
        <v>800</v>
      </c>
      <c r="E2795" s="15" cm="1">
        <f t="array" ref="E2795">SUM(E2793:E2794)</f>
        <v>800</v>
      </c>
      <c r="F2795" s="16" cm="1">
        <f t="array" ref="F2795">SUM(F2793:F2794)</f>
        <v>0</v>
      </c>
      <c r="G2795" s="16" cm="1">
        <f t="array" ref="G2795">SUM(G2793:G2794)</f>
        <v>0</v>
      </c>
      <c r="H2795" s="16" cm="1">
        <f t="array" ref="H2795">SUM(H2793:H2794)</f>
        <v>0</v>
      </c>
      <c r="I2795" s="16" cm="1">
        <f t="array" ref="I2795">SUM(I2793:I2794)</f>
        <v>0</v>
      </c>
    </row>
    <row r="2796" ht="20.35" customHeight="1">
      <c r="A2796" s="10">
        <v>45577</v>
      </c>
      <c r="B2796" t="s" s="11">
        <v>5</v>
      </c>
      <c r="C2796" t="s" s="12">
        <v>17</v>
      </c>
      <c r="D2796" s="17">
        <v>100</v>
      </c>
      <c r="E2796" s="17"/>
      <c r="F2796" s="18"/>
      <c r="G2796" s="18"/>
      <c r="H2796" s="18"/>
      <c r="I2796" s="18"/>
    </row>
    <row r="2797" ht="20.35" customHeight="1">
      <c r="A2797" s="10">
        <v>45577</v>
      </c>
      <c r="B2797" t="s" s="11">
        <v>18</v>
      </c>
      <c r="C2797" t="s" s="12">
        <v>17</v>
      </c>
      <c r="D2797" s="13"/>
      <c r="E2797" s="13">
        <v>100</v>
      </c>
      <c r="F2797" s="14"/>
      <c r="G2797" s="14"/>
      <c r="H2797" s="14"/>
      <c r="I2797" s="14"/>
    </row>
    <row r="2798" ht="20.7" customHeight="1">
      <c r="A2798" s="10">
        <v>45577</v>
      </c>
      <c r="B2798" t="s" s="11">
        <v>8</v>
      </c>
      <c r="C2798" t="s" s="12">
        <v>8</v>
      </c>
      <c r="D2798" s="15" cm="1">
        <f t="array" ref="D2798">SUM(D2796:D2797)</f>
        <v>100</v>
      </c>
      <c r="E2798" s="15" cm="1">
        <f t="array" ref="E2798">SUM(E2796:E2797)</f>
        <v>100</v>
      </c>
      <c r="F2798" s="16" cm="1">
        <f t="array" ref="F2798">SUM(F2796:F2797)</f>
        <v>0</v>
      </c>
      <c r="G2798" s="16" cm="1">
        <f t="array" ref="G2798">SUM(G2796:G2797)</f>
        <v>0</v>
      </c>
      <c r="H2798" s="16" cm="1">
        <f t="array" ref="H2798">SUM(H2796:H2797)</f>
        <v>0</v>
      </c>
      <c r="I2798" s="16" cm="1">
        <f t="array" ref="I2798">SUM(I2796:I2797)</f>
        <v>0</v>
      </c>
    </row>
    <row r="2799" ht="20.65" customHeight="1">
      <c r="A2799" s="10">
        <v>45577</v>
      </c>
      <c r="B2799" t="s" s="11">
        <v>28</v>
      </c>
      <c r="C2799" t="s" s="12">
        <v>272</v>
      </c>
      <c r="D2799" s="17"/>
      <c r="E2799" s="17">
        <v>5000</v>
      </c>
      <c r="F2799" s="18"/>
      <c r="G2799" s="18"/>
      <c r="H2799" s="18"/>
      <c r="I2799" s="18"/>
    </row>
    <row r="2800" ht="20.65" customHeight="1">
      <c r="A2800" s="10">
        <v>45577</v>
      </c>
      <c r="B2800" t="s" s="11">
        <v>10</v>
      </c>
      <c r="C2800" t="s" s="12">
        <v>272</v>
      </c>
      <c r="D2800" s="13">
        <v>5000</v>
      </c>
      <c r="E2800" s="13"/>
      <c r="F2800" s="14"/>
      <c r="G2800" s="14"/>
      <c r="H2800" s="14"/>
      <c r="I2800" s="14"/>
    </row>
    <row r="2801" ht="20.7" customHeight="1">
      <c r="A2801" s="10">
        <v>45577</v>
      </c>
      <c r="B2801" t="s" s="11">
        <v>8</v>
      </c>
      <c r="C2801" t="s" s="12">
        <v>8</v>
      </c>
      <c r="D2801" s="15" cm="1">
        <f t="array" ref="D2801">SUM(D2799:D2800)</f>
        <v>5000</v>
      </c>
      <c r="E2801" s="15" cm="1">
        <f t="array" ref="E2801">SUM(E2799:E2800)</f>
        <v>5000</v>
      </c>
      <c r="F2801" s="16" cm="1">
        <f t="array" ref="F2801">SUM(F2799:F2800)</f>
        <v>0</v>
      </c>
      <c r="G2801" s="16" cm="1">
        <f t="array" ref="G2801">SUM(G2799:G2800)</f>
        <v>0</v>
      </c>
      <c r="H2801" s="16" cm="1">
        <f t="array" ref="H2801">SUM(H2799:H2800)</f>
        <v>0</v>
      </c>
      <c r="I2801" s="16" cm="1">
        <f t="array" ref="I2801">SUM(I2799:I2800)</f>
        <v>0</v>
      </c>
    </row>
    <row r="2802" ht="21.25" customHeight="1">
      <c r="A2802" s="10">
        <v>45577</v>
      </c>
      <c r="B2802" t="s" s="11">
        <v>21</v>
      </c>
      <c r="C2802" t="s" s="12">
        <v>499</v>
      </c>
      <c r="D2802" s="17"/>
      <c r="E2802" s="17">
        <v>6000</v>
      </c>
      <c r="F2802" s="18"/>
      <c r="G2802" s="18"/>
      <c r="H2802" s="18"/>
      <c r="I2802" s="18"/>
    </row>
    <row r="2803" ht="21.25" customHeight="1">
      <c r="A2803" s="10">
        <v>45577</v>
      </c>
      <c r="B2803" t="s" s="11">
        <v>16</v>
      </c>
      <c r="C2803" t="s" s="12">
        <v>499</v>
      </c>
      <c r="D2803" s="13">
        <v>6000</v>
      </c>
      <c r="E2803" s="13"/>
      <c r="F2803" s="14"/>
      <c r="G2803" s="14"/>
      <c r="H2803" s="14"/>
      <c r="I2803" s="14"/>
    </row>
    <row r="2804" ht="20.7" customHeight="1">
      <c r="A2804" s="10">
        <v>45577</v>
      </c>
      <c r="B2804" t="s" s="11">
        <v>8</v>
      </c>
      <c r="C2804" t="s" s="12">
        <v>8</v>
      </c>
      <c r="D2804" s="15" cm="1">
        <f t="array" ref="D2804">SUM(D2802:D2803)</f>
        <v>6000</v>
      </c>
      <c r="E2804" s="15" cm="1">
        <f t="array" ref="E2804">SUM(E2802:E2803)</f>
        <v>6000</v>
      </c>
      <c r="F2804" s="16" cm="1">
        <f t="array" ref="F2804">SUM(F2802:F2803)</f>
        <v>0</v>
      </c>
      <c r="G2804" s="16" cm="1">
        <f t="array" ref="G2804">SUM(G2802:G2803)</f>
        <v>0</v>
      </c>
      <c r="H2804" s="16" cm="1">
        <f t="array" ref="H2804">SUM(H2802:H2803)</f>
        <v>0</v>
      </c>
      <c r="I2804" s="16" cm="1">
        <f t="array" ref="I2804">SUM(I2802:I2803)</f>
        <v>0</v>
      </c>
    </row>
    <row r="2805" ht="20.35" customHeight="1">
      <c r="A2805" s="10">
        <v>45577</v>
      </c>
      <c r="B2805" t="s" s="11">
        <v>28</v>
      </c>
      <c r="C2805" t="s" s="12">
        <v>500</v>
      </c>
      <c r="D2805" s="17"/>
      <c r="E2805" s="17">
        <v>26400</v>
      </c>
      <c r="F2805" s="18"/>
      <c r="G2805" s="18"/>
      <c r="H2805" s="18"/>
      <c r="I2805" s="18"/>
    </row>
    <row r="2806" ht="20.05" customHeight="1">
      <c r="A2806" s="10">
        <v>45577</v>
      </c>
      <c r="B2806" t="s" s="11">
        <v>10</v>
      </c>
      <c r="C2806" t="s" s="12">
        <v>500</v>
      </c>
      <c r="D2806" s="19" cm="1">
        <f t="array" ref="D2806">26400*3/4</f>
        <v>19800</v>
      </c>
      <c r="E2806" s="19"/>
      <c r="F2806" s="20"/>
      <c r="G2806" s="20"/>
      <c r="H2806" s="20"/>
      <c r="I2806" s="20"/>
    </row>
    <row r="2807" ht="20.35" customHeight="1">
      <c r="A2807" s="10">
        <v>45577</v>
      </c>
      <c r="B2807" t="s" s="11">
        <v>12</v>
      </c>
      <c r="C2807" t="s" s="12">
        <v>500</v>
      </c>
      <c r="D2807" s="13" cm="1">
        <f t="array" ref="D2807">26400/4</f>
        <v>6600</v>
      </c>
      <c r="E2807" s="13"/>
      <c r="F2807" s="14"/>
      <c r="G2807" s="14"/>
      <c r="H2807" s="14"/>
      <c r="I2807" s="14"/>
    </row>
    <row r="2808" ht="20.7" customHeight="1">
      <c r="A2808" s="10">
        <v>45577</v>
      </c>
      <c r="B2808" t="s" s="11">
        <v>8</v>
      </c>
      <c r="C2808" t="s" s="12">
        <v>8</v>
      </c>
      <c r="D2808" s="15" cm="1">
        <f t="array" ref="D2808">SUM(D2805:D2807)</f>
        <v>26400</v>
      </c>
      <c r="E2808" s="15" cm="1">
        <f t="array" ref="E2808">SUM(E2805:E2807)</f>
        <v>26400</v>
      </c>
      <c r="F2808" s="16" cm="1">
        <f t="array" ref="F2808">SUM(F2805:F2807)</f>
        <v>0</v>
      </c>
      <c r="G2808" s="16" cm="1">
        <f t="array" ref="G2808">SUM(G2805:G2807)</f>
        <v>0</v>
      </c>
      <c r="H2808" s="16" cm="1">
        <f t="array" ref="H2808">SUM(H2805:H2807)</f>
        <v>0</v>
      </c>
      <c r="I2808" s="16" cm="1">
        <f t="array" ref="I2808">SUM(I2805:I2807)</f>
        <v>0</v>
      </c>
    </row>
    <row r="2809" ht="20.35" customHeight="1">
      <c r="A2809" s="10">
        <v>45578</v>
      </c>
      <c r="B2809" t="s" s="11">
        <v>107</v>
      </c>
      <c r="C2809" t="s" s="12">
        <v>96</v>
      </c>
      <c r="D2809" s="17"/>
      <c r="E2809" s="17">
        <v>6500</v>
      </c>
      <c r="F2809" s="18"/>
      <c r="G2809" s="18"/>
      <c r="H2809" s="18"/>
      <c r="I2809" s="18"/>
    </row>
    <row r="2810" ht="20.35" customHeight="1">
      <c r="A2810" s="10">
        <v>45578</v>
      </c>
      <c r="B2810" t="s" s="11">
        <v>5</v>
      </c>
      <c r="C2810" t="s" s="12">
        <v>96</v>
      </c>
      <c r="D2810" s="13">
        <v>6500</v>
      </c>
      <c r="E2810" s="13"/>
      <c r="F2810" s="14"/>
      <c r="G2810" s="14"/>
      <c r="H2810" s="14"/>
      <c r="I2810" s="14"/>
    </row>
    <row r="2811" ht="20.7" customHeight="1">
      <c r="A2811" s="10">
        <v>45578</v>
      </c>
      <c r="B2811" t="s" s="11">
        <v>8</v>
      </c>
      <c r="C2811" t="s" s="12">
        <v>8</v>
      </c>
      <c r="D2811" s="15" cm="1">
        <f t="array" ref="D2811">SUM(D2809:D2810)</f>
        <v>6500</v>
      </c>
      <c r="E2811" s="15" cm="1">
        <f t="array" ref="E2811">SUM(E2809:E2810)</f>
        <v>6500</v>
      </c>
      <c r="F2811" s="16" cm="1">
        <f t="array" ref="F2811">SUM(F2809:F2810)</f>
        <v>0</v>
      </c>
      <c r="G2811" s="16" cm="1">
        <f t="array" ref="G2811">SUM(G2809:G2810)</f>
        <v>0</v>
      </c>
      <c r="H2811" s="16" cm="1">
        <f t="array" ref="H2811">SUM(H2809:H2810)</f>
        <v>0</v>
      </c>
      <c r="I2811" s="16" cm="1">
        <f t="array" ref="I2811">SUM(I2809:I2810)</f>
        <v>0</v>
      </c>
    </row>
    <row r="2812" ht="20.35" customHeight="1">
      <c r="A2812" s="10">
        <v>45578</v>
      </c>
      <c r="B2812" t="s" s="11">
        <v>5</v>
      </c>
      <c r="C2812" t="s" s="12">
        <v>96</v>
      </c>
      <c r="D2812" s="17">
        <v>190009</v>
      </c>
      <c r="E2812" s="17"/>
      <c r="F2812" s="18"/>
      <c r="G2812" s="18"/>
      <c r="H2812" s="18"/>
      <c r="I2812" s="18"/>
    </row>
    <row r="2813" ht="20.05" customHeight="1">
      <c r="A2813" s="10">
        <v>45578</v>
      </c>
      <c r="B2813" t="s" s="11">
        <v>7</v>
      </c>
      <c r="C2813" t="s" s="12">
        <v>96</v>
      </c>
      <c r="D2813" s="19"/>
      <c r="E2813" s="19">
        <v>9</v>
      </c>
      <c r="F2813" s="20"/>
      <c r="G2813" s="20"/>
      <c r="H2813" s="20"/>
      <c r="I2813" s="20"/>
    </row>
    <row r="2814" ht="20.05" customHeight="1">
      <c r="A2814" s="10">
        <v>45578</v>
      </c>
      <c r="B2814" t="s" s="11">
        <v>261</v>
      </c>
      <c r="C2814" t="s" s="12">
        <v>96</v>
      </c>
      <c r="D2814" s="23"/>
      <c r="E2814" s="19">
        <v>82000</v>
      </c>
      <c r="F2814" s="20"/>
      <c r="G2814" s="20"/>
      <c r="H2814" s="20"/>
      <c r="I2814" s="20"/>
    </row>
    <row r="2815" ht="20.05" customHeight="1">
      <c r="A2815" s="10">
        <v>45578</v>
      </c>
      <c r="B2815" t="s" s="11">
        <v>258</v>
      </c>
      <c r="C2815" t="s" s="12">
        <v>96</v>
      </c>
      <c r="D2815" s="23"/>
      <c r="E2815" s="19">
        <v>36000</v>
      </c>
      <c r="F2815" s="20"/>
      <c r="G2815" s="20"/>
      <c r="H2815" s="20"/>
      <c r="I2815" s="20"/>
    </row>
    <row r="2816" ht="20.05" customHeight="1">
      <c r="A2816" s="10">
        <v>45578</v>
      </c>
      <c r="B2816" t="s" s="11">
        <v>257</v>
      </c>
      <c r="C2816" t="s" s="12">
        <v>96</v>
      </c>
      <c r="D2816" s="23"/>
      <c r="E2816" s="19">
        <v>15098</v>
      </c>
      <c r="F2816" s="20"/>
      <c r="G2816" s="20"/>
      <c r="H2816" s="20"/>
      <c r="I2816" s="20"/>
    </row>
    <row r="2817" ht="20.05" customHeight="1">
      <c r="A2817" s="10">
        <v>45578</v>
      </c>
      <c r="B2817" t="s" s="11">
        <v>72</v>
      </c>
      <c r="C2817" t="s" s="12">
        <v>96</v>
      </c>
      <c r="D2817" s="23"/>
      <c r="E2817" s="19">
        <v>13684</v>
      </c>
      <c r="F2817" s="20"/>
      <c r="G2817" s="20"/>
      <c r="H2817" s="20"/>
      <c r="I2817" s="20"/>
    </row>
    <row r="2818" ht="20.05" customHeight="1">
      <c r="A2818" s="10">
        <v>45578</v>
      </c>
      <c r="B2818" t="s" s="11">
        <v>255</v>
      </c>
      <c r="C2818" t="s" s="12">
        <v>96</v>
      </c>
      <c r="D2818" s="23"/>
      <c r="E2818" s="19">
        <v>1200</v>
      </c>
      <c r="F2818" s="20"/>
      <c r="G2818" s="20"/>
      <c r="H2818" s="20"/>
      <c r="I2818" s="20"/>
    </row>
    <row r="2819" ht="20.35" customHeight="1">
      <c r="A2819" s="10">
        <v>45578</v>
      </c>
      <c r="B2819" t="s" s="11">
        <v>259</v>
      </c>
      <c r="C2819" t="s" s="12">
        <v>96</v>
      </c>
      <c r="D2819" s="21"/>
      <c r="E2819" s="13">
        <v>42018</v>
      </c>
      <c r="F2819" s="14"/>
      <c r="G2819" s="14"/>
      <c r="H2819" s="14"/>
      <c r="I2819" s="14"/>
    </row>
    <row r="2820" ht="20.7" customHeight="1">
      <c r="A2820" s="10">
        <v>45578</v>
      </c>
      <c r="B2820" t="s" s="11">
        <v>8</v>
      </c>
      <c r="C2820" t="s" s="12">
        <v>8</v>
      </c>
      <c r="D2820" s="15" cm="1">
        <f t="array" ref="D2820">SUM(D2812:D2819)</f>
        <v>190009</v>
      </c>
      <c r="E2820" s="15" cm="1">
        <f t="array" ref="E2820">SUM(E2812:E2819)</f>
        <v>190009</v>
      </c>
      <c r="F2820" s="16" cm="1">
        <f t="array" ref="F2820">SUM(F2812:F2819)</f>
        <v>0</v>
      </c>
      <c r="G2820" s="16" cm="1">
        <f t="array" ref="G2820">SUM(G2812:G2819)</f>
        <v>0</v>
      </c>
      <c r="H2820" s="16" cm="1">
        <f t="array" ref="H2820">SUM(H2812:H2819)</f>
        <v>0</v>
      </c>
      <c r="I2820" s="16" cm="1">
        <f t="array" ref="I2820">SUM(I2812:I2819)</f>
        <v>0</v>
      </c>
    </row>
    <row r="2821" ht="20.35" customHeight="1">
      <c r="A2821" s="10">
        <v>45578</v>
      </c>
      <c r="B2821" t="s" s="11">
        <v>5</v>
      </c>
      <c r="C2821" t="s" s="12">
        <v>501</v>
      </c>
      <c r="D2821" s="17"/>
      <c r="E2821" s="17">
        <v>33700</v>
      </c>
      <c r="F2821" s="18"/>
      <c r="G2821" s="18"/>
      <c r="H2821" s="18"/>
      <c r="I2821" s="18"/>
    </row>
    <row r="2822" ht="20.05" customHeight="1">
      <c r="A2822" s="10">
        <v>45578</v>
      </c>
      <c r="B2822" t="s" s="11">
        <v>89</v>
      </c>
      <c r="C2822" t="s" s="12">
        <v>501</v>
      </c>
      <c r="D2822" s="19">
        <v>17000</v>
      </c>
      <c r="E2822" s="19"/>
      <c r="F2822" s="20"/>
      <c r="G2822" s="20"/>
      <c r="H2822" s="20"/>
      <c r="I2822" s="20"/>
    </row>
    <row r="2823" ht="20.35" customHeight="1">
      <c r="A2823" s="10">
        <v>45578</v>
      </c>
      <c r="B2823" t="s" s="11">
        <v>12</v>
      </c>
      <c r="C2823" t="s" s="12">
        <v>501</v>
      </c>
      <c r="D2823" s="13">
        <v>16700</v>
      </c>
      <c r="E2823" s="13"/>
      <c r="F2823" s="14"/>
      <c r="G2823" s="14"/>
      <c r="H2823" s="14"/>
      <c r="I2823" s="14"/>
    </row>
    <row r="2824" ht="20.7" customHeight="1">
      <c r="A2824" s="10">
        <v>45578</v>
      </c>
      <c r="B2824" t="s" s="11">
        <v>8</v>
      </c>
      <c r="C2824" t="s" s="12">
        <v>8</v>
      </c>
      <c r="D2824" s="15" cm="1">
        <f t="array" ref="D2824">SUM(D2821:D2823)</f>
        <v>33700</v>
      </c>
      <c r="E2824" s="15" cm="1">
        <f t="array" ref="E2824">SUM(E2821:E2823)</f>
        <v>33700</v>
      </c>
      <c r="F2824" s="16" cm="1">
        <f t="array" ref="F2824">SUM(F2821:F2823)</f>
        <v>0</v>
      </c>
      <c r="G2824" s="16" cm="1">
        <f t="array" ref="G2824">SUM(G2821:G2823)</f>
        <v>0</v>
      </c>
      <c r="H2824" s="16" cm="1">
        <f t="array" ref="H2824">SUM(H2821:H2823)</f>
        <v>0</v>
      </c>
      <c r="I2824" s="16" cm="1">
        <f t="array" ref="I2824">SUM(I2821:I2823)</f>
        <v>0</v>
      </c>
    </row>
    <row r="2825" ht="21.25" customHeight="1">
      <c r="A2825" s="10">
        <v>45578</v>
      </c>
      <c r="B2825" t="s" s="11">
        <v>5</v>
      </c>
      <c r="C2825" t="s" s="12">
        <v>502</v>
      </c>
      <c r="D2825" s="24"/>
      <c r="E2825" s="17">
        <v>75490</v>
      </c>
      <c r="F2825" s="18"/>
      <c r="G2825" s="18"/>
      <c r="H2825" s="18"/>
      <c r="I2825" s="18"/>
    </row>
    <row r="2826" ht="21.25" customHeight="1">
      <c r="A2826" s="10">
        <v>45578</v>
      </c>
      <c r="B2826" t="s" s="11">
        <v>86</v>
      </c>
      <c r="C2826" t="s" s="12">
        <v>502</v>
      </c>
      <c r="D2826" s="13">
        <v>75490</v>
      </c>
      <c r="E2826" s="13"/>
      <c r="F2826" s="14"/>
      <c r="G2826" s="14"/>
      <c r="H2826" s="14"/>
      <c r="I2826" s="14"/>
    </row>
    <row r="2827" ht="20.7" customHeight="1">
      <c r="A2827" s="10">
        <v>45578</v>
      </c>
      <c r="B2827" t="s" s="11">
        <v>8</v>
      </c>
      <c r="C2827" t="s" s="12">
        <v>8</v>
      </c>
      <c r="D2827" s="15" cm="1">
        <f t="array" ref="D2827">SUM(D2825:D2826)</f>
        <v>75490</v>
      </c>
      <c r="E2827" s="15" cm="1">
        <f t="array" ref="E2827">SUM(E2825:E2826)</f>
        <v>75490</v>
      </c>
      <c r="F2827" s="16" cm="1">
        <f t="array" ref="F2827">SUM(F2825:F2826)</f>
        <v>0</v>
      </c>
      <c r="G2827" s="16" cm="1">
        <f t="array" ref="G2827">SUM(G2825:G2826)</f>
        <v>0</v>
      </c>
      <c r="H2827" s="16" cm="1">
        <f t="array" ref="H2827">SUM(H2825:H2826)</f>
        <v>0</v>
      </c>
      <c r="I2827" s="16" cm="1">
        <f t="array" ref="I2827">SUM(I2825:I2826)</f>
        <v>0</v>
      </c>
    </row>
    <row r="2828" ht="20.35" customHeight="1">
      <c r="A2828" s="10">
        <v>45578</v>
      </c>
      <c r="B2828" t="s" s="11">
        <v>5</v>
      </c>
      <c r="C2828" t="s" s="12">
        <v>468</v>
      </c>
      <c r="D2828" s="17"/>
      <c r="E2828" s="17">
        <v>11800</v>
      </c>
      <c r="F2828" s="18"/>
      <c r="G2828" s="18"/>
      <c r="H2828" s="18"/>
      <c r="I2828" s="18"/>
    </row>
    <row r="2829" ht="20.05" customHeight="1">
      <c r="A2829" s="10">
        <v>45578</v>
      </c>
      <c r="B2829" t="s" s="11">
        <v>12</v>
      </c>
      <c r="C2829" t="s" s="12">
        <v>468</v>
      </c>
      <c r="D2829" s="19" cm="1">
        <f t="array" ref="D2829">11800/4</f>
        <v>2950</v>
      </c>
      <c r="E2829" s="19"/>
      <c r="F2829" s="20"/>
      <c r="G2829" s="20"/>
      <c r="H2829" s="20"/>
      <c r="I2829" s="20"/>
    </row>
    <row r="2830" ht="20.35" customHeight="1">
      <c r="A2830" s="10">
        <v>45578</v>
      </c>
      <c r="B2830" t="s" s="11">
        <v>10</v>
      </c>
      <c r="C2830" t="s" s="12">
        <v>468</v>
      </c>
      <c r="D2830" s="13" cm="1">
        <f t="array" ref="D2830">11800*3/4</f>
        <v>8850</v>
      </c>
      <c r="E2830" s="13"/>
      <c r="F2830" s="14"/>
      <c r="G2830" s="14"/>
      <c r="H2830" s="14"/>
      <c r="I2830" s="14"/>
    </row>
    <row r="2831" ht="20.7" customHeight="1">
      <c r="A2831" s="10">
        <v>45578</v>
      </c>
      <c r="B2831" t="s" s="11">
        <v>8</v>
      </c>
      <c r="C2831" t="s" s="12">
        <v>8</v>
      </c>
      <c r="D2831" s="15" cm="1">
        <f t="array" ref="D2831">SUM(D2828:D2830)</f>
        <v>11800</v>
      </c>
      <c r="E2831" s="15" cm="1">
        <f t="array" ref="E2831">SUM(E2828:E2830)</f>
        <v>11800</v>
      </c>
      <c r="F2831" s="16" cm="1">
        <f t="array" ref="F2831">SUM(F2828:F2830)</f>
        <v>0</v>
      </c>
      <c r="G2831" s="16" cm="1">
        <f t="array" ref="G2831">SUM(G2828:G2830)</f>
        <v>0</v>
      </c>
      <c r="H2831" s="16" cm="1">
        <f t="array" ref="H2831">SUM(H2828:H2830)</f>
        <v>0</v>
      </c>
      <c r="I2831" s="16" cm="1">
        <f t="array" ref="I2831">SUM(I2828:I2830)</f>
        <v>0</v>
      </c>
    </row>
    <row r="2832" ht="21.25" customHeight="1">
      <c r="A2832" s="10">
        <v>45578</v>
      </c>
      <c r="B2832" t="s" s="11">
        <v>5</v>
      </c>
      <c r="C2832" t="s" s="12">
        <v>503</v>
      </c>
      <c r="D2832" s="17">
        <v>10000</v>
      </c>
      <c r="E2832" s="17"/>
      <c r="F2832" s="18"/>
      <c r="G2832" s="18"/>
      <c r="H2832" s="18"/>
      <c r="I2832" s="18"/>
    </row>
    <row r="2833" ht="21.25" customHeight="1">
      <c r="A2833" s="10">
        <v>45578</v>
      </c>
      <c r="B2833" t="s" s="11">
        <v>255</v>
      </c>
      <c r="C2833" t="s" s="12">
        <v>503</v>
      </c>
      <c r="D2833" s="13"/>
      <c r="E2833" s="13">
        <v>10000</v>
      </c>
      <c r="F2833" s="14"/>
      <c r="G2833" s="14"/>
      <c r="H2833" s="14"/>
      <c r="I2833" s="14"/>
    </row>
    <row r="2834" ht="20.7" customHeight="1">
      <c r="A2834" s="10">
        <v>45578</v>
      </c>
      <c r="B2834" t="s" s="11">
        <v>8</v>
      </c>
      <c r="C2834" t="s" s="12">
        <v>8</v>
      </c>
      <c r="D2834" s="15" cm="1">
        <f t="array" ref="D2834">SUM(D2832:D2833)</f>
        <v>10000</v>
      </c>
      <c r="E2834" s="15" cm="1">
        <f t="array" ref="E2834">SUM(E2832:E2833)</f>
        <v>10000</v>
      </c>
      <c r="F2834" s="16" cm="1">
        <f t="array" ref="F2834">SUM(F2832:F2833)</f>
        <v>0</v>
      </c>
      <c r="G2834" s="16" cm="1">
        <f t="array" ref="G2834">SUM(G2832:G2833)</f>
        <v>0</v>
      </c>
      <c r="H2834" s="16" cm="1">
        <f t="array" ref="H2834">SUM(H2832:H2833)</f>
        <v>0</v>
      </c>
      <c r="I2834" s="16" cm="1">
        <f t="array" ref="I2834">SUM(I2832:I2833)</f>
        <v>0</v>
      </c>
    </row>
    <row r="2835" ht="20.65" customHeight="1">
      <c r="A2835" s="10">
        <v>45578</v>
      </c>
      <c r="B2835" t="s" s="11">
        <v>5</v>
      </c>
      <c r="C2835" t="s" s="12">
        <v>504</v>
      </c>
      <c r="D2835" s="17"/>
      <c r="E2835" s="17">
        <v>84000</v>
      </c>
      <c r="F2835" s="18"/>
      <c r="G2835" s="18"/>
      <c r="H2835" s="18"/>
      <c r="I2835" s="18"/>
    </row>
    <row r="2836" ht="20.35" customHeight="1">
      <c r="A2836" s="10">
        <v>45578</v>
      </c>
      <c r="B2836" t="s" s="11">
        <v>12</v>
      </c>
      <c r="C2836" t="s" s="12">
        <v>504</v>
      </c>
      <c r="D2836" s="19">
        <v>21000</v>
      </c>
      <c r="E2836" s="19"/>
      <c r="F2836" s="20"/>
      <c r="G2836" s="20"/>
      <c r="H2836" s="20"/>
      <c r="I2836" s="20"/>
    </row>
    <row r="2837" ht="20.65" customHeight="1">
      <c r="A2837" s="10">
        <v>45578</v>
      </c>
      <c r="B2837" t="s" s="11">
        <v>10</v>
      </c>
      <c r="C2837" t="s" s="12">
        <v>504</v>
      </c>
      <c r="D2837" s="13">
        <v>63000</v>
      </c>
      <c r="E2837" s="13"/>
      <c r="F2837" s="14"/>
      <c r="G2837" s="14"/>
      <c r="H2837" s="14"/>
      <c r="I2837" s="14"/>
    </row>
    <row r="2838" ht="20.7" customHeight="1">
      <c r="A2838" s="10">
        <v>45578</v>
      </c>
      <c r="B2838" t="s" s="11">
        <v>8</v>
      </c>
      <c r="C2838" t="s" s="12">
        <v>8</v>
      </c>
      <c r="D2838" s="15" cm="1">
        <f t="array" ref="D2838">SUM(D2835:D2837)</f>
        <v>84000</v>
      </c>
      <c r="E2838" s="15" cm="1">
        <f t="array" ref="E2838">SUM(E2835:E2837)</f>
        <v>84000</v>
      </c>
      <c r="F2838" s="16" cm="1">
        <f t="array" ref="F2838">SUM(F2835:F2837)</f>
        <v>0</v>
      </c>
      <c r="G2838" s="16" cm="1">
        <f t="array" ref="G2838">SUM(G2835:G2837)</f>
        <v>0</v>
      </c>
      <c r="H2838" s="16" cm="1">
        <f t="array" ref="H2838">SUM(H2835:H2837)</f>
        <v>0</v>
      </c>
      <c r="I2838" s="16" cm="1">
        <f t="array" ref="I2838">SUM(I2835:I2837)</f>
        <v>0</v>
      </c>
    </row>
    <row r="2839" ht="20.65" customHeight="1">
      <c r="A2839" s="10">
        <v>45578</v>
      </c>
      <c r="B2839" t="s" s="11">
        <v>5</v>
      </c>
      <c r="C2839" t="s" s="12">
        <v>505</v>
      </c>
      <c r="D2839" s="17"/>
      <c r="E2839" s="17">
        <v>5300</v>
      </c>
      <c r="F2839" s="18"/>
      <c r="G2839" s="18"/>
      <c r="H2839" s="18"/>
      <c r="I2839" s="18"/>
    </row>
    <row r="2840" ht="20.65" customHeight="1">
      <c r="A2840" s="10">
        <v>45578</v>
      </c>
      <c r="B2840" t="s" s="11">
        <v>12</v>
      </c>
      <c r="C2840" t="s" s="12">
        <v>505</v>
      </c>
      <c r="D2840" s="13">
        <v>5300</v>
      </c>
      <c r="E2840" s="13"/>
      <c r="F2840" s="14"/>
      <c r="G2840" s="14"/>
      <c r="H2840" s="14"/>
      <c r="I2840" s="14"/>
    </row>
    <row r="2841" ht="20.7" customHeight="1">
      <c r="A2841" s="10">
        <v>45578</v>
      </c>
      <c r="B2841" t="s" s="11">
        <v>8</v>
      </c>
      <c r="C2841" t="s" s="12">
        <v>8</v>
      </c>
      <c r="D2841" s="15" cm="1">
        <f t="array" ref="D2841">SUM(D2839:D2840)</f>
        <v>5300</v>
      </c>
      <c r="E2841" s="15" cm="1">
        <f t="array" ref="E2841">SUM(E2839:E2840)</f>
        <v>5300</v>
      </c>
      <c r="F2841" s="16" cm="1">
        <f t="array" ref="F2841">SUM(F2839:F2840)</f>
        <v>0</v>
      </c>
      <c r="G2841" s="16" cm="1">
        <f t="array" ref="G2841">SUM(G2839:G2840)</f>
        <v>0</v>
      </c>
      <c r="H2841" s="16" cm="1">
        <f t="array" ref="H2841">SUM(H2839:H2840)</f>
        <v>0</v>
      </c>
      <c r="I2841" s="16" cm="1">
        <f t="array" ref="I2841">SUM(I2839:I2840)</f>
        <v>0</v>
      </c>
    </row>
    <row r="2842" ht="20.35" customHeight="1">
      <c r="A2842" s="10">
        <v>45578</v>
      </c>
      <c r="B2842" t="s" s="11">
        <v>5</v>
      </c>
      <c r="C2842" t="s" s="12">
        <v>17</v>
      </c>
      <c r="D2842" s="17">
        <v>100</v>
      </c>
      <c r="E2842" s="17"/>
      <c r="F2842" s="18"/>
      <c r="G2842" s="18"/>
      <c r="H2842" s="18"/>
      <c r="I2842" s="18"/>
    </row>
    <row r="2843" ht="20.35" customHeight="1">
      <c r="A2843" s="10">
        <v>45578</v>
      </c>
      <c r="B2843" t="s" s="11">
        <v>18</v>
      </c>
      <c r="C2843" t="s" s="12">
        <v>17</v>
      </c>
      <c r="D2843" s="13"/>
      <c r="E2843" s="13">
        <v>100</v>
      </c>
      <c r="F2843" s="14"/>
      <c r="G2843" s="14"/>
      <c r="H2843" s="14"/>
      <c r="I2843" s="14"/>
    </row>
    <row r="2844" ht="20.7" customHeight="1">
      <c r="A2844" s="10">
        <v>45578</v>
      </c>
      <c r="B2844" t="s" s="11">
        <v>8</v>
      </c>
      <c r="C2844" t="s" s="12">
        <v>8</v>
      </c>
      <c r="D2844" s="15" cm="1">
        <f t="array" ref="D2844">SUM(D2842:D2843)</f>
        <v>100</v>
      </c>
      <c r="E2844" s="15" cm="1">
        <f t="array" ref="E2844">SUM(E2842:E2843)</f>
        <v>100</v>
      </c>
      <c r="F2844" s="16" cm="1">
        <f t="array" ref="F2844">SUM(F2842:F2843)</f>
        <v>0</v>
      </c>
      <c r="G2844" s="16" cm="1">
        <f t="array" ref="G2844">SUM(G2842:G2843)</f>
        <v>0</v>
      </c>
      <c r="H2844" s="16" cm="1">
        <f t="array" ref="H2844">SUM(H2842:H2843)</f>
        <v>0</v>
      </c>
      <c r="I2844" s="16" cm="1">
        <f t="array" ref="I2844">SUM(I2842:I2843)</f>
        <v>0</v>
      </c>
    </row>
    <row r="2845" ht="20.35" customHeight="1">
      <c r="A2845" s="10">
        <v>45578</v>
      </c>
      <c r="B2845" t="s" s="11">
        <v>21</v>
      </c>
      <c r="C2845" t="s" s="12">
        <v>506</v>
      </c>
      <c r="D2845" s="17">
        <v>82667</v>
      </c>
      <c r="E2845" s="24"/>
      <c r="F2845" s="18"/>
      <c r="G2845" s="18"/>
      <c r="H2845" s="18"/>
      <c r="I2845" s="18"/>
    </row>
    <row r="2846" ht="20.35" customHeight="1">
      <c r="A2846" s="10">
        <v>45578</v>
      </c>
      <c r="B2846" t="s" s="11">
        <v>91</v>
      </c>
      <c r="C2846" t="s" s="12">
        <v>506</v>
      </c>
      <c r="D2846" s="21"/>
      <c r="E2846" s="13">
        <v>82667</v>
      </c>
      <c r="F2846" s="14"/>
      <c r="G2846" s="14"/>
      <c r="H2846" s="14"/>
      <c r="I2846" s="14"/>
    </row>
    <row r="2847" ht="20.7" customHeight="1">
      <c r="A2847" s="10">
        <v>45578</v>
      </c>
      <c r="B2847" t="s" s="11">
        <v>8</v>
      </c>
      <c r="C2847" t="s" s="12">
        <v>8</v>
      </c>
      <c r="D2847" s="15" cm="1">
        <f t="array" ref="D2847">SUM(D2845:D2846)</f>
        <v>82667</v>
      </c>
      <c r="E2847" s="15" cm="1">
        <f t="array" ref="E2847">SUM(E2845:E2846)</f>
        <v>82667</v>
      </c>
      <c r="F2847" s="16" cm="1">
        <f t="array" ref="F2847">SUM(F2845:F2846)</f>
        <v>0</v>
      </c>
      <c r="G2847" s="16" cm="1">
        <f t="array" ref="G2847">SUM(G2845:G2846)</f>
        <v>0</v>
      </c>
      <c r="H2847" s="16" cm="1">
        <f t="array" ref="H2847">SUM(H2845:H2846)</f>
        <v>0</v>
      </c>
      <c r="I2847" s="16" cm="1">
        <f t="array" ref="I2847">SUM(I2845:I2846)</f>
        <v>0</v>
      </c>
    </row>
    <row r="2848" ht="21.25" customHeight="1">
      <c r="A2848" s="10">
        <v>45578</v>
      </c>
      <c r="B2848" t="s" s="11">
        <v>5</v>
      </c>
      <c r="C2848" t="s" s="12">
        <v>507</v>
      </c>
      <c r="D2848" s="17">
        <v>67</v>
      </c>
      <c r="E2848" s="17"/>
      <c r="F2848" s="18"/>
      <c r="G2848" s="18"/>
      <c r="H2848" s="18"/>
      <c r="I2848" s="18"/>
    </row>
    <row r="2849" ht="21.25" customHeight="1">
      <c r="A2849" s="10">
        <v>45578</v>
      </c>
      <c r="B2849" t="s" s="11">
        <v>7</v>
      </c>
      <c r="C2849" t="s" s="12">
        <v>507</v>
      </c>
      <c r="D2849" s="13"/>
      <c r="E2849" s="13">
        <v>67</v>
      </c>
      <c r="F2849" s="14"/>
      <c r="G2849" s="14"/>
      <c r="H2849" s="14"/>
      <c r="I2849" s="14"/>
    </row>
    <row r="2850" ht="20.7" customHeight="1">
      <c r="A2850" s="10">
        <v>45578</v>
      </c>
      <c r="B2850" t="s" s="11">
        <v>8</v>
      </c>
      <c r="C2850" t="s" s="12">
        <v>8</v>
      </c>
      <c r="D2850" s="15" cm="1">
        <f t="array" ref="D2850">SUM(D2848:D2849)</f>
        <v>67</v>
      </c>
      <c r="E2850" s="15" cm="1">
        <f t="array" ref="E2850">SUM(E2848:E2849)</f>
        <v>67</v>
      </c>
      <c r="F2850" s="16" cm="1">
        <f t="array" ref="F2850">SUM(F2848:F2849)</f>
        <v>0</v>
      </c>
      <c r="G2850" s="16" cm="1">
        <f t="array" ref="G2850">SUM(G2848:G2849)</f>
        <v>0</v>
      </c>
      <c r="H2850" s="16" cm="1">
        <f t="array" ref="H2850">SUM(H2848:H2849)</f>
        <v>0</v>
      </c>
      <c r="I2850" s="16" cm="1">
        <f t="array" ref="I2850">SUM(I2848:I2849)</f>
        <v>0</v>
      </c>
    </row>
    <row r="2851" ht="20.35" customHeight="1">
      <c r="A2851" s="10">
        <v>45578</v>
      </c>
      <c r="B2851" t="s" s="11">
        <v>436</v>
      </c>
      <c r="C2851" t="s" s="12">
        <v>96</v>
      </c>
      <c r="D2851" s="17"/>
      <c r="E2851" s="17">
        <v>9026</v>
      </c>
      <c r="F2851" s="18"/>
      <c r="G2851" s="18"/>
      <c r="H2851" s="18"/>
      <c r="I2851" s="18"/>
    </row>
    <row r="2852" ht="20.35" customHeight="1">
      <c r="A2852" s="10">
        <v>45578</v>
      </c>
      <c r="B2852" t="s" s="11">
        <v>5</v>
      </c>
      <c r="C2852" t="s" s="12">
        <v>96</v>
      </c>
      <c r="D2852" s="13">
        <v>9026</v>
      </c>
      <c r="E2852" s="13"/>
      <c r="F2852" s="14"/>
      <c r="G2852" s="14"/>
      <c r="H2852" s="14"/>
      <c r="I2852" s="14"/>
    </row>
    <row r="2853" ht="20.7" customHeight="1">
      <c r="A2853" s="10">
        <v>45578</v>
      </c>
      <c r="B2853" t="s" s="11">
        <v>8</v>
      </c>
      <c r="C2853" t="s" s="12">
        <v>8</v>
      </c>
      <c r="D2853" s="15" cm="1">
        <f t="array" ref="D2853">SUM(D2851:D2852)</f>
        <v>9026</v>
      </c>
      <c r="E2853" s="15" cm="1">
        <f t="array" ref="E2853">SUM(E2851:E2852)</f>
        <v>9026</v>
      </c>
      <c r="F2853" s="16" cm="1">
        <f t="array" ref="F2853">SUM(F2851:F2852)</f>
        <v>0</v>
      </c>
      <c r="G2853" s="16" cm="1">
        <f t="array" ref="G2853">SUM(G2851:G2852)</f>
        <v>0</v>
      </c>
      <c r="H2853" s="16" cm="1">
        <f t="array" ref="H2853">SUM(H2851:H2852)</f>
        <v>0</v>
      </c>
      <c r="I2853" s="16" cm="1">
        <f t="array" ref="I2853">SUM(I2851:I2852)</f>
        <v>0</v>
      </c>
    </row>
    <row r="2854" ht="20.35" customHeight="1">
      <c r="A2854" s="10">
        <v>45578</v>
      </c>
      <c r="B2854" t="s" s="11">
        <v>12</v>
      </c>
      <c r="C2854" t="s" s="12">
        <v>19</v>
      </c>
      <c r="D2854" s="17">
        <v>8700</v>
      </c>
      <c r="E2854" s="17"/>
      <c r="F2854" s="18"/>
      <c r="G2854" s="18"/>
      <c r="H2854" s="18"/>
      <c r="I2854" s="18"/>
    </row>
    <row r="2855" ht="20.35" customHeight="1">
      <c r="A2855" s="10">
        <v>45578</v>
      </c>
      <c r="B2855" t="s" s="11">
        <v>5</v>
      </c>
      <c r="C2855" t="s" s="12">
        <v>19</v>
      </c>
      <c r="D2855" s="13"/>
      <c r="E2855" s="13">
        <v>8700</v>
      </c>
      <c r="F2855" s="14"/>
      <c r="G2855" s="14"/>
      <c r="H2855" s="14"/>
      <c r="I2855" s="14"/>
    </row>
    <row r="2856" ht="20.7" customHeight="1">
      <c r="A2856" s="10">
        <v>45578</v>
      </c>
      <c r="B2856" t="s" s="11">
        <v>8</v>
      </c>
      <c r="C2856" t="s" s="12">
        <v>8</v>
      </c>
      <c r="D2856" s="15" cm="1">
        <f t="array" ref="D2856">SUM(D2854:D2855)</f>
        <v>8700</v>
      </c>
      <c r="E2856" s="15" cm="1">
        <f t="array" ref="E2856">SUM(E2854:E2855)</f>
        <v>8700</v>
      </c>
      <c r="F2856" s="16" cm="1">
        <f t="array" ref="F2856">SUM(F2854:F2855)</f>
        <v>0</v>
      </c>
      <c r="G2856" s="16" cm="1">
        <f t="array" ref="G2856">SUM(G2854:G2855)</f>
        <v>0</v>
      </c>
      <c r="H2856" s="16" cm="1">
        <f t="array" ref="H2856">SUM(H2854:H2855)</f>
        <v>0</v>
      </c>
      <c r="I2856" s="16" cm="1">
        <f t="array" ref="I2856">SUM(I2854:I2855)</f>
        <v>0</v>
      </c>
    </row>
    <row r="2857" ht="20.35" customHeight="1">
      <c r="A2857" s="10">
        <v>45578</v>
      </c>
      <c r="B2857" t="s" s="11">
        <v>5</v>
      </c>
      <c r="C2857" t="s" s="12">
        <v>17</v>
      </c>
      <c r="D2857" s="17">
        <v>100</v>
      </c>
      <c r="E2857" s="17"/>
      <c r="F2857" s="18"/>
      <c r="G2857" s="18"/>
      <c r="H2857" s="18"/>
      <c r="I2857" s="18"/>
    </row>
    <row r="2858" ht="20.35" customHeight="1">
      <c r="A2858" s="10">
        <v>45578</v>
      </c>
      <c r="B2858" t="s" s="11">
        <v>18</v>
      </c>
      <c r="C2858" t="s" s="12">
        <v>17</v>
      </c>
      <c r="D2858" s="13"/>
      <c r="E2858" s="13">
        <v>100</v>
      </c>
      <c r="F2858" s="14"/>
      <c r="G2858" s="14"/>
      <c r="H2858" s="14"/>
      <c r="I2858" s="14"/>
    </row>
    <row r="2859" ht="20.7" customHeight="1">
      <c r="A2859" s="10">
        <v>45578</v>
      </c>
      <c r="B2859" t="s" s="11">
        <v>8</v>
      </c>
      <c r="C2859" t="s" s="12">
        <v>8</v>
      </c>
      <c r="D2859" s="15" cm="1">
        <f t="array" ref="D2859">SUM(D2857:D2858)</f>
        <v>100</v>
      </c>
      <c r="E2859" s="15" cm="1">
        <f t="array" ref="E2859">SUM(E2857:E2858)</f>
        <v>100</v>
      </c>
      <c r="F2859" s="16" cm="1">
        <f t="array" ref="F2859">SUM(F2857:F2858)</f>
        <v>0</v>
      </c>
      <c r="G2859" s="16" cm="1">
        <f t="array" ref="G2859">SUM(G2857:G2858)</f>
        <v>0</v>
      </c>
      <c r="H2859" s="16" cm="1">
        <f t="array" ref="H2859">SUM(H2857:H2858)</f>
        <v>0</v>
      </c>
      <c r="I2859" s="16" cm="1">
        <f t="array" ref="I2859">SUM(I2857:I2858)</f>
        <v>0</v>
      </c>
    </row>
    <row r="2860" ht="20.35" customHeight="1">
      <c r="A2860" s="10">
        <v>45579</v>
      </c>
      <c r="B2860" t="s" s="11">
        <v>12</v>
      </c>
      <c r="C2860" t="s" s="12">
        <v>468</v>
      </c>
      <c r="D2860" s="17">
        <v>5400</v>
      </c>
      <c r="E2860" s="17"/>
      <c r="F2860" s="18"/>
      <c r="G2860" s="18"/>
      <c r="H2860" s="18"/>
      <c r="I2860" s="18"/>
    </row>
    <row r="2861" ht="20.35" customHeight="1">
      <c r="A2861" s="10">
        <v>45579</v>
      </c>
      <c r="B2861" t="s" s="11">
        <v>5</v>
      </c>
      <c r="C2861" t="s" s="12">
        <v>468</v>
      </c>
      <c r="D2861" s="13"/>
      <c r="E2861" s="13">
        <v>5400</v>
      </c>
      <c r="F2861" s="14"/>
      <c r="G2861" s="14"/>
      <c r="H2861" s="14"/>
      <c r="I2861" s="14"/>
    </row>
    <row r="2862" ht="20.7" customHeight="1">
      <c r="A2862" s="10">
        <v>45579</v>
      </c>
      <c r="B2862" t="s" s="11">
        <v>8</v>
      </c>
      <c r="C2862" t="s" s="12">
        <v>8</v>
      </c>
      <c r="D2862" s="15" cm="1">
        <f t="array" ref="D2862">SUM(D2860:D2861)</f>
        <v>5400</v>
      </c>
      <c r="E2862" s="15" cm="1">
        <f t="array" ref="E2862">SUM(E2860:E2861)</f>
        <v>5400</v>
      </c>
      <c r="F2862" s="16" cm="1">
        <f t="array" ref="F2862">SUM(F2860:F2861)</f>
        <v>0</v>
      </c>
      <c r="G2862" s="16" cm="1">
        <f t="array" ref="G2862">SUM(G2860:G2861)</f>
        <v>0</v>
      </c>
      <c r="H2862" s="16" cm="1">
        <f t="array" ref="H2862">SUM(H2860:H2861)</f>
        <v>0</v>
      </c>
      <c r="I2862" s="16" cm="1">
        <f t="array" ref="I2862">SUM(I2860:I2861)</f>
        <v>0</v>
      </c>
    </row>
    <row r="2863" ht="20.35" customHeight="1">
      <c r="A2863" s="10">
        <v>45580</v>
      </c>
      <c r="B2863" t="s" s="11">
        <v>12</v>
      </c>
      <c r="C2863" t="s" s="12">
        <v>169</v>
      </c>
      <c r="D2863" s="17">
        <v>3000</v>
      </c>
      <c r="E2863" s="17"/>
      <c r="F2863" s="18"/>
      <c r="G2863" s="18"/>
      <c r="H2863" s="18"/>
      <c r="I2863" s="18"/>
    </row>
    <row r="2864" ht="20.35" customHeight="1">
      <c r="A2864" s="10">
        <v>45580</v>
      </c>
      <c r="B2864" t="s" s="11">
        <v>5</v>
      </c>
      <c r="C2864" t="s" s="12">
        <v>169</v>
      </c>
      <c r="D2864" s="13"/>
      <c r="E2864" s="13">
        <v>3000</v>
      </c>
      <c r="F2864" s="14"/>
      <c r="G2864" s="14"/>
      <c r="H2864" s="14"/>
      <c r="I2864" s="14"/>
    </row>
    <row r="2865" ht="20.7" customHeight="1">
      <c r="A2865" s="10">
        <v>45580</v>
      </c>
      <c r="B2865" t="s" s="11">
        <v>8</v>
      </c>
      <c r="C2865" t="s" s="12">
        <v>8</v>
      </c>
      <c r="D2865" s="15" cm="1">
        <f t="array" ref="D2865">SUM(D2863:D2864)</f>
        <v>3000</v>
      </c>
      <c r="E2865" s="15" cm="1">
        <f t="array" ref="E2865">SUM(E2863:E2864)</f>
        <v>3000</v>
      </c>
      <c r="F2865" s="16" cm="1">
        <f t="array" ref="F2865">SUM(F2863:F2864)</f>
        <v>0</v>
      </c>
      <c r="G2865" s="16" cm="1">
        <f t="array" ref="G2865">SUM(G2863:G2864)</f>
        <v>0</v>
      </c>
      <c r="H2865" s="16" cm="1">
        <f t="array" ref="H2865">SUM(H2863:H2864)</f>
        <v>0</v>
      </c>
      <c r="I2865" s="16" cm="1">
        <f t="array" ref="I2865">SUM(I2863:I2864)</f>
        <v>0</v>
      </c>
    </row>
    <row r="2866" ht="21.25" customHeight="1">
      <c r="A2866" s="10">
        <v>45581</v>
      </c>
      <c r="B2866" t="s" s="11">
        <v>21</v>
      </c>
      <c r="C2866" t="s" s="12">
        <v>508</v>
      </c>
      <c r="D2866" s="17"/>
      <c r="E2866" s="17">
        <v>2008440</v>
      </c>
      <c r="F2866" s="18"/>
      <c r="G2866" s="18"/>
      <c r="H2866" s="18"/>
      <c r="I2866" s="18"/>
    </row>
    <row r="2867" ht="21.25" customHeight="1">
      <c r="A2867" s="10">
        <v>45581</v>
      </c>
      <c r="B2867" t="s" s="11">
        <v>107</v>
      </c>
      <c r="C2867" t="s" s="12">
        <v>508</v>
      </c>
      <c r="D2867" s="13">
        <v>2008440</v>
      </c>
      <c r="E2867" s="13"/>
      <c r="F2867" s="14"/>
      <c r="G2867" s="14"/>
      <c r="H2867" s="14"/>
      <c r="I2867" s="14"/>
    </row>
    <row r="2868" ht="20.7" customHeight="1">
      <c r="A2868" s="10">
        <v>45581</v>
      </c>
      <c r="B2868" t="s" s="11">
        <v>8</v>
      </c>
      <c r="C2868" t="s" s="12">
        <v>8</v>
      </c>
      <c r="D2868" s="15" cm="1">
        <f t="array" ref="D2868">SUM(D2866:D2867)</f>
        <v>2008440</v>
      </c>
      <c r="E2868" s="15" cm="1">
        <f t="array" ref="E2868">SUM(E2866:E2867)</f>
        <v>2008440</v>
      </c>
      <c r="F2868" s="16" cm="1">
        <f t="array" ref="F2868">SUM(F2866:F2867)</f>
        <v>0</v>
      </c>
      <c r="G2868" s="16" cm="1">
        <f t="array" ref="G2868">SUM(G2866:G2867)</f>
        <v>0</v>
      </c>
      <c r="H2868" s="16" cm="1">
        <f t="array" ref="H2868">SUM(H2866:H2867)</f>
        <v>0</v>
      </c>
      <c r="I2868" s="16" cm="1">
        <f t="array" ref="I2868">SUM(I2866:I2867)</f>
        <v>0</v>
      </c>
    </row>
    <row r="2869" ht="20.35" customHeight="1">
      <c r="A2869" s="10">
        <v>45581</v>
      </c>
      <c r="B2869" t="s" s="11">
        <v>107</v>
      </c>
      <c r="C2869" t="s" s="12">
        <v>96</v>
      </c>
      <c r="D2869" s="17"/>
      <c r="E2869" s="17">
        <v>10000</v>
      </c>
      <c r="F2869" s="18"/>
      <c r="G2869" s="18"/>
      <c r="H2869" s="18"/>
      <c r="I2869" s="18"/>
    </row>
    <row r="2870" ht="20.35" customHeight="1">
      <c r="A2870" s="10">
        <v>45581</v>
      </c>
      <c r="B2870" t="s" s="11">
        <v>5</v>
      </c>
      <c r="C2870" t="s" s="12">
        <v>96</v>
      </c>
      <c r="D2870" s="13">
        <v>10000</v>
      </c>
      <c r="E2870" s="21"/>
      <c r="F2870" s="14"/>
      <c r="G2870" s="14"/>
      <c r="H2870" s="14"/>
      <c r="I2870" s="14"/>
    </row>
    <row r="2871" ht="20.7" customHeight="1">
      <c r="A2871" s="10">
        <v>45581</v>
      </c>
      <c r="B2871" t="s" s="11">
        <v>8</v>
      </c>
      <c r="C2871" t="s" s="12">
        <v>8</v>
      </c>
      <c r="D2871" s="15" cm="1">
        <f t="array" ref="D2871">SUM(D2869:D2870)</f>
        <v>10000</v>
      </c>
      <c r="E2871" s="15" cm="1">
        <f t="array" ref="E2871">SUM(E2869:E2870)</f>
        <v>10000</v>
      </c>
      <c r="F2871" s="16" cm="1">
        <f t="array" ref="F2871">SUM(F2869:F2870)</f>
        <v>0</v>
      </c>
      <c r="G2871" s="16" cm="1">
        <f t="array" ref="G2871">SUM(G2869:G2870)</f>
        <v>0</v>
      </c>
      <c r="H2871" s="16" cm="1">
        <f t="array" ref="H2871">SUM(H2869:H2870)</f>
        <v>0</v>
      </c>
      <c r="I2871" s="16" cm="1">
        <f t="array" ref="I2871">SUM(I2869:I2870)</f>
        <v>0</v>
      </c>
    </row>
    <row r="2872" ht="20.35" customHeight="1">
      <c r="A2872" s="10">
        <v>45581</v>
      </c>
      <c r="B2872" t="s" s="11">
        <v>12</v>
      </c>
      <c r="C2872" t="s" s="12">
        <v>169</v>
      </c>
      <c r="D2872" s="17">
        <v>5000</v>
      </c>
      <c r="E2872" s="17"/>
      <c r="F2872" s="18"/>
      <c r="G2872" s="18"/>
      <c r="H2872" s="18"/>
      <c r="I2872" s="18"/>
    </row>
    <row r="2873" ht="20.35" customHeight="1">
      <c r="A2873" s="10">
        <v>45581</v>
      </c>
      <c r="B2873" t="s" s="11">
        <v>5</v>
      </c>
      <c r="C2873" t="s" s="12">
        <v>169</v>
      </c>
      <c r="D2873" s="13"/>
      <c r="E2873" s="13">
        <v>5000</v>
      </c>
      <c r="F2873" s="14"/>
      <c r="G2873" s="14"/>
      <c r="H2873" s="14"/>
      <c r="I2873" s="14"/>
    </row>
    <row r="2874" ht="20.7" customHeight="1">
      <c r="A2874" s="10">
        <v>45581</v>
      </c>
      <c r="B2874" t="s" s="11">
        <v>8</v>
      </c>
      <c r="C2874" t="s" s="12">
        <v>8</v>
      </c>
      <c r="D2874" s="15" cm="1">
        <f t="array" ref="D2874">SUM(D2872:D2873)</f>
        <v>5000</v>
      </c>
      <c r="E2874" s="15" cm="1">
        <f t="array" ref="E2874">SUM(E2872:E2873)</f>
        <v>5000</v>
      </c>
      <c r="F2874" s="16" cm="1">
        <f t="array" ref="F2874">SUM(F2872:F2873)</f>
        <v>0</v>
      </c>
      <c r="G2874" s="16" cm="1">
        <f t="array" ref="G2874">SUM(G2872:G2873)</f>
        <v>0</v>
      </c>
      <c r="H2874" s="16" cm="1">
        <f t="array" ref="H2874">SUM(H2872:H2873)</f>
        <v>0</v>
      </c>
      <c r="I2874" s="16" cm="1">
        <f t="array" ref="I2874">SUM(I2872:I2873)</f>
        <v>0</v>
      </c>
    </row>
    <row r="2875" ht="20.35" customHeight="1">
      <c r="A2875" s="10">
        <v>45582</v>
      </c>
      <c r="B2875" t="s" s="11">
        <v>107</v>
      </c>
      <c r="C2875" t="s" s="12">
        <v>96</v>
      </c>
      <c r="D2875" s="17"/>
      <c r="E2875" s="17">
        <v>30000</v>
      </c>
      <c r="F2875" s="18"/>
      <c r="G2875" s="18"/>
      <c r="H2875" s="18"/>
      <c r="I2875" s="18"/>
    </row>
    <row r="2876" ht="20.35" customHeight="1">
      <c r="A2876" s="10">
        <v>45582</v>
      </c>
      <c r="B2876" t="s" s="11">
        <v>5</v>
      </c>
      <c r="C2876" t="s" s="12">
        <v>96</v>
      </c>
      <c r="D2876" s="13">
        <v>30000</v>
      </c>
      <c r="E2876" s="13"/>
      <c r="F2876" s="14"/>
      <c r="G2876" s="14"/>
      <c r="H2876" s="14"/>
      <c r="I2876" s="14"/>
    </row>
    <row r="2877" ht="20.7" customHeight="1">
      <c r="A2877" s="10">
        <v>45582</v>
      </c>
      <c r="B2877" t="s" s="11">
        <v>8</v>
      </c>
      <c r="C2877" t="s" s="12">
        <v>8</v>
      </c>
      <c r="D2877" s="15" cm="1">
        <f t="array" ref="D2877">SUM(D2875:D2876)</f>
        <v>30000</v>
      </c>
      <c r="E2877" s="15" cm="1">
        <f t="array" ref="E2877">SUM(E2875:E2876)</f>
        <v>30000</v>
      </c>
      <c r="F2877" s="16" cm="1">
        <f t="array" ref="F2877">SUM(F2875:F2876)</f>
        <v>0</v>
      </c>
      <c r="G2877" s="16" cm="1">
        <f t="array" ref="G2877">SUM(G2875:G2876)</f>
        <v>0</v>
      </c>
      <c r="H2877" s="16" cm="1">
        <f t="array" ref="H2877">SUM(H2875:H2876)</f>
        <v>0</v>
      </c>
      <c r="I2877" s="16" cm="1">
        <f t="array" ref="I2877">SUM(I2875:I2876)</f>
        <v>0</v>
      </c>
    </row>
    <row r="2878" ht="21.25" customHeight="1">
      <c r="A2878" s="10">
        <v>45582</v>
      </c>
      <c r="B2878" t="s" s="11">
        <v>12</v>
      </c>
      <c r="C2878" t="s" s="12">
        <v>509</v>
      </c>
      <c r="D2878" s="17">
        <v>9500</v>
      </c>
      <c r="E2878" s="17"/>
      <c r="F2878" s="18"/>
      <c r="G2878" s="18"/>
      <c r="H2878" s="18"/>
      <c r="I2878" s="18"/>
    </row>
    <row r="2879" ht="20.9" customHeight="1">
      <c r="A2879" s="10">
        <v>45582</v>
      </c>
      <c r="B2879" t="s" s="11">
        <v>10</v>
      </c>
      <c r="C2879" t="s" s="12">
        <v>509</v>
      </c>
      <c r="D2879" s="19">
        <v>12500</v>
      </c>
      <c r="E2879" s="19"/>
      <c r="F2879" s="20"/>
      <c r="G2879" s="20"/>
      <c r="H2879" s="20"/>
      <c r="I2879" s="20"/>
    </row>
    <row r="2880" ht="21.25" customHeight="1">
      <c r="A2880" s="10">
        <v>45582</v>
      </c>
      <c r="B2880" t="s" s="11">
        <v>5</v>
      </c>
      <c r="C2880" t="s" s="12">
        <v>509</v>
      </c>
      <c r="D2880" s="13"/>
      <c r="E2880" s="13">
        <v>22000</v>
      </c>
      <c r="F2880" s="14"/>
      <c r="G2880" s="14"/>
      <c r="H2880" s="14"/>
      <c r="I2880" s="14"/>
    </row>
    <row r="2881" ht="20.7" customHeight="1">
      <c r="A2881" s="10">
        <v>45582</v>
      </c>
      <c r="B2881" t="s" s="11">
        <v>8</v>
      </c>
      <c r="C2881" t="s" s="12">
        <v>8</v>
      </c>
      <c r="D2881" s="15" cm="1">
        <f t="array" ref="D2881">SUM(D2878:D2880)</f>
        <v>22000</v>
      </c>
      <c r="E2881" s="15" cm="1">
        <f t="array" ref="E2881">SUM(E2878:E2880)</f>
        <v>22000</v>
      </c>
      <c r="F2881" s="16" cm="1">
        <f t="array" ref="F2881">SUM(F2878:F2880)</f>
        <v>0</v>
      </c>
      <c r="G2881" s="16" cm="1">
        <f t="array" ref="G2881">SUM(G2878:G2880)</f>
        <v>0</v>
      </c>
      <c r="H2881" s="16" cm="1">
        <f t="array" ref="H2881">SUM(H2878:H2880)</f>
        <v>0</v>
      </c>
      <c r="I2881" s="16" cm="1">
        <f t="array" ref="I2881">SUM(I2878:I2880)</f>
        <v>0</v>
      </c>
    </row>
    <row r="2882" ht="20.65" customHeight="1">
      <c r="A2882" s="10">
        <v>45582</v>
      </c>
      <c r="B2882" t="s" s="11">
        <v>16</v>
      </c>
      <c r="C2882" t="s" s="12">
        <v>510</v>
      </c>
      <c r="D2882" s="17">
        <v>6000</v>
      </c>
      <c r="E2882" s="17"/>
      <c r="F2882" s="18"/>
      <c r="G2882" s="18"/>
      <c r="H2882" s="18"/>
      <c r="I2882" s="18"/>
    </row>
    <row r="2883" ht="20.65" customHeight="1">
      <c r="A2883" s="10">
        <v>45582</v>
      </c>
      <c r="B2883" t="s" s="11">
        <v>5</v>
      </c>
      <c r="C2883" t="s" s="12">
        <v>510</v>
      </c>
      <c r="D2883" s="13"/>
      <c r="E2883" s="13">
        <v>6000</v>
      </c>
      <c r="F2883" s="14"/>
      <c r="G2883" s="14"/>
      <c r="H2883" s="14"/>
      <c r="I2883" s="14"/>
    </row>
    <row r="2884" ht="20.7" customHeight="1">
      <c r="A2884" s="10">
        <v>45582</v>
      </c>
      <c r="B2884" t="s" s="11">
        <v>8</v>
      </c>
      <c r="C2884" t="s" s="12">
        <v>8</v>
      </c>
      <c r="D2884" s="15" cm="1">
        <f t="array" ref="D2884">SUM(D2882:D2883)</f>
        <v>6000</v>
      </c>
      <c r="E2884" s="15" cm="1">
        <f t="array" ref="E2884">SUM(E2882:E2883)</f>
        <v>6000</v>
      </c>
      <c r="F2884" s="16" cm="1">
        <f t="array" ref="F2884">SUM(F2882:F2883)</f>
        <v>0</v>
      </c>
      <c r="G2884" s="16" cm="1">
        <f t="array" ref="G2884">SUM(G2882:G2883)</f>
        <v>0</v>
      </c>
      <c r="H2884" s="16" cm="1">
        <f t="array" ref="H2884">SUM(H2882:H2883)</f>
        <v>0</v>
      </c>
      <c r="I2884" s="16" cm="1">
        <f t="array" ref="I2884">SUM(I2882:I2883)</f>
        <v>0</v>
      </c>
    </row>
    <row r="2885" ht="20.35" customHeight="1">
      <c r="A2885" s="10">
        <v>45582</v>
      </c>
      <c r="B2885" t="s" s="11">
        <v>5</v>
      </c>
      <c r="C2885" t="s" s="12">
        <v>17</v>
      </c>
      <c r="D2885" s="17">
        <v>100</v>
      </c>
      <c r="E2885" s="17"/>
      <c r="F2885" s="18"/>
      <c r="G2885" s="18"/>
      <c r="H2885" s="18"/>
      <c r="I2885" s="18"/>
    </row>
    <row r="2886" ht="20.35" customHeight="1">
      <c r="A2886" s="10">
        <v>45582</v>
      </c>
      <c r="B2886" t="s" s="11">
        <v>18</v>
      </c>
      <c r="C2886" t="s" s="12">
        <v>17</v>
      </c>
      <c r="D2886" s="13"/>
      <c r="E2886" s="13">
        <v>100</v>
      </c>
      <c r="F2886" s="14"/>
      <c r="G2886" s="14"/>
      <c r="H2886" s="14"/>
      <c r="I2886" s="14"/>
    </row>
    <row r="2887" ht="20.7" customHeight="1">
      <c r="A2887" s="10">
        <v>45582</v>
      </c>
      <c r="B2887" t="s" s="11">
        <v>8</v>
      </c>
      <c r="C2887" t="s" s="12">
        <v>8</v>
      </c>
      <c r="D2887" s="15" cm="1">
        <f t="array" ref="D2887">SUM(D2885:D2886)</f>
        <v>100</v>
      </c>
      <c r="E2887" s="15" cm="1">
        <f t="array" ref="E2887">SUM(E2885:E2886)</f>
        <v>100</v>
      </c>
      <c r="F2887" s="16" cm="1">
        <f t="array" ref="F2887">SUM(F2885:F2886)</f>
        <v>0</v>
      </c>
      <c r="G2887" s="16" cm="1">
        <f t="array" ref="G2887">SUM(G2885:G2886)</f>
        <v>0</v>
      </c>
      <c r="H2887" s="16" cm="1">
        <f t="array" ref="H2887">SUM(H2885:H2886)</f>
        <v>0</v>
      </c>
      <c r="I2887" s="16" cm="1">
        <f t="array" ref="I2887">SUM(I2885:I2886)</f>
        <v>0</v>
      </c>
    </row>
    <row r="2888" ht="20.35" customHeight="1">
      <c r="A2888" s="10">
        <v>45582</v>
      </c>
      <c r="B2888" t="s" s="11">
        <v>5</v>
      </c>
      <c r="C2888" t="s" s="12">
        <v>209</v>
      </c>
      <c r="D2888" s="17">
        <v>25000</v>
      </c>
      <c r="E2888" s="17"/>
      <c r="F2888" s="18"/>
      <c r="G2888" s="18"/>
      <c r="H2888" s="18"/>
      <c r="I2888" s="18"/>
    </row>
    <row r="2889" ht="20.35" customHeight="1">
      <c r="A2889" s="10">
        <v>45582</v>
      </c>
      <c r="B2889" t="s" s="11">
        <v>107</v>
      </c>
      <c r="C2889" t="s" s="12">
        <v>209</v>
      </c>
      <c r="D2889" s="13"/>
      <c r="E2889" s="13">
        <v>25000</v>
      </c>
      <c r="F2889" s="14"/>
      <c r="G2889" s="14"/>
      <c r="H2889" s="14"/>
      <c r="I2889" s="14"/>
    </row>
    <row r="2890" ht="20.7" customHeight="1">
      <c r="A2890" s="10">
        <v>45582</v>
      </c>
      <c r="B2890" t="s" s="11">
        <v>8</v>
      </c>
      <c r="C2890" t="s" s="12">
        <v>8</v>
      </c>
      <c r="D2890" s="15" cm="1">
        <f t="array" ref="D2890">SUM(D2888:D2889)</f>
        <v>25000</v>
      </c>
      <c r="E2890" s="15" cm="1">
        <f t="array" ref="E2890">SUM(E2888:E2889)</f>
        <v>25000</v>
      </c>
      <c r="F2890" s="16" cm="1">
        <f t="array" ref="F2890">SUM(F2888:F2889)</f>
        <v>0</v>
      </c>
      <c r="G2890" s="16" cm="1">
        <f t="array" ref="G2890">SUM(G2888:G2889)</f>
        <v>0</v>
      </c>
      <c r="H2890" s="16" cm="1">
        <f t="array" ref="H2890">SUM(H2888:H2889)</f>
        <v>0</v>
      </c>
      <c r="I2890" s="16" cm="1">
        <f t="array" ref="I2890">SUM(I2888:I2889)</f>
        <v>0</v>
      </c>
    </row>
    <row r="2891" ht="21.25" customHeight="1">
      <c r="A2891" s="10">
        <v>45582</v>
      </c>
      <c r="B2891" t="s" s="11">
        <v>12</v>
      </c>
      <c r="C2891" t="s" s="12">
        <v>511</v>
      </c>
      <c r="D2891" s="17">
        <v>11500</v>
      </c>
      <c r="E2891" s="17"/>
      <c r="F2891" s="18"/>
      <c r="G2891" s="18"/>
      <c r="H2891" s="18"/>
      <c r="I2891" s="18"/>
    </row>
    <row r="2892" ht="20.9" customHeight="1">
      <c r="A2892" s="10">
        <v>45582</v>
      </c>
      <c r="B2892" t="s" s="11">
        <v>10</v>
      </c>
      <c r="C2892" t="s" s="12">
        <v>511</v>
      </c>
      <c r="D2892" s="19">
        <v>11500</v>
      </c>
      <c r="E2892" s="19"/>
      <c r="F2892" s="20"/>
      <c r="G2892" s="20"/>
      <c r="H2892" s="20"/>
      <c r="I2892" s="20"/>
    </row>
    <row r="2893" ht="21.25" customHeight="1">
      <c r="A2893" s="10">
        <v>45582</v>
      </c>
      <c r="B2893" t="s" s="11">
        <v>5</v>
      </c>
      <c r="C2893" t="s" s="12">
        <v>511</v>
      </c>
      <c r="D2893" s="13"/>
      <c r="E2893" s="13">
        <v>23000</v>
      </c>
      <c r="F2893" s="14"/>
      <c r="G2893" s="14"/>
      <c r="H2893" s="14"/>
      <c r="I2893" s="14"/>
    </row>
    <row r="2894" ht="20.7" customHeight="1">
      <c r="A2894" s="10">
        <v>45582</v>
      </c>
      <c r="B2894" t="s" s="11">
        <v>8</v>
      </c>
      <c r="C2894" t="s" s="12">
        <v>8</v>
      </c>
      <c r="D2894" s="15" cm="1">
        <f t="array" ref="D2894">SUM(D2891:D2893)</f>
        <v>23000</v>
      </c>
      <c r="E2894" s="15" cm="1">
        <f t="array" ref="E2894">SUM(E2891:E2893)</f>
        <v>23000</v>
      </c>
      <c r="F2894" s="16" cm="1">
        <f t="array" ref="F2894">SUM(F2891:F2893)</f>
        <v>0</v>
      </c>
      <c r="G2894" s="16" cm="1">
        <f t="array" ref="G2894">SUM(G2891:G2893)</f>
        <v>0</v>
      </c>
      <c r="H2894" s="16" cm="1">
        <f t="array" ref="H2894">SUM(H2891:H2893)</f>
        <v>0</v>
      </c>
      <c r="I2894" s="16" cm="1">
        <f t="array" ref="I2894">SUM(I2891:I2893)</f>
        <v>0</v>
      </c>
    </row>
    <row r="2895" ht="21.25" customHeight="1">
      <c r="A2895" s="10">
        <v>45583</v>
      </c>
      <c r="B2895" t="s" s="11">
        <v>12</v>
      </c>
      <c r="C2895" t="s" s="12">
        <v>512</v>
      </c>
      <c r="D2895" s="17">
        <v>9000</v>
      </c>
      <c r="E2895" s="17"/>
      <c r="F2895" s="18"/>
      <c r="G2895" s="18"/>
      <c r="H2895" s="18"/>
      <c r="I2895" s="18"/>
    </row>
    <row r="2896" ht="20.9" customHeight="1">
      <c r="A2896" s="10">
        <v>45583</v>
      </c>
      <c r="B2896" t="s" s="11">
        <v>10</v>
      </c>
      <c r="C2896" t="s" s="12">
        <v>512</v>
      </c>
      <c r="D2896" s="19">
        <v>19000</v>
      </c>
      <c r="E2896" s="19"/>
      <c r="F2896" s="20"/>
      <c r="G2896" s="20"/>
      <c r="H2896" s="20"/>
      <c r="I2896" s="20"/>
    </row>
    <row r="2897" ht="21.25" customHeight="1">
      <c r="A2897" s="10">
        <v>45583</v>
      </c>
      <c r="B2897" t="s" s="11">
        <v>107</v>
      </c>
      <c r="C2897" t="s" s="12">
        <v>512</v>
      </c>
      <c r="D2897" s="13"/>
      <c r="E2897" s="13">
        <v>28000</v>
      </c>
      <c r="F2897" s="14"/>
      <c r="G2897" s="14"/>
      <c r="H2897" s="14"/>
      <c r="I2897" s="14"/>
    </row>
    <row r="2898" ht="20.7" customHeight="1">
      <c r="A2898" s="10">
        <v>45583</v>
      </c>
      <c r="B2898" t="s" s="11">
        <v>8</v>
      </c>
      <c r="C2898" t="s" s="12">
        <v>8</v>
      </c>
      <c r="D2898" s="15" cm="1">
        <f t="array" ref="D2898">SUM(D2895:D2897)</f>
        <v>28000</v>
      </c>
      <c r="E2898" s="15" cm="1">
        <f t="array" ref="E2898">SUM(E2895:E2897)</f>
        <v>28000</v>
      </c>
      <c r="F2898" s="16" cm="1">
        <f t="array" ref="F2898">SUM(F2895:F2897)</f>
        <v>0</v>
      </c>
      <c r="G2898" s="16" cm="1">
        <f t="array" ref="G2898">SUM(G2895:G2897)</f>
        <v>0</v>
      </c>
      <c r="H2898" s="16" cm="1">
        <f t="array" ref="H2898">SUM(H2895:H2897)</f>
        <v>0</v>
      </c>
      <c r="I2898" s="16" cm="1">
        <f t="array" ref="I2898">SUM(I2895:I2897)</f>
        <v>0</v>
      </c>
    </row>
    <row r="2899" ht="20.35" customHeight="1">
      <c r="A2899" s="10">
        <v>45583</v>
      </c>
      <c r="B2899" t="s" s="11">
        <v>5</v>
      </c>
      <c r="C2899" t="s" s="12">
        <v>96</v>
      </c>
      <c r="D2899" s="17">
        <v>30000</v>
      </c>
      <c r="E2899" s="17"/>
      <c r="F2899" s="18"/>
      <c r="G2899" s="18"/>
      <c r="H2899" s="18"/>
      <c r="I2899" s="18"/>
    </row>
    <row r="2900" ht="20.35" customHeight="1">
      <c r="A2900" s="10">
        <v>45583</v>
      </c>
      <c r="B2900" t="s" s="11">
        <v>107</v>
      </c>
      <c r="C2900" t="s" s="12">
        <v>96</v>
      </c>
      <c r="D2900" s="13"/>
      <c r="E2900" s="13">
        <v>30000</v>
      </c>
      <c r="F2900" s="14"/>
      <c r="G2900" s="14"/>
      <c r="H2900" s="14"/>
      <c r="I2900" s="14"/>
    </row>
    <row r="2901" ht="20.7" customHeight="1">
      <c r="A2901" s="10">
        <v>45583</v>
      </c>
      <c r="B2901" t="s" s="11">
        <v>8</v>
      </c>
      <c r="C2901" t="s" s="12">
        <v>8</v>
      </c>
      <c r="D2901" s="15" cm="1">
        <f t="array" ref="D2901">SUM(D2899:D2900)</f>
        <v>30000</v>
      </c>
      <c r="E2901" s="15" cm="1">
        <f t="array" ref="E2901">SUM(E2899:E2900)</f>
        <v>30000</v>
      </c>
      <c r="F2901" s="16" cm="1">
        <f t="array" ref="F2901">SUM(F2899:F2900)</f>
        <v>0</v>
      </c>
      <c r="G2901" s="16" cm="1">
        <f t="array" ref="G2901">SUM(G2899:G2900)</f>
        <v>0</v>
      </c>
      <c r="H2901" s="16" cm="1">
        <f t="array" ref="H2901">SUM(H2899:H2900)</f>
        <v>0</v>
      </c>
      <c r="I2901" s="16" cm="1">
        <f t="array" ref="I2901">SUM(I2899:I2900)</f>
        <v>0</v>
      </c>
    </row>
    <row r="2902" ht="21.25" customHeight="1">
      <c r="A2902" s="10">
        <v>45583</v>
      </c>
      <c r="B2902" t="s" s="11">
        <v>12</v>
      </c>
      <c r="C2902" t="s" s="12">
        <v>513</v>
      </c>
      <c r="D2902" s="17">
        <v>15000</v>
      </c>
      <c r="E2902" s="17"/>
      <c r="F2902" s="18"/>
      <c r="G2902" s="18"/>
      <c r="H2902" s="18"/>
      <c r="I2902" s="18"/>
    </row>
    <row r="2903" ht="20.9" customHeight="1">
      <c r="A2903" s="10">
        <v>45583</v>
      </c>
      <c r="B2903" t="s" s="11">
        <v>10</v>
      </c>
      <c r="C2903" t="s" s="12">
        <v>513</v>
      </c>
      <c r="D2903" s="19">
        <v>15000</v>
      </c>
      <c r="E2903" s="19"/>
      <c r="F2903" s="20"/>
      <c r="G2903" s="20"/>
      <c r="H2903" s="20"/>
      <c r="I2903" s="20"/>
    </row>
    <row r="2904" ht="21.25" customHeight="1">
      <c r="A2904" s="10">
        <v>45583</v>
      </c>
      <c r="B2904" t="s" s="11">
        <v>5</v>
      </c>
      <c r="C2904" t="s" s="12">
        <v>513</v>
      </c>
      <c r="D2904" s="13"/>
      <c r="E2904" s="13">
        <v>30000</v>
      </c>
      <c r="F2904" s="14"/>
      <c r="G2904" s="14"/>
      <c r="H2904" s="14"/>
      <c r="I2904" s="14"/>
    </row>
    <row r="2905" ht="20.7" customHeight="1">
      <c r="A2905" s="10">
        <v>45583</v>
      </c>
      <c r="B2905" t="s" s="11">
        <v>8</v>
      </c>
      <c r="C2905" t="s" s="12">
        <v>8</v>
      </c>
      <c r="D2905" s="15" cm="1">
        <f t="array" ref="D2905">SUM(D2902:D2904)</f>
        <v>30000</v>
      </c>
      <c r="E2905" s="15" cm="1">
        <f t="array" ref="E2905">SUM(E2902:E2904)</f>
        <v>30000</v>
      </c>
      <c r="F2905" s="16" cm="1">
        <f t="array" ref="F2905">SUM(F2902:F2904)</f>
        <v>0</v>
      </c>
      <c r="G2905" s="16" cm="1">
        <f t="array" ref="G2905">SUM(G2902:G2904)</f>
        <v>0</v>
      </c>
      <c r="H2905" s="16" cm="1">
        <f t="array" ref="H2905">SUM(H2902:H2904)</f>
        <v>0</v>
      </c>
      <c r="I2905" s="16" cm="1">
        <f t="array" ref="I2905">SUM(I2902:I2904)</f>
        <v>0</v>
      </c>
    </row>
    <row r="2906" ht="20.65" customHeight="1">
      <c r="A2906" s="10">
        <v>45583</v>
      </c>
      <c r="B2906" t="s" s="11">
        <v>21</v>
      </c>
      <c r="C2906" t="s" s="12">
        <v>514</v>
      </c>
      <c r="D2906" s="17"/>
      <c r="E2906" s="17">
        <v>7500</v>
      </c>
      <c r="F2906" s="18"/>
      <c r="G2906" s="18"/>
      <c r="H2906" s="18"/>
      <c r="I2906" s="18"/>
    </row>
    <row r="2907" ht="20.65" customHeight="1">
      <c r="A2907" s="10">
        <v>45583</v>
      </c>
      <c r="B2907" t="s" s="11">
        <v>16</v>
      </c>
      <c r="C2907" t="s" s="12">
        <v>514</v>
      </c>
      <c r="D2907" s="13">
        <v>7500</v>
      </c>
      <c r="E2907" s="13"/>
      <c r="F2907" s="14"/>
      <c r="G2907" s="14"/>
      <c r="H2907" s="14"/>
      <c r="I2907" s="14"/>
    </row>
    <row r="2908" ht="20.7" customHeight="1">
      <c r="A2908" s="10">
        <v>45583</v>
      </c>
      <c r="B2908" t="s" s="11">
        <v>8</v>
      </c>
      <c r="C2908" t="s" s="12">
        <v>8</v>
      </c>
      <c r="D2908" s="15" cm="1">
        <f t="array" ref="D2908">SUM(D2906:D2907)</f>
        <v>7500</v>
      </c>
      <c r="E2908" s="15" cm="1">
        <f t="array" ref="E2908">SUM(E2906:E2907)</f>
        <v>7500</v>
      </c>
      <c r="F2908" s="16" cm="1">
        <f t="array" ref="F2908">SUM(F2906:F2907)</f>
        <v>0</v>
      </c>
      <c r="G2908" s="16" cm="1">
        <f t="array" ref="G2908">SUM(G2906:G2907)</f>
        <v>0</v>
      </c>
      <c r="H2908" s="16" cm="1">
        <f t="array" ref="H2908">SUM(H2906:H2907)</f>
        <v>0</v>
      </c>
      <c r="I2908" s="16" cm="1">
        <f t="array" ref="I2908">SUM(I2906:I2907)</f>
        <v>0</v>
      </c>
    </row>
    <row r="2909" ht="20.35" customHeight="1">
      <c r="A2909" s="10">
        <v>45583</v>
      </c>
      <c r="B2909" t="s" s="11">
        <v>12</v>
      </c>
      <c r="C2909" t="s" s="12">
        <v>468</v>
      </c>
      <c r="D2909" s="17">
        <v>8100</v>
      </c>
      <c r="E2909" s="17"/>
      <c r="F2909" s="18"/>
      <c r="G2909" s="18"/>
      <c r="H2909" s="18"/>
      <c r="I2909" s="18"/>
    </row>
    <row r="2910" ht="20.35" customHeight="1">
      <c r="A2910" s="10">
        <v>45583</v>
      </c>
      <c r="B2910" t="s" s="11">
        <v>5</v>
      </c>
      <c r="C2910" t="s" s="12">
        <v>468</v>
      </c>
      <c r="D2910" s="13"/>
      <c r="E2910" s="13">
        <v>8100</v>
      </c>
      <c r="F2910" s="14"/>
      <c r="G2910" s="14"/>
      <c r="H2910" s="14"/>
      <c r="I2910" s="14"/>
    </row>
    <row r="2911" ht="20.7" customHeight="1">
      <c r="A2911" s="10">
        <v>45583</v>
      </c>
      <c r="B2911" t="s" s="11">
        <v>8</v>
      </c>
      <c r="C2911" t="s" s="12">
        <v>8</v>
      </c>
      <c r="D2911" s="15" cm="1">
        <f t="array" ref="D2911">SUM(D2909:D2910)</f>
        <v>8100</v>
      </c>
      <c r="E2911" s="15" cm="1">
        <f t="array" ref="E2911">SUM(E2909:E2910)</f>
        <v>8100</v>
      </c>
      <c r="F2911" s="16" cm="1">
        <f t="array" ref="F2911">SUM(F2909:F2910)</f>
        <v>0</v>
      </c>
      <c r="G2911" s="16" cm="1">
        <f t="array" ref="G2911">SUM(G2909:G2910)</f>
        <v>0</v>
      </c>
      <c r="H2911" s="16" cm="1">
        <f t="array" ref="H2911">SUM(H2909:H2910)</f>
        <v>0</v>
      </c>
      <c r="I2911" s="16" cm="1">
        <f t="array" ref="I2911">SUM(I2909:I2910)</f>
        <v>0</v>
      </c>
    </row>
    <row r="2912" ht="20.35" customHeight="1">
      <c r="A2912" s="10">
        <v>45583</v>
      </c>
      <c r="B2912" t="s" s="11">
        <v>107</v>
      </c>
      <c r="C2912" t="s" s="12">
        <v>96</v>
      </c>
      <c r="D2912" s="24"/>
      <c r="E2912" s="17">
        <v>10000</v>
      </c>
      <c r="F2912" s="18"/>
      <c r="G2912" s="18"/>
      <c r="H2912" s="18"/>
      <c r="I2912" s="18"/>
    </row>
    <row r="2913" ht="20.35" customHeight="1">
      <c r="A2913" s="10">
        <v>45583</v>
      </c>
      <c r="B2913" t="s" s="11">
        <v>5</v>
      </c>
      <c r="C2913" t="s" s="12">
        <v>96</v>
      </c>
      <c r="D2913" s="13">
        <v>10000</v>
      </c>
      <c r="E2913" s="13"/>
      <c r="F2913" s="14"/>
      <c r="G2913" s="14"/>
      <c r="H2913" s="14"/>
      <c r="I2913" s="14"/>
    </row>
    <row r="2914" ht="20.7" customHeight="1">
      <c r="A2914" s="10">
        <v>45583</v>
      </c>
      <c r="B2914" t="s" s="11">
        <v>8</v>
      </c>
      <c r="C2914" t="s" s="12">
        <v>8</v>
      </c>
      <c r="D2914" s="15" cm="1">
        <f t="array" ref="D2914">SUM(D2912:D2913)</f>
        <v>10000</v>
      </c>
      <c r="E2914" s="15" cm="1">
        <f t="array" ref="E2914">SUM(E2912:E2913)</f>
        <v>10000</v>
      </c>
      <c r="F2914" s="16" cm="1">
        <f t="array" ref="F2914">SUM(F2912:F2913)</f>
        <v>0</v>
      </c>
      <c r="G2914" s="16" cm="1">
        <f t="array" ref="G2914">SUM(G2912:G2913)</f>
        <v>0</v>
      </c>
      <c r="H2914" s="16" cm="1">
        <f t="array" ref="H2914">SUM(H2912:H2913)</f>
        <v>0</v>
      </c>
      <c r="I2914" s="16" cm="1">
        <f t="array" ref="I2914">SUM(I2912:I2913)</f>
        <v>0</v>
      </c>
    </row>
    <row r="2915" ht="20.35" customHeight="1">
      <c r="A2915" s="10">
        <v>45583</v>
      </c>
      <c r="B2915" t="s" s="11">
        <v>12</v>
      </c>
      <c r="C2915" t="s" s="12">
        <v>169</v>
      </c>
      <c r="D2915" s="17">
        <v>5200</v>
      </c>
      <c r="E2915" s="17"/>
      <c r="F2915" s="18"/>
      <c r="G2915" s="18"/>
      <c r="H2915" s="18"/>
      <c r="I2915" s="18"/>
    </row>
    <row r="2916" ht="20.35" customHeight="1">
      <c r="A2916" s="10">
        <v>45583</v>
      </c>
      <c r="B2916" t="s" s="11">
        <v>5</v>
      </c>
      <c r="C2916" t="s" s="12">
        <v>169</v>
      </c>
      <c r="D2916" s="13"/>
      <c r="E2916" s="13">
        <v>5200</v>
      </c>
      <c r="F2916" s="14"/>
      <c r="G2916" s="14"/>
      <c r="H2916" s="14"/>
      <c r="I2916" s="14"/>
    </row>
    <row r="2917" ht="20.7" customHeight="1">
      <c r="A2917" s="10">
        <v>45583</v>
      </c>
      <c r="B2917" t="s" s="11">
        <v>8</v>
      </c>
      <c r="C2917" t="s" s="12">
        <v>8</v>
      </c>
      <c r="D2917" s="15" cm="1">
        <f t="array" ref="D2917">SUM(D2915:D2916)</f>
        <v>5200</v>
      </c>
      <c r="E2917" s="15" cm="1">
        <f t="array" ref="E2917">SUM(E2915:E2916)</f>
        <v>5200</v>
      </c>
      <c r="F2917" s="16" cm="1">
        <f t="array" ref="F2917">SUM(F2915:F2916)</f>
        <v>0</v>
      </c>
      <c r="G2917" s="16" cm="1">
        <f t="array" ref="G2917">SUM(G2915:G2916)</f>
        <v>0</v>
      </c>
      <c r="H2917" s="16" cm="1">
        <f t="array" ref="H2917">SUM(H2915:H2916)</f>
        <v>0</v>
      </c>
      <c r="I2917" s="16" cm="1">
        <f t="array" ref="I2917">SUM(I2915:I2916)</f>
        <v>0</v>
      </c>
    </row>
    <row r="2918" ht="20.35" customHeight="1">
      <c r="A2918" s="10">
        <v>45584</v>
      </c>
      <c r="B2918" t="s" s="11">
        <v>5</v>
      </c>
      <c r="C2918" t="s" s="12">
        <v>96</v>
      </c>
      <c r="D2918" s="17">
        <v>200000</v>
      </c>
      <c r="E2918" s="17"/>
      <c r="F2918" s="18"/>
      <c r="G2918" s="18"/>
      <c r="H2918" s="18"/>
      <c r="I2918" s="18"/>
    </row>
    <row r="2919" ht="20.35" customHeight="1">
      <c r="A2919" s="10">
        <v>45584</v>
      </c>
      <c r="B2919" t="s" s="11">
        <v>107</v>
      </c>
      <c r="C2919" t="s" s="12">
        <v>96</v>
      </c>
      <c r="D2919" s="13"/>
      <c r="E2919" s="13">
        <v>200000</v>
      </c>
      <c r="F2919" s="14"/>
      <c r="G2919" s="14"/>
      <c r="H2919" s="14"/>
      <c r="I2919" s="14"/>
    </row>
    <row r="2920" ht="20.7" customHeight="1">
      <c r="A2920" s="10">
        <v>45584</v>
      </c>
      <c r="B2920" t="s" s="11">
        <v>8</v>
      </c>
      <c r="C2920" t="s" s="12">
        <v>8</v>
      </c>
      <c r="D2920" s="15" cm="1">
        <f t="array" ref="D2920">SUM(D2918:D2919)</f>
        <v>200000</v>
      </c>
      <c r="E2920" s="15" cm="1">
        <f t="array" ref="E2920">SUM(E2918:E2919)</f>
        <v>200000</v>
      </c>
      <c r="F2920" s="16" cm="1">
        <f t="array" ref="F2920">SUM(F2918:F2919)</f>
        <v>0</v>
      </c>
      <c r="G2920" s="16" cm="1">
        <f t="array" ref="G2920">SUM(G2918:G2919)</f>
        <v>0</v>
      </c>
      <c r="H2920" s="16" cm="1">
        <f t="array" ref="H2920">SUM(H2918:H2919)</f>
        <v>0</v>
      </c>
      <c r="I2920" s="16" cm="1">
        <f t="array" ref="I2920">SUM(I2918:I2919)</f>
        <v>0</v>
      </c>
    </row>
    <row r="2921" ht="20.35" customHeight="1">
      <c r="A2921" s="10">
        <v>45584</v>
      </c>
      <c r="B2921" t="s" s="11">
        <v>5</v>
      </c>
      <c r="C2921" t="s" s="12">
        <v>96</v>
      </c>
      <c r="D2921" s="17">
        <v>100000</v>
      </c>
      <c r="E2921" s="17"/>
      <c r="F2921" s="18"/>
      <c r="G2921" s="18"/>
      <c r="H2921" s="18"/>
      <c r="I2921" s="18"/>
    </row>
    <row r="2922" ht="20.35" customHeight="1">
      <c r="A2922" s="10">
        <v>45584</v>
      </c>
      <c r="B2922" t="s" s="11">
        <v>107</v>
      </c>
      <c r="C2922" t="s" s="12">
        <v>96</v>
      </c>
      <c r="D2922" s="13"/>
      <c r="E2922" s="13">
        <v>100000</v>
      </c>
      <c r="F2922" s="14"/>
      <c r="G2922" s="14"/>
      <c r="H2922" s="14"/>
      <c r="I2922" s="14"/>
    </row>
    <row r="2923" ht="20.7" customHeight="1">
      <c r="A2923" s="10">
        <v>45584</v>
      </c>
      <c r="B2923" t="s" s="11">
        <v>8</v>
      </c>
      <c r="C2923" t="s" s="12">
        <v>8</v>
      </c>
      <c r="D2923" s="15" cm="1">
        <f t="array" ref="D2923">SUM(D2921:D2922)</f>
        <v>100000</v>
      </c>
      <c r="E2923" s="15" cm="1">
        <f t="array" ref="E2923">SUM(E2921:E2922)</f>
        <v>100000</v>
      </c>
      <c r="F2923" s="16" cm="1">
        <f t="array" ref="F2923">SUM(F2921:F2922)</f>
        <v>0</v>
      </c>
      <c r="G2923" s="16" cm="1">
        <f t="array" ref="G2923">SUM(G2921:G2922)</f>
        <v>0</v>
      </c>
      <c r="H2923" s="16" cm="1">
        <f t="array" ref="H2923">SUM(H2921:H2922)</f>
        <v>0</v>
      </c>
      <c r="I2923" s="16" cm="1">
        <f t="array" ref="I2923">SUM(I2921:I2922)</f>
        <v>0</v>
      </c>
    </row>
    <row r="2924" ht="20.35" customHeight="1">
      <c r="A2924" s="10">
        <v>45584</v>
      </c>
      <c r="B2924" t="s" s="11">
        <v>89</v>
      </c>
      <c r="C2924" t="s" s="12">
        <v>515</v>
      </c>
      <c r="D2924" s="17" cm="1">
        <f t="array" ref="D2924">244000*3/4</f>
        <v>183000</v>
      </c>
      <c r="E2924" s="17"/>
      <c r="F2924" s="18"/>
      <c r="G2924" s="18"/>
      <c r="H2924" s="18"/>
      <c r="I2924" s="18"/>
    </row>
    <row r="2925" ht="20.05" customHeight="1">
      <c r="A2925" s="10">
        <v>45584</v>
      </c>
      <c r="B2925" t="s" s="11">
        <v>10</v>
      </c>
      <c r="C2925" t="s" s="12">
        <v>515</v>
      </c>
      <c r="D2925" s="19" cm="1">
        <f t="array" ref="D2925">244000/4</f>
        <v>61000</v>
      </c>
      <c r="E2925" s="19"/>
      <c r="F2925" s="20"/>
      <c r="G2925" s="20"/>
      <c r="H2925" s="20"/>
      <c r="I2925" s="20"/>
    </row>
    <row r="2926" ht="20.35" customHeight="1">
      <c r="A2926" s="10">
        <v>45584</v>
      </c>
      <c r="B2926" t="s" s="11">
        <v>107</v>
      </c>
      <c r="C2926" t="s" s="12">
        <v>515</v>
      </c>
      <c r="D2926" s="13"/>
      <c r="E2926" s="13">
        <v>244000</v>
      </c>
      <c r="F2926" s="14"/>
      <c r="G2926" s="14"/>
      <c r="H2926" s="14"/>
      <c r="I2926" s="14"/>
    </row>
    <row r="2927" ht="20.7" customHeight="1">
      <c r="A2927" s="10">
        <v>45584</v>
      </c>
      <c r="B2927" t="s" s="11">
        <v>8</v>
      </c>
      <c r="C2927" t="s" s="12">
        <v>8</v>
      </c>
      <c r="D2927" s="15" cm="1">
        <f t="array" ref="D2927">SUM(D2924:D2926)</f>
        <v>244000</v>
      </c>
      <c r="E2927" s="15" cm="1">
        <f t="array" ref="E2927">SUM(E2924:E2926)</f>
        <v>244000</v>
      </c>
      <c r="F2927" s="16" cm="1">
        <f t="array" ref="F2927">SUM(F2924:F2926)</f>
        <v>0</v>
      </c>
      <c r="G2927" s="16" cm="1">
        <f t="array" ref="G2927">SUM(G2924:G2926)</f>
        <v>0</v>
      </c>
      <c r="H2927" s="16" cm="1">
        <f t="array" ref="H2927">SUM(H2924:H2926)</f>
        <v>0</v>
      </c>
      <c r="I2927" s="16" cm="1">
        <f t="array" ref="I2927">SUM(I2924:I2926)</f>
        <v>0</v>
      </c>
    </row>
    <row r="2928" ht="20.35" customHeight="1">
      <c r="A2928" s="10">
        <v>45584</v>
      </c>
      <c r="B2928" t="s" s="11">
        <v>16</v>
      </c>
      <c r="C2928" t="s" s="12">
        <v>516</v>
      </c>
      <c r="D2928" s="17">
        <v>2000</v>
      </c>
      <c r="E2928" s="17"/>
      <c r="F2928" s="18"/>
      <c r="G2928" s="18"/>
      <c r="H2928" s="18"/>
      <c r="I2928" s="18"/>
    </row>
    <row r="2929" ht="20.05" customHeight="1">
      <c r="A2929" s="10">
        <v>45584</v>
      </c>
      <c r="B2929" t="s" s="11">
        <v>89</v>
      </c>
      <c r="C2929" t="s" s="12">
        <v>516</v>
      </c>
      <c r="D2929" s="19">
        <v>6000</v>
      </c>
      <c r="E2929" s="19"/>
      <c r="F2929" s="20"/>
      <c r="G2929" s="20"/>
      <c r="H2929" s="20"/>
      <c r="I2929" s="20"/>
    </row>
    <row r="2930" ht="20.05" customHeight="1">
      <c r="A2930" s="10">
        <v>45584</v>
      </c>
      <c r="B2930" t="s" s="11">
        <v>10</v>
      </c>
      <c r="C2930" t="s" s="12">
        <v>516</v>
      </c>
      <c r="D2930" s="19">
        <v>2000</v>
      </c>
      <c r="E2930" s="19"/>
      <c r="F2930" s="20"/>
      <c r="G2930" s="20"/>
      <c r="H2930" s="20"/>
      <c r="I2930" s="20"/>
    </row>
    <row r="2931" ht="20.05" customHeight="1">
      <c r="A2931" s="10">
        <v>45584</v>
      </c>
      <c r="B2931" t="s" s="11">
        <v>5</v>
      </c>
      <c r="C2931" t="s" s="12">
        <v>516</v>
      </c>
      <c r="D2931" s="19"/>
      <c r="E2931" s="19">
        <v>2000</v>
      </c>
      <c r="F2931" s="20"/>
      <c r="G2931" s="20"/>
      <c r="H2931" s="20"/>
      <c r="I2931" s="20"/>
    </row>
    <row r="2932" ht="20.35" customHeight="1">
      <c r="A2932" s="10">
        <v>45584</v>
      </c>
      <c r="B2932" t="s" s="11">
        <v>5</v>
      </c>
      <c r="C2932" t="s" s="12">
        <v>516</v>
      </c>
      <c r="D2932" s="13"/>
      <c r="E2932" s="13">
        <v>8000</v>
      </c>
      <c r="F2932" s="14"/>
      <c r="G2932" s="14"/>
      <c r="H2932" s="14"/>
      <c r="I2932" s="14"/>
    </row>
    <row r="2933" ht="20.7" customHeight="1">
      <c r="A2933" s="10">
        <v>45584</v>
      </c>
      <c r="B2933" t="s" s="11">
        <v>8</v>
      </c>
      <c r="C2933" t="s" s="12">
        <v>8</v>
      </c>
      <c r="D2933" s="15" cm="1">
        <f t="array" ref="D2933">SUM(D2928:D2932)</f>
        <v>10000</v>
      </c>
      <c r="E2933" s="15" cm="1">
        <f t="array" ref="E2933">SUM(E2928:E2932)</f>
        <v>10000</v>
      </c>
      <c r="F2933" s="16" cm="1">
        <f t="array" ref="F2933">SUM(F2928:F2932)</f>
        <v>0</v>
      </c>
      <c r="G2933" s="16" cm="1">
        <f t="array" ref="G2933">SUM(G2928:G2932)</f>
        <v>0</v>
      </c>
      <c r="H2933" s="16" cm="1">
        <f t="array" ref="H2933">SUM(H2928:H2932)</f>
        <v>0</v>
      </c>
      <c r="I2933" s="16" cm="1">
        <f t="array" ref="I2933">SUM(I2928:I2932)</f>
        <v>0</v>
      </c>
    </row>
    <row r="2934" ht="20.65" customHeight="1">
      <c r="A2934" s="10">
        <v>45584</v>
      </c>
      <c r="B2934" t="s" s="11">
        <v>21</v>
      </c>
      <c r="C2934" t="s" s="12">
        <v>514</v>
      </c>
      <c r="D2934" s="17"/>
      <c r="E2934" s="17">
        <v>1500</v>
      </c>
      <c r="F2934" s="18"/>
      <c r="G2934" s="18"/>
      <c r="H2934" s="18"/>
      <c r="I2934" s="18"/>
    </row>
    <row r="2935" ht="20.65" customHeight="1">
      <c r="A2935" s="10">
        <v>45584</v>
      </c>
      <c r="B2935" t="s" s="11">
        <v>16</v>
      </c>
      <c r="C2935" t="s" s="12">
        <v>514</v>
      </c>
      <c r="D2935" s="13">
        <v>1500</v>
      </c>
      <c r="E2935" s="13"/>
      <c r="F2935" s="14"/>
      <c r="G2935" s="14"/>
      <c r="H2935" s="14"/>
      <c r="I2935" s="14"/>
    </row>
    <row r="2936" ht="20.7" customHeight="1">
      <c r="A2936" s="10">
        <v>45584</v>
      </c>
      <c r="B2936" t="s" s="11">
        <v>8</v>
      </c>
      <c r="C2936" t="s" s="12">
        <v>8</v>
      </c>
      <c r="D2936" s="15" cm="1">
        <f t="array" ref="D2936">SUM(D2934:D2935)</f>
        <v>1500</v>
      </c>
      <c r="E2936" s="15" cm="1">
        <f t="array" ref="E2936">SUM(E2934:E2935)</f>
        <v>1500</v>
      </c>
      <c r="F2936" s="16" cm="1">
        <f t="array" ref="F2936">SUM(F2934:F2935)</f>
        <v>0</v>
      </c>
      <c r="G2936" s="16" cm="1">
        <f t="array" ref="G2936">SUM(G2934:G2935)</f>
        <v>0</v>
      </c>
      <c r="H2936" s="16" cm="1">
        <f t="array" ref="H2936">SUM(H2934:H2935)</f>
        <v>0</v>
      </c>
      <c r="I2936" s="16" cm="1">
        <f t="array" ref="I2936">SUM(I2934:I2935)</f>
        <v>0</v>
      </c>
    </row>
    <row r="2937" ht="20.35" customHeight="1">
      <c r="A2937" s="10">
        <v>45584</v>
      </c>
      <c r="B2937" t="s" s="11">
        <v>5</v>
      </c>
      <c r="C2937" t="s" s="12">
        <v>17</v>
      </c>
      <c r="D2937" s="17">
        <v>100</v>
      </c>
      <c r="E2937" s="17"/>
      <c r="F2937" s="18"/>
      <c r="G2937" s="18"/>
      <c r="H2937" s="18"/>
      <c r="I2937" s="18"/>
    </row>
    <row r="2938" ht="20.35" customHeight="1">
      <c r="A2938" s="10">
        <v>45584</v>
      </c>
      <c r="B2938" t="s" s="11">
        <v>18</v>
      </c>
      <c r="C2938" t="s" s="12">
        <v>17</v>
      </c>
      <c r="D2938" s="13"/>
      <c r="E2938" s="13">
        <v>100</v>
      </c>
      <c r="F2938" s="14"/>
      <c r="G2938" s="14"/>
      <c r="H2938" s="14"/>
      <c r="I2938" s="14"/>
    </row>
    <row r="2939" ht="20.7" customHeight="1">
      <c r="A2939" s="10">
        <v>45584</v>
      </c>
      <c r="B2939" t="s" s="11">
        <v>8</v>
      </c>
      <c r="C2939" t="s" s="12">
        <v>8</v>
      </c>
      <c r="D2939" s="15" cm="1">
        <f t="array" ref="D2939">SUM(D2937:D2938)</f>
        <v>100</v>
      </c>
      <c r="E2939" s="15" cm="1">
        <f t="array" ref="E2939">SUM(E2937:E2938)</f>
        <v>100</v>
      </c>
      <c r="F2939" s="16" cm="1">
        <f t="array" ref="F2939">SUM(F2937:F2938)</f>
        <v>0</v>
      </c>
      <c r="G2939" s="16" cm="1">
        <f t="array" ref="G2939">SUM(G2937:G2938)</f>
        <v>0</v>
      </c>
      <c r="H2939" s="16" cm="1">
        <f t="array" ref="H2939">SUM(H2937:H2938)</f>
        <v>0</v>
      </c>
      <c r="I2939" s="16" cm="1">
        <f t="array" ref="I2939">SUM(I2937:I2938)</f>
        <v>0</v>
      </c>
    </row>
    <row r="2940" ht="20.35" customHeight="1">
      <c r="A2940" s="10">
        <v>45584</v>
      </c>
      <c r="B2940" t="s" s="11">
        <v>5</v>
      </c>
      <c r="C2940" t="s" s="12">
        <v>517</v>
      </c>
      <c r="D2940" s="17"/>
      <c r="E2940" s="17">
        <v>5300</v>
      </c>
      <c r="F2940" s="18"/>
      <c r="G2940" s="18"/>
      <c r="H2940" s="18"/>
      <c r="I2940" s="18"/>
    </row>
    <row r="2941" ht="20.35" customHeight="1">
      <c r="A2941" s="10">
        <v>45584</v>
      </c>
      <c r="B2941" t="s" s="11">
        <v>16</v>
      </c>
      <c r="C2941" t="s" s="12">
        <v>517</v>
      </c>
      <c r="D2941" s="13">
        <v>5300</v>
      </c>
      <c r="E2941" s="13"/>
      <c r="F2941" s="14"/>
      <c r="G2941" s="14"/>
      <c r="H2941" s="14"/>
      <c r="I2941" s="14"/>
    </row>
    <row r="2942" ht="20.7" customHeight="1">
      <c r="A2942" s="10">
        <v>45584</v>
      </c>
      <c r="B2942" t="s" s="11">
        <v>8</v>
      </c>
      <c r="C2942" t="s" s="12">
        <v>8</v>
      </c>
      <c r="D2942" s="15" cm="1">
        <f t="array" ref="D2942">SUM(D2940:D2941)</f>
        <v>5300</v>
      </c>
      <c r="E2942" s="15" cm="1">
        <f t="array" ref="E2942">SUM(E2940:E2941)</f>
        <v>5300</v>
      </c>
      <c r="F2942" s="16" cm="1">
        <f t="array" ref="F2942">SUM(F2940:F2941)</f>
        <v>0</v>
      </c>
      <c r="G2942" s="16" cm="1">
        <f t="array" ref="G2942">SUM(G2940:G2941)</f>
        <v>0</v>
      </c>
      <c r="H2942" s="16" cm="1">
        <f t="array" ref="H2942">SUM(H2940:H2941)</f>
        <v>0</v>
      </c>
      <c r="I2942" s="16" cm="1">
        <f t="array" ref="I2942">SUM(I2940:I2941)</f>
        <v>0</v>
      </c>
    </row>
    <row r="2943" ht="20.35" customHeight="1">
      <c r="A2943" s="10">
        <v>45584</v>
      </c>
      <c r="B2943" t="s" s="11">
        <v>12</v>
      </c>
      <c r="C2943" t="s" s="12">
        <v>518</v>
      </c>
      <c r="D2943" s="17">
        <v>25900</v>
      </c>
      <c r="E2943" s="17"/>
      <c r="F2943" s="18"/>
      <c r="G2943" s="18"/>
      <c r="H2943" s="18"/>
      <c r="I2943" s="18"/>
    </row>
    <row r="2944" ht="20.05" customHeight="1">
      <c r="A2944" s="10">
        <v>45584</v>
      </c>
      <c r="B2944" t="s" s="11">
        <v>10</v>
      </c>
      <c r="C2944" t="s" s="12">
        <v>518</v>
      </c>
      <c r="D2944" s="19">
        <v>25900</v>
      </c>
      <c r="E2944" s="19"/>
      <c r="F2944" s="20"/>
      <c r="G2944" s="20"/>
      <c r="H2944" s="20"/>
      <c r="I2944" s="20"/>
    </row>
    <row r="2945" ht="20.35" customHeight="1">
      <c r="A2945" s="10">
        <v>45584</v>
      </c>
      <c r="B2945" t="s" s="11">
        <v>5</v>
      </c>
      <c r="C2945" t="s" s="12">
        <v>518</v>
      </c>
      <c r="D2945" s="13"/>
      <c r="E2945" s="13">
        <v>51800</v>
      </c>
      <c r="F2945" s="14"/>
      <c r="G2945" s="14"/>
      <c r="H2945" s="14"/>
      <c r="I2945" s="14"/>
    </row>
    <row r="2946" ht="20.7" customHeight="1">
      <c r="A2946" s="10">
        <v>45584</v>
      </c>
      <c r="B2946" t="s" s="11">
        <v>8</v>
      </c>
      <c r="C2946" t="s" s="12">
        <v>8</v>
      </c>
      <c r="D2946" s="15" cm="1">
        <f t="array" ref="D2946">SUM(D2943:D2945)</f>
        <v>51800</v>
      </c>
      <c r="E2946" s="15" cm="1">
        <f t="array" ref="E2946">SUM(E2943:E2945)</f>
        <v>51800</v>
      </c>
      <c r="F2946" s="16" cm="1">
        <f t="array" ref="F2946">SUM(F2943:F2945)</f>
        <v>0</v>
      </c>
      <c r="G2946" s="16" cm="1">
        <f t="array" ref="G2946">SUM(G2943:G2945)</f>
        <v>0</v>
      </c>
      <c r="H2946" s="16" cm="1">
        <f t="array" ref="H2946">SUM(H2943:H2945)</f>
        <v>0</v>
      </c>
      <c r="I2946" s="16" cm="1">
        <f t="array" ref="I2946">SUM(I2943:I2945)</f>
        <v>0</v>
      </c>
    </row>
    <row r="2947" ht="20.35" customHeight="1">
      <c r="A2947" s="10">
        <v>45584</v>
      </c>
      <c r="B2947" t="s" s="11">
        <v>5</v>
      </c>
      <c r="C2947" t="s" s="12">
        <v>17</v>
      </c>
      <c r="D2947" s="17">
        <v>100</v>
      </c>
      <c r="E2947" s="17"/>
      <c r="F2947" s="18"/>
      <c r="G2947" s="18"/>
      <c r="H2947" s="18"/>
      <c r="I2947" s="18"/>
    </row>
    <row r="2948" ht="20.35" customHeight="1">
      <c r="A2948" s="10">
        <v>45584</v>
      </c>
      <c r="B2948" t="s" s="11">
        <v>18</v>
      </c>
      <c r="C2948" t="s" s="12">
        <v>17</v>
      </c>
      <c r="D2948" s="13"/>
      <c r="E2948" s="13">
        <v>100</v>
      </c>
      <c r="F2948" s="14"/>
      <c r="G2948" s="14"/>
      <c r="H2948" s="14"/>
      <c r="I2948" s="14"/>
    </row>
    <row r="2949" ht="20.7" customHeight="1">
      <c r="A2949" s="10">
        <v>45584</v>
      </c>
      <c r="B2949" t="s" s="11">
        <v>8</v>
      </c>
      <c r="C2949" t="s" s="12">
        <v>8</v>
      </c>
      <c r="D2949" s="15" cm="1">
        <f t="array" ref="D2949">SUM(D2947:D2948)</f>
        <v>100</v>
      </c>
      <c r="E2949" s="15" cm="1">
        <f t="array" ref="E2949">SUM(E2947:E2948)</f>
        <v>100</v>
      </c>
      <c r="F2949" s="16" cm="1">
        <f t="array" ref="F2949">SUM(F2947:F2948)</f>
        <v>0</v>
      </c>
      <c r="G2949" s="16" cm="1">
        <f t="array" ref="G2949">SUM(G2947:G2948)</f>
        <v>0</v>
      </c>
      <c r="H2949" s="16" cm="1">
        <f t="array" ref="H2949">SUM(H2947:H2948)</f>
        <v>0</v>
      </c>
      <c r="I2949" s="16" cm="1">
        <f t="array" ref="I2949">SUM(I2947:I2948)</f>
        <v>0</v>
      </c>
    </row>
    <row r="2950" ht="21.25" customHeight="1">
      <c r="A2950" s="10">
        <v>45584</v>
      </c>
      <c r="B2950" t="s" s="11">
        <v>12</v>
      </c>
      <c r="C2950" t="s" s="12">
        <v>519</v>
      </c>
      <c r="D2950" s="17">
        <v>12850</v>
      </c>
      <c r="E2950" s="17"/>
      <c r="F2950" s="18"/>
      <c r="G2950" s="18"/>
      <c r="H2950" s="18"/>
      <c r="I2950" s="18"/>
    </row>
    <row r="2951" ht="20.9" customHeight="1">
      <c r="A2951" s="10">
        <v>45584</v>
      </c>
      <c r="B2951" t="s" s="11">
        <v>10</v>
      </c>
      <c r="C2951" t="s" s="12">
        <v>519</v>
      </c>
      <c r="D2951" s="19">
        <v>12850</v>
      </c>
      <c r="E2951" s="19"/>
      <c r="F2951" s="20"/>
      <c r="G2951" s="20"/>
      <c r="H2951" s="20"/>
      <c r="I2951" s="20"/>
    </row>
    <row r="2952" ht="21.25" customHeight="1">
      <c r="A2952" s="10">
        <v>45584</v>
      </c>
      <c r="B2952" t="s" s="11">
        <v>5</v>
      </c>
      <c r="C2952" t="s" s="12">
        <v>519</v>
      </c>
      <c r="D2952" s="13"/>
      <c r="E2952" s="13">
        <v>25700</v>
      </c>
      <c r="F2952" s="14"/>
      <c r="G2952" s="14"/>
      <c r="H2952" s="14"/>
      <c r="I2952" s="14"/>
    </row>
    <row r="2953" ht="20.7" customHeight="1">
      <c r="A2953" s="10">
        <v>45584</v>
      </c>
      <c r="B2953" t="s" s="11">
        <v>8</v>
      </c>
      <c r="C2953" t="s" s="12">
        <v>8</v>
      </c>
      <c r="D2953" s="15" cm="1">
        <f t="array" ref="D2953">SUM(D2950:D2952)</f>
        <v>25700</v>
      </c>
      <c r="E2953" s="15" cm="1">
        <f t="array" ref="E2953">SUM(E2950:E2952)</f>
        <v>25700</v>
      </c>
      <c r="F2953" s="16" cm="1">
        <f t="array" ref="F2953">SUM(F2950:F2952)</f>
        <v>0</v>
      </c>
      <c r="G2953" s="16" cm="1">
        <f t="array" ref="G2953">SUM(G2950:G2952)</f>
        <v>0</v>
      </c>
      <c r="H2953" s="16" cm="1">
        <f t="array" ref="H2953">SUM(H2950:H2952)</f>
        <v>0</v>
      </c>
      <c r="I2953" s="16" cm="1">
        <f t="array" ref="I2953">SUM(I2950:I2952)</f>
        <v>0</v>
      </c>
    </row>
    <row r="2954" ht="20.35" customHeight="1">
      <c r="A2954" s="10">
        <v>45585</v>
      </c>
      <c r="B2954" t="s" s="11">
        <v>10</v>
      </c>
      <c r="C2954" t="s" s="12">
        <v>19</v>
      </c>
      <c r="D2954" s="17">
        <v>100</v>
      </c>
      <c r="E2954" s="17"/>
      <c r="F2954" s="18"/>
      <c r="G2954" s="18"/>
      <c r="H2954" s="18"/>
      <c r="I2954" s="18"/>
    </row>
    <row r="2955" ht="20.05" customHeight="1">
      <c r="A2955" s="10">
        <v>45585</v>
      </c>
      <c r="B2955" t="s" s="11">
        <v>12</v>
      </c>
      <c r="C2955" t="s" s="12">
        <v>19</v>
      </c>
      <c r="D2955" s="19">
        <v>18700</v>
      </c>
      <c r="E2955" s="19"/>
      <c r="F2955" s="20"/>
      <c r="G2955" s="20"/>
      <c r="H2955" s="20"/>
      <c r="I2955" s="20"/>
    </row>
    <row r="2956" ht="20.05" customHeight="1">
      <c r="A2956" s="10">
        <v>45585</v>
      </c>
      <c r="B2956" t="s" s="11">
        <v>5</v>
      </c>
      <c r="C2956" t="s" s="12">
        <v>19</v>
      </c>
      <c r="D2956" s="19"/>
      <c r="E2956" s="19">
        <v>100</v>
      </c>
      <c r="F2956" s="20"/>
      <c r="G2956" s="20"/>
      <c r="H2956" s="20"/>
      <c r="I2956" s="20"/>
    </row>
    <row r="2957" ht="20.35" customHeight="1">
      <c r="A2957" s="10">
        <v>45585</v>
      </c>
      <c r="B2957" t="s" s="11">
        <v>5</v>
      </c>
      <c r="C2957" t="s" s="12">
        <v>19</v>
      </c>
      <c r="D2957" s="13"/>
      <c r="E2957" s="13">
        <v>18700</v>
      </c>
      <c r="F2957" s="14"/>
      <c r="G2957" s="14"/>
      <c r="H2957" s="14"/>
      <c r="I2957" s="14"/>
    </row>
    <row r="2958" ht="20.7" customHeight="1">
      <c r="A2958" s="10">
        <v>45585</v>
      </c>
      <c r="B2958" t="s" s="11">
        <v>8</v>
      </c>
      <c r="C2958" t="s" s="12">
        <v>8</v>
      </c>
      <c r="D2958" s="15" cm="1">
        <f t="array" ref="D2958">SUM(D2954:D2957)</f>
        <v>18800</v>
      </c>
      <c r="E2958" s="15" cm="1">
        <f t="array" ref="E2958">SUM(E2954:E2957)</f>
        <v>18800</v>
      </c>
      <c r="F2958" s="16" cm="1">
        <f t="array" ref="F2958">SUM(F2954:F2957)</f>
        <v>0</v>
      </c>
      <c r="G2958" s="16" cm="1">
        <f t="array" ref="G2958">SUM(G2954:G2957)</f>
        <v>0</v>
      </c>
      <c r="H2958" s="16" cm="1">
        <f t="array" ref="H2958">SUM(H2954:H2957)</f>
        <v>0</v>
      </c>
      <c r="I2958" s="16" cm="1">
        <f t="array" ref="I2958">SUM(I2954:I2957)</f>
        <v>0</v>
      </c>
    </row>
    <row r="2959" ht="20.35" customHeight="1">
      <c r="A2959" s="10">
        <v>45585</v>
      </c>
      <c r="B2959" t="s" s="11">
        <v>5</v>
      </c>
      <c r="C2959" t="s" s="12">
        <v>17</v>
      </c>
      <c r="D2959" s="17">
        <v>500</v>
      </c>
      <c r="E2959" s="17"/>
      <c r="F2959" s="18"/>
      <c r="G2959" s="18"/>
      <c r="H2959" s="18"/>
      <c r="I2959" s="18"/>
    </row>
    <row r="2960" ht="20.35" customHeight="1">
      <c r="A2960" s="10">
        <v>45585</v>
      </c>
      <c r="B2960" t="s" s="11">
        <v>18</v>
      </c>
      <c r="C2960" t="s" s="12">
        <v>17</v>
      </c>
      <c r="D2960" s="13"/>
      <c r="E2960" s="13">
        <v>500</v>
      </c>
      <c r="F2960" s="14"/>
      <c r="G2960" s="14"/>
      <c r="H2960" s="14"/>
      <c r="I2960" s="14"/>
    </row>
    <row r="2961" ht="20.7" customHeight="1">
      <c r="A2961" s="10">
        <v>45585</v>
      </c>
      <c r="B2961" t="s" s="11">
        <v>8</v>
      </c>
      <c r="C2961" t="s" s="12">
        <v>8</v>
      </c>
      <c r="D2961" s="15" cm="1">
        <f t="array" ref="D2961">SUM(D2959:D2960)</f>
        <v>500</v>
      </c>
      <c r="E2961" s="15" cm="1">
        <f t="array" ref="E2961">SUM(E2959:E2960)</f>
        <v>500</v>
      </c>
      <c r="F2961" s="16" cm="1">
        <f t="array" ref="F2961">SUM(F2959:F2960)</f>
        <v>0</v>
      </c>
      <c r="G2961" s="16" cm="1">
        <f t="array" ref="G2961">SUM(G2959:G2960)</f>
        <v>0</v>
      </c>
      <c r="H2961" s="16" cm="1">
        <f t="array" ref="H2961">SUM(H2959:H2960)</f>
        <v>0</v>
      </c>
      <c r="I2961" s="16" cm="1">
        <f t="array" ref="I2961">SUM(I2959:I2960)</f>
        <v>0</v>
      </c>
    </row>
    <row r="2962" ht="20.35" customHeight="1">
      <c r="A2962" s="10">
        <v>45585</v>
      </c>
      <c r="B2962" t="s" s="11">
        <v>93</v>
      </c>
      <c r="C2962" t="s" s="12">
        <v>54</v>
      </c>
      <c r="D2962" s="17"/>
      <c r="E2962" s="17">
        <v>3300</v>
      </c>
      <c r="F2962" s="18"/>
      <c r="G2962" s="18"/>
      <c r="H2962" s="18"/>
      <c r="I2962" s="18"/>
    </row>
    <row r="2963" ht="20.35" customHeight="1">
      <c r="A2963" s="10">
        <v>45585</v>
      </c>
      <c r="B2963" t="s" s="11">
        <v>10</v>
      </c>
      <c r="C2963" t="s" s="12">
        <v>54</v>
      </c>
      <c r="D2963" s="13">
        <v>3300</v>
      </c>
      <c r="E2963" s="13"/>
      <c r="F2963" s="14"/>
      <c r="G2963" s="14"/>
      <c r="H2963" s="14"/>
      <c r="I2963" s="14"/>
    </row>
    <row r="2964" ht="20.7" customHeight="1">
      <c r="A2964" s="10">
        <v>45585</v>
      </c>
      <c r="B2964" t="s" s="11">
        <v>8</v>
      </c>
      <c r="C2964" t="s" s="12">
        <v>8</v>
      </c>
      <c r="D2964" s="15" cm="1">
        <f t="array" ref="D2964">SUM(D2962:D2963)</f>
        <v>3300</v>
      </c>
      <c r="E2964" s="15" cm="1">
        <f t="array" ref="E2964">SUM(E2962:E2963)</f>
        <v>3300</v>
      </c>
      <c r="F2964" s="16" cm="1">
        <f t="array" ref="F2964">SUM(F2962:F2963)</f>
        <v>0</v>
      </c>
      <c r="G2964" s="16" cm="1">
        <f t="array" ref="G2964">SUM(G2962:G2963)</f>
        <v>0</v>
      </c>
      <c r="H2964" s="16" cm="1">
        <f t="array" ref="H2964">SUM(H2962:H2963)</f>
        <v>0</v>
      </c>
      <c r="I2964" s="16" cm="1">
        <f t="array" ref="I2964">SUM(I2962:I2963)</f>
        <v>0</v>
      </c>
    </row>
    <row r="2965" ht="20.35" customHeight="1">
      <c r="A2965" s="10">
        <v>45585</v>
      </c>
      <c r="B2965" t="s" s="11">
        <v>5</v>
      </c>
      <c r="C2965" t="s" s="12">
        <v>202</v>
      </c>
      <c r="D2965" s="17"/>
      <c r="E2965" s="17">
        <v>10000</v>
      </c>
      <c r="F2965" s="18"/>
      <c r="G2965" s="18"/>
      <c r="H2965" s="18"/>
      <c r="I2965" s="18"/>
    </row>
    <row r="2966" ht="20.35" customHeight="1">
      <c r="A2966" s="10">
        <v>45585</v>
      </c>
      <c r="B2966" t="s" s="11">
        <v>93</v>
      </c>
      <c r="C2966" t="s" s="12">
        <v>202</v>
      </c>
      <c r="D2966" s="13">
        <v>10000</v>
      </c>
      <c r="E2966" s="13"/>
      <c r="F2966" s="14"/>
      <c r="G2966" s="14"/>
      <c r="H2966" s="14"/>
      <c r="I2966" s="14"/>
    </row>
    <row r="2967" ht="20.7" customHeight="1">
      <c r="A2967" s="10">
        <v>45585</v>
      </c>
      <c r="B2967" t="s" s="11">
        <v>8</v>
      </c>
      <c r="C2967" t="s" s="12">
        <v>8</v>
      </c>
      <c r="D2967" s="15" cm="1">
        <f t="array" ref="D2967">SUM(D2965:D2966)</f>
        <v>10000</v>
      </c>
      <c r="E2967" s="15" cm="1">
        <f t="array" ref="E2967">SUM(E2965:E2966)</f>
        <v>10000</v>
      </c>
      <c r="F2967" s="16" cm="1">
        <f t="array" ref="F2967">SUM(F2965:F2966)</f>
        <v>0</v>
      </c>
      <c r="G2967" s="16" cm="1">
        <f t="array" ref="G2967">SUM(G2965:G2966)</f>
        <v>0</v>
      </c>
      <c r="H2967" s="16" cm="1">
        <f t="array" ref="H2967">SUM(H2965:H2966)</f>
        <v>0</v>
      </c>
      <c r="I2967" s="16" cm="1">
        <f t="array" ref="I2967">SUM(I2965:I2966)</f>
        <v>0</v>
      </c>
    </row>
    <row r="2968" ht="20.35" customHeight="1">
      <c r="A2968" s="10">
        <v>45585</v>
      </c>
      <c r="B2968" t="s" s="11">
        <v>5</v>
      </c>
      <c r="C2968" t="s" s="12">
        <v>468</v>
      </c>
      <c r="D2968" s="17"/>
      <c r="E2968" s="17">
        <v>8100</v>
      </c>
      <c r="F2968" s="18"/>
      <c r="G2968" s="18"/>
      <c r="H2968" s="18"/>
      <c r="I2968" s="18"/>
    </row>
    <row r="2969" ht="20.35" customHeight="1">
      <c r="A2969" s="10">
        <v>45585</v>
      </c>
      <c r="B2969" t="s" s="11">
        <v>12</v>
      </c>
      <c r="C2969" t="s" s="12">
        <v>468</v>
      </c>
      <c r="D2969" s="13">
        <v>8100</v>
      </c>
      <c r="E2969" s="13"/>
      <c r="F2969" s="14"/>
      <c r="G2969" s="14"/>
      <c r="H2969" s="14"/>
      <c r="I2969" s="14"/>
    </row>
    <row r="2970" ht="20.7" customHeight="1">
      <c r="A2970" s="10">
        <v>45585</v>
      </c>
      <c r="B2970" t="s" s="11">
        <v>8</v>
      </c>
      <c r="C2970" t="s" s="12">
        <v>8</v>
      </c>
      <c r="D2970" s="15" cm="1">
        <f t="array" ref="D2970">SUM(D2968:D2969)</f>
        <v>8100</v>
      </c>
      <c r="E2970" s="15" cm="1">
        <f t="array" ref="E2970">SUM(E2968:E2969)</f>
        <v>8100</v>
      </c>
      <c r="F2970" s="16" cm="1">
        <f t="array" ref="F2970">SUM(F2968:F2969)</f>
        <v>0</v>
      </c>
      <c r="G2970" s="16" cm="1">
        <f t="array" ref="G2970">SUM(G2968:G2969)</f>
        <v>0</v>
      </c>
      <c r="H2970" s="16" cm="1">
        <f t="array" ref="H2970">SUM(H2968:H2969)</f>
        <v>0</v>
      </c>
      <c r="I2970" s="16" cm="1">
        <f t="array" ref="I2970">SUM(I2968:I2969)</f>
        <v>0</v>
      </c>
    </row>
    <row r="2971" ht="20.65" customHeight="1">
      <c r="A2971" s="10">
        <v>45585</v>
      </c>
      <c r="B2971" t="s" s="11">
        <v>5</v>
      </c>
      <c r="C2971" t="s" s="12">
        <v>520</v>
      </c>
      <c r="D2971" s="17"/>
      <c r="E2971" s="17">
        <v>4900</v>
      </c>
      <c r="F2971" s="18"/>
      <c r="G2971" s="18"/>
      <c r="H2971" s="18"/>
      <c r="I2971" s="18"/>
    </row>
    <row r="2972" ht="20.65" customHeight="1">
      <c r="A2972" s="10">
        <v>45585</v>
      </c>
      <c r="B2972" t="s" s="11">
        <v>12</v>
      </c>
      <c r="C2972" t="s" s="12">
        <v>520</v>
      </c>
      <c r="D2972" s="13">
        <v>4900</v>
      </c>
      <c r="E2972" s="13"/>
      <c r="F2972" s="14"/>
      <c r="G2972" s="14"/>
      <c r="H2972" s="14"/>
      <c r="I2972" s="14"/>
    </row>
    <row r="2973" ht="20.7" customHeight="1">
      <c r="A2973" s="10">
        <v>45585</v>
      </c>
      <c r="B2973" t="s" s="11">
        <v>8</v>
      </c>
      <c r="C2973" t="s" s="12">
        <v>8</v>
      </c>
      <c r="D2973" s="15" cm="1">
        <f t="array" ref="D2973">SUM(D2971:D2972)</f>
        <v>4900</v>
      </c>
      <c r="E2973" s="15" cm="1">
        <f t="array" ref="E2973">SUM(E2971:E2972)</f>
        <v>4900</v>
      </c>
      <c r="F2973" s="16" cm="1">
        <f t="array" ref="F2973">SUM(F2971:F2972)</f>
        <v>0</v>
      </c>
      <c r="G2973" s="16" cm="1">
        <f t="array" ref="G2973">SUM(G2971:G2972)</f>
        <v>0</v>
      </c>
      <c r="H2973" s="16" cm="1">
        <f t="array" ref="H2973">SUM(H2971:H2972)</f>
        <v>0</v>
      </c>
      <c r="I2973" s="16" cm="1">
        <f t="array" ref="I2973">SUM(I2971:I2972)</f>
        <v>0</v>
      </c>
    </row>
    <row r="2974" ht="20.65" customHeight="1">
      <c r="A2974" s="10">
        <v>45585</v>
      </c>
      <c r="B2974" t="s" s="11">
        <v>21</v>
      </c>
      <c r="C2974" t="s" s="12">
        <v>514</v>
      </c>
      <c r="D2974" s="17"/>
      <c r="E2974" s="17">
        <v>3000</v>
      </c>
      <c r="F2974" s="18"/>
      <c r="G2974" s="18"/>
      <c r="H2974" s="18"/>
      <c r="I2974" s="18"/>
    </row>
    <row r="2975" ht="20.65" customHeight="1">
      <c r="A2975" s="10">
        <v>45585</v>
      </c>
      <c r="B2975" t="s" s="11">
        <v>16</v>
      </c>
      <c r="C2975" t="s" s="12">
        <v>514</v>
      </c>
      <c r="D2975" s="13">
        <v>3000</v>
      </c>
      <c r="E2975" s="13"/>
      <c r="F2975" s="14"/>
      <c r="G2975" s="14"/>
      <c r="H2975" s="14"/>
      <c r="I2975" s="14"/>
    </row>
    <row r="2976" ht="20.7" customHeight="1">
      <c r="A2976" s="10">
        <v>45585</v>
      </c>
      <c r="B2976" t="s" s="11">
        <v>8</v>
      </c>
      <c r="C2976" t="s" s="12">
        <v>8</v>
      </c>
      <c r="D2976" s="15" cm="1">
        <f t="array" ref="D2976">SUM(D2974:D2975)</f>
        <v>3000</v>
      </c>
      <c r="E2976" s="15" cm="1">
        <f t="array" ref="E2976">SUM(E2974:E2975)</f>
        <v>3000</v>
      </c>
      <c r="F2976" s="16" cm="1">
        <f t="array" ref="F2976">SUM(F2974:F2975)</f>
        <v>0</v>
      </c>
      <c r="G2976" s="16" cm="1">
        <f t="array" ref="G2976">SUM(G2974:G2975)</f>
        <v>0</v>
      </c>
      <c r="H2976" s="16" cm="1">
        <f t="array" ref="H2976">SUM(H2974:H2975)</f>
        <v>0</v>
      </c>
      <c r="I2976" s="16" cm="1">
        <f t="array" ref="I2976">SUM(I2974:I2975)</f>
        <v>0</v>
      </c>
    </row>
    <row r="2977" ht="20.35" customHeight="1">
      <c r="A2977" s="10">
        <v>45585</v>
      </c>
      <c r="B2977" t="s" s="11">
        <v>5</v>
      </c>
      <c r="C2977" t="s" s="12">
        <v>17</v>
      </c>
      <c r="D2977" s="17">
        <v>100</v>
      </c>
      <c r="E2977" s="17"/>
      <c r="F2977" s="18"/>
      <c r="G2977" s="18"/>
      <c r="H2977" s="18"/>
      <c r="I2977" s="18"/>
    </row>
    <row r="2978" ht="20.35" customHeight="1">
      <c r="A2978" s="10">
        <v>45585</v>
      </c>
      <c r="B2978" t="s" s="11">
        <v>18</v>
      </c>
      <c r="C2978" t="s" s="12">
        <v>17</v>
      </c>
      <c r="D2978" s="13"/>
      <c r="E2978" s="13">
        <v>100</v>
      </c>
      <c r="F2978" s="14"/>
      <c r="G2978" s="14"/>
      <c r="H2978" s="14"/>
      <c r="I2978" s="14"/>
    </row>
    <row r="2979" ht="20.7" customHeight="1">
      <c r="A2979" s="10">
        <v>45585</v>
      </c>
      <c r="B2979" t="s" s="11">
        <v>8</v>
      </c>
      <c r="C2979" t="s" s="12">
        <v>8</v>
      </c>
      <c r="D2979" s="15" cm="1">
        <f t="array" ref="D2979">SUM(D2977:D2978)</f>
        <v>100</v>
      </c>
      <c r="E2979" s="15" cm="1">
        <f t="array" ref="E2979">SUM(E2977:E2978)</f>
        <v>100</v>
      </c>
      <c r="F2979" s="16" cm="1">
        <f t="array" ref="F2979">SUM(F2977:F2978)</f>
        <v>0</v>
      </c>
      <c r="G2979" s="16" cm="1">
        <f t="array" ref="G2979">SUM(G2977:G2978)</f>
        <v>0</v>
      </c>
      <c r="H2979" s="16" cm="1">
        <f t="array" ref="H2979">SUM(H2977:H2978)</f>
        <v>0</v>
      </c>
      <c r="I2979" s="16" cm="1">
        <f t="array" ref="I2979">SUM(I2977:I2978)</f>
        <v>0</v>
      </c>
    </row>
    <row r="2980" ht="20.35" customHeight="1">
      <c r="A2980" s="10">
        <v>45585</v>
      </c>
      <c r="B2980" t="s" s="11">
        <v>5</v>
      </c>
      <c r="C2980" t="s" s="12">
        <v>17</v>
      </c>
      <c r="D2980" s="17">
        <v>100</v>
      </c>
      <c r="E2980" s="17"/>
      <c r="F2980" s="18"/>
      <c r="G2980" s="18"/>
      <c r="H2980" s="18"/>
      <c r="I2980" s="18"/>
    </row>
    <row r="2981" ht="20.35" customHeight="1">
      <c r="A2981" s="10">
        <v>45585</v>
      </c>
      <c r="B2981" t="s" s="11">
        <v>18</v>
      </c>
      <c r="C2981" t="s" s="12">
        <v>17</v>
      </c>
      <c r="D2981" s="13"/>
      <c r="E2981" s="13">
        <v>100</v>
      </c>
      <c r="F2981" s="14"/>
      <c r="G2981" s="14"/>
      <c r="H2981" s="14"/>
      <c r="I2981" s="14"/>
    </row>
    <row r="2982" ht="20.7" customHeight="1">
      <c r="A2982" s="10">
        <v>45585</v>
      </c>
      <c r="B2982" t="s" s="11">
        <v>8</v>
      </c>
      <c r="C2982" t="s" s="12">
        <v>8</v>
      </c>
      <c r="D2982" s="15" cm="1">
        <f t="array" ref="D2982">SUM(D2980:D2981)</f>
        <v>100</v>
      </c>
      <c r="E2982" s="15" cm="1">
        <f t="array" ref="E2982">SUM(E2980:E2981)</f>
        <v>100</v>
      </c>
      <c r="F2982" s="16" cm="1">
        <f t="array" ref="F2982">SUM(F2980:F2981)</f>
        <v>0</v>
      </c>
      <c r="G2982" s="16" cm="1">
        <f t="array" ref="G2982">SUM(G2980:G2981)</f>
        <v>0</v>
      </c>
      <c r="H2982" s="16" cm="1">
        <f t="array" ref="H2982">SUM(H2980:H2981)</f>
        <v>0</v>
      </c>
      <c r="I2982" s="16" cm="1">
        <f t="array" ref="I2982">SUM(I2980:I2981)</f>
        <v>0</v>
      </c>
    </row>
    <row r="2983" ht="21.25" customHeight="1">
      <c r="A2983" s="10">
        <v>45585</v>
      </c>
      <c r="B2983" t="s" s="11">
        <v>12</v>
      </c>
      <c r="C2983" t="s" s="12">
        <v>521</v>
      </c>
      <c r="D2983" s="17">
        <v>15200</v>
      </c>
      <c r="E2983" s="17"/>
      <c r="F2983" s="18"/>
      <c r="G2983" s="18"/>
      <c r="H2983" s="18"/>
      <c r="I2983" s="18"/>
    </row>
    <row r="2984" ht="20.9" customHeight="1">
      <c r="A2984" s="10">
        <v>45585</v>
      </c>
      <c r="B2984" t="s" s="11">
        <v>10</v>
      </c>
      <c r="C2984" t="s" s="12">
        <v>521</v>
      </c>
      <c r="D2984" s="19">
        <v>15200</v>
      </c>
      <c r="E2984" s="19"/>
      <c r="F2984" s="20"/>
      <c r="G2984" s="20"/>
      <c r="H2984" s="20"/>
      <c r="I2984" s="20"/>
    </row>
    <row r="2985" ht="21.25" customHeight="1">
      <c r="A2985" s="10">
        <v>45585</v>
      </c>
      <c r="B2985" t="s" s="11">
        <v>5</v>
      </c>
      <c r="C2985" t="s" s="12">
        <v>521</v>
      </c>
      <c r="D2985" s="13"/>
      <c r="E2985" s="13">
        <v>30400</v>
      </c>
      <c r="F2985" s="14"/>
      <c r="G2985" s="14"/>
      <c r="H2985" s="14"/>
      <c r="I2985" s="14"/>
    </row>
    <row r="2986" ht="20.7" customHeight="1">
      <c r="A2986" s="10">
        <v>45585</v>
      </c>
      <c r="B2986" t="s" s="11">
        <v>8</v>
      </c>
      <c r="C2986" t="s" s="12">
        <v>8</v>
      </c>
      <c r="D2986" s="15" cm="1">
        <f t="array" ref="D2986">SUM(D2983:D2985)</f>
        <v>30400</v>
      </c>
      <c r="E2986" s="15" cm="1">
        <f t="array" ref="E2986">SUM(E2983:E2985)</f>
        <v>30400</v>
      </c>
      <c r="F2986" s="16" cm="1">
        <f t="array" ref="F2986">SUM(F2983:F2985)</f>
        <v>0</v>
      </c>
      <c r="G2986" s="16" cm="1">
        <f t="array" ref="G2986">SUM(G2983:G2985)</f>
        <v>0</v>
      </c>
      <c r="H2986" s="16" cm="1">
        <f t="array" ref="H2986">SUM(H2983:H2985)</f>
        <v>0</v>
      </c>
      <c r="I2986" s="16" cm="1">
        <f t="array" ref="I2986">SUM(I2983:I2985)</f>
        <v>0</v>
      </c>
    </row>
    <row r="2987" ht="21.25" customHeight="1">
      <c r="A2987" s="10">
        <v>45586</v>
      </c>
      <c r="B2987" t="s" s="11">
        <v>12</v>
      </c>
      <c r="C2987" t="s" s="12">
        <v>522</v>
      </c>
      <c r="D2987" s="17">
        <v>13550</v>
      </c>
      <c r="E2987" s="17"/>
      <c r="F2987" s="18"/>
      <c r="G2987" s="18"/>
      <c r="H2987" s="18"/>
      <c r="I2987" s="18"/>
    </row>
    <row r="2988" ht="20.9" customHeight="1">
      <c r="A2988" s="10">
        <v>45586</v>
      </c>
      <c r="B2988" t="s" s="11">
        <v>10</v>
      </c>
      <c r="C2988" t="s" s="12">
        <v>522</v>
      </c>
      <c r="D2988" s="19">
        <v>13550</v>
      </c>
      <c r="E2988" s="19"/>
      <c r="F2988" s="20"/>
      <c r="G2988" s="20"/>
      <c r="H2988" s="20"/>
      <c r="I2988" s="20"/>
    </row>
    <row r="2989" ht="21.25" customHeight="1">
      <c r="A2989" s="10">
        <v>45586</v>
      </c>
      <c r="B2989" t="s" s="11">
        <v>5</v>
      </c>
      <c r="C2989" t="s" s="12">
        <v>522</v>
      </c>
      <c r="D2989" s="13"/>
      <c r="E2989" s="13">
        <v>27100</v>
      </c>
      <c r="F2989" s="14"/>
      <c r="G2989" s="14"/>
      <c r="H2989" s="14"/>
      <c r="I2989" s="14"/>
    </row>
    <row r="2990" ht="20.7" customHeight="1">
      <c r="A2990" s="10">
        <v>45586</v>
      </c>
      <c r="B2990" t="s" s="11">
        <v>8</v>
      </c>
      <c r="C2990" t="s" s="12">
        <v>8</v>
      </c>
      <c r="D2990" s="15" cm="1">
        <f t="array" ref="D2990">SUM(D2987:D2989)</f>
        <v>27100</v>
      </c>
      <c r="E2990" s="15" cm="1">
        <f t="array" ref="E2990">SUM(E2987:E2989)</f>
        <v>27100</v>
      </c>
      <c r="F2990" s="16" cm="1">
        <f t="array" ref="F2990">SUM(F2987:F2989)</f>
        <v>0</v>
      </c>
      <c r="G2990" s="16" cm="1">
        <f t="array" ref="G2990">SUM(G2987:G2989)</f>
        <v>0</v>
      </c>
      <c r="H2990" s="16" cm="1">
        <f t="array" ref="H2990">SUM(H2987:H2989)</f>
        <v>0</v>
      </c>
      <c r="I2990" s="16" cm="1">
        <f t="array" ref="I2990">SUM(I2987:I2989)</f>
        <v>0</v>
      </c>
    </row>
    <row r="2991" ht="20.35" customHeight="1">
      <c r="A2991" s="10">
        <v>45586</v>
      </c>
      <c r="B2991" t="s" s="11">
        <v>5</v>
      </c>
      <c r="C2991" t="s" s="12">
        <v>17</v>
      </c>
      <c r="D2991" s="17">
        <v>100</v>
      </c>
      <c r="E2991" s="17"/>
      <c r="F2991" s="18"/>
      <c r="G2991" s="18"/>
      <c r="H2991" s="18"/>
      <c r="I2991" s="18"/>
    </row>
    <row r="2992" ht="20.35" customHeight="1">
      <c r="A2992" s="10">
        <v>45586</v>
      </c>
      <c r="B2992" t="s" s="11">
        <v>18</v>
      </c>
      <c r="C2992" t="s" s="12">
        <v>17</v>
      </c>
      <c r="D2992" s="13"/>
      <c r="E2992" s="13">
        <v>100</v>
      </c>
      <c r="F2992" s="14"/>
      <c r="G2992" s="14"/>
      <c r="H2992" s="14"/>
      <c r="I2992" s="14"/>
    </row>
    <row r="2993" ht="20.7" customHeight="1">
      <c r="A2993" s="10">
        <v>45586</v>
      </c>
      <c r="B2993" t="s" s="11">
        <v>8</v>
      </c>
      <c r="C2993" t="s" s="12">
        <v>8</v>
      </c>
      <c r="D2993" s="15" cm="1">
        <f t="array" ref="D2993">SUM(D2991:D2992)</f>
        <v>100</v>
      </c>
      <c r="E2993" s="15" cm="1">
        <f t="array" ref="E2993">SUM(E2991:E2992)</f>
        <v>100</v>
      </c>
      <c r="F2993" s="16" cm="1">
        <f t="array" ref="F2993">SUM(F2991:F2992)</f>
        <v>0</v>
      </c>
      <c r="G2993" s="16" cm="1">
        <f t="array" ref="G2993">SUM(G2991:G2992)</f>
        <v>0</v>
      </c>
      <c r="H2993" s="16" cm="1">
        <f t="array" ref="H2993">SUM(H2991:H2992)</f>
        <v>0</v>
      </c>
      <c r="I2993" s="16" cm="1">
        <f t="array" ref="I2993">SUM(I2991:I2992)</f>
        <v>0</v>
      </c>
    </row>
    <row r="2994" ht="21.25" customHeight="1">
      <c r="A2994" s="10">
        <v>45586</v>
      </c>
      <c r="B2994" t="s" s="11">
        <v>12</v>
      </c>
      <c r="C2994" t="s" s="12">
        <v>523</v>
      </c>
      <c r="D2994" s="17">
        <v>19200</v>
      </c>
      <c r="E2994" s="17"/>
      <c r="F2994" s="18"/>
      <c r="G2994" s="18"/>
      <c r="H2994" s="18"/>
      <c r="I2994" s="18"/>
    </row>
    <row r="2995" ht="20.9" customHeight="1">
      <c r="A2995" s="10">
        <v>45586</v>
      </c>
      <c r="B2995" t="s" s="11">
        <v>89</v>
      </c>
      <c r="C2995" t="s" s="12">
        <v>523</v>
      </c>
      <c r="D2995" s="19">
        <v>19200</v>
      </c>
      <c r="E2995" s="19"/>
      <c r="F2995" s="20"/>
      <c r="G2995" s="20"/>
      <c r="H2995" s="20"/>
      <c r="I2995" s="20"/>
    </row>
    <row r="2996" ht="21.25" customHeight="1">
      <c r="A2996" s="10">
        <v>45586</v>
      </c>
      <c r="B2996" t="s" s="11">
        <v>5</v>
      </c>
      <c r="C2996" t="s" s="12">
        <v>523</v>
      </c>
      <c r="D2996" s="13"/>
      <c r="E2996" s="13">
        <v>38400</v>
      </c>
      <c r="F2996" s="14"/>
      <c r="G2996" s="14"/>
      <c r="H2996" s="14"/>
      <c r="I2996" s="14"/>
    </row>
    <row r="2997" ht="20.7" customHeight="1">
      <c r="A2997" s="10">
        <v>45586</v>
      </c>
      <c r="B2997" t="s" s="11">
        <v>8</v>
      </c>
      <c r="C2997" t="s" s="12">
        <v>8</v>
      </c>
      <c r="D2997" s="15" cm="1">
        <f t="array" ref="D2997">SUM(D2994:D2996)</f>
        <v>38400</v>
      </c>
      <c r="E2997" s="15" cm="1">
        <f t="array" ref="E2997">SUM(E2994:E2996)</f>
        <v>38400</v>
      </c>
      <c r="F2997" s="16" cm="1">
        <f t="array" ref="F2997">SUM(F2994:F2996)</f>
        <v>0</v>
      </c>
      <c r="G2997" s="16" cm="1">
        <f t="array" ref="G2997">SUM(G2994:G2996)</f>
        <v>0</v>
      </c>
      <c r="H2997" s="16" cm="1">
        <f t="array" ref="H2997">SUM(H2994:H2996)</f>
        <v>0</v>
      </c>
      <c r="I2997" s="16" cm="1">
        <f t="array" ref="I2997">SUM(I2994:I2996)</f>
        <v>0</v>
      </c>
    </row>
    <row r="2998" ht="21.25" customHeight="1">
      <c r="A2998" s="10">
        <v>45587</v>
      </c>
      <c r="B2998" t="s" s="11">
        <v>89</v>
      </c>
      <c r="C2998" t="s" s="12">
        <v>523</v>
      </c>
      <c r="D2998" s="17"/>
      <c r="E2998" s="17">
        <v>19200</v>
      </c>
      <c r="F2998" s="18"/>
      <c r="G2998" s="18"/>
      <c r="H2998" s="18"/>
      <c r="I2998" s="18"/>
    </row>
    <row r="2999" ht="21.25" customHeight="1">
      <c r="A2999" s="10">
        <v>45587</v>
      </c>
      <c r="B2999" t="s" s="11">
        <v>93</v>
      </c>
      <c r="C2999" t="s" s="12">
        <v>523</v>
      </c>
      <c r="D2999" s="13">
        <v>19200</v>
      </c>
      <c r="E2999" s="13"/>
      <c r="F2999" s="14"/>
      <c r="G2999" s="14"/>
      <c r="H2999" s="14"/>
      <c r="I2999" s="14"/>
    </row>
    <row r="3000" ht="20.7" customHeight="1">
      <c r="A3000" s="10">
        <v>45587</v>
      </c>
      <c r="B3000" t="s" s="11">
        <v>8</v>
      </c>
      <c r="C3000" t="s" s="12">
        <v>8</v>
      </c>
      <c r="D3000" s="15" cm="1">
        <f t="array" ref="D3000">SUM(D2998:D2999)</f>
        <v>19200</v>
      </c>
      <c r="E3000" s="15" cm="1">
        <f t="array" ref="E3000">SUM(E2998:E2999)</f>
        <v>19200</v>
      </c>
      <c r="F3000" s="16" cm="1">
        <f t="array" ref="F3000">SUM(F2998:F2999)</f>
        <v>0</v>
      </c>
      <c r="G3000" s="16" cm="1">
        <f t="array" ref="G3000">SUM(G2998:G2999)</f>
        <v>0</v>
      </c>
      <c r="H3000" s="16" cm="1">
        <f t="array" ref="H3000">SUM(H2998:H2999)</f>
        <v>0</v>
      </c>
      <c r="I3000" s="16" cm="1">
        <f t="array" ref="I3000">SUM(I2998:I2999)</f>
        <v>0</v>
      </c>
    </row>
    <row r="3001" ht="20.65" customHeight="1">
      <c r="A3001" s="10">
        <v>45587</v>
      </c>
      <c r="B3001" t="s" s="11">
        <v>5</v>
      </c>
      <c r="C3001" t="s" s="12">
        <v>428</v>
      </c>
      <c r="D3001" s="17"/>
      <c r="E3001" s="17">
        <v>6600</v>
      </c>
      <c r="F3001" s="18"/>
      <c r="G3001" s="18"/>
      <c r="H3001" s="18"/>
      <c r="I3001" s="18"/>
    </row>
    <row r="3002" ht="20.65" customHeight="1">
      <c r="A3002" s="10">
        <v>45587</v>
      </c>
      <c r="B3002" t="s" s="11">
        <v>12</v>
      </c>
      <c r="C3002" t="s" s="12">
        <v>428</v>
      </c>
      <c r="D3002" s="13">
        <v>6600</v>
      </c>
      <c r="E3002" s="13"/>
      <c r="F3002" s="14"/>
      <c r="G3002" s="14"/>
      <c r="H3002" s="14"/>
      <c r="I3002" s="14"/>
    </row>
    <row r="3003" ht="20.7" customHeight="1">
      <c r="A3003" s="10">
        <v>45587</v>
      </c>
      <c r="B3003" t="s" s="11">
        <v>8</v>
      </c>
      <c r="C3003" t="s" s="12">
        <v>8</v>
      </c>
      <c r="D3003" s="15" cm="1">
        <f t="array" ref="D3003">SUM(D3001:D3002)</f>
        <v>6600</v>
      </c>
      <c r="E3003" s="15" cm="1">
        <f t="array" ref="E3003">SUM(E3001:E3002)</f>
        <v>6600</v>
      </c>
      <c r="F3003" s="16" cm="1">
        <f t="array" ref="F3003">SUM(F3001:F3002)</f>
        <v>0</v>
      </c>
      <c r="G3003" s="16" cm="1">
        <f t="array" ref="G3003">SUM(G3001:G3002)</f>
        <v>0</v>
      </c>
      <c r="H3003" s="16" cm="1">
        <f t="array" ref="H3003">SUM(H3001:H3002)</f>
        <v>0</v>
      </c>
      <c r="I3003" s="16" cm="1">
        <f t="array" ref="I3003">SUM(I3001:I3002)</f>
        <v>0</v>
      </c>
    </row>
    <row r="3004" ht="20.65" customHeight="1">
      <c r="A3004" s="10">
        <v>45587</v>
      </c>
      <c r="B3004" t="s" s="11">
        <v>21</v>
      </c>
      <c r="C3004" t="s" s="12">
        <v>514</v>
      </c>
      <c r="D3004" s="17"/>
      <c r="E3004" s="17">
        <v>2500</v>
      </c>
      <c r="F3004" s="18"/>
      <c r="G3004" s="18"/>
      <c r="H3004" s="18"/>
      <c r="I3004" s="18"/>
    </row>
    <row r="3005" ht="20.65" customHeight="1">
      <c r="A3005" s="10">
        <v>45587</v>
      </c>
      <c r="B3005" t="s" s="11">
        <v>16</v>
      </c>
      <c r="C3005" t="s" s="12">
        <v>514</v>
      </c>
      <c r="D3005" s="13">
        <v>2500</v>
      </c>
      <c r="E3005" s="13"/>
      <c r="F3005" s="14"/>
      <c r="G3005" s="14"/>
      <c r="H3005" s="14"/>
      <c r="I3005" s="14"/>
    </row>
    <row r="3006" ht="20.7" customHeight="1">
      <c r="A3006" s="10">
        <v>45587</v>
      </c>
      <c r="B3006" t="s" s="11">
        <v>8</v>
      </c>
      <c r="C3006" t="s" s="12">
        <v>8</v>
      </c>
      <c r="D3006" s="15" cm="1">
        <f t="array" ref="D3006">SUM(D3004:D3005)</f>
        <v>2500</v>
      </c>
      <c r="E3006" s="15" cm="1">
        <f t="array" ref="E3006">SUM(E3004:E3005)</f>
        <v>2500</v>
      </c>
      <c r="F3006" s="16" cm="1">
        <f t="array" ref="F3006">SUM(F3004:F3005)</f>
        <v>0</v>
      </c>
      <c r="G3006" s="16" cm="1">
        <f t="array" ref="G3006">SUM(G3004:G3005)</f>
        <v>0</v>
      </c>
      <c r="H3006" s="16" cm="1">
        <f t="array" ref="H3006">SUM(H3004:H3005)</f>
        <v>0</v>
      </c>
      <c r="I3006" s="16" cm="1">
        <f t="array" ref="I3006">SUM(I3004:I3005)</f>
        <v>0</v>
      </c>
    </row>
    <row r="3007" ht="20.35" customHeight="1">
      <c r="A3007" s="10">
        <v>45587</v>
      </c>
      <c r="B3007" t="s" s="11">
        <v>5</v>
      </c>
      <c r="C3007" t="s" s="12">
        <v>17</v>
      </c>
      <c r="D3007" s="17">
        <v>100</v>
      </c>
      <c r="E3007" s="17"/>
      <c r="F3007" s="18"/>
      <c r="G3007" s="18"/>
      <c r="H3007" s="18"/>
      <c r="I3007" s="18"/>
    </row>
    <row r="3008" ht="20.35" customHeight="1">
      <c r="A3008" s="10">
        <v>45587</v>
      </c>
      <c r="B3008" t="s" s="11">
        <v>18</v>
      </c>
      <c r="C3008" t="s" s="12">
        <v>17</v>
      </c>
      <c r="D3008" s="13"/>
      <c r="E3008" s="13">
        <v>100</v>
      </c>
      <c r="F3008" s="14"/>
      <c r="G3008" s="14"/>
      <c r="H3008" s="14"/>
      <c r="I3008" s="14"/>
    </row>
    <row r="3009" ht="20.7" customHeight="1">
      <c r="A3009" s="10">
        <v>45587</v>
      </c>
      <c r="B3009" t="s" s="11">
        <v>8</v>
      </c>
      <c r="C3009" t="s" s="12">
        <v>8</v>
      </c>
      <c r="D3009" s="15" cm="1">
        <f t="array" ref="D3009">SUM(D3007:D3008)</f>
        <v>100</v>
      </c>
      <c r="E3009" s="15" cm="1">
        <f t="array" ref="E3009">SUM(E3007:E3008)</f>
        <v>100</v>
      </c>
      <c r="F3009" s="16" cm="1">
        <f t="array" ref="F3009">SUM(F3007:F3008)</f>
        <v>0</v>
      </c>
      <c r="G3009" s="16" cm="1">
        <f t="array" ref="G3009">SUM(G3007:G3008)</f>
        <v>0</v>
      </c>
      <c r="H3009" s="16" cm="1">
        <f t="array" ref="H3009">SUM(H3007:H3008)</f>
        <v>0</v>
      </c>
      <c r="I3009" s="16" cm="1">
        <f t="array" ref="I3009">SUM(I3007:I3008)</f>
        <v>0</v>
      </c>
    </row>
    <row r="3010" ht="21.25" customHeight="1">
      <c r="A3010" s="10">
        <v>45587</v>
      </c>
      <c r="B3010" t="s" s="11">
        <v>12</v>
      </c>
      <c r="C3010" t="s" s="12">
        <v>524</v>
      </c>
      <c r="D3010" s="17">
        <v>11500</v>
      </c>
      <c r="E3010" s="17"/>
      <c r="F3010" s="18"/>
      <c r="G3010" s="18"/>
      <c r="H3010" s="18"/>
      <c r="I3010" s="18"/>
    </row>
    <row r="3011" ht="20.9" customHeight="1">
      <c r="A3011" s="10">
        <v>45587</v>
      </c>
      <c r="B3011" t="s" s="11">
        <v>89</v>
      </c>
      <c r="C3011" t="s" s="12">
        <v>524</v>
      </c>
      <c r="D3011" s="19">
        <v>11500</v>
      </c>
      <c r="E3011" s="19"/>
      <c r="F3011" s="20"/>
      <c r="G3011" s="20"/>
      <c r="H3011" s="20"/>
      <c r="I3011" s="20"/>
    </row>
    <row r="3012" ht="21.25" customHeight="1">
      <c r="A3012" s="10">
        <v>45587</v>
      </c>
      <c r="B3012" t="s" s="11">
        <v>5</v>
      </c>
      <c r="C3012" t="s" s="12">
        <v>524</v>
      </c>
      <c r="D3012" s="13"/>
      <c r="E3012" s="13">
        <v>23000</v>
      </c>
      <c r="F3012" s="14"/>
      <c r="G3012" s="14"/>
      <c r="H3012" s="14"/>
      <c r="I3012" s="14"/>
    </row>
    <row r="3013" ht="20.7" customHeight="1">
      <c r="A3013" s="10">
        <v>45587</v>
      </c>
      <c r="B3013" t="s" s="11">
        <v>8</v>
      </c>
      <c r="C3013" t="s" s="12">
        <v>8</v>
      </c>
      <c r="D3013" s="15" cm="1">
        <f t="array" ref="D3013">SUM(D3010:D3012)</f>
        <v>23000</v>
      </c>
      <c r="E3013" s="15" cm="1">
        <f t="array" ref="E3013">SUM(E3010:E3012)</f>
        <v>23000</v>
      </c>
      <c r="F3013" s="16" cm="1">
        <f t="array" ref="F3013">SUM(F3010:F3012)</f>
        <v>0</v>
      </c>
      <c r="G3013" s="16" cm="1">
        <f t="array" ref="G3013">SUM(G3010:G3012)</f>
        <v>0</v>
      </c>
      <c r="H3013" s="16" cm="1">
        <f t="array" ref="H3013">SUM(H3010:H3012)</f>
        <v>0</v>
      </c>
      <c r="I3013" s="16" cm="1">
        <f t="array" ref="I3013">SUM(I3010:I3012)</f>
        <v>0</v>
      </c>
    </row>
    <row r="3014" ht="20.35" customHeight="1">
      <c r="A3014" s="10">
        <v>45588</v>
      </c>
      <c r="B3014" t="s" s="11">
        <v>12</v>
      </c>
      <c r="C3014" t="s" s="12">
        <v>53</v>
      </c>
      <c r="D3014" s="17">
        <v>4900</v>
      </c>
      <c r="E3014" s="17"/>
      <c r="F3014" s="18"/>
      <c r="G3014" s="18"/>
      <c r="H3014" s="18"/>
      <c r="I3014" s="18"/>
    </row>
    <row r="3015" ht="20.35" customHeight="1">
      <c r="A3015" s="10">
        <v>45588</v>
      </c>
      <c r="B3015" t="s" s="11">
        <v>5</v>
      </c>
      <c r="C3015" t="s" s="12">
        <v>53</v>
      </c>
      <c r="D3015" s="13"/>
      <c r="E3015" s="13">
        <v>4900</v>
      </c>
      <c r="F3015" s="14"/>
      <c r="G3015" s="14"/>
      <c r="H3015" s="14"/>
      <c r="I3015" s="14"/>
    </row>
    <row r="3016" ht="20.7" customHeight="1">
      <c r="A3016" s="10">
        <v>45588</v>
      </c>
      <c r="B3016" t="s" s="11">
        <v>8</v>
      </c>
      <c r="C3016" t="s" s="12">
        <v>8</v>
      </c>
      <c r="D3016" s="15" cm="1">
        <f t="array" ref="D3016">SUM(D3014:D3015)</f>
        <v>4900</v>
      </c>
      <c r="E3016" s="15" cm="1">
        <f t="array" ref="E3016">SUM(E3014:E3015)</f>
        <v>4900</v>
      </c>
      <c r="F3016" s="16" cm="1">
        <f t="array" ref="F3016">SUM(F3014:F3015)</f>
        <v>0</v>
      </c>
      <c r="G3016" s="16" cm="1">
        <f t="array" ref="G3016">SUM(G3014:G3015)</f>
        <v>0</v>
      </c>
      <c r="H3016" s="16" cm="1">
        <f t="array" ref="H3016">SUM(H3014:H3015)</f>
        <v>0</v>
      </c>
      <c r="I3016" s="16" cm="1">
        <f t="array" ref="I3016">SUM(I3014:I3015)</f>
        <v>0</v>
      </c>
    </row>
    <row r="3017" ht="20.35" customHeight="1">
      <c r="A3017" s="10">
        <v>45588</v>
      </c>
      <c r="B3017" t="s" s="11">
        <v>5</v>
      </c>
      <c r="C3017" t="s" s="12">
        <v>17</v>
      </c>
      <c r="D3017" s="17">
        <v>100</v>
      </c>
      <c r="E3017" s="17"/>
      <c r="F3017" s="18"/>
      <c r="G3017" s="18"/>
      <c r="H3017" s="18"/>
      <c r="I3017" s="18"/>
    </row>
    <row r="3018" ht="20.35" customHeight="1">
      <c r="A3018" s="10">
        <v>45588</v>
      </c>
      <c r="B3018" t="s" s="11">
        <v>18</v>
      </c>
      <c r="C3018" t="s" s="12">
        <v>17</v>
      </c>
      <c r="D3018" s="13"/>
      <c r="E3018" s="13">
        <v>100</v>
      </c>
      <c r="F3018" s="14"/>
      <c r="G3018" s="14"/>
      <c r="H3018" s="14"/>
      <c r="I3018" s="14"/>
    </row>
    <row r="3019" ht="20.7" customHeight="1">
      <c r="A3019" s="10">
        <v>45588</v>
      </c>
      <c r="B3019" t="s" s="11">
        <v>8</v>
      </c>
      <c r="C3019" t="s" s="12">
        <v>8</v>
      </c>
      <c r="D3019" s="15" cm="1">
        <f t="array" ref="D3019">SUM(D3017:D3018)</f>
        <v>100</v>
      </c>
      <c r="E3019" s="15" cm="1">
        <f t="array" ref="E3019">SUM(E3017:E3018)</f>
        <v>100</v>
      </c>
      <c r="F3019" s="16" cm="1">
        <f t="array" ref="F3019">SUM(F3017:F3018)</f>
        <v>0</v>
      </c>
      <c r="G3019" s="16" cm="1">
        <f t="array" ref="G3019">SUM(G3017:G3018)</f>
        <v>0</v>
      </c>
      <c r="H3019" s="16" cm="1">
        <f t="array" ref="H3019">SUM(H3017:H3018)</f>
        <v>0</v>
      </c>
      <c r="I3019" s="16" cm="1">
        <f t="array" ref="I3019">SUM(I3017:I3018)</f>
        <v>0</v>
      </c>
    </row>
    <row r="3020" ht="20.35" customHeight="1">
      <c r="A3020" s="10">
        <v>45588</v>
      </c>
      <c r="B3020" t="s" s="11">
        <v>39</v>
      </c>
      <c r="C3020" t="s" s="12">
        <v>64</v>
      </c>
      <c r="D3020" s="17"/>
      <c r="E3020" s="17"/>
      <c r="F3020" s="18">
        <v>50</v>
      </c>
      <c r="G3020" s="18"/>
      <c r="H3020" s="18"/>
      <c r="I3020" s="18"/>
    </row>
    <row r="3021" ht="20.35" customHeight="1">
      <c r="A3021" s="10">
        <v>45588</v>
      </c>
      <c r="B3021" t="s" s="11">
        <v>41</v>
      </c>
      <c r="C3021" t="s" s="12">
        <v>64</v>
      </c>
      <c r="D3021" s="13"/>
      <c r="E3021" s="13"/>
      <c r="F3021" s="14"/>
      <c r="G3021" s="14">
        <v>50</v>
      </c>
      <c r="H3021" s="14"/>
      <c r="I3021" s="14"/>
    </row>
    <row r="3022" ht="20.7" customHeight="1">
      <c r="A3022" s="10">
        <v>45588</v>
      </c>
      <c r="B3022" t="s" s="11">
        <v>8</v>
      </c>
      <c r="C3022" t="s" s="12">
        <v>8</v>
      </c>
      <c r="D3022" s="15" cm="1">
        <f t="array" ref="D3022">SUM(D3020:D3021)</f>
        <v>0</v>
      </c>
      <c r="E3022" s="15" cm="1">
        <f t="array" ref="E3022">SUM(E3020:E3021)</f>
        <v>0</v>
      </c>
      <c r="F3022" s="16" cm="1">
        <f t="array" ref="F3022">SUM(F3020:F3021)</f>
        <v>50</v>
      </c>
      <c r="G3022" s="16" cm="1">
        <f t="array" ref="G3022">SUM(G3020:G3021)</f>
        <v>50</v>
      </c>
      <c r="H3022" s="16" cm="1">
        <f t="array" ref="H3022">SUM(H3020:H3021)</f>
        <v>0</v>
      </c>
      <c r="I3022" s="16" cm="1">
        <f t="array" ref="I3022">SUM(I3020:I3021)</f>
        <v>0</v>
      </c>
    </row>
    <row r="3023" ht="20.35" customHeight="1">
      <c r="A3023" s="10">
        <v>45588</v>
      </c>
      <c r="B3023" t="s" s="11">
        <v>39</v>
      </c>
      <c r="C3023" t="s" s="12">
        <v>68</v>
      </c>
      <c r="D3023" s="17"/>
      <c r="E3023" s="17"/>
      <c r="F3023" s="18"/>
      <c r="G3023" s="18">
        <v>8.49</v>
      </c>
      <c r="H3023" s="18"/>
      <c r="I3023" s="18"/>
    </row>
    <row r="3024" ht="20.35" customHeight="1">
      <c r="A3024" s="10">
        <v>45588</v>
      </c>
      <c r="B3024" t="s" s="11">
        <v>44</v>
      </c>
      <c r="C3024" t="s" s="12">
        <v>68</v>
      </c>
      <c r="D3024" s="13"/>
      <c r="E3024" s="13"/>
      <c r="F3024" s="14">
        <v>8.49</v>
      </c>
      <c r="G3024" s="14"/>
      <c r="H3024" s="14"/>
      <c r="I3024" s="14"/>
    </row>
    <row r="3025" ht="20.7" customHeight="1">
      <c r="A3025" s="10">
        <v>45588</v>
      </c>
      <c r="B3025" t="s" s="11">
        <v>8</v>
      </c>
      <c r="C3025" t="s" s="12">
        <v>8</v>
      </c>
      <c r="D3025" s="15" cm="1">
        <f t="array" ref="D3025">SUM(D3023:D3024)</f>
        <v>0</v>
      </c>
      <c r="E3025" s="15" cm="1">
        <f t="array" ref="E3025">SUM(E3023:E3024)</f>
        <v>0</v>
      </c>
      <c r="F3025" s="16" cm="1">
        <f t="array" ref="F3025">SUM(F3023:F3024)</f>
        <v>8.49</v>
      </c>
      <c r="G3025" s="16" cm="1">
        <f t="array" ref="G3025">SUM(G3023:G3024)</f>
        <v>8.49</v>
      </c>
      <c r="H3025" s="16" cm="1">
        <f t="array" ref="H3025">SUM(H3023:H3024)</f>
        <v>0</v>
      </c>
      <c r="I3025" s="16" cm="1">
        <f t="array" ref="I3025">SUM(I3023:I3024)</f>
        <v>0</v>
      </c>
    </row>
    <row r="3026" ht="21.25" customHeight="1">
      <c r="A3026" s="10">
        <v>45588</v>
      </c>
      <c r="B3026" t="s" s="11">
        <v>12</v>
      </c>
      <c r="C3026" t="s" s="12">
        <v>525</v>
      </c>
      <c r="D3026" s="17">
        <v>9500</v>
      </c>
      <c r="E3026" s="17"/>
      <c r="F3026" s="18"/>
      <c r="G3026" s="18"/>
      <c r="H3026" s="18"/>
      <c r="I3026" s="18"/>
    </row>
    <row r="3027" ht="20.9" customHeight="1">
      <c r="A3027" s="10">
        <v>45588</v>
      </c>
      <c r="B3027" t="s" s="11">
        <v>89</v>
      </c>
      <c r="C3027" t="s" s="12">
        <v>525</v>
      </c>
      <c r="D3027" s="19">
        <v>18500</v>
      </c>
      <c r="E3027" s="19"/>
      <c r="F3027" s="20"/>
      <c r="G3027" s="20"/>
      <c r="H3027" s="20"/>
      <c r="I3027" s="20"/>
    </row>
    <row r="3028" ht="21.25" customHeight="1">
      <c r="A3028" s="10">
        <v>45588</v>
      </c>
      <c r="B3028" t="s" s="11">
        <v>5</v>
      </c>
      <c r="C3028" t="s" s="12">
        <v>525</v>
      </c>
      <c r="D3028" s="13"/>
      <c r="E3028" s="13">
        <v>28000</v>
      </c>
      <c r="F3028" s="14"/>
      <c r="G3028" s="14"/>
      <c r="H3028" s="14"/>
      <c r="I3028" s="14"/>
    </row>
    <row r="3029" ht="20.7" customHeight="1">
      <c r="A3029" s="10">
        <v>45588</v>
      </c>
      <c r="B3029" t="s" s="11">
        <v>8</v>
      </c>
      <c r="C3029" t="s" s="12">
        <v>8</v>
      </c>
      <c r="D3029" s="15" cm="1">
        <f t="array" ref="D3029">SUM(D3026:D3028)</f>
        <v>28000</v>
      </c>
      <c r="E3029" s="15" cm="1">
        <f t="array" ref="E3029">SUM(E3026:E3028)</f>
        <v>28000</v>
      </c>
      <c r="F3029" s="16" cm="1">
        <f t="array" ref="F3029">SUM(F3026:F3028)</f>
        <v>0</v>
      </c>
      <c r="G3029" s="16" cm="1">
        <f t="array" ref="G3029">SUM(G3026:G3028)</f>
        <v>0</v>
      </c>
      <c r="H3029" s="16" cm="1">
        <f t="array" ref="H3029">SUM(H3026:H3028)</f>
        <v>0</v>
      </c>
      <c r="I3029" s="16" cm="1">
        <f t="array" ref="I3029">SUM(I3026:I3028)</f>
        <v>0</v>
      </c>
    </row>
    <row r="3030" ht="20.35" customHeight="1">
      <c r="A3030" s="10">
        <v>45589</v>
      </c>
      <c r="B3030" t="s" s="11">
        <v>5</v>
      </c>
      <c r="C3030" t="s" s="12">
        <v>96</v>
      </c>
      <c r="D3030" s="17">
        <v>80000</v>
      </c>
      <c r="E3030" s="17"/>
      <c r="F3030" s="18"/>
      <c r="G3030" s="18"/>
      <c r="H3030" s="18"/>
      <c r="I3030" s="18"/>
    </row>
    <row r="3031" ht="20.35" customHeight="1">
      <c r="A3031" s="10">
        <v>45589</v>
      </c>
      <c r="B3031" t="s" s="11">
        <v>107</v>
      </c>
      <c r="C3031" t="s" s="12">
        <v>96</v>
      </c>
      <c r="D3031" s="13"/>
      <c r="E3031" s="13">
        <v>80000</v>
      </c>
      <c r="F3031" s="14"/>
      <c r="G3031" s="14"/>
      <c r="H3031" s="14"/>
      <c r="I3031" s="14"/>
    </row>
    <row r="3032" ht="20.7" customHeight="1">
      <c r="A3032" s="10">
        <v>45589</v>
      </c>
      <c r="B3032" t="s" s="11">
        <v>8</v>
      </c>
      <c r="C3032" t="s" s="12">
        <v>8</v>
      </c>
      <c r="D3032" s="15" cm="1">
        <f t="array" ref="D3032">SUM(D3030:D3031)</f>
        <v>80000</v>
      </c>
      <c r="E3032" s="15" cm="1">
        <f t="array" ref="E3032">SUM(E3030:E3031)</f>
        <v>80000</v>
      </c>
      <c r="F3032" s="16" cm="1">
        <f t="array" ref="F3032">SUM(F3030:F3031)</f>
        <v>0</v>
      </c>
      <c r="G3032" s="16" cm="1">
        <f t="array" ref="G3032">SUM(G3030:G3031)</f>
        <v>0</v>
      </c>
      <c r="H3032" s="16" cm="1">
        <f t="array" ref="H3032">SUM(H3030:H3031)</f>
        <v>0</v>
      </c>
      <c r="I3032" s="16" cm="1">
        <f t="array" ref="I3032">SUM(I3030:I3031)</f>
        <v>0</v>
      </c>
    </row>
    <row r="3033" ht="20.35" customHeight="1">
      <c r="A3033" s="10">
        <v>45589</v>
      </c>
      <c r="B3033" t="s" s="11">
        <v>5</v>
      </c>
      <c r="C3033" t="s" s="12">
        <v>526</v>
      </c>
      <c r="D3033" s="17"/>
      <c r="E3033" s="17">
        <v>50000</v>
      </c>
      <c r="F3033" s="18"/>
      <c r="G3033" s="18"/>
      <c r="H3033" s="18"/>
      <c r="I3033" s="18"/>
    </row>
    <row r="3034" ht="20.35" customHeight="1">
      <c r="A3034" s="10">
        <v>45589</v>
      </c>
      <c r="B3034" t="s" s="11">
        <v>28</v>
      </c>
      <c r="C3034" t="s" s="12">
        <v>526</v>
      </c>
      <c r="D3034" s="13">
        <v>50000</v>
      </c>
      <c r="E3034" s="13"/>
      <c r="F3034" s="14"/>
      <c r="G3034" s="14"/>
      <c r="H3034" s="14"/>
      <c r="I3034" s="14"/>
    </row>
    <row r="3035" ht="20.7" customHeight="1">
      <c r="A3035" s="10">
        <v>45589</v>
      </c>
      <c r="B3035" t="s" s="11">
        <v>8</v>
      </c>
      <c r="C3035" t="s" s="12">
        <v>8</v>
      </c>
      <c r="D3035" s="15" cm="1">
        <f t="array" ref="D3035">SUM(D3033:D3034)</f>
        <v>50000</v>
      </c>
      <c r="E3035" s="15" cm="1">
        <f t="array" ref="E3035">SUM(E3033:E3034)</f>
        <v>50000</v>
      </c>
      <c r="F3035" s="16" cm="1">
        <f t="array" ref="F3035">SUM(F3033:F3034)</f>
        <v>0</v>
      </c>
      <c r="G3035" s="16" cm="1">
        <f t="array" ref="G3035">SUM(G3033:G3034)</f>
        <v>0</v>
      </c>
      <c r="H3035" s="16" cm="1">
        <f t="array" ref="H3035">SUM(H3033:H3034)</f>
        <v>0</v>
      </c>
      <c r="I3035" s="16" cm="1">
        <f t="array" ref="I3035">SUM(I3033:I3034)</f>
        <v>0</v>
      </c>
    </row>
    <row r="3036" ht="20.35" customHeight="1">
      <c r="A3036" s="10">
        <v>45589</v>
      </c>
      <c r="B3036" t="s" s="11">
        <v>28</v>
      </c>
      <c r="C3036" t="s" s="12">
        <v>527</v>
      </c>
      <c r="D3036" s="17"/>
      <c r="E3036" s="17">
        <v>50000</v>
      </c>
      <c r="F3036" s="18"/>
      <c r="G3036" s="18"/>
      <c r="H3036" s="18"/>
      <c r="I3036" s="18"/>
    </row>
    <row r="3037" ht="20.35" customHeight="1">
      <c r="A3037" s="10">
        <v>45589</v>
      </c>
      <c r="B3037" t="s" s="11">
        <v>89</v>
      </c>
      <c r="C3037" t="s" s="12">
        <v>527</v>
      </c>
      <c r="D3037" s="13">
        <v>50000</v>
      </c>
      <c r="E3037" s="13"/>
      <c r="F3037" s="14"/>
      <c r="G3037" s="14"/>
      <c r="H3037" s="14"/>
      <c r="I3037" s="14"/>
    </row>
    <row r="3038" ht="20.7" customHeight="1">
      <c r="A3038" s="10">
        <v>45589</v>
      </c>
      <c r="B3038" t="s" s="11">
        <v>8</v>
      </c>
      <c r="C3038" t="s" s="12">
        <v>8</v>
      </c>
      <c r="D3038" s="15" cm="1">
        <f t="array" ref="D3038">SUM(D3036:D3037)</f>
        <v>50000</v>
      </c>
      <c r="E3038" s="15" cm="1">
        <f t="array" ref="E3038">SUM(E3036:E3037)</f>
        <v>50000</v>
      </c>
      <c r="F3038" s="16" cm="1">
        <f t="array" ref="F3038">SUM(F3036:F3037)</f>
        <v>0</v>
      </c>
      <c r="G3038" s="16" cm="1">
        <f t="array" ref="G3038">SUM(G3036:G3037)</f>
        <v>0</v>
      </c>
      <c r="H3038" s="16" cm="1">
        <f t="array" ref="H3038">SUM(H3036:H3037)</f>
        <v>0</v>
      </c>
      <c r="I3038" s="16" cm="1">
        <f t="array" ref="I3038">SUM(I3036:I3037)</f>
        <v>0</v>
      </c>
    </row>
    <row r="3039" ht="21.25" customHeight="1">
      <c r="A3039" s="10">
        <v>45589</v>
      </c>
      <c r="B3039" t="s" s="11">
        <v>12</v>
      </c>
      <c r="C3039" t="s" s="12">
        <v>528</v>
      </c>
      <c r="D3039" s="17">
        <v>8800</v>
      </c>
      <c r="E3039" s="17"/>
      <c r="F3039" s="18"/>
      <c r="G3039" s="18"/>
      <c r="H3039" s="18"/>
      <c r="I3039" s="18"/>
    </row>
    <row r="3040" ht="20.9" customHeight="1">
      <c r="A3040" s="10">
        <v>45589</v>
      </c>
      <c r="B3040" t="s" s="11">
        <v>10</v>
      </c>
      <c r="C3040" t="s" s="12">
        <v>528</v>
      </c>
      <c r="D3040" s="19">
        <v>12700</v>
      </c>
      <c r="E3040" s="19"/>
      <c r="F3040" s="20"/>
      <c r="G3040" s="20"/>
      <c r="H3040" s="20"/>
      <c r="I3040" s="20"/>
    </row>
    <row r="3041" ht="21.25" customHeight="1">
      <c r="A3041" s="10">
        <v>45589</v>
      </c>
      <c r="B3041" t="s" s="11">
        <v>5</v>
      </c>
      <c r="C3041" t="s" s="12">
        <v>528</v>
      </c>
      <c r="D3041" s="13"/>
      <c r="E3041" s="13">
        <v>21500</v>
      </c>
      <c r="F3041" s="14"/>
      <c r="G3041" s="14"/>
      <c r="H3041" s="14"/>
      <c r="I3041" s="14"/>
    </row>
    <row r="3042" ht="20.7" customHeight="1">
      <c r="A3042" s="10">
        <v>45589</v>
      </c>
      <c r="B3042" t="s" s="11">
        <v>8</v>
      </c>
      <c r="C3042" t="s" s="12">
        <v>8</v>
      </c>
      <c r="D3042" s="15" cm="1">
        <f t="array" ref="D3042">SUM(D3039:D3041)</f>
        <v>21500</v>
      </c>
      <c r="E3042" s="15" cm="1">
        <f t="array" ref="E3042">SUM(E3039:E3041)</f>
        <v>21500</v>
      </c>
      <c r="F3042" s="16" cm="1">
        <f t="array" ref="F3042">SUM(F3039:F3041)</f>
        <v>0</v>
      </c>
      <c r="G3042" s="16" cm="1">
        <f t="array" ref="G3042">SUM(G3039:G3041)</f>
        <v>0</v>
      </c>
      <c r="H3042" s="16" cm="1">
        <f t="array" ref="H3042">SUM(H3039:H3041)</f>
        <v>0</v>
      </c>
      <c r="I3042" s="16" cm="1">
        <f t="array" ref="I3042">SUM(I3039:I3041)</f>
        <v>0</v>
      </c>
    </row>
    <row r="3043" ht="20.35" customHeight="1">
      <c r="A3043" s="10">
        <v>45589</v>
      </c>
      <c r="B3043" t="s" s="11">
        <v>39</v>
      </c>
      <c r="C3043" t="s" s="12">
        <v>64</v>
      </c>
      <c r="D3043" s="17"/>
      <c r="E3043" s="17"/>
      <c r="F3043" s="18">
        <v>2000</v>
      </c>
      <c r="G3043" s="18"/>
      <c r="H3043" s="18"/>
      <c r="I3043" s="18"/>
    </row>
    <row r="3044" ht="20.35" customHeight="1">
      <c r="A3044" s="10">
        <v>45589</v>
      </c>
      <c r="B3044" t="s" s="11">
        <v>41</v>
      </c>
      <c r="C3044" t="s" s="12">
        <v>64</v>
      </c>
      <c r="D3044" s="13"/>
      <c r="E3044" s="13"/>
      <c r="F3044" s="14"/>
      <c r="G3044" s="14">
        <v>2000</v>
      </c>
      <c r="H3044" s="14"/>
      <c r="I3044" s="14"/>
    </row>
    <row r="3045" ht="20.7" customHeight="1">
      <c r="A3045" s="10">
        <v>45589</v>
      </c>
      <c r="B3045" t="s" s="11">
        <v>8</v>
      </c>
      <c r="C3045" t="s" s="12">
        <v>8</v>
      </c>
      <c r="D3045" s="15" cm="1">
        <f t="array" ref="D3045">SUM(D3043:D3044)</f>
        <v>0</v>
      </c>
      <c r="E3045" s="15" cm="1">
        <f t="array" ref="E3045">SUM(E3043:E3044)</f>
        <v>0</v>
      </c>
      <c r="F3045" s="16" cm="1">
        <f t="array" ref="F3045">SUM(F3043:F3044)</f>
        <v>2000</v>
      </c>
      <c r="G3045" s="16" cm="1">
        <f t="array" ref="G3045">SUM(G3043:G3044)</f>
        <v>2000</v>
      </c>
      <c r="H3045" s="16" cm="1">
        <f t="array" ref="H3045">SUM(H3043:H3044)</f>
        <v>0</v>
      </c>
      <c r="I3045" s="16" cm="1">
        <f t="array" ref="I3045">SUM(I3043:I3044)</f>
        <v>0</v>
      </c>
    </row>
    <row r="3046" ht="20.35" customHeight="1">
      <c r="A3046" s="10">
        <v>45589</v>
      </c>
      <c r="B3046" t="s" s="11">
        <v>5</v>
      </c>
      <c r="C3046" t="s" s="12">
        <v>96</v>
      </c>
      <c r="D3046" s="17">
        <v>20000</v>
      </c>
      <c r="E3046" s="17"/>
      <c r="F3046" s="18"/>
      <c r="G3046" s="18"/>
      <c r="H3046" s="18"/>
      <c r="I3046" s="18"/>
    </row>
    <row r="3047" ht="20.35" customHeight="1">
      <c r="A3047" s="10">
        <v>45589</v>
      </c>
      <c r="B3047" t="s" s="11">
        <v>107</v>
      </c>
      <c r="C3047" t="s" s="12">
        <v>96</v>
      </c>
      <c r="D3047" s="13"/>
      <c r="E3047" s="13">
        <v>20000</v>
      </c>
      <c r="F3047" s="14"/>
      <c r="G3047" s="14"/>
      <c r="H3047" s="14"/>
      <c r="I3047" s="14"/>
    </row>
    <row r="3048" ht="20.7" customHeight="1">
      <c r="A3048" s="10">
        <v>45589</v>
      </c>
      <c r="B3048" t="s" s="11">
        <v>8</v>
      </c>
      <c r="C3048" t="s" s="12">
        <v>8</v>
      </c>
      <c r="D3048" s="15" cm="1">
        <f t="array" ref="D3048">SUM(D3046:D3047)</f>
        <v>20000</v>
      </c>
      <c r="E3048" s="15" cm="1">
        <f t="array" ref="E3048">SUM(E3046:E3047)</f>
        <v>20000</v>
      </c>
      <c r="F3048" s="16" cm="1">
        <f t="array" ref="F3048">SUM(F3046:F3047)</f>
        <v>0</v>
      </c>
      <c r="G3048" s="16" cm="1">
        <f t="array" ref="G3048">SUM(G3046:G3047)</f>
        <v>0</v>
      </c>
      <c r="H3048" s="16" cm="1">
        <f t="array" ref="H3048">SUM(H3046:H3047)</f>
        <v>0</v>
      </c>
      <c r="I3048" s="16" cm="1">
        <f t="array" ref="I3048">SUM(I3046:I3047)</f>
        <v>0</v>
      </c>
    </row>
    <row r="3049" ht="21.25" customHeight="1">
      <c r="A3049" s="10">
        <v>45590</v>
      </c>
      <c r="B3049" t="s" s="11">
        <v>12</v>
      </c>
      <c r="C3049" t="s" s="12">
        <v>529</v>
      </c>
      <c r="D3049" s="17">
        <v>4100</v>
      </c>
      <c r="E3049" s="17"/>
      <c r="F3049" s="18"/>
      <c r="G3049" s="18"/>
      <c r="H3049" s="18"/>
      <c r="I3049" s="18"/>
    </row>
    <row r="3050" ht="20.9" customHeight="1">
      <c r="A3050" s="10">
        <v>45590</v>
      </c>
      <c r="B3050" t="s" s="11">
        <v>10</v>
      </c>
      <c r="C3050" t="s" s="12">
        <v>529</v>
      </c>
      <c r="D3050" s="19">
        <v>11700</v>
      </c>
      <c r="E3050" s="19"/>
      <c r="F3050" s="20"/>
      <c r="G3050" s="20"/>
      <c r="H3050" s="20"/>
      <c r="I3050" s="20"/>
    </row>
    <row r="3051" ht="21.25" customHeight="1">
      <c r="A3051" s="10">
        <v>45590</v>
      </c>
      <c r="B3051" t="s" s="11">
        <v>5</v>
      </c>
      <c r="C3051" t="s" s="12">
        <v>529</v>
      </c>
      <c r="D3051" s="13"/>
      <c r="E3051" s="13">
        <v>15800</v>
      </c>
      <c r="F3051" s="14"/>
      <c r="G3051" s="14"/>
      <c r="H3051" s="14"/>
      <c r="I3051" s="14"/>
    </row>
    <row r="3052" ht="20.7" customHeight="1">
      <c r="A3052" s="10">
        <v>45590</v>
      </c>
      <c r="B3052" t="s" s="11">
        <v>8</v>
      </c>
      <c r="C3052" t="s" s="12">
        <v>8</v>
      </c>
      <c r="D3052" s="15" cm="1">
        <f t="array" ref="D3052">SUM(D3049:D3051)</f>
        <v>15800</v>
      </c>
      <c r="E3052" s="15" cm="1">
        <f t="array" ref="E3052">SUM(E3049:E3051)</f>
        <v>15800</v>
      </c>
      <c r="F3052" s="16" cm="1">
        <f t="array" ref="F3052">SUM(F3049:F3051)</f>
        <v>0</v>
      </c>
      <c r="G3052" s="16" cm="1">
        <f t="array" ref="G3052">SUM(G3049:G3051)</f>
        <v>0</v>
      </c>
      <c r="H3052" s="16" cm="1">
        <f t="array" ref="H3052">SUM(H3049:H3051)</f>
        <v>0</v>
      </c>
      <c r="I3052" s="16" cm="1">
        <f t="array" ref="I3052">SUM(I3049:I3051)</f>
        <v>0</v>
      </c>
    </row>
    <row r="3053" ht="21.25" customHeight="1">
      <c r="A3053" s="10">
        <v>45590</v>
      </c>
      <c r="B3053" t="s" s="11">
        <v>5</v>
      </c>
      <c r="C3053" t="s" s="12">
        <v>530</v>
      </c>
      <c r="D3053" s="17"/>
      <c r="E3053" s="17">
        <v>9400</v>
      </c>
      <c r="F3053" s="18"/>
      <c r="G3053" s="18"/>
      <c r="H3053" s="18"/>
      <c r="I3053" s="18"/>
    </row>
    <row r="3054" ht="20.9" customHeight="1">
      <c r="A3054" s="10">
        <v>45590</v>
      </c>
      <c r="B3054" t="s" s="11">
        <v>10</v>
      </c>
      <c r="C3054" t="s" s="12">
        <v>530</v>
      </c>
      <c r="D3054" s="19">
        <v>4700</v>
      </c>
      <c r="E3054" s="19"/>
      <c r="F3054" s="20"/>
      <c r="G3054" s="20"/>
      <c r="H3054" s="20"/>
      <c r="I3054" s="20"/>
    </row>
    <row r="3055" ht="21.25" customHeight="1">
      <c r="A3055" s="10">
        <v>45590</v>
      </c>
      <c r="B3055" t="s" s="11">
        <v>12</v>
      </c>
      <c r="C3055" t="s" s="12">
        <v>530</v>
      </c>
      <c r="D3055" s="13">
        <v>4700</v>
      </c>
      <c r="E3055" s="13"/>
      <c r="F3055" s="14"/>
      <c r="G3055" s="14"/>
      <c r="H3055" s="14"/>
      <c r="I3055" s="14"/>
    </row>
    <row r="3056" ht="20.7" customHeight="1">
      <c r="A3056" s="10">
        <v>45590</v>
      </c>
      <c r="B3056" t="s" s="11">
        <v>8</v>
      </c>
      <c r="C3056" t="s" s="12">
        <v>8</v>
      </c>
      <c r="D3056" s="15" cm="1">
        <f t="array" ref="D3056">SUM(D3053:D3055)</f>
        <v>9400</v>
      </c>
      <c r="E3056" s="15" cm="1">
        <f t="array" ref="E3056">SUM(E3053:E3055)</f>
        <v>9400</v>
      </c>
      <c r="F3056" s="16" cm="1">
        <f t="array" ref="F3056">SUM(F3053:F3055)</f>
        <v>0</v>
      </c>
      <c r="G3056" s="16" cm="1">
        <f t="array" ref="G3056">SUM(G3053:G3055)</f>
        <v>0</v>
      </c>
      <c r="H3056" s="16" cm="1">
        <f t="array" ref="H3056">SUM(H3053:H3055)</f>
        <v>0</v>
      </c>
      <c r="I3056" s="16" cm="1">
        <f t="array" ref="I3056">SUM(I3053:I3055)</f>
        <v>0</v>
      </c>
    </row>
    <row r="3057" ht="20.35" customHeight="1">
      <c r="A3057" s="10">
        <v>45590</v>
      </c>
      <c r="B3057" t="s" s="11">
        <v>107</v>
      </c>
      <c r="C3057" t="s" s="12">
        <v>531</v>
      </c>
      <c r="D3057" s="17">
        <v>700000</v>
      </c>
      <c r="E3057" s="17"/>
      <c r="F3057" s="18"/>
      <c r="G3057" s="18"/>
      <c r="H3057" s="18"/>
      <c r="I3057" s="18"/>
    </row>
    <row r="3058" ht="20.35" customHeight="1">
      <c r="A3058" s="10">
        <v>45590</v>
      </c>
      <c r="B3058" t="s" s="11">
        <v>97</v>
      </c>
      <c r="C3058" t="s" s="12">
        <v>531</v>
      </c>
      <c r="D3058" s="13"/>
      <c r="E3058" s="13">
        <v>700000</v>
      </c>
      <c r="F3058" s="14"/>
      <c r="G3058" s="14"/>
      <c r="H3058" s="14"/>
      <c r="I3058" s="14"/>
    </row>
    <row r="3059" ht="20.7" customHeight="1">
      <c r="A3059" s="10">
        <v>45590</v>
      </c>
      <c r="B3059" t="s" s="11">
        <v>8</v>
      </c>
      <c r="C3059" t="s" s="12">
        <v>8</v>
      </c>
      <c r="D3059" s="15" cm="1">
        <f t="array" ref="D3059">SUM(D3057:D3058)</f>
        <v>700000</v>
      </c>
      <c r="E3059" s="15" cm="1">
        <f t="array" ref="E3059">SUM(E3057:E3058)</f>
        <v>700000</v>
      </c>
      <c r="F3059" s="16" cm="1">
        <f t="array" ref="F3059">SUM(F3057:F3058)</f>
        <v>0</v>
      </c>
      <c r="G3059" s="16" cm="1">
        <f t="array" ref="G3059">SUM(G3057:G3058)</f>
        <v>0</v>
      </c>
      <c r="H3059" s="16" cm="1">
        <f t="array" ref="H3059">SUM(H3057:H3058)</f>
        <v>0</v>
      </c>
      <c r="I3059" s="16" cm="1">
        <f t="array" ref="I3059">SUM(I3057:I3058)</f>
        <v>0</v>
      </c>
    </row>
    <row r="3060" ht="20.35" customHeight="1">
      <c r="A3060" s="10">
        <v>45590</v>
      </c>
      <c r="B3060" t="s" s="11">
        <v>39</v>
      </c>
      <c r="C3060" t="s" s="12">
        <v>402</v>
      </c>
      <c r="D3060" s="17"/>
      <c r="E3060" s="17"/>
      <c r="F3060" s="18"/>
      <c r="G3060" s="18">
        <v>2041.51</v>
      </c>
      <c r="H3060" s="18"/>
      <c r="I3060" s="18"/>
    </row>
    <row r="3061" ht="20.05" customHeight="1">
      <c r="A3061" s="10">
        <v>45590</v>
      </c>
      <c r="B3061" t="s" s="11">
        <v>44</v>
      </c>
      <c r="C3061" t="s" s="12">
        <v>402</v>
      </c>
      <c r="D3061" s="19"/>
      <c r="E3061" s="19"/>
      <c r="F3061" s="20">
        <v>2017.49</v>
      </c>
      <c r="G3061" s="20"/>
      <c r="H3061" s="20"/>
      <c r="I3061" s="20"/>
    </row>
    <row r="3062" ht="20.05" customHeight="1">
      <c r="A3062" s="10">
        <v>45590</v>
      </c>
      <c r="B3062" t="s" s="11">
        <v>43</v>
      </c>
      <c r="C3062" t="s" s="12">
        <v>402</v>
      </c>
      <c r="D3062" s="19"/>
      <c r="E3062" s="19"/>
      <c r="F3062" s="20">
        <v>24.02</v>
      </c>
      <c r="G3062" s="20"/>
      <c r="H3062" s="20"/>
      <c r="I3062" s="20"/>
    </row>
    <row r="3063" ht="20.05" customHeight="1">
      <c r="A3063" s="10">
        <v>45590</v>
      </c>
      <c r="B3063" t="s" s="11">
        <v>5</v>
      </c>
      <c r="C3063" t="s" s="12">
        <v>402</v>
      </c>
      <c r="D3063" s="19">
        <v>642776</v>
      </c>
      <c r="E3063" s="19"/>
      <c r="F3063" s="20"/>
      <c r="G3063" s="20"/>
      <c r="H3063" s="20"/>
      <c r="I3063" s="20"/>
    </row>
    <row r="3064" ht="20.35" customHeight="1">
      <c r="A3064" s="10">
        <v>45590</v>
      </c>
      <c r="B3064" t="s" s="11">
        <v>46</v>
      </c>
      <c r="C3064" t="s" s="12">
        <v>402</v>
      </c>
      <c r="D3064" s="13"/>
      <c r="E3064" s="13">
        <v>642776</v>
      </c>
      <c r="F3064" s="14"/>
      <c r="G3064" s="14"/>
      <c r="H3064" s="14"/>
      <c r="I3064" s="14"/>
    </row>
    <row r="3065" ht="20.7" customHeight="1">
      <c r="A3065" s="10">
        <v>45590</v>
      </c>
      <c r="B3065" t="s" s="11">
        <v>8</v>
      </c>
      <c r="C3065" t="s" s="12">
        <v>8</v>
      </c>
      <c r="D3065" s="15" cm="1">
        <f t="array" ref="D3065">SUM(D3060:D3064)</f>
        <v>642776</v>
      </c>
      <c r="E3065" s="15" cm="1">
        <f t="array" ref="E3065">SUM(E3060:E3064)</f>
        <v>642776</v>
      </c>
      <c r="F3065" s="16" cm="1">
        <f t="array" ref="F3065">SUM(F3060:F3064)</f>
        <v>2041.51</v>
      </c>
      <c r="G3065" s="16" cm="1">
        <f t="array" ref="G3065">SUM(G3060:G3064)</f>
        <v>2041.51</v>
      </c>
      <c r="H3065" s="16" cm="1">
        <f t="array" ref="H3065">SUM(H3060:H3064)</f>
        <v>0</v>
      </c>
      <c r="I3065" s="16" cm="1">
        <f t="array" ref="I3065">SUM(I3060:I3064)</f>
        <v>0</v>
      </c>
    </row>
    <row r="3066" ht="20.35" customHeight="1">
      <c r="A3066" s="10">
        <v>45590</v>
      </c>
      <c r="B3066" t="s" s="11">
        <v>74</v>
      </c>
      <c r="C3066" t="s" s="12">
        <v>75</v>
      </c>
      <c r="D3066" s="17">
        <v>410000</v>
      </c>
      <c r="E3066" s="17"/>
      <c r="F3066" s="18"/>
      <c r="G3066" s="18"/>
      <c r="H3066" s="18"/>
      <c r="I3066" s="18"/>
    </row>
    <row r="3067" ht="20.35" customHeight="1">
      <c r="A3067" s="10">
        <v>45590</v>
      </c>
      <c r="B3067" t="s" s="11">
        <v>5</v>
      </c>
      <c r="C3067" t="s" s="12">
        <v>75</v>
      </c>
      <c r="D3067" s="13"/>
      <c r="E3067" s="13">
        <v>410000</v>
      </c>
      <c r="F3067" s="14"/>
      <c r="G3067" s="14"/>
      <c r="H3067" s="14"/>
      <c r="I3067" s="14"/>
    </row>
    <row r="3068" ht="20.7" customHeight="1">
      <c r="A3068" s="10">
        <v>45590</v>
      </c>
      <c r="B3068" t="s" s="11">
        <v>8</v>
      </c>
      <c r="C3068" t="s" s="12">
        <v>8</v>
      </c>
      <c r="D3068" s="15" cm="1">
        <f t="array" ref="D3068">SUM(D3066:D3067)</f>
        <v>410000</v>
      </c>
      <c r="E3068" s="15" cm="1">
        <f t="array" ref="E3068">SUM(E3066:E3067)</f>
        <v>410000</v>
      </c>
      <c r="F3068" s="16" cm="1">
        <f t="array" ref="F3068">SUM(F3066:F3067)</f>
        <v>0</v>
      </c>
      <c r="G3068" s="16" cm="1">
        <f t="array" ref="G3068">SUM(G3066:G3067)</f>
        <v>0</v>
      </c>
      <c r="H3068" s="16" cm="1">
        <f t="array" ref="H3068">SUM(H3066:H3067)</f>
        <v>0</v>
      </c>
      <c r="I3068" s="16" cm="1">
        <f t="array" ref="I3068">SUM(I3066:I3067)</f>
        <v>0</v>
      </c>
    </row>
    <row r="3069" ht="20.35" customHeight="1">
      <c r="A3069" s="10">
        <v>45590</v>
      </c>
      <c r="B3069" t="s" s="11">
        <v>5</v>
      </c>
      <c r="C3069" t="s" s="12">
        <v>96</v>
      </c>
      <c r="D3069" s="17">
        <v>1931440</v>
      </c>
      <c r="E3069" s="17"/>
      <c r="F3069" s="18"/>
      <c r="G3069" s="18"/>
      <c r="H3069" s="18"/>
      <c r="I3069" s="18"/>
    </row>
    <row r="3070" ht="20.35" customHeight="1">
      <c r="A3070" s="10">
        <v>45590</v>
      </c>
      <c r="B3070" t="s" s="11">
        <v>107</v>
      </c>
      <c r="C3070" t="s" s="12">
        <v>96</v>
      </c>
      <c r="D3070" s="13"/>
      <c r="E3070" s="13">
        <v>1931440</v>
      </c>
      <c r="F3070" s="14"/>
      <c r="G3070" s="14"/>
      <c r="H3070" s="14"/>
      <c r="I3070" s="14"/>
    </row>
    <row r="3071" ht="20.7" customHeight="1">
      <c r="A3071" s="10">
        <v>45590</v>
      </c>
      <c r="B3071" t="s" s="11">
        <v>8</v>
      </c>
      <c r="C3071" t="s" s="12">
        <v>8</v>
      </c>
      <c r="D3071" s="15" cm="1">
        <f t="array" ref="D3071">SUM(D3069:D3070)</f>
        <v>1931440</v>
      </c>
      <c r="E3071" s="15" cm="1">
        <f t="array" ref="E3071">SUM(E3069:E3070)</f>
        <v>1931440</v>
      </c>
      <c r="F3071" s="16" cm="1">
        <f t="array" ref="F3071">SUM(F3069:F3070)</f>
        <v>0</v>
      </c>
      <c r="G3071" s="16" cm="1">
        <f t="array" ref="G3071">SUM(G3069:G3070)</f>
        <v>0</v>
      </c>
      <c r="H3071" s="16" cm="1">
        <f t="array" ref="H3071">SUM(H3069:H3070)</f>
        <v>0</v>
      </c>
      <c r="I3071" s="16" cm="1">
        <f t="array" ref="I3071">SUM(I3069:I3070)</f>
        <v>0</v>
      </c>
    </row>
    <row r="3072" ht="20.35" customHeight="1">
      <c r="A3072" s="10">
        <v>45590</v>
      </c>
      <c r="B3072" t="s" s="11">
        <v>5</v>
      </c>
      <c r="C3072" t="s" s="12">
        <v>439</v>
      </c>
      <c r="D3072" s="17"/>
      <c r="E3072" s="17">
        <v>300000</v>
      </c>
      <c r="F3072" s="18"/>
      <c r="G3072" s="18"/>
      <c r="H3072" s="18"/>
      <c r="I3072" s="18"/>
    </row>
    <row r="3073" ht="20.35" customHeight="1">
      <c r="A3073" s="10">
        <v>45590</v>
      </c>
      <c r="B3073" t="s" s="11">
        <v>121</v>
      </c>
      <c r="C3073" t="s" s="12">
        <v>439</v>
      </c>
      <c r="D3073" s="13">
        <v>300000</v>
      </c>
      <c r="E3073" s="13"/>
      <c r="F3073" s="14"/>
      <c r="G3073" s="14"/>
      <c r="H3073" s="14"/>
      <c r="I3073" s="14"/>
    </row>
    <row r="3074" ht="20.7" customHeight="1">
      <c r="A3074" s="10">
        <v>45590</v>
      </c>
      <c r="B3074" t="s" s="11">
        <v>8</v>
      </c>
      <c r="C3074" t="s" s="12">
        <v>8</v>
      </c>
      <c r="D3074" s="15" cm="1">
        <f t="array" ref="D3074">SUM(D3072:D3073)</f>
        <v>300000</v>
      </c>
      <c r="E3074" s="15" cm="1">
        <f t="array" ref="E3074">SUM(E3072:E3073)</f>
        <v>300000</v>
      </c>
      <c r="F3074" s="16" cm="1">
        <f t="array" ref="F3074">SUM(F3072:F3073)</f>
        <v>0</v>
      </c>
      <c r="G3074" s="16" cm="1">
        <f t="array" ref="G3074">SUM(G3072:G3073)</f>
        <v>0</v>
      </c>
      <c r="H3074" s="16" cm="1">
        <f t="array" ref="H3074">SUM(H3072:H3073)</f>
        <v>0</v>
      </c>
      <c r="I3074" s="16" cm="1">
        <f t="array" ref="I3074">SUM(I3072:I3073)</f>
        <v>0</v>
      </c>
    </row>
    <row r="3075" ht="21.25" customHeight="1">
      <c r="A3075" s="10">
        <v>45590</v>
      </c>
      <c r="B3075" t="s" s="11">
        <v>121</v>
      </c>
      <c r="C3075" t="s" s="12">
        <v>532</v>
      </c>
      <c r="D3075" s="17"/>
      <c r="E3075" s="17">
        <v>299079</v>
      </c>
      <c r="F3075" s="18"/>
      <c r="G3075" s="18"/>
      <c r="H3075" s="18"/>
      <c r="I3075" s="18"/>
    </row>
    <row r="3076" ht="21.25" customHeight="1">
      <c r="A3076" s="10">
        <v>45590</v>
      </c>
      <c r="B3076" t="s" s="11">
        <v>441</v>
      </c>
      <c r="C3076" t="s" s="12">
        <v>532</v>
      </c>
      <c r="D3076" s="13">
        <v>299079</v>
      </c>
      <c r="E3076" s="13"/>
      <c r="F3076" s="14"/>
      <c r="G3076" s="14"/>
      <c r="H3076" s="14"/>
      <c r="I3076" s="14"/>
    </row>
    <row r="3077" ht="20.7" customHeight="1">
      <c r="A3077" s="10">
        <v>45590</v>
      </c>
      <c r="B3077" t="s" s="11">
        <v>8</v>
      </c>
      <c r="C3077" t="s" s="12">
        <v>8</v>
      </c>
      <c r="D3077" s="15" cm="1">
        <f t="array" ref="D3077">SUM(D3075:D3076)</f>
        <v>299079</v>
      </c>
      <c r="E3077" s="15" cm="1">
        <f t="array" ref="E3077">SUM(E3075:E3076)</f>
        <v>299079</v>
      </c>
      <c r="F3077" s="16" cm="1">
        <f t="array" ref="F3077">SUM(F3075:F3076)</f>
        <v>0</v>
      </c>
      <c r="G3077" s="16" cm="1">
        <f t="array" ref="G3077">SUM(G3075:G3076)</f>
        <v>0</v>
      </c>
      <c r="H3077" s="16" cm="1">
        <f t="array" ref="H3077">SUM(H3075:H3076)</f>
        <v>0</v>
      </c>
      <c r="I3077" s="16" cm="1">
        <f t="array" ref="I3077">SUM(I3075:I3076)</f>
        <v>0</v>
      </c>
    </row>
    <row r="3078" ht="20.35" customHeight="1">
      <c r="A3078" s="10">
        <v>45590</v>
      </c>
      <c r="B3078" t="s" s="11">
        <v>5</v>
      </c>
      <c r="C3078" t="s" s="12">
        <v>533</v>
      </c>
      <c r="D3078" s="17"/>
      <c r="E3078" s="17">
        <v>200000</v>
      </c>
      <c r="F3078" s="18"/>
      <c r="G3078" s="18"/>
      <c r="H3078" s="18"/>
      <c r="I3078" s="18"/>
    </row>
    <row r="3079" ht="20.35" customHeight="1">
      <c r="A3079" s="10">
        <v>45590</v>
      </c>
      <c r="B3079" t="s" s="11">
        <v>79</v>
      </c>
      <c r="C3079" t="s" s="12">
        <v>533</v>
      </c>
      <c r="D3079" s="13">
        <v>200000</v>
      </c>
      <c r="E3079" s="13"/>
      <c r="F3079" s="14"/>
      <c r="G3079" s="14"/>
      <c r="H3079" s="14"/>
      <c r="I3079" s="14"/>
    </row>
    <row r="3080" ht="20.7" customHeight="1">
      <c r="A3080" s="10">
        <v>45590</v>
      </c>
      <c r="B3080" t="s" s="11">
        <v>8</v>
      </c>
      <c r="C3080" t="s" s="12">
        <v>8</v>
      </c>
      <c r="D3080" s="15" cm="1">
        <f t="array" ref="D3080">SUM(D3078:D3079)</f>
        <v>200000</v>
      </c>
      <c r="E3080" s="15" cm="1">
        <f t="array" ref="E3080">SUM(E3078:E3079)</f>
        <v>200000</v>
      </c>
      <c r="F3080" s="16" cm="1">
        <f t="array" ref="F3080">SUM(F3078:F3079)</f>
        <v>0</v>
      </c>
      <c r="G3080" s="16" cm="1">
        <f t="array" ref="G3080">SUM(G3078:G3079)</f>
        <v>0</v>
      </c>
      <c r="H3080" s="16" cm="1">
        <f t="array" ref="H3080">SUM(H3078:H3079)</f>
        <v>0</v>
      </c>
      <c r="I3080" s="16" cm="1">
        <f t="array" ref="I3080">SUM(I3078:I3079)</f>
        <v>0</v>
      </c>
    </row>
    <row r="3081" ht="20.35" customHeight="1">
      <c r="A3081" s="10">
        <v>45590</v>
      </c>
      <c r="B3081" t="s" s="11">
        <v>12</v>
      </c>
      <c r="C3081" t="s" s="12">
        <v>468</v>
      </c>
      <c r="D3081" s="17">
        <v>5800</v>
      </c>
      <c r="E3081" s="17"/>
      <c r="F3081" s="18"/>
      <c r="G3081" s="18"/>
      <c r="H3081" s="18"/>
      <c r="I3081" s="18"/>
    </row>
    <row r="3082" ht="20.35" customHeight="1">
      <c r="A3082" s="10">
        <v>45590</v>
      </c>
      <c r="B3082" t="s" s="11">
        <v>5</v>
      </c>
      <c r="C3082" t="s" s="12">
        <v>468</v>
      </c>
      <c r="D3082" s="13"/>
      <c r="E3082" s="13">
        <v>5800</v>
      </c>
      <c r="F3082" s="14"/>
      <c r="G3082" s="14"/>
      <c r="H3082" s="14"/>
      <c r="I3082" s="14"/>
    </row>
    <row r="3083" ht="20.7" customHeight="1">
      <c r="A3083" s="10">
        <v>45590</v>
      </c>
      <c r="B3083" t="s" s="11">
        <v>8</v>
      </c>
      <c r="C3083" t="s" s="12">
        <v>8</v>
      </c>
      <c r="D3083" s="15" cm="1">
        <f t="array" ref="D3083">SUM(D3081:D3082)</f>
        <v>5800</v>
      </c>
      <c r="E3083" s="15" cm="1">
        <f t="array" ref="E3083">SUM(E3081:E3082)</f>
        <v>5800</v>
      </c>
      <c r="F3083" s="16" cm="1">
        <f t="array" ref="F3083">SUM(F3081:F3082)</f>
        <v>0</v>
      </c>
      <c r="G3083" s="16" cm="1">
        <f t="array" ref="G3083">SUM(G3081:G3082)</f>
        <v>0</v>
      </c>
      <c r="H3083" s="16" cm="1">
        <f t="array" ref="H3083">SUM(H3081:H3082)</f>
        <v>0</v>
      </c>
      <c r="I3083" s="16" cm="1">
        <f t="array" ref="I3083">SUM(I3081:I3082)</f>
        <v>0</v>
      </c>
    </row>
    <row r="3084" ht="21.25" customHeight="1">
      <c r="A3084" s="10">
        <v>45590</v>
      </c>
      <c r="B3084" t="s" s="11">
        <v>79</v>
      </c>
      <c r="C3084" t="s" s="12">
        <v>404</v>
      </c>
      <c r="D3084" s="17"/>
      <c r="E3084" s="17">
        <v>49989</v>
      </c>
      <c r="F3084" s="18"/>
      <c r="G3084" s="18"/>
      <c r="H3084" s="18"/>
      <c r="I3084" s="18"/>
    </row>
    <row r="3085" ht="20.9" customHeight="1">
      <c r="A3085" s="10">
        <v>45590</v>
      </c>
      <c r="B3085" t="s" s="11">
        <v>10</v>
      </c>
      <c r="C3085" t="s" s="12">
        <v>404</v>
      </c>
      <c r="D3085" s="19">
        <v>70</v>
      </c>
      <c r="E3085" s="23"/>
      <c r="F3085" s="20"/>
      <c r="G3085" s="20"/>
      <c r="H3085" s="20"/>
      <c r="I3085" s="20"/>
    </row>
    <row r="3086" ht="21.25" customHeight="1">
      <c r="A3086" s="10">
        <v>45590</v>
      </c>
      <c r="B3086" t="s" s="11">
        <v>85</v>
      </c>
      <c r="C3086" t="s" s="12">
        <v>404</v>
      </c>
      <c r="D3086" s="13">
        <v>49919</v>
      </c>
      <c r="E3086" s="13"/>
      <c r="F3086" s="14"/>
      <c r="G3086" s="14"/>
      <c r="H3086" s="14"/>
      <c r="I3086" s="14"/>
    </row>
    <row r="3087" ht="20.7" customHeight="1">
      <c r="A3087" s="10">
        <v>45590</v>
      </c>
      <c r="B3087" t="s" s="11">
        <v>8</v>
      </c>
      <c r="C3087" t="s" s="12">
        <v>8</v>
      </c>
      <c r="D3087" s="15" cm="1">
        <f t="array" ref="D3087">SUM(D3084:D3086)</f>
        <v>49989</v>
      </c>
      <c r="E3087" s="15" cm="1">
        <f t="array" ref="E3087">SUM(E3084:E3086)</f>
        <v>49989</v>
      </c>
      <c r="F3087" s="16" cm="1">
        <f t="array" ref="F3087">SUM(F3084:F3086)</f>
        <v>0</v>
      </c>
      <c r="G3087" s="16" cm="1">
        <f t="array" ref="G3087">SUM(G3084:G3086)</f>
        <v>0</v>
      </c>
      <c r="H3087" s="16" cm="1">
        <f t="array" ref="H3087">SUM(H3084:H3086)</f>
        <v>0</v>
      </c>
      <c r="I3087" s="16" cm="1">
        <f t="array" ref="I3087">SUM(I3084:I3086)</f>
        <v>0</v>
      </c>
    </row>
    <row r="3088" ht="21.25" customHeight="1">
      <c r="A3088" s="10">
        <v>45590</v>
      </c>
      <c r="B3088" t="s" s="11">
        <v>79</v>
      </c>
      <c r="C3088" t="s" s="12">
        <v>534</v>
      </c>
      <c r="D3088" s="17"/>
      <c r="E3088" s="17">
        <v>99989</v>
      </c>
      <c r="F3088" s="18"/>
      <c r="G3088" s="18"/>
      <c r="H3088" s="18"/>
      <c r="I3088" s="18"/>
    </row>
    <row r="3089" ht="20.9" customHeight="1">
      <c r="A3089" s="10">
        <v>45590</v>
      </c>
      <c r="B3089" t="s" s="11">
        <v>10</v>
      </c>
      <c r="C3089" t="s" s="12">
        <v>534</v>
      </c>
      <c r="D3089" s="19">
        <v>140</v>
      </c>
      <c r="E3089" s="19"/>
      <c r="F3089" s="20"/>
      <c r="G3089" s="20"/>
      <c r="H3089" s="20"/>
      <c r="I3089" s="20"/>
    </row>
    <row r="3090" ht="21.25" customHeight="1">
      <c r="A3090" s="10">
        <v>45590</v>
      </c>
      <c r="B3090" t="s" s="11">
        <v>85</v>
      </c>
      <c r="C3090" t="s" s="12">
        <v>534</v>
      </c>
      <c r="D3090" s="13">
        <v>99849</v>
      </c>
      <c r="E3090" s="13"/>
      <c r="F3090" s="14"/>
      <c r="G3090" s="14"/>
      <c r="H3090" s="14"/>
      <c r="I3090" s="14"/>
    </row>
    <row r="3091" ht="20.7" customHeight="1">
      <c r="A3091" s="10">
        <v>45590</v>
      </c>
      <c r="B3091" t="s" s="11">
        <v>8</v>
      </c>
      <c r="C3091" t="s" s="12">
        <v>8</v>
      </c>
      <c r="D3091" s="15" cm="1">
        <f t="array" ref="D3091">SUM(D3088:D3090)</f>
        <v>99989</v>
      </c>
      <c r="E3091" s="15" cm="1">
        <f t="array" ref="E3091">SUM(E3088:E3090)</f>
        <v>99989</v>
      </c>
      <c r="F3091" s="16" cm="1">
        <f t="array" ref="F3091">SUM(F3088:F3090)</f>
        <v>0</v>
      </c>
      <c r="G3091" s="16" cm="1">
        <f t="array" ref="G3091">SUM(G3088:G3090)</f>
        <v>0</v>
      </c>
      <c r="H3091" s="16" cm="1">
        <f t="array" ref="H3091">SUM(H3088:H3090)</f>
        <v>0</v>
      </c>
      <c r="I3091" s="16" cm="1">
        <f t="array" ref="I3091">SUM(I3088:I3090)</f>
        <v>0</v>
      </c>
    </row>
    <row r="3092" ht="21.25" customHeight="1">
      <c r="A3092" s="10">
        <v>45590</v>
      </c>
      <c r="B3092" t="s" s="11">
        <v>79</v>
      </c>
      <c r="C3092" t="s" s="12">
        <v>535</v>
      </c>
      <c r="D3092" s="17"/>
      <c r="E3092" s="17">
        <v>49989</v>
      </c>
      <c r="F3092" s="18"/>
      <c r="G3092" s="18"/>
      <c r="H3092" s="18"/>
      <c r="I3092" s="18"/>
    </row>
    <row r="3093" ht="20.9" customHeight="1">
      <c r="A3093" s="10">
        <v>45590</v>
      </c>
      <c r="B3093" t="s" s="11">
        <v>10</v>
      </c>
      <c r="C3093" t="s" s="12">
        <v>535</v>
      </c>
      <c r="D3093" s="19">
        <v>70</v>
      </c>
      <c r="E3093" s="23"/>
      <c r="F3093" s="20"/>
      <c r="G3093" s="20"/>
      <c r="H3093" s="20"/>
      <c r="I3093" s="20"/>
    </row>
    <row r="3094" ht="21.25" customHeight="1">
      <c r="A3094" s="10">
        <v>45590</v>
      </c>
      <c r="B3094" t="s" s="11">
        <v>85</v>
      </c>
      <c r="C3094" t="s" s="12">
        <v>535</v>
      </c>
      <c r="D3094" s="13">
        <v>49919</v>
      </c>
      <c r="E3094" s="13"/>
      <c r="F3094" s="14"/>
      <c r="G3094" s="14"/>
      <c r="H3094" s="14"/>
      <c r="I3094" s="14"/>
    </row>
    <row r="3095" ht="20.7" customHeight="1">
      <c r="A3095" s="10">
        <v>45590</v>
      </c>
      <c r="B3095" t="s" s="11">
        <v>8</v>
      </c>
      <c r="C3095" t="s" s="12">
        <v>8</v>
      </c>
      <c r="D3095" s="15" cm="1">
        <f t="array" ref="D3095">SUM(D3092:D3094)</f>
        <v>49989</v>
      </c>
      <c r="E3095" s="15" cm="1">
        <f t="array" ref="E3095">SUM(E3092:E3094)</f>
        <v>49989</v>
      </c>
      <c r="F3095" s="16" cm="1">
        <f t="array" ref="F3095">SUM(F3092:F3094)</f>
        <v>0</v>
      </c>
      <c r="G3095" s="16" cm="1">
        <f t="array" ref="G3095">SUM(G3092:G3094)</f>
        <v>0</v>
      </c>
      <c r="H3095" s="16" cm="1">
        <f t="array" ref="H3095">SUM(H3092:H3094)</f>
        <v>0</v>
      </c>
      <c r="I3095" s="16" cm="1">
        <f t="array" ref="I3095">SUM(I3092:I3094)</f>
        <v>0</v>
      </c>
    </row>
    <row r="3096" ht="20.65" customHeight="1">
      <c r="A3096" s="10">
        <v>45590</v>
      </c>
      <c r="B3096" t="s" s="11">
        <v>121</v>
      </c>
      <c r="C3096" t="s" s="12">
        <v>514</v>
      </c>
      <c r="D3096" s="17"/>
      <c r="E3096" s="17">
        <v>921</v>
      </c>
      <c r="F3096" s="18"/>
      <c r="G3096" s="18"/>
      <c r="H3096" s="18"/>
      <c r="I3096" s="18"/>
    </row>
    <row r="3097" ht="20.65" customHeight="1">
      <c r="A3097" s="10">
        <v>45590</v>
      </c>
      <c r="B3097" t="s" s="11">
        <v>16</v>
      </c>
      <c r="C3097" t="s" s="12">
        <v>514</v>
      </c>
      <c r="D3097" s="13">
        <v>921</v>
      </c>
      <c r="E3097" s="13"/>
      <c r="F3097" s="14"/>
      <c r="G3097" s="14"/>
      <c r="H3097" s="14"/>
      <c r="I3097" s="14"/>
    </row>
    <row r="3098" ht="20.7" customHeight="1">
      <c r="A3098" s="10">
        <v>45590</v>
      </c>
      <c r="B3098" t="s" s="11">
        <v>8</v>
      </c>
      <c r="C3098" t="s" s="12">
        <v>8</v>
      </c>
      <c r="D3098" s="15" cm="1">
        <f t="array" ref="D3098">SUM(D3096:D3097)</f>
        <v>921</v>
      </c>
      <c r="E3098" s="15" cm="1">
        <f t="array" ref="E3098">SUM(E3096:E3097)</f>
        <v>921</v>
      </c>
      <c r="F3098" s="16" cm="1">
        <f t="array" ref="F3098">SUM(F3096:F3097)</f>
        <v>0</v>
      </c>
      <c r="G3098" s="16" cm="1">
        <f t="array" ref="G3098">SUM(G3096:G3097)</f>
        <v>0</v>
      </c>
      <c r="H3098" s="16" cm="1">
        <f t="array" ref="H3098">SUM(H3096:H3097)</f>
        <v>0</v>
      </c>
      <c r="I3098" s="16" cm="1">
        <f t="array" ref="I3098">SUM(I3096:I3097)</f>
        <v>0</v>
      </c>
    </row>
    <row r="3099" ht="20.65" customHeight="1">
      <c r="A3099" s="10">
        <v>45590</v>
      </c>
      <c r="B3099" t="s" s="11">
        <v>12</v>
      </c>
      <c r="C3099" t="s" s="12">
        <v>536</v>
      </c>
      <c r="D3099" s="17">
        <v>21960</v>
      </c>
      <c r="E3099" s="17"/>
      <c r="F3099" s="18"/>
      <c r="G3099" s="18"/>
      <c r="H3099" s="18"/>
      <c r="I3099" s="18"/>
    </row>
    <row r="3100" ht="20.65" customHeight="1">
      <c r="A3100" s="10">
        <v>45590</v>
      </c>
      <c r="B3100" t="s" s="11">
        <v>5</v>
      </c>
      <c r="C3100" t="s" s="12">
        <v>536</v>
      </c>
      <c r="D3100" s="13"/>
      <c r="E3100" s="13">
        <v>21960</v>
      </c>
      <c r="F3100" s="14"/>
      <c r="G3100" s="14"/>
      <c r="H3100" s="14"/>
      <c r="I3100" s="14"/>
    </row>
    <row r="3101" ht="20.7" customHeight="1">
      <c r="A3101" s="10">
        <v>45590</v>
      </c>
      <c r="B3101" t="s" s="11">
        <v>8</v>
      </c>
      <c r="C3101" t="s" s="12">
        <v>8</v>
      </c>
      <c r="D3101" s="15" cm="1">
        <f t="array" ref="D3101">SUM(D3099:D3100)</f>
        <v>21960</v>
      </c>
      <c r="E3101" s="15" cm="1">
        <f t="array" ref="E3101">SUM(E3099:E3100)</f>
        <v>21960</v>
      </c>
      <c r="F3101" s="16" cm="1">
        <f t="array" ref="F3101">SUM(F3099:F3100)</f>
        <v>0</v>
      </c>
      <c r="G3101" s="16" cm="1">
        <f t="array" ref="G3101">SUM(G3099:G3100)</f>
        <v>0</v>
      </c>
      <c r="H3101" s="16" cm="1">
        <f t="array" ref="H3101">SUM(H3099:H3100)</f>
        <v>0</v>
      </c>
      <c r="I3101" s="16" cm="1">
        <f t="array" ref="I3101">SUM(I3099:I3100)</f>
        <v>0</v>
      </c>
    </row>
    <row r="3102" ht="20.65" customHeight="1">
      <c r="A3102" s="10">
        <v>45590</v>
      </c>
      <c r="B3102" t="s" s="11">
        <v>12</v>
      </c>
      <c r="C3102" t="s" s="12">
        <v>536</v>
      </c>
      <c r="D3102" s="17">
        <v>9310</v>
      </c>
      <c r="E3102" s="17"/>
      <c r="F3102" s="18"/>
      <c r="G3102" s="18"/>
      <c r="H3102" s="18"/>
      <c r="I3102" s="18"/>
    </row>
    <row r="3103" ht="20.65" customHeight="1">
      <c r="A3103" s="10">
        <v>45590</v>
      </c>
      <c r="B3103" t="s" s="11">
        <v>5</v>
      </c>
      <c r="C3103" t="s" s="12">
        <v>536</v>
      </c>
      <c r="D3103" s="13"/>
      <c r="E3103" s="13">
        <v>9310</v>
      </c>
      <c r="F3103" s="14"/>
      <c r="G3103" s="14"/>
      <c r="H3103" s="14"/>
      <c r="I3103" s="14"/>
    </row>
    <row r="3104" ht="20.7" customHeight="1">
      <c r="A3104" s="10">
        <v>45590</v>
      </c>
      <c r="B3104" t="s" s="11">
        <v>8</v>
      </c>
      <c r="C3104" t="s" s="12">
        <v>8</v>
      </c>
      <c r="D3104" s="15" cm="1">
        <f t="array" ref="D3104">SUM(D3102:D3103)</f>
        <v>9310</v>
      </c>
      <c r="E3104" s="15" cm="1">
        <f t="array" ref="E3104">SUM(E3102:E3103)</f>
        <v>9310</v>
      </c>
      <c r="F3104" s="16" cm="1">
        <f t="array" ref="F3104">SUM(F3102:F3103)</f>
        <v>0</v>
      </c>
      <c r="G3104" s="16" cm="1">
        <f t="array" ref="G3104">SUM(G3102:G3103)</f>
        <v>0</v>
      </c>
      <c r="H3104" s="16" cm="1">
        <f t="array" ref="H3104">SUM(H3102:H3103)</f>
        <v>0</v>
      </c>
      <c r="I3104" s="16" cm="1">
        <f t="array" ref="I3104">SUM(I3102:I3103)</f>
        <v>0</v>
      </c>
    </row>
    <row r="3105" ht="20.65" customHeight="1">
      <c r="A3105" s="10">
        <v>45591</v>
      </c>
      <c r="B3105" t="s" s="11">
        <v>28</v>
      </c>
      <c r="C3105" t="s" s="12">
        <v>537</v>
      </c>
      <c r="D3105" s="17">
        <v>15000</v>
      </c>
      <c r="E3105" s="17"/>
      <c r="F3105" s="18"/>
      <c r="G3105" s="18"/>
      <c r="H3105" s="18"/>
      <c r="I3105" s="18"/>
    </row>
    <row r="3106" ht="20.65" customHeight="1">
      <c r="A3106" s="10">
        <v>45591</v>
      </c>
      <c r="B3106" t="s" s="11">
        <v>91</v>
      </c>
      <c r="C3106" t="s" s="12">
        <v>537</v>
      </c>
      <c r="D3106" s="13"/>
      <c r="E3106" s="13">
        <v>15000</v>
      </c>
      <c r="F3106" s="14"/>
      <c r="G3106" s="14"/>
      <c r="H3106" s="14"/>
      <c r="I3106" s="14"/>
    </row>
    <row r="3107" ht="20.7" customHeight="1">
      <c r="A3107" s="10">
        <v>45591</v>
      </c>
      <c r="B3107" t="s" s="11">
        <v>8</v>
      </c>
      <c r="C3107" t="s" s="12">
        <v>8</v>
      </c>
      <c r="D3107" s="15" cm="1">
        <f t="array" ref="D3107">SUM(D3105:D3106)</f>
        <v>15000</v>
      </c>
      <c r="E3107" s="15" cm="1">
        <f t="array" ref="E3107">SUM(E3105:E3106)</f>
        <v>15000</v>
      </c>
      <c r="F3107" s="16" cm="1">
        <f t="array" ref="F3107">SUM(F3105:F3106)</f>
        <v>0</v>
      </c>
      <c r="G3107" s="16" cm="1">
        <f t="array" ref="G3107">SUM(G3105:G3106)</f>
        <v>0</v>
      </c>
      <c r="H3107" s="16" cm="1">
        <f t="array" ref="H3107">SUM(H3105:H3106)</f>
        <v>0</v>
      </c>
      <c r="I3107" s="16" cm="1">
        <f t="array" ref="I3107">SUM(I3105:I3106)</f>
        <v>0</v>
      </c>
    </row>
    <row r="3108" ht="21.25" customHeight="1">
      <c r="A3108" s="10">
        <v>45591</v>
      </c>
      <c r="B3108" t="s" s="11">
        <v>16</v>
      </c>
      <c r="C3108" t="s" s="12">
        <v>538</v>
      </c>
      <c r="D3108" s="17">
        <v>8100</v>
      </c>
      <c r="E3108" s="17"/>
      <c r="F3108" s="18"/>
      <c r="G3108" s="18"/>
      <c r="H3108" s="18"/>
      <c r="I3108" s="18"/>
    </row>
    <row r="3109" ht="21.25" customHeight="1">
      <c r="A3109" s="10">
        <v>45591</v>
      </c>
      <c r="B3109" t="s" s="11">
        <v>5</v>
      </c>
      <c r="C3109" t="s" s="12">
        <v>538</v>
      </c>
      <c r="D3109" s="13"/>
      <c r="E3109" s="13">
        <v>8100</v>
      </c>
      <c r="F3109" s="14"/>
      <c r="G3109" s="14"/>
      <c r="H3109" s="14"/>
      <c r="I3109" s="14"/>
    </row>
    <row r="3110" ht="20.7" customHeight="1">
      <c r="A3110" s="10">
        <v>45591</v>
      </c>
      <c r="B3110" t="s" s="11">
        <v>8</v>
      </c>
      <c r="C3110" t="s" s="12">
        <v>8</v>
      </c>
      <c r="D3110" s="15" cm="1">
        <f t="array" ref="D3110">SUM(D3108:D3109)</f>
        <v>8100</v>
      </c>
      <c r="E3110" s="15" cm="1">
        <f t="array" ref="E3110">SUM(E3108:E3109)</f>
        <v>8100</v>
      </c>
      <c r="F3110" s="16" cm="1">
        <f t="array" ref="F3110">SUM(F3108:F3109)</f>
        <v>0</v>
      </c>
      <c r="G3110" s="16" cm="1">
        <f t="array" ref="G3110">SUM(G3108:G3109)</f>
        <v>0</v>
      </c>
      <c r="H3110" s="16" cm="1">
        <f t="array" ref="H3110">SUM(H3108:H3109)</f>
        <v>0</v>
      </c>
      <c r="I3110" s="16" cm="1">
        <f t="array" ref="I3110">SUM(I3108:I3109)</f>
        <v>0</v>
      </c>
    </row>
    <row r="3111" ht="20.65" customHeight="1">
      <c r="A3111" s="10">
        <v>45591</v>
      </c>
      <c r="B3111" t="s" s="11">
        <v>21</v>
      </c>
      <c r="C3111" t="s" s="12">
        <v>514</v>
      </c>
      <c r="D3111" s="17"/>
      <c r="E3111" s="17">
        <v>3000</v>
      </c>
      <c r="F3111" s="18"/>
      <c r="G3111" s="18"/>
      <c r="H3111" s="18"/>
      <c r="I3111" s="18"/>
    </row>
    <row r="3112" ht="20.65" customHeight="1">
      <c r="A3112" s="10">
        <v>45591</v>
      </c>
      <c r="B3112" t="s" s="11">
        <v>16</v>
      </c>
      <c r="C3112" t="s" s="12">
        <v>514</v>
      </c>
      <c r="D3112" s="13">
        <v>3000</v>
      </c>
      <c r="E3112" s="13"/>
      <c r="F3112" s="14"/>
      <c r="G3112" s="14"/>
      <c r="H3112" s="14"/>
      <c r="I3112" s="14"/>
    </row>
    <row r="3113" ht="20.7" customHeight="1">
      <c r="A3113" s="10">
        <v>45591</v>
      </c>
      <c r="B3113" t="s" s="11">
        <v>8</v>
      </c>
      <c r="C3113" t="s" s="12">
        <v>8</v>
      </c>
      <c r="D3113" s="15" cm="1">
        <f t="array" ref="D3113">SUM(D3111:D3112)</f>
        <v>3000</v>
      </c>
      <c r="E3113" s="15" cm="1">
        <f t="array" ref="E3113">SUM(E3111:E3112)</f>
        <v>3000</v>
      </c>
      <c r="F3113" s="16" cm="1">
        <f t="array" ref="F3113">SUM(F3111:F3112)</f>
        <v>0</v>
      </c>
      <c r="G3113" s="16" cm="1">
        <f t="array" ref="G3113">SUM(G3111:G3112)</f>
        <v>0</v>
      </c>
      <c r="H3113" s="16" cm="1">
        <f t="array" ref="H3113">SUM(H3111:H3112)</f>
        <v>0</v>
      </c>
      <c r="I3113" s="16" cm="1">
        <f t="array" ref="I3113">SUM(I3111:I3112)</f>
        <v>0</v>
      </c>
    </row>
    <row r="3114" ht="20.35" customHeight="1">
      <c r="A3114" s="10">
        <v>45591</v>
      </c>
      <c r="B3114" t="s" s="11">
        <v>5</v>
      </c>
      <c r="C3114" t="s" s="12">
        <v>17</v>
      </c>
      <c r="D3114" s="17">
        <v>100</v>
      </c>
      <c r="E3114" s="17"/>
      <c r="F3114" s="18"/>
      <c r="G3114" s="18"/>
      <c r="H3114" s="18"/>
      <c r="I3114" s="18"/>
    </row>
    <row r="3115" ht="20.35" customHeight="1">
      <c r="A3115" s="10">
        <v>45591</v>
      </c>
      <c r="B3115" t="s" s="11">
        <v>18</v>
      </c>
      <c r="C3115" t="s" s="12">
        <v>17</v>
      </c>
      <c r="D3115" s="13"/>
      <c r="E3115" s="13">
        <v>100</v>
      </c>
      <c r="F3115" s="14"/>
      <c r="G3115" s="14"/>
      <c r="H3115" s="14"/>
      <c r="I3115" s="14"/>
    </row>
    <row r="3116" ht="20.7" customHeight="1">
      <c r="A3116" s="10">
        <v>45591</v>
      </c>
      <c r="B3116" t="s" s="11">
        <v>8</v>
      </c>
      <c r="C3116" t="s" s="12">
        <v>8</v>
      </c>
      <c r="D3116" s="15" cm="1">
        <f t="array" ref="D3116">SUM(D3114:D3115)</f>
        <v>100</v>
      </c>
      <c r="E3116" s="15" cm="1">
        <f t="array" ref="E3116">SUM(E3114:E3115)</f>
        <v>100</v>
      </c>
      <c r="F3116" s="16" cm="1">
        <f t="array" ref="F3116">SUM(F3114:F3115)</f>
        <v>0</v>
      </c>
      <c r="G3116" s="16" cm="1">
        <f t="array" ref="G3116">SUM(G3114:G3115)</f>
        <v>0</v>
      </c>
      <c r="H3116" s="16" cm="1">
        <f t="array" ref="H3116">SUM(H3114:H3115)</f>
        <v>0</v>
      </c>
      <c r="I3116" s="16" cm="1">
        <f t="array" ref="I3116">SUM(I3114:I3115)</f>
        <v>0</v>
      </c>
    </row>
    <row r="3117" ht="21.25" customHeight="1">
      <c r="A3117" s="10">
        <v>45591</v>
      </c>
      <c r="B3117" t="s" s="11">
        <v>12</v>
      </c>
      <c r="C3117" t="s" s="12">
        <v>539</v>
      </c>
      <c r="D3117" s="17">
        <v>10000</v>
      </c>
      <c r="E3117" s="17"/>
      <c r="F3117" s="18"/>
      <c r="G3117" s="18"/>
      <c r="H3117" s="18"/>
      <c r="I3117" s="18"/>
    </row>
    <row r="3118" ht="21.25" customHeight="1">
      <c r="A3118" s="10">
        <v>45591</v>
      </c>
      <c r="B3118" t="s" s="11">
        <v>5</v>
      </c>
      <c r="C3118" t="s" s="12">
        <v>539</v>
      </c>
      <c r="D3118" s="13"/>
      <c r="E3118" s="13">
        <v>10000</v>
      </c>
      <c r="F3118" s="14"/>
      <c r="G3118" s="14"/>
      <c r="H3118" s="14"/>
      <c r="I3118" s="14"/>
    </row>
    <row r="3119" ht="20.7" customHeight="1">
      <c r="A3119" s="10">
        <v>45591</v>
      </c>
      <c r="B3119" t="s" s="11">
        <v>8</v>
      </c>
      <c r="C3119" t="s" s="12">
        <v>8</v>
      </c>
      <c r="D3119" s="15" cm="1">
        <f t="array" ref="D3119">SUM(D3117:D3118)</f>
        <v>10000</v>
      </c>
      <c r="E3119" s="15" cm="1">
        <f t="array" ref="E3119">SUM(E3117:E3118)</f>
        <v>10000</v>
      </c>
      <c r="F3119" s="16" cm="1">
        <f t="array" ref="F3119">SUM(F3117:F3118)</f>
        <v>0</v>
      </c>
      <c r="G3119" s="16" cm="1">
        <f t="array" ref="G3119">SUM(G3117:G3118)</f>
        <v>0</v>
      </c>
      <c r="H3119" s="16" cm="1">
        <f t="array" ref="H3119">SUM(H3117:H3118)</f>
        <v>0</v>
      </c>
      <c r="I3119" s="16" cm="1">
        <f t="array" ref="I3119">SUM(I3117:I3118)</f>
        <v>0</v>
      </c>
    </row>
    <row r="3120" ht="21.25" customHeight="1">
      <c r="A3120" s="10">
        <v>45591</v>
      </c>
      <c r="B3120" t="s" s="11">
        <v>12</v>
      </c>
      <c r="C3120" t="s" s="12">
        <v>540</v>
      </c>
      <c r="D3120" s="17">
        <v>5000</v>
      </c>
      <c r="E3120" s="17"/>
      <c r="F3120" s="18"/>
      <c r="G3120" s="18"/>
      <c r="H3120" s="18"/>
      <c r="I3120" s="18"/>
    </row>
    <row r="3121" ht="21.25" customHeight="1">
      <c r="A3121" s="10">
        <v>45591</v>
      </c>
      <c r="B3121" t="s" s="11">
        <v>5</v>
      </c>
      <c r="C3121" t="s" s="12">
        <v>540</v>
      </c>
      <c r="D3121" s="13"/>
      <c r="E3121" s="13">
        <v>5000</v>
      </c>
      <c r="F3121" s="14"/>
      <c r="G3121" s="14"/>
      <c r="H3121" s="14"/>
      <c r="I3121" s="14"/>
    </row>
    <row r="3122" ht="20.7" customHeight="1">
      <c r="A3122" s="10">
        <v>45591</v>
      </c>
      <c r="B3122" t="s" s="11">
        <v>8</v>
      </c>
      <c r="C3122" t="s" s="12">
        <v>8</v>
      </c>
      <c r="D3122" s="15" cm="1">
        <f t="array" ref="D3122">SUM(D3120:D3121)</f>
        <v>5000</v>
      </c>
      <c r="E3122" s="15" cm="1">
        <f t="array" ref="E3122">SUM(E3120:E3121)</f>
        <v>5000</v>
      </c>
      <c r="F3122" s="16" cm="1">
        <f t="array" ref="F3122">SUM(F3120:F3121)</f>
        <v>0</v>
      </c>
      <c r="G3122" s="16" cm="1">
        <f t="array" ref="G3122">SUM(G3120:G3121)</f>
        <v>0</v>
      </c>
      <c r="H3122" s="16" cm="1">
        <f t="array" ref="H3122">SUM(H3120:H3121)</f>
        <v>0</v>
      </c>
      <c r="I3122" s="16" cm="1">
        <f t="array" ref="I3122">SUM(I3120:I3121)</f>
        <v>0</v>
      </c>
    </row>
    <row r="3123" ht="20.35" customHeight="1">
      <c r="A3123" s="10">
        <v>45592</v>
      </c>
      <c r="B3123" t="s" s="11">
        <v>12</v>
      </c>
      <c r="C3123" t="s" s="12">
        <v>53</v>
      </c>
      <c r="D3123" s="17">
        <v>5721</v>
      </c>
      <c r="E3123" s="17"/>
      <c r="F3123" s="18"/>
      <c r="G3123" s="18"/>
      <c r="H3123" s="18"/>
      <c r="I3123" s="18"/>
    </row>
    <row r="3124" ht="20.35" customHeight="1">
      <c r="A3124" s="10">
        <v>45592</v>
      </c>
      <c r="B3124" t="s" s="11">
        <v>93</v>
      </c>
      <c r="C3124" t="s" s="12">
        <v>53</v>
      </c>
      <c r="D3124" s="13"/>
      <c r="E3124" s="13">
        <v>5721</v>
      </c>
      <c r="F3124" s="14"/>
      <c r="G3124" s="14"/>
      <c r="H3124" s="14"/>
      <c r="I3124" s="14"/>
    </row>
    <row r="3125" ht="20.7" customHeight="1">
      <c r="A3125" s="10">
        <v>45592</v>
      </c>
      <c r="B3125" t="s" s="11">
        <v>8</v>
      </c>
      <c r="C3125" t="s" s="12">
        <v>8</v>
      </c>
      <c r="D3125" s="15" cm="1">
        <f t="array" ref="D3125">SUM(D3123:D3124)</f>
        <v>5721</v>
      </c>
      <c r="E3125" s="15" cm="1">
        <f t="array" ref="E3125">SUM(E3123:E3124)</f>
        <v>5721</v>
      </c>
      <c r="F3125" s="16" cm="1">
        <f t="array" ref="F3125">SUM(F3123:F3124)</f>
        <v>0</v>
      </c>
      <c r="G3125" s="16" cm="1">
        <f t="array" ref="G3125">SUM(G3123:G3124)</f>
        <v>0</v>
      </c>
      <c r="H3125" s="16" cm="1">
        <f t="array" ref="H3125">SUM(H3123:H3124)</f>
        <v>0</v>
      </c>
      <c r="I3125" s="16" cm="1">
        <f t="array" ref="I3125">SUM(I3123:I3124)</f>
        <v>0</v>
      </c>
    </row>
    <row r="3126" ht="20.65" customHeight="1">
      <c r="A3126" s="10">
        <v>45592</v>
      </c>
      <c r="B3126" t="s" s="11">
        <v>12</v>
      </c>
      <c r="C3126" t="s" s="12">
        <v>541</v>
      </c>
      <c r="D3126" s="17">
        <v>10700</v>
      </c>
      <c r="E3126" s="17"/>
      <c r="F3126" s="18"/>
      <c r="G3126" s="18"/>
      <c r="H3126" s="18"/>
      <c r="I3126" s="18"/>
    </row>
    <row r="3127" ht="20.65" customHeight="1">
      <c r="A3127" s="10">
        <v>45592</v>
      </c>
      <c r="B3127" t="s" s="11">
        <v>5</v>
      </c>
      <c r="C3127" t="s" s="12">
        <v>541</v>
      </c>
      <c r="D3127" s="13"/>
      <c r="E3127" s="13">
        <v>10700</v>
      </c>
      <c r="F3127" s="14"/>
      <c r="G3127" s="14"/>
      <c r="H3127" s="14"/>
      <c r="I3127" s="14"/>
    </row>
    <row r="3128" ht="20.7" customHeight="1">
      <c r="A3128" s="10">
        <v>45592</v>
      </c>
      <c r="B3128" t="s" s="11">
        <v>8</v>
      </c>
      <c r="C3128" t="s" s="12">
        <v>8</v>
      </c>
      <c r="D3128" s="15" cm="1">
        <f t="array" ref="D3128">SUM(D3126:D3127)</f>
        <v>10700</v>
      </c>
      <c r="E3128" s="15" cm="1">
        <f t="array" ref="E3128">SUM(E3126:E3127)</f>
        <v>10700</v>
      </c>
      <c r="F3128" s="16" cm="1">
        <f t="array" ref="F3128">SUM(F3126:F3127)</f>
        <v>0</v>
      </c>
      <c r="G3128" s="16" cm="1">
        <f t="array" ref="G3128">SUM(G3126:G3127)</f>
        <v>0</v>
      </c>
      <c r="H3128" s="16" cm="1">
        <f t="array" ref="H3128">SUM(H3126:H3127)</f>
        <v>0</v>
      </c>
      <c r="I3128" s="16" cm="1">
        <f t="array" ref="I3128">SUM(I3126:I3127)</f>
        <v>0</v>
      </c>
    </row>
    <row r="3129" ht="20.65" customHeight="1">
      <c r="A3129" s="10">
        <v>45592</v>
      </c>
      <c r="B3129" t="s" s="11">
        <v>12</v>
      </c>
      <c r="C3129" t="s" s="12">
        <v>542</v>
      </c>
      <c r="D3129" s="17">
        <v>28000</v>
      </c>
      <c r="E3129" s="17"/>
      <c r="F3129" s="18"/>
      <c r="G3129" s="18"/>
      <c r="H3129" s="18"/>
      <c r="I3129" s="18"/>
    </row>
    <row r="3130" ht="20.65" customHeight="1">
      <c r="A3130" s="10">
        <v>45592</v>
      </c>
      <c r="B3130" t="s" s="11">
        <v>5</v>
      </c>
      <c r="C3130" t="s" s="12">
        <v>542</v>
      </c>
      <c r="D3130" s="13"/>
      <c r="E3130" s="13">
        <v>28000</v>
      </c>
      <c r="F3130" s="14"/>
      <c r="G3130" s="14"/>
      <c r="H3130" s="14"/>
      <c r="I3130" s="14"/>
    </row>
    <row r="3131" ht="20.7" customHeight="1">
      <c r="A3131" s="10">
        <v>45592</v>
      </c>
      <c r="B3131" t="s" s="11">
        <v>8</v>
      </c>
      <c r="C3131" t="s" s="12">
        <v>8</v>
      </c>
      <c r="D3131" s="15" cm="1">
        <f t="array" ref="D3131">SUM(D3129:D3130)</f>
        <v>28000</v>
      </c>
      <c r="E3131" s="15" cm="1">
        <f t="array" ref="E3131">SUM(E3129:E3130)</f>
        <v>28000</v>
      </c>
      <c r="F3131" s="16" cm="1">
        <f t="array" ref="F3131">SUM(F3129:F3130)</f>
        <v>0</v>
      </c>
      <c r="G3131" s="16" cm="1">
        <f t="array" ref="G3131">SUM(G3129:G3130)</f>
        <v>0</v>
      </c>
      <c r="H3131" s="16" cm="1">
        <f t="array" ref="H3131">SUM(H3129:H3130)</f>
        <v>0</v>
      </c>
      <c r="I3131" s="16" cm="1">
        <f t="array" ref="I3131">SUM(I3129:I3130)</f>
        <v>0</v>
      </c>
    </row>
    <row r="3132" ht="20.65" customHeight="1">
      <c r="A3132" s="10">
        <v>45592</v>
      </c>
      <c r="B3132" t="s" s="11">
        <v>12</v>
      </c>
      <c r="C3132" t="s" s="12">
        <v>543</v>
      </c>
      <c r="D3132" s="17">
        <v>12000</v>
      </c>
      <c r="E3132" s="17"/>
      <c r="F3132" s="18"/>
      <c r="G3132" s="18"/>
      <c r="H3132" s="18"/>
      <c r="I3132" s="18"/>
    </row>
    <row r="3133" ht="20.65" customHeight="1">
      <c r="A3133" s="10">
        <v>45592</v>
      </c>
      <c r="B3133" t="s" s="11">
        <v>5</v>
      </c>
      <c r="C3133" t="s" s="12">
        <v>543</v>
      </c>
      <c r="D3133" s="13"/>
      <c r="E3133" s="13">
        <v>12000</v>
      </c>
      <c r="F3133" s="14"/>
      <c r="G3133" s="14"/>
      <c r="H3133" s="14"/>
      <c r="I3133" s="14"/>
    </row>
    <row r="3134" ht="20.7" customHeight="1">
      <c r="A3134" s="10">
        <v>45592</v>
      </c>
      <c r="B3134" t="s" s="11">
        <v>8</v>
      </c>
      <c r="C3134" t="s" s="12">
        <v>8</v>
      </c>
      <c r="D3134" s="15" cm="1">
        <f t="array" ref="D3134">SUM(D3132:D3133)</f>
        <v>12000</v>
      </c>
      <c r="E3134" s="15" cm="1">
        <f t="array" ref="E3134">SUM(E3132:E3133)</f>
        <v>12000</v>
      </c>
      <c r="F3134" s="16" cm="1">
        <f t="array" ref="F3134">SUM(F3132:F3133)</f>
        <v>0</v>
      </c>
      <c r="G3134" s="16" cm="1">
        <f t="array" ref="G3134">SUM(G3132:G3133)</f>
        <v>0</v>
      </c>
      <c r="H3134" s="16" cm="1">
        <f t="array" ref="H3134">SUM(H3132:H3133)</f>
        <v>0</v>
      </c>
      <c r="I3134" s="16" cm="1">
        <f t="array" ref="I3134">SUM(I3132:I3133)</f>
        <v>0</v>
      </c>
    </row>
    <row r="3135" ht="20.35" customHeight="1">
      <c r="A3135" s="10">
        <v>45592</v>
      </c>
      <c r="B3135" t="s" s="11">
        <v>5</v>
      </c>
      <c r="C3135" t="s" s="12">
        <v>17</v>
      </c>
      <c r="D3135" s="17">
        <v>100</v>
      </c>
      <c r="E3135" s="17"/>
      <c r="F3135" s="18"/>
      <c r="G3135" s="18"/>
      <c r="H3135" s="18"/>
      <c r="I3135" s="18"/>
    </row>
    <row r="3136" ht="20.35" customHeight="1">
      <c r="A3136" s="10">
        <v>45592</v>
      </c>
      <c r="B3136" t="s" s="11">
        <v>18</v>
      </c>
      <c r="C3136" t="s" s="12">
        <v>17</v>
      </c>
      <c r="D3136" s="13"/>
      <c r="E3136" s="13">
        <v>100</v>
      </c>
      <c r="F3136" s="14"/>
      <c r="G3136" s="14"/>
      <c r="H3136" s="14"/>
      <c r="I3136" s="14"/>
    </row>
    <row r="3137" ht="20.7" customHeight="1">
      <c r="A3137" s="10">
        <v>45592</v>
      </c>
      <c r="B3137" t="s" s="11">
        <v>8</v>
      </c>
      <c r="C3137" t="s" s="12">
        <v>8</v>
      </c>
      <c r="D3137" s="15" cm="1">
        <f t="array" ref="D3137">SUM(D3135:D3136)</f>
        <v>100</v>
      </c>
      <c r="E3137" s="15" cm="1">
        <f t="array" ref="E3137">SUM(E3135:E3136)</f>
        <v>100</v>
      </c>
      <c r="F3137" s="16" cm="1">
        <f t="array" ref="F3137">SUM(F3135:F3136)</f>
        <v>0</v>
      </c>
      <c r="G3137" s="16" cm="1">
        <f t="array" ref="G3137">SUM(G3135:G3136)</f>
        <v>0</v>
      </c>
      <c r="H3137" s="16" cm="1">
        <f t="array" ref="H3137">SUM(H3135:H3136)</f>
        <v>0</v>
      </c>
      <c r="I3137" s="16" cm="1">
        <f t="array" ref="I3137">SUM(I3135:I3136)</f>
        <v>0</v>
      </c>
    </row>
    <row r="3138" ht="20.65" customHeight="1">
      <c r="A3138" s="10">
        <v>45593</v>
      </c>
      <c r="B3138" t="s" s="11">
        <v>12</v>
      </c>
      <c r="C3138" t="s" s="12">
        <v>544</v>
      </c>
      <c r="D3138" s="17">
        <v>21000</v>
      </c>
      <c r="E3138" s="17"/>
      <c r="F3138" s="18"/>
      <c r="G3138" s="18"/>
      <c r="H3138" s="18"/>
      <c r="I3138" s="18"/>
    </row>
    <row r="3139" ht="20.35" customHeight="1">
      <c r="A3139" s="10">
        <v>45593</v>
      </c>
      <c r="B3139" t="s" s="11">
        <v>10</v>
      </c>
      <c r="C3139" t="s" s="12">
        <v>544</v>
      </c>
      <c r="D3139" s="19">
        <v>21000</v>
      </c>
      <c r="E3139" s="19"/>
      <c r="F3139" s="20"/>
      <c r="G3139" s="20"/>
      <c r="H3139" s="20"/>
      <c r="I3139" s="20"/>
    </row>
    <row r="3140" ht="20.65" customHeight="1">
      <c r="A3140" s="10">
        <v>45593</v>
      </c>
      <c r="B3140" t="s" s="11">
        <v>5</v>
      </c>
      <c r="C3140" t="s" s="12">
        <v>544</v>
      </c>
      <c r="D3140" s="13"/>
      <c r="E3140" s="13">
        <v>42000</v>
      </c>
      <c r="F3140" s="14"/>
      <c r="G3140" s="14"/>
      <c r="H3140" s="14"/>
      <c r="I3140" s="14"/>
    </row>
    <row r="3141" ht="20.7" customHeight="1">
      <c r="A3141" s="10">
        <v>45593</v>
      </c>
      <c r="B3141" t="s" s="11">
        <v>8</v>
      </c>
      <c r="C3141" t="s" s="12">
        <v>8</v>
      </c>
      <c r="D3141" s="15" cm="1">
        <f t="array" ref="D3141">SUM(D3138:D3140)</f>
        <v>42000</v>
      </c>
      <c r="E3141" s="15" cm="1">
        <f t="array" ref="E3141">SUM(E3138:E3140)</f>
        <v>42000</v>
      </c>
      <c r="F3141" s="16" cm="1">
        <f t="array" ref="F3141">SUM(F3138:F3140)</f>
        <v>0</v>
      </c>
      <c r="G3141" s="16" cm="1">
        <f t="array" ref="G3141">SUM(G3138:G3140)</f>
        <v>0</v>
      </c>
      <c r="H3141" s="16" cm="1">
        <f t="array" ref="H3141">SUM(H3138:H3140)</f>
        <v>0</v>
      </c>
      <c r="I3141" s="16" cm="1">
        <f t="array" ref="I3141">SUM(I3138:I3140)</f>
        <v>0</v>
      </c>
    </row>
    <row r="3142" ht="20.65" customHeight="1">
      <c r="A3142" s="10">
        <v>45593</v>
      </c>
      <c r="B3142" t="s" s="11">
        <v>21</v>
      </c>
      <c r="C3142" t="s" s="12">
        <v>514</v>
      </c>
      <c r="D3142" s="17"/>
      <c r="E3142" s="17">
        <v>2900</v>
      </c>
      <c r="F3142" s="18"/>
      <c r="G3142" s="18"/>
      <c r="H3142" s="18"/>
      <c r="I3142" s="18"/>
    </row>
    <row r="3143" ht="20.65" customHeight="1">
      <c r="A3143" s="10">
        <v>45593</v>
      </c>
      <c r="B3143" t="s" s="11">
        <v>16</v>
      </c>
      <c r="C3143" t="s" s="12">
        <v>514</v>
      </c>
      <c r="D3143" s="13">
        <v>2900</v>
      </c>
      <c r="E3143" s="13"/>
      <c r="F3143" s="14"/>
      <c r="G3143" s="14"/>
      <c r="H3143" s="14"/>
      <c r="I3143" s="14"/>
    </row>
    <row r="3144" ht="20.7" customHeight="1">
      <c r="A3144" s="10">
        <v>45593</v>
      </c>
      <c r="B3144" t="s" s="11">
        <v>8</v>
      </c>
      <c r="C3144" t="s" s="12">
        <v>8</v>
      </c>
      <c r="D3144" s="15" cm="1">
        <f t="array" ref="D3144">SUM(D3142:D3143)</f>
        <v>2900</v>
      </c>
      <c r="E3144" s="15" cm="1">
        <f t="array" ref="E3144">SUM(E3142:E3143)</f>
        <v>2900</v>
      </c>
      <c r="F3144" s="16" cm="1">
        <f t="array" ref="F3144">SUM(F3142:F3143)</f>
        <v>0</v>
      </c>
      <c r="G3144" s="16" cm="1">
        <f t="array" ref="G3144">SUM(G3142:G3143)</f>
        <v>0</v>
      </c>
      <c r="H3144" s="16" cm="1">
        <f t="array" ref="H3144">SUM(H3142:H3143)</f>
        <v>0</v>
      </c>
      <c r="I3144" s="16" cm="1">
        <f t="array" ref="I3144">SUM(I3142:I3143)</f>
        <v>0</v>
      </c>
    </row>
    <row r="3145" ht="20.35" customHeight="1">
      <c r="A3145" s="10">
        <v>45593</v>
      </c>
      <c r="B3145" t="s" s="11">
        <v>10</v>
      </c>
      <c r="C3145" t="s" s="12">
        <v>182</v>
      </c>
      <c r="D3145" s="17">
        <v>20000</v>
      </c>
      <c r="E3145" s="17"/>
      <c r="F3145" s="18"/>
      <c r="G3145" s="18"/>
      <c r="H3145" s="18"/>
      <c r="I3145" s="18"/>
    </row>
    <row r="3146" ht="20.35" customHeight="1">
      <c r="A3146" s="10">
        <v>45593</v>
      </c>
      <c r="B3146" t="s" s="11">
        <v>5</v>
      </c>
      <c r="C3146" t="s" s="12">
        <v>182</v>
      </c>
      <c r="D3146" s="13"/>
      <c r="E3146" s="13">
        <v>20000</v>
      </c>
      <c r="F3146" s="14"/>
      <c r="G3146" s="14"/>
      <c r="H3146" s="14"/>
      <c r="I3146" s="14"/>
    </row>
    <row r="3147" ht="20.7" customHeight="1">
      <c r="A3147" s="10">
        <v>45593</v>
      </c>
      <c r="B3147" t="s" s="11">
        <v>8</v>
      </c>
      <c r="C3147" t="s" s="12">
        <v>8</v>
      </c>
      <c r="D3147" s="15" cm="1">
        <f t="array" ref="D3147">SUM(D3145:D3146)</f>
        <v>20000</v>
      </c>
      <c r="E3147" s="15" cm="1">
        <f t="array" ref="E3147">SUM(E3145:E3146)</f>
        <v>20000</v>
      </c>
      <c r="F3147" s="16" cm="1">
        <f t="array" ref="F3147">SUM(F3145:F3146)</f>
        <v>0</v>
      </c>
      <c r="G3147" s="16" cm="1">
        <f t="array" ref="G3147">SUM(G3145:G3146)</f>
        <v>0</v>
      </c>
      <c r="H3147" s="16" cm="1">
        <f t="array" ref="H3147">SUM(H3145:H3146)</f>
        <v>0</v>
      </c>
      <c r="I3147" s="16" cm="1">
        <f t="array" ref="I3147">SUM(I3145:I3146)</f>
        <v>0</v>
      </c>
    </row>
    <row r="3148" ht="21.25" customHeight="1">
      <c r="A3148" s="10">
        <v>45593</v>
      </c>
      <c r="B3148" t="s" s="11">
        <v>12</v>
      </c>
      <c r="C3148" t="s" s="12">
        <v>545</v>
      </c>
      <c r="D3148" s="17">
        <v>18550</v>
      </c>
      <c r="E3148" s="17"/>
      <c r="F3148" s="18"/>
      <c r="G3148" s="18"/>
      <c r="H3148" s="18"/>
      <c r="I3148" s="18"/>
    </row>
    <row r="3149" ht="20.9" customHeight="1">
      <c r="A3149" s="10">
        <v>45593</v>
      </c>
      <c r="B3149" t="s" s="11">
        <v>10</v>
      </c>
      <c r="C3149" t="s" s="12">
        <v>545</v>
      </c>
      <c r="D3149" s="19">
        <v>18550</v>
      </c>
      <c r="E3149" s="19"/>
      <c r="F3149" s="20"/>
      <c r="G3149" s="20"/>
      <c r="H3149" s="20"/>
      <c r="I3149" s="20"/>
    </row>
    <row r="3150" ht="21.25" customHeight="1">
      <c r="A3150" s="10">
        <v>45593</v>
      </c>
      <c r="B3150" t="s" s="11">
        <v>5</v>
      </c>
      <c r="C3150" t="s" s="12">
        <v>545</v>
      </c>
      <c r="D3150" s="13"/>
      <c r="E3150" s="13">
        <v>37100</v>
      </c>
      <c r="F3150" s="14"/>
      <c r="G3150" s="14"/>
      <c r="H3150" s="14"/>
      <c r="I3150" s="14"/>
    </row>
    <row r="3151" ht="20.7" customHeight="1">
      <c r="A3151" s="10">
        <v>45593</v>
      </c>
      <c r="B3151" t="s" s="11">
        <v>8</v>
      </c>
      <c r="C3151" t="s" s="12">
        <v>8</v>
      </c>
      <c r="D3151" s="15" cm="1">
        <f t="array" ref="D3151">SUM(D3148:D3150)</f>
        <v>37100</v>
      </c>
      <c r="E3151" s="15" cm="1">
        <f t="array" ref="E3151">SUM(E3148:E3150)</f>
        <v>37100</v>
      </c>
      <c r="F3151" s="16" cm="1">
        <f t="array" ref="F3151">SUM(F3148:F3150)</f>
        <v>0</v>
      </c>
      <c r="G3151" s="16" cm="1">
        <f t="array" ref="G3151">SUM(G3148:G3150)</f>
        <v>0</v>
      </c>
      <c r="H3151" s="16" cm="1">
        <f t="array" ref="H3151">SUM(H3148:H3150)</f>
        <v>0</v>
      </c>
      <c r="I3151" s="16" cm="1">
        <f t="array" ref="I3151">SUM(I3148:I3150)</f>
        <v>0</v>
      </c>
    </row>
    <row r="3152" ht="20.35" customHeight="1">
      <c r="A3152" s="10">
        <v>45594</v>
      </c>
      <c r="B3152" t="s" s="11">
        <v>12</v>
      </c>
      <c r="C3152" t="s" s="12">
        <v>53</v>
      </c>
      <c r="D3152" s="17">
        <v>5400</v>
      </c>
      <c r="E3152" s="17"/>
      <c r="F3152" s="18"/>
      <c r="G3152" s="18"/>
      <c r="H3152" s="18"/>
      <c r="I3152" s="18"/>
    </row>
    <row r="3153" ht="20.35" customHeight="1">
      <c r="A3153" s="10">
        <v>45594</v>
      </c>
      <c r="B3153" t="s" s="11">
        <v>5</v>
      </c>
      <c r="C3153" t="s" s="12">
        <v>53</v>
      </c>
      <c r="D3153" s="13"/>
      <c r="E3153" s="13">
        <v>5400</v>
      </c>
      <c r="F3153" s="14"/>
      <c r="G3153" s="14"/>
      <c r="H3153" s="14"/>
      <c r="I3153" s="14"/>
    </row>
    <row r="3154" ht="20.7" customHeight="1">
      <c r="A3154" s="10">
        <v>45594</v>
      </c>
      <c r="B3154" t="s" s="11">
        <v>8</v>
      </c>
      <c r="C3154" t="s" s="12">
        <v>8</v>
      </c>
      <c r="D3154" s="15" cm="1">
        <f t="array" ref="D3154">SUM(D3152:D3153)</f>
        <v>5400</v>
      </c>
      <c r="E3154" s="15" cm="1">
        <f t="array" ref="E3154">SUM(E3152:E3153)</f>
        <v>5400</v>
      </c>
      <c r="F3154" s="16" cm="1">
        <f t="array" ref="F3154">SUM(F3152:F3153)</f>
        <v>0</v>
      </c>
      <c r="G3154" s="16" cm="1">
        <f t="array" ref="G3154">SUM(G3152:G3153)</f>
        <v>0</v>
      </c>
      <c r="H3154" s="16" cm="1">
        <f t="array" ref="H3154">SUM(H3152:H3153)</f>
        <v>0</v>
      </c>
      <c r="I3154" s="16" cm="1">
        <f t="array" ref="I3154">SUM(I3152:I3153)</f>
        <v>0</v>
      </c>
    </row>
    <row r="3155" ht="20.35" customHeight="1">
      <c r="A3155" s="10">
        <v>45594</v>
      </c>
      <c r="B3155" t="s" s="11">
        <v>5</v>
      </c>
      <c r="C3155" t="s" s="12">
        <v>17</v>
      </c>
      <c r="D3155" s="17">
        <v>100</v>
      </c>
      <c r="E3155" s="17"/>
      <c r="F3155" s="18"/>
      <c r="G3155" s="18"/>
      <c r="H3155" s="18"/>
      <c r="I3155" s="18"/>
    </row>
    <row r="3156" ht="20.35" customHeight="1">
      <c r="A3156" s="10">
        <v>45594</v>
      </c>
      <c r="B3156" t="s" s="11">
        <v>18</v>
      </c>
      <c r="C3156" t="s" s="12">
        <v>17</v>
      </c>
      <c r="D3156" s="13"/>
      <c r="E3156" s="13">
        <v>100</v>
      </c>
      <c r="F3156" s="14"/>
      <c r="G3156" s="14"/>
      <c r="H3156" s="14"/>
      <c r="I3156" s="14"/>
    </row>
    <row r="3157" ht="20.7" customHeight="1">
      <c r="A3157" s="10">
        <v>45594</v>
      </c>
      <c r="B3157" t="s" s="11">
        <v>8</v>
      </c>
      <c r="C3157" t="s" s="12">
        <v>8</v>
      </c>
      <c r="D3157" s="15" cm="1">
        <f t="array" ref="D3157">SUM(D3155:D3156)</f>
        <v>100</v>
      </c>
      <c r="E3157" s="15" cm="1">
        <f t="array" ref="E3157">SUM(E3155:E3156)</f>
        <v>100</v>
      </c>
      <c r="F3157" s="16" cm="1">
        <f t="array" ref="F3157">SUM(F3155:F3156)</f>
        <v>0</v>
      </c>
      <c r="G3157" s="16" cm="1">
        <f t="array" ref="G3157">SUM(G3155:G3156)</f>
        <v>0</v>
      </c>
      <c r="H3157" s="16" cm="1">
        <f t="array" ref="H3157">SUM(H3155:H3156)</f>
        <v>0</v>
      </c>
      <c r="I3157" s="16" cm="1">
        <f t="array" ref="I3157">SUM(I3155:I3156)</f>
        <v>0</v>
      </c>
    </row>
    <row r="3158" ht="20.35" customHeight="1">
      <c r="A3158" s="10">
        <v>45594</v>
      </c>
      <c r="B3158" t="s" s="11">
        <v>46</v>
      </c>
      <c r="C3158" t="s" s="12">
        <v>546</v>
      </c>
      <c r="D3158" s="17">
        <v>158446</v>
      </c>
      <c r="E3158" s="17"/>
      <c r="F3158" s="18"/>
      <c r="G3158" s="18"/>
      <c r="H3158" s="18"/>
      <c r="I3158" s="18"/>
    </row>
    <row r="3159" ht="20.35" customHeight="1">
      <c r="A3159" s="10">
        <v>45594</v>
      </c>
      <c r="B3159" t="s" s="11">
        <v>5</v>
      </c>
      <c r="C3159" t="s" s="12">
        <v>546</v>
      </c>
      <c r="D3159" s="13"/>
      <c r="E3159" s="13">
        <v>158446</v>
      </c>
      <c r="F3159" s="14"/>
      <c r="G3159" s="14"/>
      <c r="H3159" s="14"/>
      <c r="I3159" s="14"/>
    </row>
    <row r="3160" ht="20.7" customHeight="1">
      <c r="A3160" s="10">
        <v>45594</v>
      </c>
      <c r="B3160" t="s" s="11">
        <v>8</v>
      </c>
      <c r="C3160" t="s" s="12">
        <v>8</v>
      </c>
      <c r="D3160" s="15" cm="1">
        <f t="array" ref="D3160">SUM(D3158:D3159)</f>
        <v>158446</v>
      </c>
      <c r="E3160" s="15" cm="1">
        <f t="array" ref="E3160">SUM(E3158:E3159)</f>
        <v>158446</v>
      </c>
      <c r="F3160" s="16" cm="1">
        <f t="array" ref="F3160">SUM(F3158:F3159)</f>
        <v>0</v>
      </c>
      <c r="G3160" s="16" cm="1">
        <f t="array" ref="G3160">SUM(G3158:G3159)</f>
        <v>0</v>
      </c>
      <c r="H3160" s="16" cm="1">
        <f t="array" ref="H3160">SUM(H3158:H3159)</f>
        <v>0</v>
      </c>
      <c r="I3160" s="16" cm="1">
        <f t="array" ref="I3160">SUM(I3158:I3159)</f>
        <v>0</v>
      </c>
    </row>
    <row r="3161" ht="20.35" customHeight="1">
      <c r="A3161" s="10">
        <v>45594</v>
      </c>
      <c r="B3161" t="s" s="11">
        <v>5</v>
      </c>
      <c r="C3161" t="s" s="12">
        <v>547</v>
      </c>
      <c r="D3161" s="24"/>
      <c r="E3161" s="17">
        <v>70000</v>
      </c>
      <c r="F3161" s="18"/>
      <c r="G3161" s="18"/>
      <c r="H3161" s="18"/>
      <c r="I3161" s="18"/>
    </row>
    <row r="3162" ht="20.9" customHeight="1">
      <c r="A3162" s="10">
        <v>45594</v>
      </c>
      <c r="B3162" t="s" s="11">
        <v>10</v>
      </c>
      <c r="C3162" t="s" s="12">
        <v>548</v>
      </c>
      <c r="D3162" s="19">
        <v>17500</v>
      </c>
      <c r="E3162" s="19"/>
      <c r="F3162" s="20"/>
      <c r="G3162" s="20"/>
      <c r="H3162" s="20"/>
      <c r="I3162" s="20"/>
    </row>
    <row r="3163" ht="21.25" customHeight="1">
      <c r="A3163" s="10">
        <v>45594</v>
      </c>
      <c r="B3163" t="s" s="11">
        <v>106</v>
      </c>
      <c r="C3163" t="s" s="12">
        <v>548</v>
      </c>
      <c r="D3163" s="13">
        <v>52500</v>
      </c>
      <c r="E3163" s="13"/>
      <c r="F3163" s="14"/>
      <c r="G3163" s="14"/>
      <c r="H3163" s="14"/>
      <c r="I3163" s="14"/>
    </row>
    <row r="3164" ht="20.7" customHeight="1">
      <c r="A3164" s="10">
        <v>45594</v>
      </c>
      <c r="B3164" t="s" s="11">
        <v>8</v>
      </c>
      <c r="C3164" t="s" s="12">
        <v>8</v>
      </c>
      <c r="D3164" s="15" cm="1">
        <f t="array" ref="D3164">SUM(D3161:D3163)</f>
        <v>70000</v>
      </c>
      <c r="E3164" s="15" cm="1">
        <f t="array" ref="E3164">SUM(E3161:E3163)</f>
        <v>70000</v>
      </c>
      <c r="F3164" s="16" cm="1">
        <f t="array" ref="F3164">SUM(F3161:F3163)</f>
        <v>0</v>
      </c>
      <c r="G3164" s="16" cm="1">
        <f t="array" ref="G3164">SUM(G3161:G3163)</f>
        <v>0</v>
      </c>
      <c r="H3164" s="16" cm="1">
        <f t="array" ref="H3164">SUM(H3161:H3163)</f>
        <v>0</v>
      </c>
      <c r="I3164" s="16" cm="1">
        <f t="array" ref="I3164">SUM(I3161:I3163)</f>
        <v>0</v>
      </c>
    </row>
    <row r="3165" ht="20.35" customHeight="1">
      <c r="A3165" s="10">
        <v>45594</v>
      </c>
      <c r="B3165" t="s" s="11">
        <v>5</v>
      </c>
      <c r="C3165" t="s" s="12">
        <v>17</v>
      </c>
      <c r="D3165" s="17">
        <v>100</v>
      </c>
      <c r="E3165" s="17"/>
      <c r="F3165" s="18"/>
      <c r="G3165" s="18"/>
      <c r="H3165" s="18"/>
      <c r="I3165" s="18"/>
    </row>
    <row r="3166" ht="20.35" customHeight="1">
      <c r="A3166" s="10">
        <v>45594</v>
      </c>
      <c r="B3166" t="s" s="11">
        <v>18</v>
      </c>
      <c r="C3166" t="s" s="12">
        <v>17</v>
      </c>
      <c r="D3166" s="13"/>
      <c r="E3166" s="13">
        <v>100</v>
      </c>
      <c r="F3166" s="14"/>
      <c r="G3166" s="14"/>
      <c r="H3166" s="14"/>
      <c r="I3166" s="14"/>
    </row>
    <row r="3167" ht="20.7" customHeight="1">
      <c r="A3167" s="10">
        <v>45594</v>
      </c>
      <c r="B3167" t="s" s="11">
        <v>8</v>
      </c>
      <c r="C3167" t="s" s="12">
        <v>8</v>
      </c>
      <c r="D3167" s="15" cm="1">
        <f t="array" ref="D3167">SUM(D3165:D3166)</f>
        <v>100</v>
      </c>
      <c r="E3167" s="15" cm="1">
        <f t="array" ref="E3167">SUM(E3165:E3166)</f>
        <v>100</v>
      </c>
      <c r="F3167" s="16" cm="1">
        <f t="array" ref="F3167">SUM(F3165:F3166)</f>
        <v>0</v>
      </c>
      <c r="G3167" s="16" cm="1">
        <f t="array" ref="G3167">SUM(G3165:G3166)</f>
        <v>0</v>
      </c>
      <c r="H3167" s="16" cm="1">
        <f t="array" ref="H3167">SUM(H3165:H3166)</f>
        <v>0</v>
      </c>
      <c r="I3167" s="16" cm="1">
        <f t="array" ref="I3167">SUM(I3165:I3166)</f>
        <v>0</v>
      </c>
    </row>
    <row r="3168" ht="20.35" customHeight="1">
      <c r="A3168" s="10">
        <v>45594</v>
      </c>
      <c r="B3168" t="s" s="11">
        <v>39</v>
      </c>
      <c r="C3168" t="s" s="12">
        <v>549</v>
      </c>
      <c r="D3168" s="17"/>
      <c r="E3168" s="17"/>
      <c r="F3168" s="18">
        <v>500</v>
      </c>
      <c r="G3168" s="18"/>
      <c r="H3168" s="18"/>
      <c r="I3168" s="18"/>
    </row>
    <row r="3169" ht="20.35" customHeight="1">
      <c r="A3169" s="10">
        <v>45594</v>
      </c>
      <c r="B3169" t="s" s="11">
        <v>41</v>
      </c>
      <c r="C3169" t="s" s="12">
        <v>549</v>
      </c>
      <c r="D3169" s="13"/>
      <c r="E3169" s="13"/>
      <c r="F3169" s="14"/>
      <c r="G3169" s="14">
        <v>500</v>
      </c>
      <c r="H3169" s="14"/>
      <c r="I3169" s="14"/>
    </row>
    <row r="3170" ht="20.7" customHeight="1">
      <c r="A3170" s="10">
        <v>45594</v>
      </c>
      <c r="B3170" t="s" s="11">
        <v>8</v>
      </c>
      <c r="C3170" t="s" s="12">
        <v>8</v>
      </c>
      <c r="D3170" s="15" cm="1">
        <f t="array" ref="D3170">SUM(D3168:D3169)</f>
        <v>0</v>
      </c>
      <c r="E3170" s="15" cm="1">
        <f t="array" ref="E3170">SUM(E3168:E3169)</f>
        <v>0</v>
      </c>
      <c r="F3170" s="16" cm="1">
        <f t="array" ref="F3170">SUM(F3168:F3169)</f>
        <v>500</v>
      </c>
      <c r="G3170" s="16" cm="1">
        <f t="array" ref="G3170">SUM(G3168:G3169)</f>
        <v>500</v>
      </c>
      <c r="H3170" s="16" cm="1">
        <f t="array" ref="H3170">SUM(H3168:H3169)</f>
        <v>0</v>
      </c>
      <c r="I3170" s="16" cm="1">
        <f t="array" ref="I3170">SUM(I3168:I3169)</f>
        <v>0</v>
      </c>
    </row>
    <row r="3171" ht="20.35" customHeight="1">
      <c r="A3171" s="10">
        <v>45594</v>
      </c>
      <c r="B3171" t="s" s="11">
        <v>39</v>
      </c>
      <c r="C3171" t="s" s="12">
        <v>550</v>
      </c>
      <c r="D3171" s="17"/>
      <c r="E3171" s="17"/>
      <c r="F3171" s="18"/>
      <c r="G3171" s="18">
        <v>500</v>
      </c>
      <c r="H3171" s="18"/>
      <c r="I3171" s="18"/>
    </row>
    <row r="3172" ht="20.35" customHeight="1">
      <c r="A3172" s="10">
        <v>45594</v>
      </c>
      <c r="B3172" t="s" s="11">
        <v>44</v>
      </c>
      <c r="C3172" t="s" s="12">
        <v>550</v>
      </c>
      <c r="D3172" s="13"/>
      <c r="E3172" s="13"/>
      <c r="F3172" s="14">
        <v>500</v>
      </c>
      <c r="G3172" s="14"/>
      <c r="H3172" s="14"/>
      <c r="I3172" s="14"/>
    </row>
    <row r="3173" ht="20.7" customHeight="1">
      <c r="A3173" s="10">
        <v>45594</v>
      </c>
      <c r="B3173" t="s" s="11">
        <v>8</v>
      </c>
      <c r="C3173" t="s" s="12">
        <v>8</v>
      </c>
      <c r="D3173" s="15" cm="1">
        <f t="array" ref="D3173">SUM(D3171:D3172)</f>
        <v>0</v>
      </c>
      <c r="E3173" s="15" cm="1">
        <f t="array" ref="E3173">SUM(E3171:E3172)</f>
        <v>0</v>
      </c>
      <c r="F3173" s="16" cm="1">
        <f t="array" ref="F3173">SUM(F3171:F3172)</f>
        <v>500</v>
      </c>
      <c r="G3173" s="16" cm="1">
        <f t="array" ref="G3173">SUM(G3171:G3172)</f>
        <v>500</v>
      </c>
      <c r="H3173" s="16" cm="1">
        <f t="array" ref="H3173">SUM(H3171:H3172)</f>
        <v>0</v>
      </c>
      <c r="I3173" s="16" cm="1">
        <f t="array" ref="I3173">SUM(I3171:I3172)</f>
        <v>0</v>
      </c>
    </row>
    <row r="3174" ht="20.35" customHeight="1">
      <c r="A3174" s="10">
        <v>45594</v>
      </c>
      <c r="B3174" t="s" s="11">
        <v>89</v>
      </c>
      <c r="C3174" t="s" s="12">
        <v>465</v>
      </c>
      <c r="D3174" s="17">
        <v>180000</v>
      </c>
      <c r="E3174" s="17"/>
      <c r="F3174" s="18"/>
      <c r="G3174" s="18"/>
      <c r="H3174" s="18"/>
      <c r="I3174" s="18"/>
    </row>
    <row r="3175" ht="20.35" customHeight="1">
      <c r="A3175" s="10">
        <v>45594</v>
      </c>
      <c r="B3175" t="s" s="11">
        <v>5</v>
      </c>
      <c r="C3175" t="s" s="12">
        <v>465</v>
      </c>
      <c r="D3175" s="13"/>
      <c r="E3175" s="13">
        <v>180000</v>
      </c>
      <c r="F3175" s="14"/>
      <c r="G3175" s="14"/>
      <c r="H3175" s="14"/>
      <c r="I3175" s="14"/>
    </row>
    <row r="3176" ht="20.7" customHeight="1">
      <c r="A3176" s="10">
        <v>45594</v>
      </c>
      <c r="B3176" t="s" s="11">
        <v>8</v>
      </c>
      <c r="C3176" t="s" s="12">
        <v>8</v>
      </c>
      <c r="D3176" s="15" cm="1">
        <f t="array" ref="D3176">SUM(D3174:D3175)</f>
        <v>180000</v>
      </c>
      <c r="E3176" s="15" cm="1">
        <f t="array" ref="E3176">SUM(E3174:E3175)</f>
        <v>180000</v>
      </c>
      <c r="F3176" s="16" cm="1">
        <f t="array" ref="F3176">SUM(F3174:F3175)</f>
        <v>0</v>
      </c>
      <c r="G3176" s="16" cm="1">
        <f t="array" ref="G3176">SUM(G3174:G3175)</f>
        <v>0</v>
      </c>
      <c r="H3176" s="16" cm="1">
        <f t="array" ref="H3176">SUM(H3174:H3175)</f>
        <v>0</v>
      </c>
      <c r="I3176" s="16" cm="1">
        <f t="array" ref="I3176">SUM(I3174:I3175)</f>
        <v>0</v>
      </c>
    </row>
    <row r="3177" ht="21.25" customHeight="1">
      <c r="A3177" s="10">
        <v>45594</v>
      </c>
      <c r="B3177" t="s" s="11">
        <v>12</v>
      </c>
      <c r="C3177" t="s" s="12">
        <v>551</v>
      </c>
      <c r="D3177" s="17">
        <v>9500</v>
      </c>
      <c r="E3177" s="17"/>
      <c r="F3177" s="18"/>
      <c r="G3177" s="18"/>
      <c r="H3177" s="18"/>
      <c r="I3177" s="18"/>
    </row>
    <row r="3178" ht="20.9" customHeight="1">
      <c r="A3178" s="10">
        <v>45594</v>
      </c>
      <c r="B3178" t="s" s="11">
        <v>89</v>
      </c>
      <c r="C3178" t="s" s="12">
        <v>551</v>
      </c>
      <c r="D3178" s="19">
        <v>10000</v>
      </c>
      <c r="E3178" s="19"/>
      <c r="F3178" s="20"/>
      <c r="G3178" s="20"/>
      <c r="H3178" s="20"/>
      <c r="I3178" s="20"/>
    </row>
    <row r="3179" ht="21.25" customHeight="1">
      <c r="A3179" s="10">
        <v>45594</v>
      </c>
      <c r="B3179" t="s" s="11">
        <v>5</v>
      </c>
      <c r="C3179" t="s" s="12">
        <v>551</v>
      </c>
      <c r="D3179" s="13"/>
      <c r="E3179" s="13">
        <v>19500</v>
      </c>
      <c r="F3179" s="14"/>
      <c r="G3179" s="14"/>
      <c r="H3179" s="14"/>
      <c r="I3179" s="14"/>
    </row>
    <row r="3180" ht="20.7" customHeight="1">
      <c r="A3180" s="10">
        <v>45594</v>
      </c>
      <c r="B3180" t="s" s="11">
        <v>8</v>
      </c>
      <c r="C3180" t="s" s="12">
        <v>8</v>
      </c>
      <c r="D3180" s="15" cm="1">
        <f t="array" ref="D3180">SUM(D3177:D3179)</f>
        <v>19500</v>
      </c>
      <c r="E3180" s="15" cm="1">
        <f t="array" ref="E3180">SUM(E3177:E3179)</f>
        <v>19500</v>
      </c>
      <c r="F3180" s="16" cm="1">
        <f t="array" ref="F3180">SUM(F3177:F3179)</f>
        <v>0</v>
      </c>
      <c r="G3180" s="16" cm="1">
        <f t="array" ref="G3180">SUM(G3177:G3179)</f>
        <v>0</v>
      </c>
      <c r="H3180" s="16" cm="1">
        <f t="array" ref="H3180">SUM(H3177:H3179)</f>
        <v>0</v>
      </c>
      <c r="I3180" s="16" cm="1">
        <f t="array" ref="I3180">SUM(I3177:I3179)</f>
        <v>0</v>
      </c>
    </row>
    <row r="3181" ht="21.25" customHeight="1">
      <c r="A3181" s="10">
        <v>45594</v>
      </c>
      <c r="B3181" t="s" s="11">
        <v>89</v>
      </c>
      <c r="C3181" t="s" s="12">
        <v>551</v>
      </c>
      <c r="D3181" s="17"/>
      <c r="E3181" s="17">
        <v>10000</v>
      </c>
      <c r="F3181" s="18"/>
      <c r="G3181" s="18"/>
      <c r="H3181" s="18"/>
      <c r="I3181" s="18"/>
    </row>
    <row r="3182" ht="21.25" customHeight="1">
      <c r="A3182" s="10">
        <v>45594</v>
      </c>
      <c r="B3182" t="s" s="11">
        <v>93</v>
      </c>
      <c r="C3182" t="s" s="12">
        <v>551</v>
      </c>
      <c r="D3182" s="13">
        <v>10000</v>
      </c>
      <c r="E3182" s="13"/>
      <c r="F3182" s="14"/>
      <c r="G3182" s="14"/>
      <c r="H3182" s="14"/>
      <c r="I3182" s="14"/>
    </row>
    <row r="3183" ht="20.7" customHeight="1">
      <c r="A3183" s="10">
        <v>45594</v>
      </c>
      <c r="B3183" t="s" s="11">
        <v>8</v>
      </c>
      <c r="C3183" t="s" s="12">
        <v>8</v>
      </c>
      <c r="D3183" s="15" cm="1">
        <f t="array" ref="D3183">SUM(D3181:D3182)</f>
        <v>10000</v>
      </c>
      <c r="E3183" s="15" cm="1">
        <f t="array" ref="E3183">SUM(E3181:E3182)</f>
        <v>10000</v>
      </c>
      <c r="F3183" s="16" cm="1">
        <f t="array" ref="F3183">SUM(F3181:F3182)</f>
        <v>0</v>
      </c>
      <c r="G3183" s="16" cm="1">
        <f t="array" ref="G3183">SUM(G3181:G3182)</f>
        <v>0</v>
      </c>
      <c r="H3183" s="16" cm="1">
        <f t="array" ref="H3183">SUM(H3181:H3182)</f>
        <v>0</v>
      </c>
      <c r="I3183" s="16" cm="1">
        <f t="array" ref="I3183">SUM(I3181:I3182)</f>
        <v>0</v>
      </c>
    </row>
    <row r="3184" ht="21.25" customHeight="1">
      <c r="A3184" s="10">
        <v>45594</v>
      </c>
      <c r="B3184" t="s" s="11">
        <v>12</v>
      </c>
      <c r="C3184" t="s" s="12">
        <v>552</v>
      </c>
      <c r="D3184" s="17">
        <v>12260</v>
      </c>
      <c r="E3184" s="17"/>
      <c r="F3184" s="18"/>
      <c r="G3184" s="18"/>
      <c r="H3184" s="18"/>
      <c r="I3184" s="18"/>
    </row>
    <row r="3185" ht="21.25" customHeight="1">
      <c r="A3185" s="10">
        <v>45594</v>
      </c>
      <c r="B3185" t="s" s="11">
        <v>5</v>
      </c>
      <c r="C3185" t="s" s="12">
        <v>552</v>
      </c>
      <c r="D3185" s="13"/>
      <c r="E3185" s="13">
        <v>12260</v>
      </c>
      <c r="F3185" s="14"/>
      <c r="G3185" s="14"/>
      <c r="H3185" s="14"/>
      <c r="I3185" s="14"/>
    </row>
    <row r="3186" ht="20.7" customHeight="1">
      <c r="A3186" s="10">
        <v>45594</v>
      </c>
      <c r="B3186" t="s" s="11">
        <v>8</v>
      </c>
      <c r="C3186" t="s" s="12">
        <v>8</v>
      </c>
      <c r="D3186" s="15" cm="1">
        <f t="array" ref="D3186">SUM(D3184:D3185)</f>
        <v>12260</v>
      </c>
      <c r="E3186" s="15" cm="1">
        <f t="array" ref="E3186">SUM(E3184:E3185)</f>
        <v>12260</v>
      </c>
      <c r="F3186" s="16" cm="1">
        <f t="array" ref="F3186">SUM(F3184:F3185)</f>
        <v>0</v>
      </c>
      <c r="G3186" s="16" cm="1">
        <f t="array" ref="G3186">SUM(G3184:G3185)</f>
        <v>0</v>
      </c>
      <c r="H3186" s="16" cm="1">
        <f t="array" ref="H3186">SUM(H3184:H3185)</f>
        <v>0</v>
      </c>
      <c r="I3186" s="16" cm="1">
        <f t="array" ref="I3186">SUM(I3184:I3185)</f>
        <v>0</v>
      </c>
    </row>
    <row r="3187" ht="21.25" customHeight="1">
      <c r="A3187" s="10">
        <v>45595</v>
      </c>
      <c r="B3187" t="s" s="11">
        <v>21</v>
      </c>
      <c r="C3187" t="s" s="12">
        <v>553</v>
      </c>
      <c r="D3187" s="17">
        <v>30690</v>
      </c>
      <c r="E3187" s="17"/>
      <c r="F3187" s="18"/>
      <c r="G3187" s="18"/>
      <c r="H3187" s="18"/>
      <c r="I3187" s="18"/>
    </row>
    <row r="3188" ht="21.25" customHeight="1">
      <c r="A3188" s="10">
        <v>45595</v>
      </c>
      <c r="B3188" t="s" s="11">
        <v>5</v>
      </c>
      <c r="C3188" t="s" s="12">
        <v>553</v>
      </c>
      <c r="D3188" s="13"/>
      <c r="E3188" s="13">
        <v>30690</v>
      </c>
      <c r="F3188" s="14"/>
      <c r="G3188" s="14"/>
      <c r="H3188" s="14"/>
      <c r="I3188" s="14"/>
    </row>
    <row r="3189" ht="20.7" customHeight="1">
      <c r="A3189" s="10">
        <v>45595</v>
      </c>
      <c r="B3189" t="s" s="11">
        <v>8</v>
      </c>
      <c r="C3189" t="s" s="12">
        <v>8</v>
      </c>
      <c r="D3189" s="15" cm="1">
        <f t="array" ref="D3189">SUM(D3187:D3188)</f>
        <v>30690</v>
      </c>
      <c r="E3189" s="15" cm="1">
        <f t="array" ref="E3189">SUM(E3187:E3188)</f>
        <v>30690</v>
      </c>
      <c r="F3189" s="16" cm="1">
        <f t="array" ref="F3189">SUM(F3187:F3188)</f>
        <v>0</v>
      </c>
      <c r="G3189" s="16" cm="1">
        <f t="array" ref="G3189">SUM(G3187:G3188)</f>
        <v>0</v>
      </c>
      <c r="H3189" s="16" cm="1">
        <f t="array" ref="H3189">SUM(H3187:H3188)</f>
        <v>0</v>
      </c>
      <c r="I3189" s="16" cm="1">
        <f t="array" ref="I3189">SUM(I3187:I3188)</f>
        <v>0</v>
      </c>
    </row>
    <row r="3190" ht="20.65" customHeight="1">
      <c r="A3190" s="10">
        <v>45595</v>
      </c>
      <c r="B3190" t="s" s="11">
        <v>21</v>
      </c>
      <c r="C3190" t="s" s="12">
        <v>514</v>
      </c>
      <c r="D3190" s="17"/>
      <c r="E3190" s="17">
        <v>2400</v>
      </c>
      <c r="F3190" s="18"/>
      <c r="G3190" s="18"/>
      <c r="H3190" s="18"/>
      <c r="I3190" s="18"/>
    </row>
    <row r="3191" ht="20.65" customHeight="1">
      <c r="A3191" s="10">
        <v>45595</v>
      </c>
      <c r="B3191" t="s" s="11">
        <v>16</v>
      </c>
      <c r="C3191" t="s" s="12">
        <v>514</v>
      </c>
      <c r="D3191" s="13">
        <v>2400</v>
      </c>
      <c r="E3191" s="13"/>
      <c r="F3191" s="14"/>
      <c r="G3191" s="14"/>
      <c r="H3191" s="14"/>
      <c r="I3191" s="14"/>
    </row>
    <row r="3192" ht="20.7" customHeight="1">
      <c r="A3192" s="10">
        <v>45595</v>
      </c>
      <c r="B3192" t="s" s="11">
        <v>8</v>
      </c>
      <c r="C3192" t="s" s="12">
        <v>8</v>
      </c>
      <c r="D3192" s="15" cm="1">
        <f t="array" ref="D3192">SUM(D3190:D3191)</f>
        <v>2400</v>
      </c>
      <c r="E3192" s="15" cm="1">
        <f t="array" ref="E3192">SUM(E3190:E3191)</f>
        <v>2400</v>
      </c>
      <c r="F3192" s="16" cm="1">
        <f t="array" ref="F3192">SUM(F3190:F3191)</f>
        <v>0</v>
      </c>
      <c r="G3192" s="16" cm="1">
        <f t="array" ref="G3192">SUM(G3190:G3191)</f>
        <v>0</v>
      </c>
      <c r="H3192" s="16" cm="1">
        <f t="array" ref="H3192">SUM(H3190:H3191)</f>
        <v>0</v>
      </c>
      <c r="I3192" s="16" cm="1">
        <f t="array" ref="I3192">SUM(I3190:I3191)</f>
        <v>0</v>
      </c>
    </row>
    <row r="3193" ht="20.35" customHeight="1">
      <c r="A3193" s="10">
        <v>45596</v>
      </c>
      <c r="B3193" t="s" s="11">
        <v>12</v>
      </c>
      <c r="C3193" t="s" s="12">
        <v>169</v>
      </c>
      <c r="D3193" s="17">
        <v>4900</v>
      </c>
      <c r="E3193" s="17"/>
      <c r="F3193" s="18"/>
      <c r="G3193" s="18"/>
      <c r="H3193" s="18"/>
      <c r="I3193" s="18"/>
    </row>
    <row r="3194" ht="20.35" customHeight="1">
      <c r="A3194" s="10">
        <v>45596</v>
      </c>
      <c r="B3194" t="s" s="11">
        <v>5</v>
      </c>
      <c r="C3194" t="s" s="12">
        <v>169</v>
      </c>
      <c r="D3194" s="13"/>
      <c r="E3194" s="13">
        <v>4900</v>
      </c>
      <c r="F3194" s="14"/>
      <c r="G3194" s="14"/>
      <c r="H3194" s="14"/>
      <c r="I3194" s="14"/>
    </row>
    <row r="3195" ht="20.7" customHeight="1">
      <c r="A3195" s="10">
        <v>45596</v>
      </c>
      <c r="B3195" t="s" s="11">
        <v>8</v>
      </c>
      <c r="C3195" t="s" s="12">
        <v>8</v>
      </c>
      <c r="D3195" s="15" cm="1">
        <f t="array" ref="D3195">SUM(D3193:D3194)</f>
        <v>4900</v>
      </c>
      <c r="E3195" s="15" cm="1">
        <f t="array" ref="E3195">SUM(E3193:E3194)</f>
        <v>4900</v>
      </c>
      <c r="F3195" s="16" cm="1">
        <f t="array" ref="F3195">SUM(F3193:F3194)</f>
        <v>0</v>
      </c>
      <c r="G3195" s="16" cm="1">
        <f t="array" ref="G3195">SUM(G3193:G3194)</f>
        <v>0</v>
      </c>
      <c r="H3195" s="16" cm="1">
        <f t="array" ref="H3195">SUM(H3193:H3194)</f>
        <v>0</v>
      </c>
      <c r="I3195" s="16" cm="1">
        <f t="array" ref="I3195">SUM(I3193:I3194)</f>
        <v>0</v>
      </c>
    </row>
    <row r="3196" ht="21.25" customHeight="1">
      <c r="A3196" s="10">
        <v>45596</v>
      </c>
      <c r="B3196" t="s" s="11">
        <v>12</v>
      </c>
      <c r="C3196" t="s" s="12">
        <v>554</v>
      </c>
      <c r="D3196" s="17">
        <v>14000</v>
      </c>
      <c r="E3196" s="17"/>
      <c r="F3196" s="18"/>
      <c r="G3196" s="18"/>
      <c r="H3196" s="18"/>
      <c r="I3196" s="18"/>
    </row>
    <row r="3197" ht="20.9" customHeight="1">
      <c r="A3197" s="10">
        <v>45596</v>
      </c>
      <c r="B3197" t="s" s="11">
        <v>89</v>
      </c>
      <c r="C3197" t="s" s="12">
        <v>554</v>
      </c>
      <c r="D3197" s="19">
        <v>13000</v>
      </c>
      <c r="E3197" s="19"/>
      <c r="F3197" s="20"/>
      <c r="G3197" s="20"/>
      <c r="H3197" s="20"/>
      <c r="I3197" s="20"/>
    </row>
    <row r="3198" ht="21.25" customHeight="1">
      <c r="A3198" s="10">
        <v>45596</v>
      </c>
      <c r="B3198" t="s" s="11">
        <v>5</v>
      </c>
      <c r="C3198" t="s" s="12">
        <v>554</v>
      </c>
      <c r="D3198" s="13"/>
      <c r="E3198" s="13">
        <v>27000</v>
      </c>
      <c r="F3198" s="14"/>
      <c r="G3198" s="14"/>
      <c r="H3198" s="14"/>
      <c r="I3198" s="14"/>
    </row>
    <row r="3199" ht="20.7" customHeight="1">
      <c r="A3199" s="10">
        <v>45596</v>
      </c>
      <c r="B3199" t="s" s="11">
        <v>8</v>
      </c>
      <c r="C3199" t="s" s="12">
        <v>8</v>
      </c>
      <c r="D3199" s="15" cm="1">
        <f t="array" ref="D3199">SUM(D3196:D3198)</f>
        <v>27000</v>
      </c>
      <c r="E3199" s="15" cm="1">
        <f t="array" ref="E3199">SUM(E3196:E3198)</f>
        <v>27000</v>
      </c>
      <c r="F3199" s="16" cm="1">
        <f t="array" ref="F3199">SUM(F3196:F3198)</f>
        <v>0</v>
      </c>
      <c r="G3199" s="16" cm="1">
        <f t="array" ref="G3199">SUM(G3196:G3198)</f>
        <v>0</v>
      </c>
      <c r="H3199" s="16" cm="1">
        <f t="array" ref="H3199">SUM(H3196:H3198)</f>
        <v>0</v>
      </c>
      <c r="I3199" s="16" cm="1">
        <f t="array" ref="I3199">SUM(I3196:I3198)</f>
        <v>0</v>
      </c>
    </row>
    <row r="3200" ht="21.25" customHeight="1">
      <c r="A3200" s="10">
        <v>45596</v>
      </c>
      <c r="B3200" t="s" s="11">
        <v>89</v>
      </c>
      <c r="C3200" t="s" s="12">
        <v>554</v>
      </c>
      <c r="D3200" s="17"/>
      <c r="E3200" s="17">
        <v>13000</v>
      </c>
      <c r="F3200" s="18"/>
      <c r="G3200" s="18"/>
      <c r="H3200" s="18"/>
      <c r="I3200" s="18"/>
    </row>
    <row r="3201" ht="21.25" customHeight="1">
      <c r="A3201" s="10">
        <v>45596</v>
      </c>
      <c r="B3201" t="s" s="11">
        <v>93</v>
      </c>
      <c r="C3201" t="s" s="12">
        <v>554</v>
      </c>
      <c r="D3201" s="13">
        <v>13000</v>
      </c>
      <c r="E3201" s="13"/>
      <c r="F3201" s="14"/>
      <c r="G3201" s="14"/>
      <c r="H3201" s="14"/>
      <c r="I3201" s="14"/>
    </row>
    <row r="3202" ht="20.7" customHeight="1">
      <c r="A3202" s="10">
        <v>45596</v>
      </c>
      <c r="B3202" t="s" s="11">
        <v>8</v>
      </c>
      <c r="C3202" t="s" s="12">
        <v>8</v>
      </c>
      <c r="D3202" s="15" cm="1">
        <f t="array" ref="D3202">SUM(D3200:D3201)</f>
        <v>13000</v>
      </c>
      <c r="E3202" s="15" cm="1">
        <f t="array" ref="E3202">SUM(E3200:E3201)</f>
        <v>13000</v>
      </c>
      <c r="F3202" s="16" cm="1">
        <f t="array" ref="F3202">SUM(F3200:F3201)</f>
        <v>0</v>
      </c>
      <c r="G3202" s="16" cm="1">
        <f t="array" ref="G3202">SUM(G3200:G3201)</f>
        <v>0</v>
      </c>
      <c r="H3202" s="16" cm="1">
        <f t="array" ref="H3202">SUM(H3200:H3201)</f>
        <v>0</v>
      </c>
      <c r="I3202" s="16" cm="1">
        <f t="array" ref="I3202">SUM(I3200:I3201)</f>
        <v>0</v>
      </c>
    </row>
    <row r="3203" ht="21.25" customHeight="1">
      <c r="A3203" s="10">
        <v>45596</v>
      </c>
      <c r="B3203" t="s" s="11">
        <v>21</v>
      </c>
      <c r="C3203" t="s" s="12">
        <v>553</v>
      </c>
      <c r="D3203" s="17">
        <v>82400</v>
      </c>
      <c r="E3203" s="17"/>
      <c r="F3203" s="18"/>
      <c r="G3203" s="18"/>
      <c r="H3203" s="18"/>
      <c r="I3203" s="18"/>
    </row>
    <row r="3204" ht="21.25" customHeight="1">
      <c r="A3204" s="10">
        <v>45596</v>
      </c>
      <c r="B3204" t="s" s="11">
        <v>5</v>
      </c>
      <c r="C3204" t="s" s="12">
        <v>553</v>
      </c>
      <c r="D3204" s="13"/>
      <c r="E3204" s="13">
        <v>82400</v>
      </c>
      <c r="F3204" s="14"/>
      <c r="G3204" s="14"/>
      <c r="H3204" s="14"/>
      <c r="I3204" s="14"/>
    </row>
    <row r="3205" ht="20.7" customHeight="1">
      <c r="A3205" s="10">
        <v>45596</v>
      </c>
      <c r="B3205" t="s" s="11">
        <v>8</v>
      </c>
      <c r="C3205" t="s" s="12">
        <v>8</v>
      </c>
      <c r="D3205" s="15" cm="1">
        <f t="array" ref="D3205">SUM(D3203:D3204)</f>
        <v>82400</v>
      </c>
      <c r="E3205" s="15" cm="1">
        <f t="array" ref="E3205">SUM(E3203:E3204)</f>
        <v>82400</v>
      </c>
      <c r="F3205" s="16" cm="1">
        <f t="array" ref="F3205">SUM(F3203:F3204)</f>
        <v>0</v>
      </c>
      <c r="G3205" s="16" cm="1">
        <f t="array" ref="G3205">SUM(G3203:G3204)</f>
        <v>0</v>
      </c>
      <c r="H3205" s="16" cm="1">
        <f t="array" ref="H3205">SUM(H3203:H3204)</f>
        <v>0</v>
      </c>
      <c r="I3205" s="16" cm="1">
        <f t="array" ref="I3205">SUM(I3203:I3204)</f>
        <v>0</v>
      </c>
    </row>
    <row r="3206" ht="20.35" customHeight="1">
      <c r="A3206" s="10">
        <v>45596</v>
      </c>
      <c r="B3206" t="s" s="11">
        <v>5</v>
      </c>
      <c r="C3206" t="s" s="12">
        <v>17</v>
      </c>
      <c r="D3206" s="17">
        <v>100</v>
      </c>
      <c r="E3206" s="17"/>
      <c r="F3206" s="18"/>
      <c r="G3206" s="18"/>
      <c r="H3206" s="18"/>
      <c r="I3206" s="18"/>
    </row>
    <row r="3207" ht="20.35" customHeight="1">
      <c r="A3207" s="10">
        <v>45596</v>
      </c>
      <c r="B3207" t="s" s="11">
        <v>18</v>
      </c>
      <c r="C3207" t="s" s="12">
        <v>17</v>
      </c>
      <c r="D3207" s="13"/>
      <c r="E3207" s="13">
        <v>100</v>
      </c>
      <c r="F3207" s="14"/>
      <c r="G3207" s="14"/>
      <c r="H3207" s="14"/>
      <c r="I3207" s="14"/>
    </row>
    <row r="3208" ht="20.7" customHeight="1">
      <c r="A3208" s="10">
        <v>45596</v>
      </c>
      <c r="B3208" t="s" s="11">
        <v>8</v>
      </c>
      <c r="C3208" t="s" s="12">
        <v>8</v>
      </c>
      <c r="D3208" s="15" cm="1">
        <f t="array" ref="D3208">SUM(D3206:D3207)</f>
        <v>100</v>
      </c>
      <c r="E3208" s="15" cm="1">
        <f t="array" ref="E3208">SUM(E3206:E3207)</f>
        <v>100</v>
      </c>
      <c r="F3208" s="16" cm="1">
        <f t="array" ref="F3208">SUM(F3206:F3207)</f>
        <v>0</v>
      </c>
      <c r="G3208" s="16" cm="1">
        <f t="array" ref="G3208">SUM(G3206:G3207)</f>
        <v>0</v>
      </c>
      <c r="H3208" s="16" cm="1">
        <f t="array" ref="H3208">SUM(H3206:H3207)</f>
        <v>0</v>
      </c>
      <c r="I3208" s="16" cm="1">
        <f t="array" ref="I3208">SUM(I3206:I3207)</f>
        <v>0</v>
      </c>
    </row>
    <row r="3209" ht="21.25" customHeight="1">
      <c r="A3209" s="10">
        <v>45596</v>
      </c>
      <c r="B3209" t="s" s="11">
        <v>5</v>
      </c>
      <c r="C3209" t="s" s="12">
        <v>555</v>
      </c>
      <c r="D3209" s="17"/>
      <c r="E3209" s="17">
        <v>36500</v>
      </c>
      <c r="F3209" s="18"/>
      <c r="G3209" s="18"/>
      <c r="H3209" s="18"/>
      <c r="I3209" s="18"/>
    </row>
    <row r="3210" ht="21.25" customHeight="1">
      <c r="A3210" s="10">
        <v>45596</v>
      </c>
      <c r="B3210" t="s" s="11">
        <v>10</v>
      </c>
      <c r="C3210" t="s" s="12">
        <v>555</v>
      </c>
      <c r="D3210" s="13">
        <v>36500</v>
      </c>
      <c r="E3210" s="13"/>
      <c r="F3210" s="14"/>
      <c r="G3210" s="14"/>
      <c r="H3210" s="14"/>
      <c r="I3210" s="14"/>
    </row>
    <row r="3211" ht="20.7" customHeight="1">
      <c r="A3211" s="10">
        <v>45596</v>
      </c>
      <c r="B3211" t="s" s="11">
        <v>8</v>
      </c>
      <c r="C3211" t="s" s="12">
        <v>8</v>
      </c>
      <c r="D3211" s="15" cm="1">
        <f t="array" ref="D3211">SUM(D3209:D3210)</f>
        <v>36500</v>
      </c>
      <c r="E3211" s="15" cm="1">
        <f t="array" ref="E3211">SUM(E3209:E3210)</f>
        <v>36500</v>
      </c>
      <c r="F3211" s="16" cm="1">
        <f t="array" ref="F3211">SUM(F3209:F3210)</f>
        <v>0</v>
      </c>
      <c r="G3211" s="16" cm="1">
        <f t="array" ref="G3211">SUM(G3209:G3210)</f>
        <v>0</v>
      </c>
      <c r="H3211" s="16" cm="1">
        <f t="array" ref="H3211">SUM(H3209:H3210)</f>
        <v>0</v>
      </c>
      <c r="I3211" s="16" cm="1">
        <f t="array" ref="I3211">SUM(I3209:I3210)</f>
        <v>0</v>
      </c>
    </row>
    <row r="3212" ht="21.25" customHeight="1">
      <c r="A3212" s="10">
        <v>45596</v>
      </c>
      <c r="B3212" t="s" s="11">
        <v>21</v>
      </c>
      <c r="C3212" t="s" s="12">
        <v>556</v>
      </c>
      <c r="D3212" s="17"/>
      <c r="E3212" s="17">
        <v>4200</v>
      </c>
      <c r="F3212" s="18"/>
      <c r="G3212" s="18"/>
      <c r="H3212" s="18"/>
      <c r="I3212" s="18"/>
    </row>
    <row r="3213" ht="21.25" customHeight="1">
      <c r="A3213" s="10">
        <v>45596</v>
      </c>
      <c r="B3213" t="s" s="11">
        <v>16</v>
      </c>
      <c r="C3213" t="s" s="12">
        <v>556</v>
      </c>
      <c r="D3213" s="13">
        <v>4200</v>
      </c>
      <c r="E3213" s="13"/>
      <c r="F3213" s="14"/>
      <c r="G3213" s="14"/>
      <c r="H3213" s="14"/>
      <c r="I3213" s="14"/>
    </row>
    <row r="3214" ht="20.7" customHeight="1">
      <c r="A3214" s="10">
        <v>45596</v>
      </c>
      <c r="B3214" t="s" s="11">
        <v>8</v>
      </c>
      <c r="C3214" t="s" s="12">
        <v>8</v>
      </c>
      <c r="D3214" s="15" cm="1">
        <f t="array" ref="D3214">SUM(D3212:D3213)</f>
        <v>4200</v>
      </c>
      <c r="E3214" s="15" cm="1">
        <f t="array" ref="E3214">SUM(E3212:E3213)</f>
        <v>4200</v>
      </c>
      <c r="F3214" s="16" cm="1">
        <f t="array" ref="F3214">SUM(F3212:F3213)</f>
        <v>0</v>
      </c>
      <c r="G3214" s="16" cm="1">
        <f t="array" ref="G3214">SUM(G3212:G3213)</f>
        <v>0</v>
      </c>
      <c r="H3214" s="16" cm="1">
        <f t="array" ref="H3214">SUM(H3212:H3213)</f>
        <v>0</v>
      </c>
      <c r="I3214" s="16" cm="1">
        <f t="array" ref="I3214">SUM(I3212:I3213)</f>
        <v>0</v>
      </c>
    </row>
    <row r="3215" ht="21.25" customHeight="1">
      <c r="A3215" s="10">
        <v>45597</v>
      </c>
      <c r="B3215" t="s" s="11">
        <v>32</v>
      </c>
      <c r="C3215" t="s" s="12">
        <v>557</v>
      </c>
      <c r="D3215" s="17"/>
      <c r="E3215" s="17">
        <v>566667</v>
      </c>
      <c r="F3215" s="18"/>
      <c r="G3215" s="18"/>
      <c r="H3215" s="18"/>
      <c r="I3215" s="18"/>
    </row>
    <row r="3216" ht="21.25" customHeight="1">
      <c r="A3216" s="10">
        <v>45597</v>
      </c>
      <c r="B3216" t="s" s="11">
        <v>101</v>
      </c>
      <c r="C3216" t="s" s="12">
        <v>557</v>
      </c>
      <c r="D3216" s="13">
        <v>566667</v>
      </c>
      <c r="E3216" s="13"/>
      <c r="F3216" s="14"/>
      <c r="G3216" s="14"/>
      <c r="H3216" s="14"/>
      <c r="I3216" s="14"/>
    </row>
    <row r="3217" ht="20.7" customHeight="1">
      <c r="A3217" s="10">
        <v>45597</v>
      </c>
      <c r="B3217" t="s" s="11">
        <v>8</v>
      </c>
      <c r="C3217" t="s" s="12">
        <v>8</v>
      </c>
      <c r="D3217" s="15" cm="1">
        <f t="array" ref="D3217">SUM(D3215:D3216)</f>
        <v>566667</v>
      </c>
      <c r="E3217" s="15" cm="1">
        <f t="array" ref="E3217">SUM(E3215:E3216)</f>
        <v>566667</v>
      </c>
      <c r="F3217" s="16" cm="1">
        <f t="array" ref="F3217">SUM(F3215:F3216)</f>
        <v>0</v>
      </c>
      <c r="G3217" s="16" cm="1">
        <f t="array" ref="G3217">SUM(G3215:G3216)</f>
        <v>0</v>
      </c>
      <c r="H3217" s="16" cm="1">
        <f t="array" ref="H3217">SUM(H3215:H3216)</f>
        <v>0</v>
      </c>
      <c r="I3217" s="16" cm="1">
        <f t="array" ref="I3217">SUM(I3215:I3216)</f>
        <v>0</v>
      </c>
    </row>
    <row r="3218" ht="21.25" customHeight="1">
      <c r="A3218" s="10">
        <v>45597</v>
      </c>
      <c r="B3218" t="s" s="11">
        <v>97</v>
      </c>
      <c r="C3218" t="s" s="12">
        <v>558</v>
      </c>
      <c r="D3218" s="17"/>
      <c r="E3218" s="17">
        <v>650000</v>
      </c>
      <c r="F3218" s="18"/>
      <c r="G3218" s="18"/>
      <c r="H3218" s="18"/>
      <c r="I3218" s="18"/>
    </row>
    <row r="3219" ht="21.25" customHeight="1">
      <c r="A3219" s="10">
        <v>45597</v>
      </c>
      <c r="B3219" t="s" s="11">
        <v>99</v>
      </c>
      <c r="C3219" t="s" s="12">
        <v>558</v>
      </c>
      <c r="D3219" s="13">
        <v>650000</v>
      </c>
      <c r="E3219" s="13"/>
      <c r="F3219" s="14"/>
      <c r="G3219" s="14"/>
      <c r="H3219" s="14"/>
      <c r="I3219" s="14"/>
    </row>
    <row r="3220" ht="20.7" customHeight="1">
      <c r="A3220" s="10">
        <v>45597</v>
      </c>
      <c r="B3220" t="s" s="11">
        <v>8</v>
      </c>
      <c r="C3220" t="s" s="12">
        <v>8</v>
      </c>
      <c r="D3220" s="15" cm="1">
        <f t="array" ref="D3220">SUM(D3218:D3219)</f>
        <v>650000</v>
      </c>
      <c r="E3220" s="15" cm="1">
        <f t="array" ref="E3220">SUM(E3218:E3219)</f>
        <v>650000</v>
      </c>
      <c r="F3220" s="16" cm="1">
        <f t="array" ref="F3220">SUM(F3218:F3219)</f>
        <v>0</v>
      </c>
      <c r="G3220" s="16" cm="1">
        <f t="array" ref="G3220">SUM(G3218:G3219)</f>
        <v>0</v>
      </c>
      <c r="H3220" s="16" cm="1">
        <f t="array" ref="H3220">SUM(H3218:H3219)</f>
        <v>0</v>
      </c>
      <c r="I3220" s="16" cm="1">
        <f t="array" ref="I3220">SUM(I3218:I3219)</f>
        <v>0</v>
      </c>
    </row>
    <row r="3221" ht="20.35" customHeight="1">
      <c r="A3221" s="10">
        <v>45597</v>
      </c>
      <c r="B3221" t="s" s="11">
        <v>5</v>
      </c>
      <c r="C3221" t="s" s="12">
        <v>169</v>
      </c>
      <c r="D3221" s="17"/>
      <c r="E3221" s="17">
        <v>18300</v>
      </c>
      <c r="F3221" s="18"/>
      <c r="G3221" s="18"/>
      <c r="H3221" s="18"/>
      <c r="I3221" s="18"/>
    </row>
    <row r="3222" ht="20.35" customHeight="1">
      <c r="A3222" s="10">
        <v>45597</v>
      </c>
      <c r="B3222" t="s" s="11">
        <v>12</v>
      </c>
      <c r="C3222" t="s" s="12">
        <v>169</v>
      </c>
      <c r="D3222" s="13">
        <v>18300</v>
      </c>
      <c r="E3222" s="13"/>
      <c r="F3222" s="14"/>
      <c r="G3222" s="14"/>
      <c r="H3222" s="14"/>
      <c r="I3222" s="14"/>
    </row>
    <row r="3223" ht="20.7" customHeight="1">
      <c r="A3223" s="10">
        <v>45597</v>
      </c>
      <c r="B3223" t="s" s="11">
        <v>8</v>
      </c>
      <c r="C3223" t="s" s="12">
        <v>8</v>
      </c>
      <c r="D3223" s="15" cm="1">
        <f t="array" ref="D3223">SUM(D3221:D3222)</f>
        <v>18300</v>
      </c>
      <c r="E3223" s="15" cm="1">
        <f t="array" ref="E3223">SUM(E3221:E3222)</f>
        <v>18300</v>
      </c>
      <c r="F3223" s="16" cm="1">
        <f t="array" ref="F3223">SUM(F3221:F3222)</f>
        <v>0</v>
      </c>
      <c r="G3223" s="16" cm="1">
        <f t="array" ref="G3223">SUM(G3221:G3222)</f>
        <v>0</v>
      </c>
      <c r="H3223" s="16" cm="1">
        <f t="array" ref="H3223">SUM(H3221:H3222)</f>
        <v>0</v>
      </c>
      <c r="I3223" s="16" cm="1">
        <f t="array" ref="I3223">SUM(I3221:I3222)</f>
        <v>0</v>
      </c>
    </row>
    <row r="3224" ht="21.25" customHeight="1">
      <c r="A3224" s="10">
        <v>45597</v>
      </c>
      <c r="B3224" t="s" s="11">
        <v>106</v>
      </c>
      <c r="C3224" t="s" s="12">
        <v>559</v>
      </c>
      <c r="D3224" s="17"/>
      <c r="E3224" s="17">
        <v>17500</v>
      </c>
      <c r="F3224" s="18"/>
      <c r="G3224" s="18"/>
      <c r="H3224" s="18"/>
      <c r="I3224" s="18"/>
    </row>
    <row r="3225" ht="21.25" customHeight="1">
      <c r="A3225" s="10">
        <v>45597</v>
      </c>
      <c r="B3225" t="s" s="11">
        <v>10</v>
      </c>
      <c r="C3225" t="s" s="12">
        <v>559</v>
      </c>
      <c r="D3225" s="13">
        <v>17500</v>
      </c>
      <c r="E3225" s="13"/>
      <c r="F3225" s="14"/>
      <c r="G3225" s="14"/>
      <c r="H3225" s="14"/>
      <c r="I3225" s="14"/>
    </row>
    <row r="3226" ht="20.7" customHeight="1">
      <c r="A3226" s="10">
        <v>45597</v>
      </c>
      <c r="B3226" t="s" s="11">
        <v>8</v>
      </c>
      <c r="C3226" t="s" s="12">
        <v>8</v>
      </c>
      <c r="D3226" s="15" cm="1">
        <f t="array" ref="D3226">SUM(D3224:D3225)</f>
        <v>17500</v>
      </c>
      <c r="E3226" s="15" cm="1">
        <f t="array" ref="E3226">SUM(E3224:E3225)</f>
        <v>17500</v>
      </c>
      <c r="F3226" s="16" cm="1">
        <f t="array" ref="F3226">SUM(F3224:F3225)</f>
        <v>0</v>
      </c>
      <c r="G3226" s="16" cm="1">
        <f t="array" ref="G3226">SUM(G3224:G3225)</f>
        <v>0</v>
      </c>
      <c r="H3226" s="16" cm="1">
        <f t="array" ref="H3226">SUM(H3224:H3225)</f>
        <v>0</v>
      </c>
      <c r="I3226" s="16" cm="1">
        <f t="array" ref="I3226">SUM(I3224:I3225)</f>
        <v>0</v>
      </c>
    </row>
    <row r="3227" ht="21.25" customHeight="1">
      <c r="A3227" s="10">
        <v>45597</v>
      </c>
      <c r="B3227" t="s" s="11">
        <v>5</v>
      </c>
      <c r="C3227" t="s" s="12">
        <v>507</v>
      </c>
      <c r="D3227" s="17">
        <v>420</v>
      </c>
      <c r="E3227" s="17"/>
      <c r="F3227" s="18"/>
      <c r="G3227" s="18"/>
      <c r="H3227" s="18"/>
      <c r="I3227" s="18"/>
    </row>
    <row r="3228" ht="21.25" customHeight="1">
      <c r="A3228" s="10">
        <v>45597</v>
      </c>
      <c r="B3228" t="s" s="11">
        <v>7</v>
      </c>
      <c r="C3228" t="s" s="12">
        <v>507</v>
      </c>
      <c r="D3228" s="13"/>
      <c r="E3228" s="13">
        <v>420</v>
      </c>
      <c r="F3228" s="14"/>
      <c r="G3228" s="14"/>
      <c r="H3228" s="14"/>
      <c r="I3228" s="14"/>
    </row>
    <row r="3229" ht="20.7" customHeight="1">
      <c r="A3229" s="10">
        <v>45597</v>
      </c>
      <c r="B3229" t="s" s="11">
        <v>8</v>
      </c>
      <c r="C3229" t="s" s="12">
        <v>8</v>
      </c>
      <c r="D3229" s="15" cm="1">
        <f t="array" ref="D3229">SUM(D3227:D3228)</f>
        <v>420</v>
      </c>
      <c r="E3229" s="15" cm="1">
        <f t="array" ref="E3229">SUM(E3227:E3228)</f>
        <v>420</v>
      </c>
      <c r="F3229" s="16" cm="1">
        <f t="array" ref="F3229">SUM(F3227:F3228)</f>
        <v>0</v>
      </c>
      <c r="G3229" s="16" cm="1">
        <f t="array" ref="G3229">SUM(G3227:G3228)</f>
        <v>0</v>
      </c>
      <c r="H3229" s="16" cm="1">
        <f t="array" ref="H3229">SUM(H3227:H3228)</f>
        <v>0</v>
      </c>
      <c r="I3229" s="16" cm="1">
        <f t="array" ref="I3229">SUM(I3227:I3228)</f>
        <v>0</v>
      </c>
    </row>
    <row r="3230" ht="20.65" customHeight="1">
      <c r="A3230" s="10">
        <v>45597</v>
      </c>
      <c r="B3230" t="s" s="11">
        <v>5</v>
      </c>
      <c r="C3230" t="s" s="12">
        <v>560</v>
      </c>
      <c r="D3230" s="17"/>
      <c r="E3230" s="17">
        <v>4000</v>
      </c>
      <c r="F3230" s="18"/>
      <c r="G3230" s="18"/>
      <c r="H3230" s="18"/>
      <c r="I3230" s="18"/>
    </row>
    <row r="3231" ht="20.65" customHeight="1">
      <c r="A3231" s="10">
        <v>45597</v>
      </c>
      <c r="B3231" t="s" s="11">
        <v>12</v>
      </c>
      <c r="C3231" t="s" s="12">
        <v>560</v>
      </c>
      <c r="D3231" s="13">
        <v>4000</v>
      </c>
      <c r="E3231" s="13"/>
      <c r="F3231" s="14"/>
      <c r="G3231" s="14"/>
      <c r="H3231" s="14"/>
      <c r="I3231" s="14"/>
    </row>
    <row r="3232" ht="20.7" customHeight="1">
      <c r="A3232" s="10">
        <v>45597</v>
      </c>
      <c r="B3232" t="s" s="11">
        <v>8</v>
      </c>
      <c r="C3232" t="s" s="12">
        <v>8</v>
      </c>
      <c r="D3232" s="15" cm="1">
        <f t="array" ref="D3232">SUM(D3230:D3231)</f>
        <v>4000</v>
      </c>
      <c r="E3232" s="15" cm="1">
        <f t="array" ref="E3232">SUM(E3230:E3231)</f>
        <v>4000</v>
      </c>
      <c r="F3232" s="16" cm="1">
        <f t="array" ref="F3232">SUM(F3230:F3231)</f>
        <v>0</v>
      </c>
      <c r="G3232" s="16" cm="1">
        <f t="array" ref="G3232">SUM(G3230:G3231)</f>
        <v>0</v>
      </c>
      <c r="H3232" s="16" cm="1">
        <f t="array" ref="H3232">SUM(H3230:H3231)</f>
        <v>0</v>
      </c>
      <c r="I3232" s="16" cm="1">
        <f t="array" ref="I3232">SUM(I3230:I3231)</f>
        <v>0</v>
      </c>
    </row>
    <row r="3233" ht="20.65" customHeight="1">
      <c r="A3233" s="10">
        <v>45597</v>
      </c>
      <c r="B3233" t="s" s="11">
        <v>5</v>
      </c>
      <c r="C3233" t="s" s="12">
        <v>561</v>
      </c>
      <c r="D3233" s="17"/>
      <c r="E3233" s="17">
        <v>20000</v>
      </c>
      <c r="F3233" s="18"/>
      <c r="G3233" s="18"/>
      <c r="H3233" s="18"/>
      <c r="I3233" s="18"/>
    </row>
    <row r="3234" ht="20.65" customHeight="1">
      <c r="A3234" s="10">
        <v>45597</v>
      </c>
      <c r="B3234" t="s" s="11">
        <v>12</v>
      </c>
      <c r="C3234" t="s" s="12">
        <v>561</v>
      </c>
      <c r="D3234" s="13">
        <v>20000</v>
      </c>
      <c r="E3234" s="13"/>
      <c r="F3234" s="14"/>
      <c r="G3234" s="14"/>
      <c r="H3234" s="14"/>
      <c r="I3234" s="14"/>
    </row>
    <row r="3235" ht="20.7" customHeight="1">
      <c r="A3235" s="10">
        <v>45597</v>
      </c>
      <c r="B3235" t="s" s="11">
        <v>8</v>
      </c>
      <c r="C3235" t="s" s="12">
        <v>8</v>
      </c>
      <c r="D3235" s="15" cm="1">
        <f t="array" ref="D3235">SUM(D3233:D3234)</f>
        <v>20000</v>
      </c>
      <c r="E3235" s="15" cm="1">
        <f t="array" ref="E3235">SUM(E3233:E3234)</f>
        <v>20000</v>
      </c>
      <c r="F3235" s="16" cm="1">
        <f t="array" ref="F3235">SUM(F3233:F3234)</f>
        <v>0</v>
      </c>
      <c r="G3235" s="16" cm="1">
        <f t="array" ref="G3235">SUM(G3233:G3234)</f>
        <v>0</v>
      </c>
      <c r="H3235" s="16" cm="1">
        <f t="array" ref="H3235">SUM(H3233:H3234)</f>
        <v>0</v>
      </c>
      <c r="I3235" s="16" cm="1">
        <f t="array" ref="I3235">SUM(I3233:I3234)</f>
        <v>0</v>
      </c>
    </row>
    <row r="3236" ht="21.25" customHeight="1">
      <c r="A3236" s="10">
        <v>45597</v>
      </c>
      <c r="B3236" t="s" s="11">
        <v>5</v>
      </c>
      <c r="C3236" t="s" s="12">
        <v>562</v>
      </c>
      <c r="D3236" s="17"/>
      <c r="E3236" s="17">
        <v>27000</v>
      </c>
      <c r="F3236" s="18"/>
      <c r="G3236" s="18"/>
      <c r="H3236" s="18"/>
      <c r="I3236" s="18"/>
    </row>
    <row r="3237" ht="21.25" customHeight="1">
      <c r="A3237" s="10">
        <v>45597</v>
      </c>
      <c r="B3237" t="s" s="11">
        <v>12</v>
      </c>
      <c r="C3237" t="s" s="12">
        <v>562</v>
      </c>
      <c r="D3237" s="13">
        <v>27000</v>
      </c>
      <c r="E3237" s="13"/>
      <c r="F3237" s="14"/>
      <c r="G3237" s="14"/>
      <c r="H3237" s="14"/>
      <c r="I3237" s="14"/>
    </row>
    <row r="3238" ht="20.7" customHeight="1">
      <c r="A3238" s="10">
        <v>45597</v>
      </c>
      <c r="B3238" t="s" s="11">
        <v>8</v>
      </c>
      <c r="C3238" t="s" s="12">
        <v>8</v>
      </c>
      <c r="D3238" s="15" cm="1">
        <f t="array" ref="D3238">SUM(D3236:D3237)</f>
        <v>27000</v>
      </c>
      <c r="E3238" s="15" cm="1">
        <f t="array" ref="E3238">SUM(E3236:E3237)</f>
        <v>27000</v>
      </c>
      <c r="F3238" s="16" cm="1">
        <f t="array" ref="F3238">SUM(F3236:F3237)</f>
        <v>0</v>
      </c>
      <c r="G3238" s="16" cm="1">
        <f t="array" ref="G3238">SUM(G3236:G3237)</f>
        <v>0</v>
      </c>
      <c r="H3238" s="16" cm="1">
        <f t="array" ref="H3238">SUM(H3236:H3237)</f>
        <v>0</v>
      </c>
      <c r="I3238" s="16" cm="1">
        <f t="array" ref="I3238">SUM(I3236:I3237)</f>
        <v>0</v>
      </c>
    </row>
    <row r="3239" ht="20.35" customHeight="1">
      <c r="A3239" s="10">
        <v>45597</v>
      </c>
      <c r="B3239" t="s" s="11">
        <v>5</v>
      </c>
      <c r="C3239" t="s" s="12">
        <v>17</v>
      </c>
      <c r="D3239" s="17">
        <v>100</v>
      </c>
      <c r="E3239" s="17"/>
      <c r="F3239" s="18"/>
      <c r="G3239" s="18"/>
      <c r="H3239" s="18"/>
      <c r="I3239" s="18"/>
    </row>
    <row r="3240" ht="20.35" customHeight="1">
      <c r="A3240" s="10">
        <v>45597</v>
      </c>
      <c r="B3240" t="s" s="11">
        <v>18</v>
      </c>
      <c r="C3240" t="s" s="12">
        <v>17</v>
      </c>
      <c r="D3240" s="13"/>
      <c r="E3240" s="13">
        <v>100</v>
      </c>
      <c r="F3240" s="14"/>
      <c r="G3240" s="14"/>
      <c r="H3240" s="14"/>
      <c r="I3240" s="14"/>
    </row>
    <row r="3241" ht="20.7" customHeight="1">
      <c r="A3241" s="10">
        <v>45597</v>
      </c>
      <c r="B3241" t="s" s="11">
        <v>8</v>
      </c>
      <c r="C3241" t="s" s="12">
        <v>8</v>
      </c>
      <c r="D3241" s="15" cm="1">
        <f t="array" ref="D3241">SUM(D3239:D3240)</f>
        <v>100</v>
      </c>
      <c r="E3241" s="15" cm="1">
        <f t="array" ref="E3241">SUM(E3239:E3240)</f>
        <v>100</v>
      </c>
      <c r="F3241" s="16" cm="1">
        <f t="array" ref="F3241">SUM(F3239:F3240)</f>
        <v>0</v>
      </c>
      <c r="G3241" s="16" cm="1">
        <f t="array" ref="G3241">SUM(G3239:G3240)</f>
        <v>0</v>
      </c>
      <c r="H3241" s="16" cm="1">
        <f t="array" ref="H3241">SUM(H3239:H3240)</f>
        <v>0</v>
      </c>
      <c r="I3241" s="16" cm="1">
        <f t="array" ref="I3241">SUM(I3239:I3240)</f>
        <v>0</v>
      </c>
    </row>
    <row r="3242" ht="21.25" customHeight="1">
      <c r="A3242" s="10">
        <v>45597</v>
      </c>
      <c r="B3242" t="s" s="11">
        <v>5</v>
      </c>
      <c r="C3242" t="s" s="12">
        <v>563</v>
      </c>
      <c r="D3242" s="17"/>
      <c r="E3242" s="17">
        <v>4000</v>
      </c>
      <c r="F3242" s="18"/>
      <c r="G3242" s="18"/>
      <c r="H3242" s="18"/>
      <c r="I3242" s="18"/>
    </row>
    <row r="3243" ht="21.25" customHeight="1">
      <c r="A3243" s="10">
        <v>45597</v>
      </c>
      <c r="B3243" t="s" s="11">
        <v>12</v>
      </c>
      <c r="C3243" t="s" s="12">
        <v>563</v>
      </c>
      <c r="D3243" s="13">
        <v>4000</v>
      </c>
      <c r="E3243" s="13"/>
      <c r="F3243" s="14"/>
      <c r="G3243" s="14"/>
      <c r="H3243" s="14"/>
      <c r="I3243" s="14"/>
    </row>
    <row r="3244" ht="20.7" customHeight="1">
      <c r="A3244" s="10">
        <v>45597</v>
      </c>
      <c r="B3244" t="s" s="11">
        <v>8</v>
      </c>
      <c r="C3244" t="s" s="12">
        <v>8</v>
      </c>
      <c r="D3244" s="15" cm="1">
        <f t="array" ref="D3244">SUM(D3242:D3243)</f>
        <v>4000</v>
      </c>
      <c r="E3244" s="15" cm="1">
        <f t="array" ref="E3244">SUM(E3242:E3243)</f>
        <v>4000</v>
      </c>
      <c r="F3244" s="16" cm="1">
        <f t="array" ref="F3244">SUM(F3242:F3243)</f>
        <v>0</v>
      </c>
      <c r="G3244" s="16" cm="1">
        <f t="array" ref="G3244">SUM(G3242:G3243)</f>
        <v>0</v>
      </c>
      <c r="H3244" s="16" cm="1">
        <f t="array" ref="H3244">SUM(H3242:H3243)</f>
        <v>0</v>
      </c>
      <c r="I3244" s="16" cm="1">
        <f t="array" ref="I3244">SUM(I3242:I3243)</f>
        <v>0</v>
      </c>
    </row>
    <row r="3245" ht="21.25" customHeight="1">
      <c r="A3245" s="10">
        <v>45597</v>
      </c>
      <c r="B3245" t="s" s="11">
        <v>5</v>
      </c>
      <c r="C3245" t="s" s="12">
        <v>564</v>
      </c>
      <c r="D3245" s="17"/>
      <c r="E3245" s="17">
        <v>6700</v>
      </c>
      <c r="F3245" s="18"/>
      <c r="G3245" s="18"/>
      <c r="H3245" s="18"/>
      <c r="I3245" s="18"/>
    </row>
    <row r="3246" ht="21.25" customHeight="1">
      <c r="A3246" s="10">
        <v>45597</v>
      </c>
      <c r="B3246" t="s" s="11">
        <v>12</v>
      </c>
      <c r="C3246" t="s" s="12">
        <v>564</v>
      </c>
      <c r="D3246" s="13">
        <v>6700</v>
      </c>
      <c r="E3246" s="13"/>
      <c r="F3246" s="14"/>
      <c r="G3246" s="14"/>
      <c r="H3246" s="14"/>
      <c r="I3246" s="14"/>
    </row>
    <row r="3247" ht="20.7" customHeight="1">
      <c r="A3247" s="10">
        <v>45597</v>
      </c>
      <c r="B3247" t="s" s="11">
        <v>8</v>
      </c>
      <c r="C3247" t="s" s="12">
        <v>8</v>
      </c>
      <c r="D3247" s="15" cm="1">
        <f t="array" ref="D3247">SUM(D3245:D3246)</f>
        <v>6700</v>
      </c>
      <c r="E3247" s="15" cm="1">
        <f t="array" ref="E3247">SUM(E3245:E3246)</f>
        <v>6700</v>
      </c>
      <c r="F3247" s="16" cm="1">
        <f t="array" ref="F3247">SUM(F3245:F3246)</f>
        <v>0</v>
      </c>
      <c r="G3247" s="16" cm="1">
        <f t="array" ref="G3247">SUM(G3245:G3246)</f>
        <v>0</v>
      </c>
      <c r="H3247" s="16" cm="1">
        <f t="array" ref="H3247">SUM(H3245:H3246)</f>
        <v>0</v>
      </c>
      <c r="I3247" s="16" cm="1">
        <f t="array" ref="I3247">SUM(I3245:I3246)</f>
        <v>0</v>
      </c>
    </row>
    <row r="3248" ht="20.65" customHeight="1">
      <c r="A3248" s="10">
        <v>45598</v>
      </c>
      <c r="B3248" t="s" s="11">
        <v>5</v>
      </c>
      <c r="C3248" t="s" s="12">
        <v>565</v>
      </c>
      <c r="D3248" s="17"/>
      <c r="E3248" s="17">
        <v>42000</v>
      </c>
      <c r="F3248" s="18"/>
      <c r="G3248" s="18"/>
      <c r="H3248" s="18"/>
      <c r="I3248" s="18"/>
    </row>
    <row r="3249" ht="20.65" customHeight="1">
      <c r="A3249" s="10">
        <v>45598</v>
      </c>
      <c r="B3249" t="s" s="11">
        <v>10</v>
      </c>
      <c r="C3249" t="s" s="12">
        <v>565</v>
      </c>
      <c r="D3249" s="13">
        <v>42000</v>
      </c>
      <c r="E3249" s="13"/>
      <c r="F3249" s="14"/>
      <c r="G3249" s="14"/>
      <c r="H3249" s="14"/>
      <c r="I3249" s="14"/>
    </row>
    <row r="3250" ht="20.7" customHeight="1">
      <c r="A3250" s="10">
        <v>45598</v>
      </c>
      <c r="B3250" t="s" s="11">
        <v>8</v>
      </c>
      <c r="C3250" t="s" s="12">
        <v>8</v>
      </c>
      <c r="D3250" s="15" cm="1">
        <f t="array" ref="D3250">SUM(D3248:D3249)</f>
        <v>42000</v>
      </c>
      <c r="E3250" s="15" cm="1">
        <f t="array" ref="E3250">SUM(E3248:E3249)</f>
        <v>42000</v>
      </c>
      <c r="F3250" s="16" cm="1">
        <f t="array" ref="F3250">SUM(F3248:F3249)</f>
        <v>0</v>
      </c>
      <c r="G3250" s="16" cm="1">
        <f t="array" ref="G3250">SUM(G3248:G3249)</f>
        <v>0</v>
      </c>
      <c r="H3250" s="16" cm="1">
        <f t="array" ref="H3250">SUM(H3248:H3249)</f>
        <v>0</v>
      </c>
      <c r="I3250" s="16" cm="1">
        <f t="array" ref="I3250">SUM(I3248:I3249)</f>
        <v>0</v>
      </c>
    </row>
    <row r="3251" ht="20.35" customHeight="1">
      <c r="A3251" s="10">
        <v>45598</v>
      </c>
      <c r="B3251" t="s" s="11">
        <v>28</v>
      </c>
      <c r="C3251" t="s" s="12">
        <v>566</v>
      </c>
      <c r="D3251" s="17">
        <v>50000</v>
      </c>
      <c r="E3251" s="17"/>
      <c r="F3251" s="18"/>
      <c r="G3251" s="18"/>
      <c r="H3251" s="18"/>
      <c r="I3251" s="18"/>
    </row>
    <row r="3252" ht="20.35" customHeight="1">
      <c r="A3252" s="10">
        <v>45598</v>
      </c>
      <c r="B3252" t="s" s="11">
        <v>89</v>
      </c>
      <c r="C3252" t="s" s="12">
        <v>566</v>
      </c>
      <c r="D3252" s="13"/>
      <c r="E3252" s="13">
        <v>50000</v>
      </c>
      <c r="F3252" s="14"/>
      <c r="G3252" s="14"/>
      <c r="H3252" s="14"/>
      <c r="I3252" s="14"/>
    </row>
    <row r="3253" ht="20.7" customHeight="1">
      <c r="A3253" s="10">
        <v>45598</v>
      </c>
      <c r="B3253" t="s" s="11">
        <v>8</v>
      </c>
      <c r="C3253" t="s" s="12">
        <v>8</v>
      </c>
      <c r="D3253" s="15" cm="1">
        <f t="array" ref="D3253">SUM(D3251:D3252)</f>
        <v>50000</v>
      </c>
      <c r="E3253" s="15" cm="1">
        <f t="array" ref="E3253">SUM(E3251:E3252)</f>
        <v>50000</v>
      </c>
      <c r="F3253" s="16" cm="1">
        <f t="array" ref="F3253">SUM(F3251:F3252)</f>
        <v>0</v>
      </c>
      <c r="G3253" s="16" cm="1">
        <f t="array" ref="G3253">SUM(G3251:G3252)</f>
        <v>0</v>
      </c>
      <c r="H3253" s="16" cm="1">
        <f t="array" ref="H3253">SUM(H3251:H3252)</f>
        <v>0</v>
      </c>
      <c r="I3253" s="16" cm="1">
        <f t="array" ref="I3253">SUM(I3251:I3252)</f>
        <v>0</v>
      </c>
    </row>
    <row r="3254" ht="20.65" customHeight="1">
      <c r="A3254" s="10">
        <v>45598</v>
      </c>
      <c r="B3254" t="s" s="11">
        <v>12</v>
      </c>
      <c r="C3254" t="s" s="12">
        <v>536</v>
      </c>
      <c r="D3254" s="17">
        <v>17860</v>
      </c>
      <c r="E3254" s="17"/>
      <c r="F3254" s="18"/>
      <c r="G3254" s="18"/>
      <c r="H3254" s="18"/>
      <c r="I3254" s="18"/>
    </row>
    <row r="3255" ht="20.65" customHeight="1">
      <c r="A3255" s="10">
        <v>45598</v>
      </c>
      <c r="B3255" t="s" s="11">
        <v>5</v>
      </c>
      <c r="C3255" t="s" s="12">
        <v>536</v>
      </c>
      <c r="D3255" s="13"/>
      <c r="E3255" s="13">
        <v>17860</v>
      </c>
      <c r="F3255" s="14"/>
      <c r="G3255" s="14"/>
      <c r="H3255" s="14"/>
      <c r="I3255" s="14"/>
    </row>
    <row r="3256" ht="20.7" customHeight="1">
      <c r="A3256" s="10">
        <v>45598</v>
      </c>
      <c r="B3256" t="s" s="11">
        <v>8</v>
      </c>
      <c r="C3256" t="s" s="12">
        <v>8</v>
      </c>
      <c r="D3256" s="15" cm="1">
        <f t="array" ref="D3256">SUM(D3254:D3255)</f>
        <v>17860</v>
      </c>
      <c r="E3256" s="15" cm="1">
        <f t="array" ref="E3256">SUM(E3254:E3255)</f>
        <v>17860</v>
      </c>
      <c r="F3256" s="16" cm="1">
        <f t="array" ref="F3256">SUM(F3254:F3255)</f>
        <v>0</v>
      </c>
      <c r="G3256" s="16" cm="1">
        <f t="array" ref="G3256">SUM(G3254:G3255)</f>
        <v>0</v>
      </c>
      <c r="H3256" s="16" cm="1">
        <f t="array" ref="H3256">SUM(H3254:H3255)</f>
        <v>0</v>
      </c>
      <c r="I3256" s="16" cm="1">
        <f t="array" ref="I3256">SUM(I3254:I3255)</f>
        <v>0</v>
      </c>
    </row>
    <row r="3257" ht="20.35" customHeight="1">
      <c r="A3257" s="10">
        <v>45599</v>
      </c>
      <c r="B3257" t="s" s="11">
        <v>93</v>
      </c>
      <c r="C3257" t="s" s="12">
        <v>13</v>
      </c>
      <c r="D3257" s="17"/>
      <c r="E3257" s="17">
        <v>8900</v>
      </c>
      <c r="F3257" s="18"/>
      <c r="G3257" s="18"/>
      <c r="H3257" s="18"/>
      <c r="I3257" s="18"/>
    </row>
    <row r="3258" ht="20.35" customHeight="1">
      <c r="A3258" s="10">
        <v>45599</v>
      </c>
      <c r="B3258" t="s" s="11">
        <v>10</v>
      </c>
      <c r="C3258" t="s" s="12">
        <v>13</v>
      </c>
      <c r="D3258" s="13">
        <v>8900</v>
      </c>
      <c r="E3258" s="13"/>
      <c r="F3258" s="14"/>
      <c r="G3258" s="14"/>
      <c r="H3258" s="14"/>
      <c r="I3258" s="14"/>
    </row>
    <row r="3259" ht="20.7" customHeight="1">
      <c r="A3259" s="10">
        <v>45599</v>
      </c>
      <c r="B3259" t="s" s="11">
        <v>8</v>
      </c>
      <c r="C3259" t="s" s="12">
        <v>8</v>
      </c>
      <c r="D3259" s="15" cm="1">
        <f t="array" ref="D3259">SUM(D3257:D3258)</f>
        <v>8900</v>
      </c>
      <c r="E3259" s="15" cm="1">
        <f t="array" ref="E3259">SUM(E3257:E3258)</f>
        <v>8900</v>
      </c>
      <c r="F3259" s="16" cm="1">
        <f t="array" ref="F3259">SUM(F3257:F3258)</f>
        <v>0</v>
      </c>
      <c r="G3259" s="16" cm="1">
        <f t="array" ref="G3259">SUM(G3257:G3258)</f>
        <v>0</v>
      </c>
      <c r="H3259" s="16" cm="1">
        <f t="array" ref="H3259">SUM(H3257:H3258)</f>
        <v>0</v>
      </c>
      <c r="I3259" s="16" cm="1">
        <f t="array" ref="I3259">SUM(I3257:I3258)</f>
        <v>0</v>
      </c>
    </row>
    <row r="3260" ht="20.35" customHeight="1">
      <c r="A3260" s="10">
        <v>45599</v>
      </c>
      <c r="B3260" t="s" s="11">
        <v>5</v>
      </c>
      <c r="C3260" t="s" s="12">
        <v>53</v>
      </c>
      <c r="D3260" s="17"/>
      <c r="E3260" s="17">
        <v>2100</v>
      </c>
      <c r="F3260" s="18"/>
      <c r="G3260" s="18"/>
      <c r="H3260" s="18"/>
      <c r="I3260" s="18"/>
    </row>
    <row r="3261" ht="20.35" customHeight="1">
      <c r="A3261" s="10">
        <v>45599</v>
      </c>
      <c r="B3261" t="s" s="11">
        <v>12</v>
      </c>
      <c r="C3261" t="s" s="12">
        <v>53</v>
      </c>
      <c r="D3261" s="13">
        <v>2100</v>
      </c>
      <c r="E3261" s="13"/>
      <c r="F3261" s="14"/>
      <c r="G3261" s="14"/>
      <c r="H3261" s="14"/>
      <c r="I3261" s="14"/>
    </row>
    <row r="3262" ht="20.7" customHeight="1">
      <c r="A3262" s="10">
        <v>45599</v>
      </c>
      <c r="B3262" t="s" s="11">
        <v>8</v>
      </c>
      <c r="C3262" t="s" s="12">
        <v>8</v>
      </c>
      <c r="D3262" s="15" cm="1">
        <f t="array" ref="D3262">SUM(D3260:D3261)</f>
        <v>2100</v>
      </c>
      <c r="E3262" s="15" cm="1">
        <f t="array" ref="E3262">SUM(E3260:E3261)</f>
        <v>2100</v>
      </c>
      <c r="F3262" s="16" cm="1">
        <f t="array" ref="F3262">SUM(F3260:F3261)</f>
        <v>0</v>
      </c>
      <c r="G3262" s="16" cm="1">
        <f t="array" ref="G3262">SUM(G3260:G3261)</f>
        <v>0</v>
      </c>
      <c r="H3262" s="16" cm="1">
        <f t="array" ref="H3262">SUM(H3260:H3261)</f>
        <v>0</v>
      </c>
      <c r="I3262" s="16" cm="1">
        <f t="array" ref="I3262">SUM(I3260:I3261)</f>
        <v>0</v>
      </c>
    </row>
    <row r="3263" ht="20.35" customHeight="1">
      <c r="A3263" s="10">
        <v>45599</v>
      </c>
      <c r="B3263" t="s" s="11">
        <v>5</v>
      </c>
      <c r="C3263" t="s" s="12">
        <v>567</v>
      </c>
      <c r="D3263" s="17"/>
      <c r="E3263" s="17">
        <v>5500</v>
      </c>
      <c r="F3263" s="18"/>
      <c r="G3263" s="18"/>
      <c r="H3263" s="18"/>
      <c r="I3263" s="18"/>
    </row>
    <row r="3264" ht="20.35" customHeight="1">
      <c r="A3264" s="10">
        <v>45599</v>
      </c>
      <c r="B3264" t="s" s="11">
        <v>12</v>
      </c>
      <c r="C3264" t="s" s="12">
        <v>567</v>
      </c>
      <c r="D3264" s="13">
        <v>5500</v>
      </c>
      <c r="E3264" s="13"/>
      <c r="F3264" s="14"/>
      <c r="G3264" s="14"/>
      <c r="H3264" s="14"/>
      <c r="I3264" s="14"/>
    </row>
    <row r="3265" ht="20.7" customHeight="1">
      <c r="A3265" s="10">
        <v>45599</v>
      </c>
      <c r="B3265" t="s" s="11">
        <v>8</v>
      </c>
      <c r="C3265" t="s" s="12">
        <v>8</v>
      </c>
      <c r="D3265" s="15" cm="1">
        <f t="array" ref="D3265">SUM(D3263:D3264)</f>
        <v>5500</v>
      </c>
      <c r="E3265" s="15" cm="1">
        <f t="array" ref="E3265">SUM(E3263:E3264)</f>
        <v>5500</v>
      </c>
      <c r="F3265" s="16" cm="1">
        <f t="array" ref="F3265">SUM(F3263:F3264)</f>
        <v>0</v>
      </c>
      <c r="G3265" s="16" cm="1">
        <f t="array" ref="G3265">SUM(G3263:G3264)</f>
        <v>0</v>
      </c>
      <c r="H3265" s="16" cm="1">
        <f t="array" ref="H3265">SUM(H3263:H3264)</f>
        <v>0</v>
      </c>
      <c r="I3265" s="16" cm="1">
        <f t="array" ref="I3265">SUM(I3263:I3264)</f>
        <v>0</v>
      </c>
    </row>
    <row r="3266" ht="20.65" customHeight="1">
      <c r="A3266" s="10">
        <v>45599</v>
      </c>
      <c r="B3266" t="s" s="11">
        <v>21</v>
      </c>
      <c r="C3266" t="s" s="12">
        <v>514</v>
      </c>
      <c r="D3266" s="17"/>
      <c r="E3266" s="17">
        <v>3000</v>
      </c>
      <c r="F3266" s="18"/>
      <c r="G3266" s="18"/>
      <c r="H3266" s="18"/>
      <c r="I3266" s="18"/>
    </row>
    <row r="3267" ht="20.65" customHeight="1">
      <c r="A3267" s="10">
        <v>45599</v>
      </c>
      <c r="B3267" t="s" s="11">
        <v>16</v>
      </c>
      <c r="C3267" t="s" s="12">
        <v>514</v>
      </c>
      <c r="D3267" s="13">
        <v>3000</v>
      </c>
      <c r="E3267" s="13"/>
      <c r="F3267" s="14"/>
      <c r="G3267" s="14"/>
      <c r="H3267" s="14"/>
      <c r="I3267" s="14"/>
    </row>
    <row r="3268" ht="20.7" customHeight="1">
      <c r="A3268" s="10">
        <v>45599</v>
      </c>
      <c r="B3268" t="s" s="11">
        <v>8</v>
      </c>
      <c r="C3268" t="s" s="12">
        <v>8</v>
      </c>
      <c r="D3268" s="15" cm="1">
        <f t="array" ref="D3268">SUM(D3266:D3267)</f>
        <v>3000</v>
      </c>
      <c r="E3268" s="15" cm="1">
        <f t="array" ref="E3268">SUM(E3266:E3267)</f>
        <v>3000</v>
      </c>
      <c r="F3268" s="16" cm="1">
        <f t="array" ref="F3268">SUM(F3266:F3267)</f>
        <v>0</v>
      </c>
      <c r="G3268" s="16" cm="1">
        <f t="array" ref="G3268">SUM(G3266:G3267)</f>
        <v>0</v>
      </c>
      <c r="H3268" s="16" cm="1">
        <f t="array" ref="H3268">SUM(H3266:H3267)</f>
        <v>0</v>
      </c>
      <c r="I3268" s="16" cm="1">
        <f t="array" ref="I3268">SUM(I3266:I3267)</f>
        <v>0</v>
      </c>
    </row>
    <row r="3269" ht="20.35" customHeight="1">
      <c r="A3269" s="10">
        <v>45599</v>
      </c>
      <c r="B3269" t="s" s="11">
        <v>5</v>
      </c>
      <c r="C3269" t="s" s="12">
        <v>17</v>
      </c>
      <c r="D3269" s="17">
        <v>100</v>
      </c>
      <c r="E3269" s="17"/>
      <c r="F3269" s="18"/>
      <c r="G3269" s="18"/>
      <c r="H3269" s="18"/>
      <c r="I3269" s="18"/>
    </row>
    <row r="3270" ht="20.35" customHeight="1">
      <c r="A3270" s="10">
        <v>45599</v>
      </c>
      <c r="B3270" t="s" s="11">
        <v>18</v>
      </c>
      <c r="C3270" t="s" s="12">
        <v>17</v>
      </c>
      <c r="D3270" s="13"/>
      <c r="E3270" s="13">
        <v>100</v>
      </c>
      <c r="F3270" s="14"/>
      <c r="G3270" s="14"/>
      <c r="H3270" s="14"/>
      <c r="I3270" s="14"/>
    </row>
    <row r="3271" ht="20.7" customHeight="1">
      <c r="A3271" s="10">
        <v>45599</v>
      </c>
      <c r="B3271" t="s" s="11">
        <v>8</v>
      </c>
      <c r="C3271" t="s" s="12">
        <v>8</v>
      </c>
      <c r="D3271" s="15" cm="1">
        <f t="array" ref="D3271">SUM(D3269:D3270)</f>
        <v>100</v>
      </c>
      <c r="E3271" s="15" cm="1">
        <f t="array" ref="E3271">SUM(E3269:E3270)</f>
        <v>100</v>
      </c>
      <c r="F3271" s="16" cm="1">
        <f t="array" ref="F3271">SUM(F3269:F3270)</f>
        <v>0</v>
      </c>
      <c r="G3271" s="16" cm="1">
        <f t="array" ref="G3271">SUM(G3269:G3270)</f>
        <v>0</v>
      </c>
      <c r="H3271" s="16" cm="1">
        <f t="array" ref="H3271">SUM(H3269:H3270)</f>
        <v>0</v>
      </c>
      <c r="I3271" s="16" cm="1">
        <f t="array" ref="I3271">SUM(I3269:I3270)</f>
        <v>0</v>
      </c>
    </row>
    <row r="3272" ht="21.25" customHeight="1">
      <c r="A3272" s="10">
        <v>45599</v>
      </c>
      <c r="B3272" t="s" s="11">
        <v>5</v>
      </c>
      <c r="C3272" t="s" s="12">
        <v>367</v>
      </c>
      <c r="D3272" s="17"/>
      <c r="E3272" s="17">
        <v>40300</v>
      </c>
      <c r="F3272" s="18"/>
      <c r="G3272" s="18"/>
      <c r="H3272" s="18"/>
      <c r="I3272" s="18"/>
    </row>
    <row r="3273" ht="20.9" customHeight="1">
      <c r="A3273" s="10">
        <v>45599</v>
      </c>
      <c r="B3273" t="s" s="11">
        <v>10</v>
      </c>
      <c r="C3273" t="s" s="12">
        <v>367</v>
      </c>
      <c r="D3273" s="19">
        <v>20150</v>
      </c>
      <c r="E3273" s="19"/>
      <c r="F3273" s="20"/>
      <c r="G3273" s="20"/>
      <c r="H3273" s="20"/>
      <c r="I3273" s="20"/>
    </row>
    <row r="3274" ht="21.25" customHeight="1">
      <c r="A3274" s="10">
        <v>45599</v>
      </c>
      <c r="B3274" t="s" s="11">
        <v>12</v>
      </c>
      <c r="C3274" t="s" s="12">
        <v>367</v>
      </c>
      <c r="D3274" s="13">
        <v>20150</v>
      </c>
      <c r="E3274" s="13"/>
      <c r="F3274" s="14"/>
      <c r="G3274" s="14"/>
      <c r="H3274" s="14"/>
      <c r="I3274" s="14"/>
    </row>
    <row r="3275" ht="20.7" customHeight="1">
      <c r="A3275" s="10">
        <v>45599</v>
      </c>
      <c r="B3275" t="s" s="11">
        <v>8</v>
      </c>
      <c r="C3275" t="s" s="12">
        <v>8</v>
      </c>
      <c r="D3275" s="15" cm="1">
        <f t="array" ref="D3275">SUM(D3272:D3274)</f>
        <v>40300</v>
      </c>
      <c r="E3275" s="15" cm="1">
        <f t="array" ref="E3275">SUM(E3272:E3274)</f>
        <v>40300</v>
      </c>
      <c r="F3275" s="16" cm="1">
        <f t="array" ref="F3275">SUM(F3272:F3274)</f>
        <v>0</v>
      </c>
      <c r="G3275" s="16" cm="1">
        <f t="array" ref="G3275">SUM(G3272:G3274)</f>
        <v>0</v>
      </c>
      <c r="H3275" s="16" cm="1">
        <f t="array" ref="H3275">SUM(H3272:H3274)</f>
        <v>0</v>
      </c>
      <c r="I3275" s="16" cm="1">
        <f t="array" ref="I3275">SUM(I3272:I3274)</f>
        <v>0</v>
      </c>
    </row>
    <row r="3276" ht="20.35" customHeight="1">
      <c r="A3276" s="10">
        <v>45599</v>
      </c>
      <c r="B3276" t="s" s="11">
        <v>5</v>
      </c>
      <c r="C3276" t="s" s="12">
        <v>17</v>
      </c>
      <c r="D3276" s="17">
        <v>500</v>
      </c>
      <c r="E3276" s="17"/>
      <c r="F3276" s="18"/>
      <c r="G3276" s="18"/>
      <c r="H3276" s="18"/>
      <c r="I3276" s="18"/>
    </row>
    <row r="3277" ht="20.35" customHeight="1">
      <c r="A3277" s="10">
        <v>45599</v>
      </c>
      <c r="B3277" t="s" s="11">
        <v>18</v>
      </c>
      <c r="C3277" t="s" s="12">
        <v>17</v>
      </c>
      <c r="D3277" s="13"/>
      <c r="E3277" s="13">
        <v>500</v>
      </c>
      <c r="F3277" s="14"/>
      <c r="G3277" s="14"/>
      <c r="H3277" s="14"/>
      <c r="I3277" s="14"/>
    </row>
    <row r="3278" ht="20.7" customHeight="1">
      <c r="A3278" s="10">
        <v>45599</v>
      </c>
      <c r="B3278" t="s" s="11">
        <v>8</v>
      </c>
      <c r="C3278" t="s" s="12">
        <v>8</v>
      </c>
      <c r="D3278" s="15" cm="1">
        <f t="array" ref="D3278">SUM(D3276:D3277)</f>
        <v>500</v>
      </c>
      <c r="E3278" s="15" cm="1">
        <f t="array" ref="E3278">SUM(E3276:E3277)</f>
        <v>500</v>
      </c>
      <c r="F3278" s="16" cm="1">
        <f t="array" ref="F3278">SUM(F3276:F3277)</f>
        <v>0</v>
      </c>
      <c r="G3278" s="16" cm="1">
        <f t="array" ref="G3278">SUM(G3276:G3277)</f>
        <v>0</v>
      </c>
      <c r="H3278" s="16" cm="1">
        <f t="array" ref="H3278">SUM(H3276:H3277)</f>
        <v>0</v>
      </c>
      <c r="I3278" s="16" cm="1">
        <f t="array" ref="I3278">SUM(I3276:I3277)</f>
        <v>0</v>
      </c>
    </row>
    <row r="3279" ht="20.35" customHeight="1">
      <c r="A3279" s="10">
        <v>45600</v>
      </c>
      <c r="B3279" t="s" s="11">
        <v>5</v>
      </c>
      <c r="C3279" t="s" s="12">
        <v>17</v>
      </c>
      <c r="D3279" s="17">
        <v>100</v>
      </c>
      <c r="E3279" s="17"/>
      <c r="F3279" s="18"/>
      <c r="G3279" s="18"/>
      <c r="H3279" s="18"/>
      <c r="I3279" s="18"/>
    </row>
    <row r="3280" ht="20.35" customHeight="1">
      <c r="A3280" s="10">
        <v>45600</v>
      </c>
      <c r="B3280" t="s" s="11">
        <v>18</v>
      </c>
      <c r="C3280" t="s" s="12">
        <v>17</v>
      </c>
      <c r="D3280" s="13"/>
      <c r="E3280" s="13">
        <v>100</v>
      </c>
      <c r="F3280" s="14"/>
      <c r="G3280" s="14"/>
      <c r="H3280" s="14"/>
      <c r="I3280" s="14"/>
    </row>
    <row r="3281" ht="20.7" customHeight="1">
      <c r="A3281" s="10">
        <v>45600</v>
      </c>
      <c r="B3281" t="s" s="11">
        <v>8</v>
      </c>
      <c r="C3281" t="s" s="12">
        <v>8</v>
      </c>
      <c r="D3281" s="15" cm="1">
        <f t="array" ref="D3281">SUM(D3279:D3280)</f>
        <v>100</v>
      </c>
      <c r="E3281" s="15" cm="1">
        <f t="array" ref="E3281">SUM(E3279:E3280)</f>
        <v>100</v>
      </c>
      <c r="F3281" s="16" cm="1">
        <f t="array" ref="F3281">SUM(F3279:F3280)</f>
        <v>0</v>
      </c>
      <c r="G3281" s="16" cm="1">
        <f t="array" ref="G3281">SUM(G3279:G3280)</f>
        <v>0</v>
      </c>
      <c r="H3281" s="16" cm="1">
        <f t="array" ref="H3281">SUM(H3279:H3280)</f>
        <v>0</v>
      </c>
      <c r="I3281" s="16" cm="1">
        <f t="array" ref="I3281">SUM(I3279:I3280)</f>
        <v>0</v>
      </c>
    </row>
    <row r="3282" ht="21.25" customHeight="1">
      <c r="A3282" s="10">
        <v>45600</v>
      </c>
      <c r="B3282" t="s" s="11">
        <v>5</v>
      </c>
      <c r="C3282" t="s" s="12">
        <v>568</v>
      </c>
      <c r="D3282" s="17"/>
      <c r="E3282" s="17">
        <v>67700</v>
      </c>
      <c r="F3282" s="18"/>
      <c r="G3282" s="18"/>
      <c r="H3282" s="18"/>
      <c r="I3282" s="18"/>
    </row>
    <row r="3283" ht="21.25" customHeight="1">
      <c r="A3283" s="10">
        <v>45600</v>
      </c>
      <c r="B3283" t="s" s="11">
        <v>21</v>
      </c>
      <c r="C3283" t="s" s="12">
        <v>568</v>
      </c>
      <c r="D3283" s="13">
        <v>67700</v>
      </c>
      <c r="E3283" s="13"/>
      <c r="F3283" s="14"/>
      <c r="G3283" s="14"/>
      <c r="H3283" s="14"/>
      <c r="I3283" s="14"/>
    </row>
    <row r="3284" ht="20.7" customHeight="1">
      <c r="A3284" s="10">
        <v>45600</v>
      </c>
      <c r="B3284" t="s" s="11">
        <v>8</v>
      </c>
      <c r="C3284" t="s" s="12">
        <v>8</v>
      </c>
      <c r="D3284" s="15" cm="1">
        <f t="array" ref="D3284">SUM(D3282:D3283)</f>
        <v>67700</v>
      </c>
      <c r="E3284" s="15" cm="1">
        <f t="array" ref="E3284">SUM(E3282:E3283)</f>
        <v>67700</v>
      </c>
      <c r="F3284" s="16" cm="1">
        <f t="array" ref="F3284">SUM(F3282:F3283)</f>
        <v>0</v>
      </c>
      <c r="G3284" s="16" cm="1">
        <f t="array" ref="G3284">SUM(G3282:G3283)</f>
        <v>0</v>
      </c>
      <c r="H3284" s="16" cm="1">
        <f t="array" ref="H3284">SUM(H3282:H3283)</f>
        <v>0</v>
      </c>
      <c r="I3284" s="16" cm="1">
        <f t="array" ref="I3284">SUM(I3282:I3283)</f>
        <v>0</v>
      </c>
    </row>
    <row r="3285" ht="20.35" customHeight="1">
      <c r="A3285" s="10">
        <v>45600</v>
      </c>
      <c r="B3285" t="s" s="11">
        <v>5</v>
      </c>
      <c r="C3285" t="s" s="12">
        <v>569</v>
      </c>
      <c r="D3285" s="17"/>
      <c r="E3285" s="17">
        <v>99460</v>
      </c>
      <c r="F3285" s="18"/>
      <c r="G3285" s="18"/>
      <c r="H3285" s="18"/>
      <c r="I3285" s="18"/>
    </row>
    <row r="3286" ht="20.35" customHeight="1">
      <c r="A3286" s="10">
        <v>45600</v>
      </c>
      <c r="B3286" t="s" s="11">
        <v>89</v>
      </c>
      <c r="C3286" t="s" s="12">
        <v>569</v>
      </c>
      <c r="D3286" s="13">
        <v>99460</v>
      </c>
      <c r="E3286" s="13"/>
      <c r="F3286" s="14"/>
      <c r="G3286" s="14"/>
      <c r="H3286" s="14"/>
      <c r="I3286" s="14"/>
    </row>
    <row r="3287" ht="20.7" customHeight="1">
      <c r="A3287" s="10">
        <v>45600</v>
      </c>
      <c r="B3287" t="s" s="11">
        <v>8</v>
      </c>
      <c r="C3287" t="s" s="12">
        <v>8</v>
      </c>
      <c r="D3287" s="15" cm="1">
        <f t="array" ref="D3287">SUM(D3285:D3286)</f>
        <v>99460</v>
      </c>
      <c r="E3287" s="15" cm="1">
        <f t="array" ref="E3287">SUM(E3285:E3286)</f>
        <v>99460</v>
      </c>
      <c r="F3287" s="16" cm="1">
        <f t="array" ref="F3287">SUM(F3285:F3286)</f>
        <v>0</v>
      </c>
      <c r="G3287" s="16" cm="1">
        <f t="array" ref="G3287">SUM(G3285:G3286)</f>
        <v>0</v>
      </c>
      <c r="H3287" s="16" cm="1">
        <f t="array" ref="H3287">SUM(H3285:H3286)</f>
        <v>0</v>
      </c>
      <c r="I3287" s="16" cm="1">
        <f t="array" ref="I3287">SUM(I3285:I3286)</f>
        <v>0</v>
      </c>
    </row>
    <row r="3288" ht="20.35" customHeight="1">
      <c r="A3288" s="10">
        <v>45601</v>
      </c>
      <c r="B3288" t="s" s="11">
        <v>5</v>
      </c>
      <c r="C3288" t="s" s="12">
        <v>570</v>
      </c>
      <c r="D3288" s="17"/>
      <c r="E3288" s="17">
        <v>4000</v>
      </c>
      <c r="F3288" s="18"/>
      <c r="G3288" s="18"/>
      <c r="H3288" s="18"/>
      <c r="I3288" s="18"/>
    </row>
    <row r="3289" ht="20.35" customHeight="1">
      <c r="A3289" s="10">
        <v>45601</v>
      </c>
      <c r="B3289" t="s" s="11">
        <v>10</v>
      </c>
      <c r="C3289" t="s" s="12">
        <v>570</v>
      </c>
      <c r="D3289" s="13">
        <v>4000</v>
      </c>
      <c r="E3289" s="13"/>
      <c r="F3289" s="14"/>
      <c r="G3289" s="14"/>
      <c r="H3289" s="14"/>
      <c r="I3289" s="14"/>
    </row>
    <row r="3290" ht="20.7" customHeight="1">
      <c r="A3290" s="10">
        <v>45601</v>
      </c>
      <c r="B3290" t="s" s="11">
        <v>8</v>
      </c>
      <c r="C3290" t="s" s="12">
        <v>8</v>
      </c>
      <c r="D3290" s="15" cm="1">
        <f t="array" ref="D3290">SUM(D3288:D3289)</f>
        <v>4000</v>
      </c>
      <c r="E3290" s="15" cm="1">
        <f t="array" ref="E3290">SUM(E3288:E3289)</f>
        <v>4000</v>
      </c>
      <c r="F3290" s="16" cm="1">
        <f t="array" ref="F3290">SUM(F3288:F3289)</f>
        <v>0</v>
      </c>
      <c r="G3290" s="16" cm="1">
        <f t="array" ref="G3290">SUM(G3288:G3289)</f>
        <v>0</v>
      </c>
      <c r="H3290" s="16" cm="1">
        <f t="array" ref="H3290">SUM(H3288:H3289)</f>
        <v>0</v>
      </c>
      <c r="I3290" s="16" cm="1">
        <f t="array" ref="I3290">SUM(I3288:I3289)</f>
        <v>0</v>
      </c>
    </row>
    <row r="3291" ht="21.25" customHeight="1">
      <c r="A3291" s="10">
        <v>45601</v>
      </c>
      <c r="B3291" t="s" s="11">
        <v>5</v>
      </c>
      <c r="C3291" t="s" s="12">
        <v>571</v>
      </c>
      <c r="D3291" s="17"/>
      <c r="E3291" s="17">
        <v>800</v>
      </c>
      <c r="F3291" s="18"/>
      <c r="G3291" s="18"/>
      <c r="H3291" s="18"/>
      <c r="I3291" s="18"/>
    </row>
    <row r="3292" ht="21.25" customHeight="1">
      <c r="A3292" s="10">
        <v>45601</v>
      </c>
      <c r="B3292" t="s" s="11">
        <v>10</v>
      </c>
      <c r="C3292" t="s" s="12">
        <v>571</v>
      </c>
      <c r="D3292" s="13">
        <v>800</v>
      </c>
      <c r="E3292" s="13"/>
      <c r="F3292" s="14"/>
      <c r="G3292" s="14"/>
      <c r="H3292" s="14"/>
      <c r="I3292" s="14"/>
    </row>
    <row r="3293" ht="20.7" customHeight="1">
      <c r="A3293" s="10">
        <v>45601</v>
      </c>
      <c r="B3293" t="s" s="11">
        <v>8</v>
      </c>
      <c r="C3293" t="s" s="12">
        <v>8</v>
      </c>
      <c r="D3293" s="15" cm="1">
        <f t="array" ref="D3293">SUM(D3291:D3292)</f>
        <v>800</v>
      </c>
      <c r="E3293" s="15" cm="1">
        <f t="array" ref="E3293">SUM(E3291:E3292)</f>
        <v>800</v>
      </c>
      <c r="F3293" s="16" cm="1">
        <f t="array" ref="F3293">SUM(F3291:F3292)</f>
        <v>0</v>
      </c>
      <c r="G3293" s="16" cm="1">
        <f t="array" ref="G3293">SUM(G3291:G3292)</f>
        <v>0</v>
      </c>
      <c r="H3293" s="16" cm="1">
        <f t="array" ref="H3293">SUM(H3291:H3292)</f>
        <v>0</v>
      </c>
      <c r="I3293" s="16" cm="1">
        <f t="array" ref="I3293">SUM(I3291:I3292)</f>
        <v>0</v>
      </c>
    </row>
    <row r="3294" ht="20.35" customHeight="1">
      <c r="A3294" s="10">
        <v>45601</v>
      </c>
      <c r="B3294" t="s" s="11">
        <v>5</v>
      </c>
      <c r="C3294" t="s" s="12">
        <v>572</v>
      </c>
      <c r="D3294" s="17"/>
      <c r="E3294" s="17">
        <v>500</v>
      </c>
      <c r="F3294" s="18"/>
      <c r="G3294" s="18"/>
      <c r="H3294" s="18"/>
      <c r="I3294" s="18"/>
    </row>
    <row r="3295" ht="20.35" customHeight="1">
      <c r="A3295" s="10">
        <v>45601</v>
      </c>
      <c r="B3295" t="s" s="11">
        <v>10</v>
      </c>
      <c r="C3295" t="s" s="12">
        <v>572</v>
      </c>
      <c r="D3295" s="13">
        <v>500</v>
      </c>
      <c r="E3295" s="13"/>
      <c r="F3295" s="14"/>
      <c r="G3295" s="14"/>
      <c r="H3295" s="14"/>
      <c r="I3295" s="14"/>
    </row>
    <row r="3296" ht="20.7" customHeight="1">
      <c r="A3296" s="10">
        <v>45601</v>
      </c>
      <c r="B3296" t="s" s="11">
        <v>8</v>
      </c>
      <c r="C3296" t="s" s="12">
        <v>8</v>
      </c>
      <c r="D3296" s="15" cm="1">
        <f t="array" ref="D3296">SUM(D3294:D3295)</f>
        <v>500</v>
      </c>
      <c r="E3296" s="15" cm="1">
        <f t="array" ref="E3296">SUM(E3294:E3295)</f>
        <v>500</v>
      </c>
      <c r="F3296" s="16" cm="1">
        <f t="array" ref="F3296">SUM(F3294:F3295)</f>
        <v>0</v>
      </c>
      <c r="G3296" s="16" cm="1">
        <f t="array" ref="G3296">SUM(G3294:G3295)</f>
        <v>0</v>
      </c>
      <c r="H3296" s="16" cm="1">
        <f t="array" ref="H3296">SUM(H3294:H3295)</f>
        <v>0</v>
      </c>
      <c r="I3296" s="16" cm="1">
        <f t="array" ref="I3296">SUM(I3294:I3295)</f>
        <v>0</v>
      </c>
    </row>
    <row r="3297" ht="21.25" customHeight="1">
      <c r="A3297" s="10">
        <v>45601</v>
      </c>
      <c r="B3297" t="s" s="11">
        <v>28</v>
      </c>
      <c r="C3297" t="s" s="12">
        <v>573</v>
      </c>
      <c r="D3297" s="17"/>
      <c r="E3297" s="17">
        <v>20000</v>
      </c>
      <c r="F3297" s="18"/>
      <c r="G3297" s="18"/>
      <c r="H3297" s="18"/>
      <c r="I3297" s="18"/>
    </row>
    <row r="3298" ht="21.25" customHeight="1">
      <c r="A3298" s="10">
        <v>45601</v>
      </c>
      <c r="B3298" t="s" s="11">
        <v>89</v>
      </c>
      <c r="C3298" t="s" s="12">
        <v>573</v>
      </c>
      <c r="D3298" s="13">
        <v>20000</v>
      </c>
      <c r="E3298" s="13"/>
      <c r="F3298" s="14"/>
      <c r="G3298" s="14"/>
      <c r="H3298" s="14"/>
      <c r="I3298" s="14"/>
    </row>
    <row r="3299" ht="20.7" customHeight="1">
      <c r="A3299" s="10">
        <v>45601</v>
      </c>
      <c r="B3299" t="s" s="11">
        <v>8</v>
      </c>
      <c r="C3299" t="s" s="12">
        <v>8</v>
      </c>
      <c r="D3299" s="15" cm="1">
        <f t="array" ref="D3299">SUM(D3297:D3298)</f>
        <v>20000</v>
      </c>
      <c r="E3299" s="15" cm="1">
        <f t="array" ref="E3299">SUM(E3297:E3298)</f>
        <v>20000</v>
      </c>
      <c r="F3299" s="16" cm="1">
        <f t="array" ref="F3299">SUM(F3297:F3298)</f>
        <v>0</v>
      </c>
      <c r="G3299" s="16" cm="1">
        <f t="array" ref="G3299">SUM(G3297:G3298)</f>
        <v>0</v>
      </c>
      <c r="H3299" s="16" cm="1">
        <f t="array" ref="H3299">SUM(H3297:H3298)</f>
        <v>0</v>
      </c>
      <c r="I3299" s="16" cm="1">
        <f t="array" ref="I3299">SUM(I3297:I3298)</f>
        <v>0</v>
      </c>
    </row>
    <row r="3300" ht="21.25" customHeight="1">
      <c r="A3300" s="10">
        <v>45601</v>
      </c>
      <c r="B3300" t="s" s="11">
        <v>28</v>
      </c>
      <c r="C3300" t="s" s="12">
        <v>574</v>
      </c>
      <c r="D3300" s="17"/>
      <c r="E3300" s="17">
        <v>20000</v>
      </c>
      <c r="F3300" s="18"/>
      <c r="G3300" s="18"/>
      <c r="H3300" s="18"/>
      <c r="I3300" s="18"/>
    </row>
    <row r="3301" ht="21.25" customHeight="1">
      <c r="A3301" s="10">
        <v>45601</v>
      </c>
      <c r="B3301" t="s" s="11">
        <v>89</v>
      </c>
      <c r="C3301" t="s" s="12">
        <v>574</v>
      </c>
      <c r="D3301" s="13">
        <v>20000</v>
      </c>
      <c r="E3301" s="13"/>
      <c r="F3301" s="14"/>
      <c r="G3301" s="14"/>
      <c r="H3301" s="14"/>
      <c r="I3301" s="14"/>
    </row>
    <row r="3302" ht="20.7" customHeight="1">
      <c r="A3302" s="10">
        <v>45601</v>
      </c>
      <c r="B3302" t="s" s="11">
        <v>8</v>
      </c>
      <c r="C3302" t="s" s="12">
        <v>8</v>
      </c>
      <c r="D3302" s="15" cm="1">
        <f t="array" ref="D3302">SUM(D3300:D3301)</f>
        <v>20000</v>
      </c>
      <c r="E3302" s="15" cm="1">
        <f t="array" ref="E3302">SUM(E3300:E3301)</f>
        <v>20000</v>
      </c>
      <c r="F3302" s="16" cm="1">
        <f t="array" ref="F3302">SUM(F3300:F3301)</f>
        <v>0</v>
      </c>
      <c r="G3302" s="16" cm="1">
        <f t="array" ref="G3302">SUM(G3300:G3301)</f>
        <v>0</v>
      </c>
      <c r="H3302" s="16" cm="1">
        <f t="array" ref="H3302">SUM(H3300:H3301)</f>
        <v>0</v>
      </c>
      <c r="I3302" s="16" cm="1">
        <f t="array" ref="I3302">SUM(I3300:I3301)</f>
        <v>0</v>
      </c>
    </row>
    <row r="3303" ht="20.65" customHeight="1">
      <c r="A3303" s="10">
        <v>45601</v>
      </c>
      <c r="B3303" t="s" s="11">
        <v>28</v>
      </c>
      <c r="C3303" t="s" s="12">
        <v>218</v>
      </c>
      <c r="D3303" s="17"/>
      <c r="E3303" s="17">
        <v>5000</v>
      </c>
      <c r="F3303" s="18"/>
      <c r="G3303" s="18"/>
      <c r="H3303" s="18"/>
      <c r="I3303" s="18"/>
    </row>
    <row r="3304" ht="20.65" customHeight="1">
      <c r="A3304" s="10">
        <v>45601</v>
      </c>
      <c r="B3304" t="s" s="11">
        <v>12</v>
      </c>
      <c r="C3304" t="s" s="12">
        <v>218</v>
      </c>
      <c r="D3304" s="13">
        <v>5000</v>
      </c>
      <c r="E3304" s="13"/>
      <c r="F3304" s="14"/>
      <c r="G3304" s="14"/>
      <c r="H3304" s="14"/>
      <c r="I3304" s="14"/>
    </row>
    <row r="3305" ht="20.7" customHeight="1">
      <c r="A3305" s="10">
        <v>45601</v>
      </c>
      <c r="B3305" t="s" s="11">
        <v>8</v>
      </c>
      <c r="C3305" t="s" s="12">
        <v>8</v>
      </c>
      <c r="D3305" s="15" cm="1">
        <f t="array" ref="D3305">SUM(D3303:D3304)</f>
        <v>5000</v>
      </c>
      <c r="E3305" s="15" cm="1">
        <f t="array" ref="E3305">SUM(E3303:E3304)</f>
        <v>5000</v>
      </c>
      <c r="F3305" s="16" cm="1">
        <f t="array" ref="F3305">SUM(F3303:F3304)</f>
        <v>0</v>
      </c>
      <c r="G3305" s="16" cm="1">
        <f t="array" ref="G3305">SUM(G3303:G3304)</f>
        <v>0</v>
      </c>
      <c r="H3305" s="16" cm="1">
        <f t="array" ref="H3305">SUM(H3303:H3304)</f>
        <v>0</v>
      </c>
      <c r="I3305" s="16" cm="1">
        <f t="array" ref="I3305">SUM(I3303:I3304)</f>
        <v>0</v>
      </c>
    </row>
    <row r="3306" ht="21.25" customHeight="1">
      <c r="A3306" s="10">
        <v>45601</v>
      </c>
      <c r="B3306" t="s" s="11">
        <v>21</v>
      </c>
      <c r="C3306" t="s" s="12">
        <v>575</v>
      </c>
      <c r="D3306" s="17"/>
      <c r="E3306" s="17">
        <v>1500</v>
      </c>
      <c r="F3306" s="18"/>
      <c r="G3306" s="18"/>
      <c r="H3306" s="18"/>
      <c r="I3306" s="18"/>
    </row>
    <row r="3307" ht="21.25" customHeight="1">
      <c r="A3307" s="10">
        <v>45601</v>
      </c>
      <c r="B3307" t="s" s="11">
        <v>16</v>
      </c>
      <c r="C3307" t="s" s="12">
        <v>575</v>
      </c>
      <c r="D3307" s="13">
        <v>1500</v>
      </c>
      <c r="E3307" s="13"/>
      <c r="F3307" s="14"/>
      <c r="G3307" s="14"/>
      <c r="H3307" s="14"/>
      <c r="I3307" s="14"/>
    </row>
    <row r="3308" ht="20.7" customHeight="1">
      <c r="A3308" s="10">
        <v>45601</v>
      </c>
      <c r="B3308" t="s" s="11">
        <v>8</v>
      </c>
      <c r="C3308" t="s" s="12">
        <v>8</v>
      </c>
      <c r="D3308" s="15" cm="1">
        <f t="array" ref="D3308">SUM(D3306:D3307)</f>
        <v>1500</v>
      </c>
      <c r="E3308" s="15" cm="1">
        <f t="array" ref="E3308">SUM(E3306:E3307)</f>
        <v>1500</v>
      </c>
      <c r="F3308" s="16" cm="1">
        <f t="array" ref="F3308">SUM(F3306:F3307)</f>
        <v>0</v>
      </c>
      <c r="G3308" s="16" cm="1">
        <f t="array" ref="G3308">SUM(G3306:G3307)</f>
        <v>0</v>
      </c>
      <c r="H3308" s="16" cm="1">
        <f t="array" ref="H3308">SUM(H3306:H3307)</f>
        <v>0</v>
      </c>
      <c r="I3308" s="16" cm="1">
        <f t="array" ref="I3308">SUM(I3306:I3307)</f>
        <v>0</v>
      </c>
    </row>
    <row r="3309" ht="21.25" customHeight="1">
      <c r="A3309" s="10">
        <v>45601</v>
      </c>
      <c r="B3309" t="s" s="11">
        <v>5</v>
      </c>
      <c r="C3309" t="s" s="12">
        <v>576</v>
      </c>
      <c r="D3309" s="17"/>
      <c r="E3309" s="17">
        <v>11000</v>
      </c>
      <c r="F3309" s="18"/>
      <c r="G3309" s="18"/>
      <c r="H3309" s="18"/>
      <c r="I3309" s="18"/>
    </row>
    <row r="3310" ht="21.25" customHeight="1">
      <c r="A3310" s="10">
        <v>45601</v>
      </c>
      <c r="B3310" t="s" s="11">
        <v>12</v>
      </c>
      <c r="C3310" t="s" s="12">
        <v>576</v>
      </c>
      <c r="D3310" s="13">
        <v>11000</v>
      </c>
      <c r="E3310" s="13"/>
      <c r="F3310" s="14"/>
      <c r="G3310" s="14"/>
      <c r="H3310" s="14"/>
      <c r="I3310" s="14"/>
    </row>
    <row r="3311" ht="20.7" customHeight="1">
      <c r="A3311" s="10">
        <v>45601</v>
      </c>
      <c r="B3311" t="s" s="11">
        <v>8</v>
      </c>
      <c r="C3311" t="s" s="12">
        <v>8</v>
      </c>
      <c r="D3311" s="15" cm="1">
        <f t="array" ref="D3311">SUM(D3309:D3310)</f>
        <v>11000</v>
      </c>
      <c r="E3311" s="15" cm="1">
        <f t="array" ref="E3311">SUM(E3309:E3310)</f>
        <v>11000</v>
      </c>
      <c r="F3311" s="16" cm="1">
        <f t="array" ref="F3311">SUM(F3309:F3310)</f>
        <v>0</v>
      </c>
      <c r="G3311" s="16" cm="1">
        <f t="array" ref="G3311">SUM(G3309:G3310)</f>
        <v>0</v>
      </c>
      <c r="H3311" s="16" cm="1">
        <f t="array" ref="H3311">SUM(H3309:H3310)</f>
        <v>0</v>
      </c>
      <c r="I3311" s="16" cm="1">
        <f t="array" ref="I3311">SUM(I3309:I3310)</f>
        <v>0</v>
      </c>
    </row>
    <row r="3312" ht="21.25" customHeight="1">
      <c r="A3312" s="10">
        <v>45601</v>
      </c>
      <c r="B3312" t="s" s="11">
        <v>5</v>
      </c>
      <c r="C3312" t="s" s="12">
        <v>577</v>
      </c>
      <c r="D3312" s="17"/>
      <c r="E3312" s="17">
        <v>13110</v>
      </c>
      <c r="F3312" s="18"/>
      <c r="G3312" s="18"/>
      <c r="H3312" s="18"/>
      <c r="I3312" s="18"/>
    </row>
    <row r="3313" ht="20.9" customHeight="1">
      <c r="A3313" s="10">
        <v>45601</v>
      </c>
      <c r="B3313" t="s" s="11">
        <v>89</v>
      </c>
      <c r="C3313" t="s" s="12">
        <v>577</v>
      </c>
      <c r="D3313" s="19">
        <v>6555</v>
      </c>
      <c r="E3313" s="19"/>
      <c r="F3313" s="20"/>
      <c r="G3313" s="20"/>
      <c r="H3313" s="20"/>
      <c r="I3313" s="20"/>
    </row>
    <row r="3314" ht="21.25" customHeight="1">
      <c r="A3314" s="10">
        <v>45601</v>
      </c>
      <c r="B3314" t="s" s="11">
        <v>12</v>
      </c>
      <c r="C3314" t="s" s="12">
        <v>577</v>
      </c>
      <c r="D3314" s="13">
        <v>6555</v>
      </c>
      <c r="E3314" s="13"/>
      <c r="F3314" s="14"/>
      <c r="G3314" s="14"/>
      <c r="H3314" s="14"/>
      <c r="I3314" s="14"/>
    </row>
    <row r="3315" ht="20.7" customHeight="1">
      <c r="A3315" s="10">
        <v>45601</v>
      </c>
      <c r="B3315" t="s" s="11">
        <v>8</v>
      </c>
      <c r="C3315" t="s" s="12">
        <v>8</v>
      </c>
      <c r="D3315" s="15" cm="1">
        <f t="array" ref="D3315">SUM(D3312:D3314)</f>
        <v>13110</v>
      </c>
      <c r="E3315" s="15" cm="1">
        <f t="array" ref="E3315">SUM(E3312:E3314)</f>
        <v>13110</v>
      </c>
      <c r="F3315" s="16" cm="1">
        <f t="array" ref="F3315">SUM(F3312:F3314)</f>
        <v>0</v>
      </c>
      <c r="G3315" s="16" cm="1">
        <f t="array" ref="G3315">SUM(G3312:G3314)</f>
        <v>0</v>
      </c>
      <c r="H3315" s="16" cm="1">
        <f t="array" ref="H3315">SUM(H3312:H3314)</f>
        <v>0</v>
      </c>
      <c r="I3315" s="16" cm="1">
        <f t="array" ref="I3315">SUM(I3312:I3314)</f>
        <v>0</v>
      </c>
    </row>
    <row r="3316" ht="21.25" customHeight="1">
      <c r="A3316" s="10">
        <v>45601</v>
      </c>
      <c r="B3316" t="s" s="11">
        <v>107</v>
      </c>
      <c r="C3316" t="s" s="12">
        <v>577</v>
      </c>
      <c r="D3316" s="17">
        <v>6555</v>
      </c>
      <c r="E3316" s="17"/>
      <c r="F3316" s="18"/>
      <c r="G3316" s="18"/>
      <c r="H3316" s="18"/>
      <c r="I3316" s="18"/>
    </row>
    <row r="3317" ht="21.25" customHeight="1">
      <c r="A3317" s="10">
        <v>45601</v>
      </c>
      <c r="B3317" t="s" s="11">
        <v>89</v>
      </c>
      <c r="C3317" t="s" s="12">
        <v>577</v>
      </c>
      <c r="D3317" s="13"/>
      <c r="E3317" s="13">
        <v>6555</v>
      </c>
      <c r="F3317" s="14"/>
      <c r="G3317" s="14"/>
      <c r="H3317" s="14"/>
      <c r="I3317" s="14"/>
    </row>
    <row r="3318" ht="20.7" customHeight="1">
      <c r="A3318" s="10">
        <v>45601</v>
      </c>
      <c r="B3318" t="s" s="11">
        <v>8</v>
      </c>
      <c r="C3318" t="s" s="12">
        <v>8</v>
      </c>
      <c r="D3318" s="15" cm="1">
        <f t="array" ref="D3318">SUM(D3316:D3317)</f>
        <v>6555</v>
      </c>
      <c r="E3318" s="15" cm="1">
        <f t="array" ref="E3318">SUM(E3316:E3317)</f>
        <v>6555</v>
      </c>
      <c r="F3318" s="16" cm="1">
        <f t="array" ref="F3318">SUM(F3316:F3317)</f>
        <v>0</v>
      </c>
      <c r="G3318" s="16" cm="1">
        <f t="array" ref="G3318">SUM(G3316:G3317)</f>
        <v>0</v>
      </c>
      <c r="H3318" s="16" cm="1">
        <f t="array" ref="H3318">SUM(H3316:H3317)</f>
        <v>0</v>
      </c>
      <c r="I3318" s="16" cm="1">
        <f t="array" ref="I3318">SUM(I3316:I3317)</f>
        <v>0</v>
      </c>
    </row>
    <row r="3319" ht="20.35" customHeight="1">
      <c r="A3319" s="10">
        <v>45601</v>
      </c>
      <c r="B3319" t="s" s="11">
        <v>5</v>
      </c>
      <c r="C3319" t="s" s="12">
        <v>578</v>
      </c>
      <c r="D3319" s="17"/>
      <c r="E3319" s="17">
        <v>400000</v>
      </c>
      <c r="F3319" s="18"/>
      <c r="G3319" s="18"/>
      <c r="H3319" s="18"/>
      <c r="I3319" s="18"/>
    </row>
    <row r="3320" ht="20.35" customHeight="1">
      <c r="A3320" s="10">
        <v>45601</v>
      </c>
      <c r="B3320" t="s" s="11">
        <v>21</v>
      </c>
      <c r="C3320" t="s" s="12">
        <v>578</v>
      </c>
      <c r="D3320" s="13">
        <v>400000</v>
      </c>
      <c r="E3320" s="13"/>
      <c r="F3320" s="14"/>
      <c r="G3320" s="14"/>
      <c r="H3320" s="14"/>
      <c r="I3320" s="14"/>
    </row>
    <row r="3321" ht="20.7" customHeight="1">
      <c r="A3321" s="10">
        <v>45601</v>
      </c>
      <c r="B3321" t="s" s="11">
        <v>8</v>
      </c>
      <c r="C3321" t="s" s="12">
        <v>8</v>
      </c>
      <c r="D3321" s="15" cm="1">
        <f t="array" ref="D3321">SUM(D3319:D3320)</f>
        <v>400000</v>
      </c>
      <c r="E3321" s="15" cm="1">
        <f t="array" ref="E3321">SUM(E3319:E3320)</f>
        <v>400000</v>
      </c>
      <c r="F3321" s="16" cm="1">
        <f t="array" ref="F3321">SUM(F3319:F3320)</f>
        <v>0</v>
      </c>
      <c r="G3321" s="16" cm="1">
        <f t="array" ref="G3321">SUM(G3319:G3320)</f>
        <v>0</v>
      </c>
      <c r="H3321" s="16" cm="1">
        <f t="array" ref="H3321">SUM(H3319:H3320)</f>
        <v>0</v>
      </c>
      <c r="I3321" s="16" cm="1">
        <f t="array" ref="I3321">SUM(I3319:I3320)</f>
        <v>0</v>
      </c>
    </row>
    <row r="3322" ht="21.25" customHeight="1">
      <c r="A3322" s="10">
        <v>45602</v>
      </c>
      <c r="B3322" t="s" s="11">
        <v>5</v>
      </c>
      <c r="C3322" t="s" s="12">
        <v>253</v>
      </c>
      <c r="D3322" s="17"/>
      <c r="E3322" s="17">
        <v>7890</v>
      </c>
      <c r="F3322" s="18"/>
      <c r="G3322" s="18"/>
      <c r="H3322" s="18"/>
      <c r="I3322" s="18"/>
    </row>
    <row r="3323" ht="21.25" customHeight="1">
      <c r="A3323" s="10">
        <v>45602</v>
      </c>
      <c r="B3323" t="s" s="11">
        <v>10</v>
      </c>
      <c r="C3323" t="s" s="12">
        <v>253</v>
      </c>
      <c r="D3323" s="13">
        <v>7890</v>
      </c>
      <c r="E3323" s="13"/>
      <c r="F3323" s="14"/>
      <c r="G3323" s="14"/>
      <c r="H3323" s="14"/>
      <c r="I3323" s="14"/>
    </row>
    <row r="3324" ht="20.7" customHeight="1">
      <c r="A3324" s="10">
        <v>45602</v>
      </c>
      <c r="B3324" t="s" s="11">
        <v>8</v>
      </c>
      <c r="C3324" t="s" s="12">
        <v>8</v>
      </c>
      <c r="D3324" s="15" cm="1">
        <f t="array" ref="D3324">SUM(D3322:D3323)</f>
        <v>7890</v>
      </c>
      <c r="E3324" s="15" cm="1">
        <f t="array" ref="E3324">SUM(E3322:E3323)</f>
        <v>7890</v>
      </c>
      <c r="F3324" s="16" cm="1">
        <f t="array" ref="F3324">SUM(F3322:F3323)</f>
        <v>0</v>
      </c>
      <c r="G3324" s="16" cm="1">
        <f t="array" ref="G3324">SUM(G3322:G3323)</f>
        <v>0</v>
      </c>
      <c r="H3324" s="16" cm="1">
        <f t="array" ref="H3324">SUM(H3322:H3323)</f>
        <v>0</v>
      </c>
      <c r="I3324" s="16" cm="1">
        <f t="array" ref="I3324">SUM(I3322:I3323)</f>
        <v>0</v>
      </c>
    </row>
    <row r="3325" ht="20.35" customHeight="1">
      <c r="A3325" s="10">
        <v>45602</v>
      </c>
      <c r="B3325" t="s" s="11">
        <v>5</v>
      </c>
      <c r="C3325" t="s" s="12">
        <v>579</v>
      </c>
      <c r="D3325" s="17"/>
      <c r="E3325" s="17">
        <v>2900</v>
      </c>
      <c r="F3325" s="18"/>
      <c r="G3325" s="18"/>
      <c r="H3325" s="18"/>
      <c r="I3325" s="18"/>
    </row>
    <row r="3326" ht="20.35" customHeight="1">
      <c r="A3326" s="10">
        <v>45602</v>
      </c>
      <c r="B3326" t="s" s="11">
        <v>12</v>
      </c>
      <c r="C3326" t="s" s="12">
        <v>579</v>
      </c>
      <c r="D3326" s="13">
        <v>2900</v>
      </c>
      <c r="E3326" s="13"/>
      <c r="F3326" s="14"/>
      <c r="G3326" s="14"/>
      <c r="H3326" s="14"/>
      <c r="I3326" s="14"/>
    </row>
    <row r="3327" ht="20.7" customHeight="1">
      <c r="A3327" s="10">
        <v>45602</v>
      </c>
      <c r="B3327" t="s" s="11">
        <v>8</v>
      </c>
      <c r="C3327" t="s" s="12">
        <v>8</v>
      </c>
      <c r="D3327" s="15" cm="1">
        <f t="array" ref="D3327">SUM(D3325:D3326)</f>
        <v>2900</v>
      </c>
      <c r="E3327" s="15" cm="1">
        <f t="array" ref="E3327">SUM(E3325:E3326)</f>
        <v>2900</v>
      </c>
      <c r="F3327" s="16" cm="1">
        <f t="array" ref="F3327">SUM(F3325:F3326)</f>
        <v>0</v>
      </c>
      <c r="G3327" s="16" cm="1">
        <f t="array" ref="G3327">SUM(G3325:G3326)</f>
        <v>0</v>
      </c>
      <c r="H3327" s="16" cm="1">
        <f t="array" ref="H3327">SUM(H3325:H3326)</f>
        <v>0</v>
      </c>
      <c r="I3327" s="16" cm="1">
        <f t="array" ref="I3327">SUM(I3325:I3326)</f>
        <v>0</v>
      </c>
    </row>
    <row r="3328" ht="20.65" customHeight="1">
      <c r="A3328" s="10">
        <v>45602</v>
      </c>
      <c r="B3328" t="s" s="11">
        <v>5</v>
      </c>
      <c r="C3328" t="s" s="12">
        <v>580</v>
      </c>
      <c r="D3328" s="17"/>
      <c r="E3328" s="17">
        <v>800</v>
      </c>
      <c r="F3328" s="18"/>
      <c r="G3328" s="18"/>
      <c r="H3328" s="18"/>
      <c r="I3328" s="18"/>
    </row>
    <row r="3329" ht="20.65" customHeight="1">
      <c r="A3329" s="10">
        <v>45602</v>
      </c>
      <c r="B3329" t="s" s="11">
        <v>12</v>
      </c>
      <c r="C3329" t="s" s="12">
        <v>580</v>
      </c>
      <c r="D3329" s="13">
        <v>800</v>
      </c>
      <c r="E3329" s="13"/>
      <c r="F3329" s="14"/>
      <c r="G3329" s="14"/>
      <c r="H3329" s="14"/>
      <c r="I3329" s="14"/>
    </row>
    <row r="3330" ht="20.7" customHeight="1">
      <c r="A3330" s="10">
        <v>45602</v>
      </c>
      <c r="B3330" t="s" s="11">
        <v>8</v>
      </c>
      <c r="C3330" t="s" s="12">
        <v>8</v>
      </c>
      <c r="D3330" s="15" cm="1">
        <f t="array" ref="D3330">SUM(D3328:D3329)</f>
        <v>800</v>
      </c>
      <c r="E3330" s="15" cm="1">
        <f t="array" ref="E3330">SUM(E3328:E3329)</f>
        <v>800</v>
      </c>
      <c r="F3330" s="16" cm="1">
        <f t="array" ref="F3330">SUM(F3328:F3329)</f>
        <v>0</v>
      </c>
      <c r="G3330" s="16" cm="1">
        <f t="array" ref="G3330">SUM(G3328:G3329)</f>
        <v>0</v>
      </c>
      <c r="H3330" s="16" cm="1">
        <f t="array" ref="H3330">SUM(H3328:H3329)</f>
        <v>0</v>
      </c>
      <c r="I3330" s="16" cm="1">
        <f t="array" ref="I3330">SUM(I3328:I3329)</f>
        <v>0</v>
      </c>
    </row>
    <row r="3331" ht="21.25" customHeight="1">
      <c r="A3331" s="10">
        <v>45602</v>
      </c>
      <c r="B3331" t="s" s="11">
        <v>5</v>
      </c>
      <c r="C3331" t="s" s="12">
        <v>581</v>
      </c>
      <c r="D3331" s="17"/>
      <c r="E3331" s="17">
        <v>800</v>
      </c>
      <c r="F3331" s="18"/>
      <c r="G3331" s="18"/>
      <c r="H3331" s="18"/>
      <c r="I3331" s="18"/>
    </row>
    <row r="3332" ht="21.25" customHeight="1">
      <c r="A3332" s="10">
        <v>45602</v>
      </c>
      <c r="B3332" t="s" s="11">
        <v>10</v>
      </c>
      <c r="C3332" t="s" s="12">
        <v>581</v>
      </c>
      <c r="D3332" s="13">
        <v>800</v>
      </c>
      <c r="E3332" s="13"/>
      <c r="F3332" s="14"/>
      <c r="G3332" s="14"/>
      <c r="H3332" s="14"/>
      <c r="I3332" s="14"/>
    </row>
    <row r="3333" ht="20.7" customHeight="1">
      <c r="A3333" s="10">
        <v>45602</v>
      </c>
      <c r="B3333" t="s" s="11">
        <v>8</v>
      </c>
      <c r="C3333" t="s" s="12">
        <v>8</v>
      </c>
      <c r="D3333" s="15" cm="1">
        <f t="array" ref="D3333">SUM(D3331:D3332)</f>
        <v>800</v>
      </c>
      <c r="E3333" s="15" cm="1">
        <f t="array" ref="E3333">SUM(E3331:E3332)</f>
        <v>800</v>
      </c>
      <c r="F3333" s="16" cm="1">
        <f t="array" ref="F3333">SUM(F3331:F3332)</f>
        <v>0</v>
      </c>
      <c r="G3333" s="16" cm="1">
        <f t="array" ref="G3333">SUM(G3331:G3332)</f>
        <v>0</v>
      </c>
      <c r="H3333" s="16" cm="1">
        <f t="array" ref="H3333">SUM(H3331:H3332)</f>
        <v>0</v>
      </c>
      <c r="I3333" s="16" cm="1">
        <f t="array" ref="I3333">SUM(I3331:I3332)</f>
        <v>0</v>
      </c>
    </row>
    <row r="3334" ht="20.35" customHeight="1">
      <c r="A3334" s="10">
        <v>45602</v>
      </c>
      <c r="B3334" t="s" s="11">
        <v>5</v>
      </c>
      <c r="C3334" t="s" s="12">
        <v>17</v>
      </c>
      <c r="D3334" s="17">
        <v>100</v>
      </c>
      <c r="E3334" s="17"/>
      <c r="F3334" s="18"/>
      <c r="G3334" s="18"/>
      <c r="H3334" s="18"/>
      <c r="I3334" s="18"/>
    </row>
    <row r="3335" ht="20.35" customHeight="1">
      <c r="A3335" s="10">
        <v>45602</v>
      </c>
      <c r="B3335" t="s" s="11">
        <v>18</v>
      </c>
      <c r="C3335" t="s" s="12">
        <v>17</v>
      </c>
      <c r="D3335" s="13"/>
      <c r="E3335" s="13">
        <v>100</v>
      </c>
      <c r="F3335" s="14"/>
      <c r="G3335" s="14"/>
      <c r="H3335" s="14"/>
      <c r="I3335" s="14"/>
    </row>
    <row r="3336" ht="20.7" customHeight="1">
      <c r="A3336" s="10">
        <v>45602</v>
      </c>
      <c r="B3336" t="s" s="11">
        <v>8</v>
      </c>
      <c r="C3336" t="s" s="12">
        <v>8</v>
      </c>
      <c r="D3336" s="15" cm="1">
        <f t="array" ref="D3336">SUM(D3334:D3335)</f>
        <v>100</v>
      </c>
      <c r="E3336" s="15" cm="1">
        <f t="array" ref="E3336">SUM(E3334:E3335)</f>
        <v>100</v>
      </c>
      <c r="F3336" s="16" cm="1">
        <f t="array" ref="F3336">SUM(F3334:F3335)</f>
        <v>0</v>
      </c>
      <c r="G3336" s="16" cm="1">
        <f t="array" ref="G3336">SUM(G3334:G3335)</f>
        <v>0</v>
      </c>
      <c r="H3336" s="16" cm="1">
        <f t="array" ref="H3336">SUM(H3334:H3335)</f>
        <v>0</v>
      </c>
      <c r="I3336" s="16" cm="1">
        <f t="array" ref="I3336">SUM(I3334:I3335)</f>
        <v>0</v>
      </c>
    </row>
    <row r="3337" ht="21.25" customHeight="1">
      <c r="A3337" s="10">
        <v>45602</v>
      </c>
      <c r="B3337" t="s" s="11">
        <v>21</v>
      </c>
      <c r="C3337" t="s" s="12">
        <v>582</v>
      </c>
      <c r="D3337" s="17"/>
      <c r="E3337" s="17">
        <v>3000</v>
      </c>
      <c r="F3337" s="18"/>
      <c r="G3337" s="18"/>
      <c r="H3337" s="18"/>
      <c r="I3337" s="18"/>
    </row>
    <row r="3338" ht="21.25" customHeight="1">
      <c r="A3338" s="10">
        <v>45602</v>
      </c>
      <c r="B3338" t="s" s="11">
        <v>16</v>
      </c>
      <c r="C3338" t="s" s="12">
        <v>582</v>
      </c>
      <c r="D3338" s="13">
        <v>3000</v>
      </c>
      <c r="E3338" s="13"/>
      <c r="F3338" s="14"/>
      <c r="G3338" s="14"/>
      <c r="H3338" s="14"/>
      <c r="I3338" s="14"/>
    </row>
    <row r="3339" ht="20.7" customHeight="1">
      <c r="A3339" s="10">
        <v>45602</v>
      </c>
      <c r="B3339" t="s" s="11">
        <v>8</v>
      </c>
      <c r="C3339" t="s" s="12">
        <v>8</v>
      </c>
      <c r="D3339" s="15" cm="1">
        <f t="array" ref="D3339">SUM(D3337:D3338)</f>
        <v>3000</v>
      </c>
      <c r="E3339" s="15" cm="1">
        <f t="array" ref="E3339">SUM(E3337:E3338)</f>
        <v>3000</v>
      </c>
      <c r="F3339" s="16" cm="1">
        <f t="array" ref="F3339">SUM(F3337:F3338)</f>
        <v>0</v>
      </c>
      <c r="G3339" s="16" cm="1">
        <f t="array" ref="G3339">SUM(G3337:G3338)</f>
        <v>0</v>
      </c>
      <c r="H3339" s="16" cm="1">
        <f t="array" ref="H3339">SUM(H3337:H3338)</f>
        <v>0</v>
      </c>
      <c r="I3339" s="16" cm="1">
        <f t="array" ref="I3339">SUM(I3337:I3338)</f>
        <v>0</v>
      </c>
    </row>
    <row r="3340" ht="21.25" customHeight="1">
      <c r="A3340" s="10">
        <v>45602</v>
      </c>
      <c r="B3340" t="s" s="11">
        <v>5</v>
      </c>
      <c r="C3340" t="s" s="12">
        <v>583</v>
      </c>
      <c r="D3340" s="17"/>
      <c r="E3340" s="17">
        <v>21500</v>
      </c>
      <c r="F3340" s="18"/>
      <c r="G3340" s="18"/>
      <c r="H3340" s="18"/>
      <c r="I3340" s="18"/>
    </row>
    <row r="3341" ht="21.25" customHeight="1">
      <c r="A3341" s="10">
        <v>45602</v>
      </c>
      <c r="B3341" t="s" s="11">
        <v>10</v>
      </c>
      <c r="C3341" t="s" s="12">
        <v>583</v>
      </c>
      <c r="D3341" s="13">
        <v>21500</v>
      </c>
      <c r="E3341" s="13"/>
      <c r="F3341" s="14"/>
      <c r="G3341" s="14"/>
      <c r="H3341" s="14"/>
      <c r="I3341" s="14"/>
    </row>
    <row r="3342" ht="20.7" customHeight="1">
      <c r="A3342" s="10">
        <v>45602</v>
      </c>
      <c r="B3342" t="s" s="11">
        <v>8</v>
      </c>
      <c r="C3342" t="s" s="12">
        <v>8</v>
      </c>
      <c r="D3342" s="15" cm="1">
        <f t="array" ref="D3342">SUM(D3340:D3341)</f>
        <v>21500</v>
      </c>
      <c r="E3342" s="15" cm="1">
        <f t="array" ref="E3342">SUM(E3340:E3341)</f>
        <v>21500</v>
      </c>
      <c r="F3342" s="16" cm="1">
        <f t="array" ref="F3342">SUM(F3340:F3341)</f>
        <v>0</v>
      </c>
      <c r="G3342" s="16" cm="1">
        <f t="array" ref="G3342">SUM(G3340:G3341)</f>
        <v>0</v>
      </c>
      <c r="H3342" s="16" cm="1">
        <f t="array" ref="H3342">SUM(H3340:H3341)</f>
        <v>0</v>
      </c>
      <c r="I3342" s="16" cm="1">
        <f t="array" ref="I3342">SUM(I3340:I3341)</f>
        <v>0</v>
      </c>
    </row>
    <row r="3343" ht="20.35" customHeight="1">
      <c r="A3343" s="10">
        <v>45603</v>
      </c>
      <c r="B3343" t="s" s="11">
        <v>5</v>
      </c>
      <c r="C3343" t="s" s="12">
        <v>17</v>
      </c>
      <c r="D3343" s="17">
        <v>100</v>
      </c>
      <c r="E3343" s="17"/>
      <c r="F3343" s="18"/>
      <c r="G3343" s="18"/>
      <c r="H3343" s="18"/>
      <c r="I3343" s="18"/>
    </row>
    <row r="3344" ht="20.35" customHeight="1">
      <c r="A3344" s="10">
        <v>45603</v>
      </c>
      <c r="B3344" t="s" s="11">
        <v>18</v>
      </c>
      <c r="C3344" t="s" s="12">
        <v>17</v>
      </c>
      <c r="D3344" s="13"/>
      <c r="E3344" s="13">
        <v>100</v>
      </c>
      <c r="F3344" s="14"/>
      <c r="G3344" s="14"/>
      <c r="H3344" s="14"/>
      <c r="I3344" s="14"/>
    </row>
    <row r="3345" ht="20.7" customHeight="1">
      <c r="A3345" s="10">
        <v>45603</v>
      </c>
      <c r="B3345" t="s" s="11">
        <v>8</v>
      </c>
      <c r="C3345" t="s" s="12">
        <v>8</v>
      </c>
      <c r="D3345" s="15" cm="1">
        <f t="array" ref="D3345">SUM(D3343:D3344)</f>
        <v>100</v>
      </c>
      <c r="E3345" s="15" cm="1">
        <f t="array" ref="E3345">SUM(E3343:E3344)</f>
        <v>100</v>
      </c>
      <c r="F3345" s="16" cm="1">
        <f t="array" ref="F3345">SUM(F3343:F3344)</f>
        <v>0</v>
      </c>
      <c r="G3345" s="16" cm="1">
        <f t="array" ref="G3345">SUM(G3343:G3344)</f>
        <v>0</v>
      </c>
      <c r="H3345" s="16" cm="1">
        <f t="array" ref="H3345">SUM(H3343:H3344)</f>
        <v>0</v>
      </c>
      <c r="I3345" s="16" cm="1">
        <f t="array" ref="I3345">SUM(I3343:I3344)</f>
        <v>0</v>
      </c>
    </row>
    <row r="3346" ht="21.25" customHeight="1">
      <c r="A3346" s="10">
        <v>45603</v>
      </c>
      <c r="B3346" t="s" s="11">
        <v>21</v>
      </c>
      <c r="C3346" t="s" s="12">
        <v>582</v>
      </c>
      <c r="D3346" s="17"/>
      <c r="E3346" s="17">
        <v>2900</v>
      </c>
      <c r="F3346" s="18"/>
      <c r="G3346" s="18"/>
      <c r="H3346" s="18"/>
      <c r="I3346" s="18"/>
    </row>
    <row r="3347" ht="21.25" customHeight="1">
      <c r="A3347" s="10">
        <v>45603</v>
      </c>
      <c r="B3347" t="s" s="11">
        <v>16</v>
      </c>
      <c r="C3347" t="s" s="12">
        <v>582</v>
      </c>
      <c r="D3347" s="13">
        <v>2900</v>
      </c>
      <c r="E3347" s="13"/>
      <c r="F3347" s="14"/>
      <c r="G3347" s="14"/>
      <c r="H3347" s="14"/>
      <c r="I3347" s="14"/>
    </row>
    <row r="3348" ht="20.7" customHeight="1">
      <c r="A3348" s="10">
        <v>45603</v>
      </c>
      <c r="B3348" t="s" s="11">
        <v>8</v>
      </c>
      <c r="C3348" t="s" s="12">
        <v>8</v>
      </c>
      <c r="D3348" s="15" cm="1">
        <f t="array" ref="D3348">SUM(D3346:D3347)</f>
        <v>2900</v>
      </c>
      <c r="E3348" s="15" cm="1">
        <f t="array" ref="E3348">SUM(E3346:E3347)</f>
        <v>2900</v>
      </c>
      <c r="F3348" s="16" cm="1">
        <f t="array" ref="F3348">SUM(F3346:F3347)</f>
        <v>0</v>
      </c>
      <c r="G3348" s="16" cm="1">
        <f t="array" ref="G3348">SUM(G3346:G3347)</f>
        <v>0</v>
      </c>
      <c r="H3348" s="16" cm="1">
        <f t="array" ref="H3348">SUM(H3346:H3347)</f>
        <v>0</v>
      </c>
      <c r="I3348" s="16" cm="1">
        <f t="array" ref="I3348">SUM(I3346:I3347)</f>
        <v>0</v>
      </c>
    </row>
    <row r="3349" ht="20.35" customHeight="1">
      <c r="A3349" s="10">
        <v>45603</v>
      </c>
      <c r="B3349" t="s" s="11">
        <v>5</v>
      </c>
      <c r="C3349" t="s" s="12">
        <v>584</v>
      </c>
      <c r="D3349" s="17"/>
      <c r="E3349" s="17">
        <v>14500</v>
      </c>
      <c r="F3349" s="18"/>
      <c r="G3349" s="18"/>
      <c r="H3349" s="18"/>
      <c r="I3349" s="18"/>
    </row>
    <row r="3350" ht="20.35" customHeight="1">
      <c r="A3350" s="10">
        <v>45603</v>
      </c>
      <c r="B3350" t="s" s="11">
        <v>12</v>
      </c>
      <c r="C3350" t="s" s="12">
        <v>584</v>
      </c>
      <c r="D3350" s="13">
        <v>14500</v>
      </c>
      <c r="E3350" s="13"/>
      <c r="F3350" s="14"/>
      <c r="G3350" s="14"/>
      <c r="H3350" s="14"/>
      <c r="I3350" s="14"/>
    </row>
    <row r="3351" ht="20.7" customHeight="1">
      <c r="A3351" s="10">
        <v>45603</v>
      </c>
      <c r="B3351" t="s" s="11">
        <v>8</v>
      </c>
      <c r="C3351" t="s" s="12">
        <v>8</v>
      </c>
      <c r="D3351" s="15" cm="1">
        <f t="array" ref="D3351">SUM(D3349:D3350)</f>
        <v>14500</v>
      </c>
      <c r="E3351" s="15" cm="1">
        <f t="array" ref="E3351">SUM(E3349:E3350)</f>
        <v>14500</v>
      </c>
      <c r="F3351" s="16" cm="1">
        <f t="array" ref="F3351">SUM(F3349:F3350)</f>
        <v>0</v>
      </c>
      <c r="G3351" s="16" cm="1">
        <f t="array" ref="G3351">SUM(G3349:G3350)</f>
        <v>0</v>
      </c>
      <c r="H3351" s="16" cm="1">
        <f t="array" ref="H3351">SUM(H3349:H3350)</f>
        <v>0</v>
      </c>
      <c r="I3351" s="16" cm="1">
        <f t="array" ref="I3351">SUM(I3349:I3350)</f>
        <v>0</v>
      </c>
    </row>
    <row r="3352" ht="20.35" customHeight="1">
      <c r="A3352" s="10">
        <v>45603</v>
      </c>
      <c r="B3352" t="s" s="11">
        <v>5</v>
      </c>
      <c r="C3352" t="s" s="12">
        <v>17</v>
      </c>
      <c r="D3352" s="17">
        <v>500</v>
      </c>
      <c r="E3352" s="17"/>
      <c r="F3352" s="18"/>
      <c r="G3352" s="18"/>
      <c r="H3352" s="18"/>
      <c r="I3352" s="18"/>
    </row>
    <row r="3353" ht="20.35" customHeight="1">
      <c r="A3353" s="10">
        <v>45603</v>
      </c>
      <c r="B3353" t="s" s="11">
        <v>18</v>
      </c>
      <c r="C3353" t="s" s="12">
        <v>17</v>
      </c>
      <c r="D3353" s="13"/>
      <c r="E3353" s="13">
        <v>500</v>
      </c>
      <c r="F3353" s="14"/>
      <c r="G3353" s="14"/>
      <c r="H3353" s="14"/>
      <c r="I3353" s="14"/>
    </row>
    <row r="3354" ht="20.7" customHeight="1">
      <c r="A3354" s="10">
        <v>45603</v>
      </c>
      <c r="B3354" t="s" s="11">
        <v>8</v>
      </c>
      <c r="C3354" t="s" s="12">
        <v>8</v>
      </c>
      <c r="D3354" s="15" cm="1">
        <f t="array" ref="D3354">SUM(D3352:D3353)</f>
        <v>500</v>
      </c>
      <c r="E3354" s="15" cm="1">
        <f t="array" ref="E3354">SUM(E3352:E3353)</f>
        <v>500</v>
      </c>
      <c r="F3354" s="16" cm="1">
        <f t="array" ref="F3354">SUM(F3352:F3353)</f>
        <v>0</v>
      </c>
      <c r="G3354" s="16" cm="1">
        <f t="array" ref="G3354">SUM(G3352:G3353)</f>
        <v>0</v>
      </c>
      <c r="H3354" s="16" cm="1">
        <f t="array" ref="H3354">SUM(H3352:H3353)</f>
        <v>0</v>
      </c>
      <c r="I3354" s="16" cm="1">
        <f t="array" ref="I3354">SUM(I3352:I3353)</f>
        <v>0</v>
      </c>
    </row>
    <row r="3355" ht="20.35" customHeight="1">
      <c r="A3355" s="10">
        <v>45604</v>
      </c>
      <c r="B3355" t="s" s="11">
        <v>5</v>
      </c>
      <c r="C3355" t="s" s="12">
        <v>96</v>
      </c>
      <c r="D3355" s="17">
        <v>34279</v>
      </c>
      <c r="E3355" s="17"/>
      <c r="F3355" s="18"/>
      <c r="G3355" s="18"/>
      <c r="H3355" s="18"/>
      <c r="I3355" s="18"/>
    </row>
    <row r="3356" ht="20.35" customHeight="1">
      <c r="A3356" s="10">
        <v>45604</v>
      </c>
      <c r="B3356" t="s" s="11">
        <v>93</v>
      </c>
      <c r="C3356" t="s" s="12">
        <v>96</v>
      </c>
      <c r="D3356" s="13"/>
      <c r="E3356" s="13">
        <v>34279</v>
      </c>
      <c r="F3356" s="14"/>
      <c r="G3356" s="14"/>
      <c r="H3356" s="14"/>
      <c r="I3356" s="14"/>
    </row>
    <row r="3357" ht="20.7" customHeight="1">
      <c r="A3357" s="10">
        <v>45604</v>
      </c>
      <c r="B3357" t="s" s="11">
        <v>8</v>
      </c>
      <c r="C3357" t="s" s="12">
        <v>8</v>
      </c>
      <c r="D3357" s="15" cm="1">
        <f t="array" ref="D3357">SUM(D3355:D3356)</f>
        <v>34279</v>
      </c>
      <c r="E3357" s="15" cm="1">
        <f t="array" ref="E3357">SUM(E3355:E3356)</f>
        <v>34279</v>
      </c>
      <c r="F3357" s="16" cm="1">
        <f t="array" ref="F3357">SUM(F3355:F3356)</f>
        <v>0</v>
      </c>
      <c r="G3357" s="16" cm="1">
        <f t="array" ref="G3357">SUM(G3355:G3356)</f>
        <v>0</v>
      </c>
      <c r="H3357" s="16" cm="1">
        <f t="array" ref="H3357">SUM(H3355:H3356)</f>
        <v>0</v>
      </c>
      <c r="I3357" s="16" cm="1">
        <f t="array" ref="I3357">SUM(I3355:I3356)</f>
        <v>0</v>
      </c>
    </row>
    <row r="3358" ht="20.65" customHeight="1">
      <c r="A3358" s="10">
        <v>45604</v>
      </c>
      <c r="B3358" t="s" s="11">
        <v>5</v>
      </c>
      <c r="C3358" t="s" s="12">
        <v>168</v>
      </c>
      <c r="D3358" s="17"/>
      <c r="E3358" s="17">
        <v>5200</v>
      </c>
      <c r="F3358" s="18"/>
      <c r="G3358" s="18"/>
      <c r="H3358" s="18"/>
      <c r="I3358" s="18"/>
    </row>
    <row r="3359" ht="20.65" customHeight="1">
      <c r="A3359" s="10">
        <v>45604</v>
      </c>
      <c r="B3359" t="s" s="11">
        <v>12</v>
      </c>
      <c r="C3359" t="s" s="12">
        <v>168</v>
      </c>
      <c r="D3359" s="13">
        <v>5200</v>
      </c>
      <c r="E3359" s="13"/>
      <c r="F3359" s="14"/>
      <c r="G3359" s="14"/>
      <c r="H3359" s="14"/>
      <c r="I3359" s="14"/>
    </row>
    <row r="3360" ht="20.7" customHeight="1">
      <c r="A3360" s="10">
        <v>45604</v>
      </c>
      <c r="B3360" t="s" s="11">
        <v>8</v>
      </c>
      <c r="C3360" t="s" s="12">
        <v>8</v>
      </c>
      <c r="D3360" s="15" cm="1">
        <f t="array" ref="D3360">SUM(D3358:D3359)</f>
        <v>5200</v>
      </c>
      <c r="E3360" s="15" cm="1">
        <f t="array" ref="E3360">SUM(E3358:E3359)</f>
        <v>5200</v>
      </c>
      <c r="F3360" s="16" cm="1">
        <f t="array" ref="F3360">SUM(F3358:F3359)</f>
        <v>0</v>
      </c>
      <c r="G3360" s="16" cm="1">
        <f t="array" ref="G3360">SUM(G3358:G3359)</f>
        <v>0</v>
      </c>
      <c r="H3360" s="16" cm="1">
        <f t="array" ref="H3360">SUM(H3358:H3359)</f>
        <v>0</v>
      </c>
      <c r="I3360" s="16" cm="1">
        <f t="array" ref="I3360">SUM(I3358:I3359)</f>
        <v>0</v>
      </c>
    </row>
    <row r="3361" ht="21.25" customHeight="1">
      <c r="A3361" s="10">
        <v>45604</v>
      </c>
      <c r="B3361" t="s" s="11">
        <v>5</v>
      </c>
      <c r="C3361" t="s" s="12">
        <v>585</v>
      </c>
      <c r="D3361" s="17"/>
      <c r="E3361" s="17">
        <v>31500</v>
      </c>
      <c r="F3361" s="18"/>
      <c r="G3361" s="18"/>
      <c r="H3361" s="18"/>
      <c r="I3361" s="18"/>
    </row>
    <row r="3362" ht="20.9" customHeight="1">
      <c r="A3362" s="10">
        <v>45604</v>
      </c>
      <c r="B3362" t="s" s="11">
        <v>10</v>
      </c>
      <c r="C3362" t="s" s="12">
        <v>585</v>
      </c>
      <c r="D3362" s="19">
        <v>15750</v>
      </c>
      <c r="E3362" s="19"/>
      <c r="F3362" s="20"/>
      <c r="G3362" s="20"/>
      <c r="H3362" s="20"/>
      <c r="I3362" s="20"/>
    </row>
    <row r="3363" ht="21.25" customHeight="1">
      <c r="A3363" s="10">
        <v>45604</v>
      </c>
      <c r="B3363" t="s" s="11">
        <v>12</v>
      </c>
      <c r="C3363" t="s" s="12">
        <v>585</v>
      </c>
      <c r="D3363" s="13">
        <v>15750</v>
      </c>
      <c r="E3363" s="13"/>
      <c r="F3363" s="14"/>
      <c r="G3363" s="14"/>
      <c r="H3363" s="14"/>
      <c r="I3363" s="14"/>
    </row>
    <row r="3364" ht="20.7" customHeight="1">
      <c r="A3364" s="10">
        <v>45604</v>
      </c>
      <c r="B3364" t="s" s="11">
        <v>8</v>
      </c>
      <c r="C3364" t="s" s="12">
        <v>8</v>
      </c>
      <c r="D3364" s="15" cm="1">
        <f t="array" ref="D3364">SUM(D3361:D3363)</f>
        <v>31500</v>
      </c>
      <c r="E3364" s="15" cm="1">
        <f t="array" ref="E3364">SUM(E3361:E3363)</f>
        <v>31500</v>
      </c>
      <c r="F3364" s="16" cm="1">
        <f t="array" ref="F3364">SUM(F3361:F3363)</f>
        <v>0</v>
      </c>
      <c r="G3364" s="16" cm="1">
        <f t="array" ref="G3364">SUM(G3361:G3363)</f>
        <v>0</v>
      </c>
      <c r="H3364" s="16" cm="1">
        <f t="array" ref="H3364">SUM(H3361:H3363)</f>
        <v>0</v>
      </c>
      <c r="I3364" s="16" cm="1">
        <f t="array" ref="I3364">SUM(I3361:I3363)</f>
        <v>0</v>
      </c>
    </row>
    <row r="3365" ht="20.35" customHeight="1">
      <c r="A3365" s="10">
        <v>45604</v>
      </c>
      <c r="B3365" t="s" s="11">
        <v>5</v>
      </c>
      <c r="C3365" t="s" s="12">
        <v>17</v>
      </c>
      <c r="D3365" s="17">
        <v>100</v>
      </c>
      <c r="E3365" s="17"/>
      <c r="F3365" s="18"/>
      <c r="G3365" s="18"/>
      <c r="H3365" s="18"/>
      <c r="I3365" s="18"/>
    </row>
    <row r="3366" ht="20.35" customHeight="1">
      <c r="A3366" s="10">
        <v>45604</v>
      </c>
      <c r="B3366" t="s" s="11">
        <v>18</v>
      </c>
      <c r="C3366" t="s" s="12">
        <v>17</v>
      </c>
      <c r="D3366" s="13"/>
      <c r="E3366" s="13">
        <v>100</v>
      </c>
      <c r="F3366" s="14"/>
      <c r="G3366" s="14"/>
      <c r="H3366" s="14"/>
      <c r="I3366" s="14"/>
    </row>
    <row r="3367" ht="20.7" customHeight="1">
      <c r="A3367" s="10">
        <v>45604</v>
      </c>
      <c r="B3367" t="s" s="11">
        <v>8</v>
      </c>
      <c r="C3367" t="s" s="12">
        <v>8</v>
      </c>
      <c r="D3367" s="15" cm="1">
        <f t="array" ref="D3367">SUM(D3365:D3366)</f>
        <v>100</v>
      </c>
      <c r="E3367" s="15" cm="1">
        <f t="array" ref="E3367">SUM(E3365:E3366)</f>
        <v>100</v>
      </c>
      <c r="F3367" s="16" cm="1">
        <f t="array" ref="F3367">SUM(F3365:F3366)</f>
        <v>0</v>
      </c>
      <c r="G3367" s="16" cm="1">
        <f t="array" ref="G3367">SUM(G3365:G3366)</f>
        <v>0</v>
      </c>
      <c r="H3367" s="16" cm="1">
        <f t="array" ref="H3367">SUM(H3365:H3366)</f>
        <v>0</v>
      </c>
      <c r="I3367" s="16" cm="1">
        <f t="array" ref="I3367">SUM(I3365:I3366)</f>
        <v>0</v>
      </c>
    </row>
    <row r="3368" ht="21.25" customHeight="1">
      <c r="A3368" s="10">
        <v>45605</v>
      </c>
      <c r="B3368" t="s" s="11">
        <v>5</v>
      </c>
      <c r="C3368" t="s" s="12">
        <v>586</v>
      </c>
      <c r="D3368" s="17"/>
      <c r="E3368" s="17">
        <v>3650</v>
      </c>
      <c r="F3368" s="18"/>
      <c r="G3368" s="18"/>
      <c r="H3368" s="18"/>
      <c r="I3368" s="18"/>
    </row>
    <row r="3369" ht="21.25" customHeight="1">
      <c r="A3369" s="10">
        <v>45605</v>
      </c>
      <c r="B3369" t="s" s="11">
        <v>12</v>
      </c>
      <c r="C3369" t="s" s="12">
        <v>586</v>
      </c>
      <c r="D3369" s="13">
        <v>3650</v>
      </c>
      <c r="E3369" s="13"/>
      <c r="F3369" s="14"/>
      <c r="G3369" s="14"/>
      <c r="H3369" s="14"/>
      <c r="I3369" s="14"/>
    </row>
    <row r="3370" ht="20.7" customHeight="1">
      <c r="A3370" s="10">
        <v>45605</v>
      </c>
      <c r="B3370" t="s" s="11">
        <v>8</v>
      </c>
      <c r="C3370" t="s" s="12">
        <v>8</v>
      </c>
      <c r="D3370" s="15" cm="1">
        <f t="array" ref="D3370">SUM(D3368:D3369)</f>
        <v>3650</v>
      </c>
      <c r="E3370" s="15" cm="1">
        <f t="array" ref="E3370">SUM(E3368:E3369)</f>
        <v>3650</v>
      </c>
      <c r="F3370" s="16" cm="1">
        <f t="array" ref="F3370">SUM(F3368:F3369)</f>
        <v>0</v>
      </c>
      <c r="G3370" s="16" cm="1">
        <f t="array" ref="G3370">SUM(G3368:G3369)</f>
        <v>0</v>
      </c>
      <c r="H3370" s="16" cm="1">
        <f t="array" ref="H3370">SUM(H3368:H3369)</f>
        <v>0</v>
      </c>
      <c r="I3370" s="16" cm="1">
        <f t="array" ref="I3370">SUM(I3368:I3369)</f>
        <v>0</v>
      </c>
    </row>
    <row r="3371" ht="20.35" customHeight="1">
      <c r="A3371" s="10">
        <v>45605</v>
      </c>
      <c r="B3371" t="s" s="11">
        <v>5</v>
      </c>
      <c r="C3371" t="s" s="12">
        <v>96</v>
      </c>
      <c r="D3371" s="17">
        <v>6555</v>
      </c>
      <c r="E3371" s="17"/>
      <c r="F3371" s="18"/>
      <c r="G3371" s="18"/>
      <c r="H3371" s="18"/>
      <c r="I3371" s="18"/>
    </row>
    <row r="3372" ht="20.35" customHeight="1">
      <c r="A3372" s="10">
        <v>45605</v>
      </c>
      <c r="B3372" t="s" s="11">
        <v>107</v>
      </c>
      <c r="C3372" t="s" s="12">
        <v>96</v>
      </c>
      <c r="D3372" s="13"/>
      <c r="E3372" s="13">
        <v>6555</v>
      </c>
      <c r="F3372" s="14"/>
      <c r="G3372" s="14"/>
      <c r="H3372" s="14"/>
      <c r="I3372" s="14"/>
    </row>
    <row r="3373" ht="20.7" customHeight="1">
      <c r="A3373" s="10">
        <v>45605</v>
      </c>
      <c r="B3373" t="s" s="11">
        <v>8</v>
      </c>
      <c r="C3373" t="s" s="12">
        <v>8</v>
      </c>
      <c r="D3373" s="15" cm="1">
        <f t="array" ref="D3373">SUM(D3371:D3372)</f>
        <v>6555</v>
      </c>
      <c r="E3373" s="15" cm="1">
        <f t="array" ref="E3373">SUM(E3371:E3372)</f>
        <v>6555</v>
      </c>
      <c r="F3373" s="16" cm="1">
        <f t="array" ref="F3373">SUM(F3371:F3372)</f>
        <v>0</v>
      </c>
      <c r="G3373" s="16" cm="1">
        <f t="array" ref="G3373">SUM(G3371:G3372)</f>
        <v>0</v>
      </c>
      <c r="H3373" s="16" cm="1">
        <f t="array" ref="H3373">SUM(H3371:H3372)</f>
        <v>0</v>
      </c>
      <c r="I3373" s="16" cm="1">
        <f t="array" ref="I3373">SUM(I3371:I3372)</f>
        <v>0</v>
      </c>
    </row>
    <row r="3374" ht="20.65" customHeight="1">
      <c r="A3374" s="10">
        <v>45605</v>
      </c>
      <c r="B3374" t="s" s="11">
        <v>5</v>
      </c>
      <c r="C3374" t="s" s="12">
        <v>587</v>
      </c>
      <c r="D3374" s="17"/>
      <c r="E3374" s="17">
        <v>9500</v>
      </c>
      <c r="F3374" s="18"/>
      <c r="G3374" s="18"/>
      <c r="H3374" s="18"/>
      <c r="I3374" s="18"/>
    </row>
    <row r="3375" ht="20.65" customHeight="1">
      <c r="A3375" s="10">
        <v>45605</v>
      </c>
      <c r="B3375" t="s" s="11">
        <v>12</v>
      </c>
      <c r="C3375" t="s" s="12">
        <v>587</v>
      </c>
      <c r="D3375" s="13">
        <v>9500</v>
      </c>
      <c r="E3375" s="13"/>
      <c r="F3375" s="14"/>
      <c r="G3375" s="14"/>
      <c r="H3375" s="14"/>
      <c r="I3375" s="14"/>
    </row>
    <row r="3376" ht="20.7" customHeight="1">
      <c r="A3376" s="10">
        <v>45605</v>
      </c>
      <c r="B3376" t="s" s="11">
        <v>8</v>
      </c>
      <c r="C3376" t="s" s="12">
        <v>8</v>
      </c>
      <c r="D3376" s="15" cm="1">
        <f t="array" ref="D3376">SUM(D3374:D3375)</f>
        <v>9500</v>
      </c>
      <c r="E3376" s="15" cm="1">
        <f t="array" ref="E3376">SUM(E3374:E3375)</f>
        <v>9500</v>
      </c>
      <c r="F3376" s="16" cm="1">
        <f t="array" ref="F3376">SUM(F3374:F3375)</f>
        <v>0</v>
      </c>
      <c r="G3376" s="16" cm="1">
        <f t="array" ref="G3376">SUM(G3374:G3375)</f>
        <v>0</v>
      </c>
      <c r="H3376" s="16" cm="1">
        <f t="array" ref="H3376">SUM(H3374:H3375)</f>
        <v>0</v>
      </c>
      <c r="I3376" s="16" cm="1">
        <f t="array" ref="I3376">SUM(I3374:I3375)</f>
        <v>0</v>
      </c>
    </row>
    <row r="3377" ht="20.35" customHeight="1">
      <c r="A3377" s="10">
        <v>45605</v>
      </c>
      <c r="B3377" t="s" s="11">
        <v>107</v>
      </c>
      <c r="C3377" t="s" s="12">
        <v>588</v>
      </c>
      <c r="D3377" s="17">
        <v>1000000</v>
      </c>
      <c r="E3377" s="17"/>
      <c r="F3377" s="18"/>
      <c r="G3377" s="18"/>
      <c r="H3377" s="18"/>
      <c r="I3377" s="18"/>
    </row>
    <row r="3378" ht="20.35" customHeight="1">
      <c r="A3378" s="10">
        <v>45605</v>
      </c>
      <c r="B3378" t="s" s="11">
        <v>91</v>
      </c>
      <c r="C3378" t="s" s="12">
        <v>588</v>
      </c>
      <c r="D3378" s="13"/>
      <c r="E3378" s="13">
        <v>1000000</v>
      </c>
      <c r="F3378" s="14"/>
      <c r="G3378" s="14"/>
      <c r="H3378" s="14"/>
      <c r="I3378" s="14"/>
    </row>
    <row r="3379" ht="20.7" customHeight="1">
      <c r="A3379" s="10">
        <v>45605</v>
      </c>
      <c r="B3379" t="s" s="11">
        <v>8</v>
      </c>
      <c r="C3379" t="s" s="12">
        <v>8</v>
      </c>
      <c r="D3379" s="15" cm="1">
        <f t="array" ref="D3379">SUM(D3377:D3378)</f>
        <v>1000000</v>
      </c>
      <c r="E3379" s="15" cm="1">
        <f t="array" ref="E3379">SUM(E3377:E3378)</f>
        <v>1000000</v>
      </c>
      <c r="F3379" s="16" cm="1">
        <f t="array" ref="F3379">SUM(F3377:F3378)</f>
        <v>0</v>
      </c>
      <c r="G3379" s="16" cm="1">
        <f t="array" ref="G3379">SUM(G3377:G3378)</f>
        <v>0</v>
      </c>
      <c r="H3379" s="16" cm="1">
        <f t="array" ref="H3379">SUM(H3377:H3378)</f>
        <v>0</v>
      </c>
      <c r="I3379" s="16" cm="1">
        <f t="array" ref="I3379">SUM(I3377:I3378)</f>
        <v>0</v>
      </c>
    </row>
    <row r="3380" ht="20.35" customHeight="1">
      <c r="A3380" s="10">
        <v>45606</v>
      </c>
      <c r="B3380" t="s" s="11">
        <v>5</v>
      </c>
      <c r="C3380" t="s" s="12">
        <v>96</v>
      </c>
      <c r="D3380" s="17">
        <v>5000</v>
      </c>
      <c r="E3380" s="17"/>
      <c r="F3380" s="18"/>
      <c r="G3380" s="18"/>
      <c r="H3380" s="18"/>
      <c r="I3380" s="18"/>
    </row>
    <row r="3381" ht="20.35" customHeight="1">
      <c r="A3381" s="10">
        <v>45606</v>
      </c>
      <c r="B3381" t="s" s="11">
        <v>107</v>
      </c>
      <c r="C3381" t="s" s="12">
        <v>96</v>
      </c>
      <c r="D3381" s="13"/>
      <c r="E3381" s="13">
        <v>5000</v>
      </c>
      <c r="F3381" s="14"/>
      <c r="G3381" s="14"/>
      <c r="H3381" s="14"/>
      <c r="I3381" s="14"/>
    </row>
    <row r="3382" ht="20.7" customHeight="1">
      <c r="A3382" s="10">
        <v>45606</v>
      </c>
      <c r="B3382" t="s" s="11">
        <v>8</v>
      </c>
      <c r="C3382" t="s" s="12">
        <v>8</v>
      </c>
      <c r="D3382" s="15" cm="1">
        <f t="array" ref="D3382">SUM(D3380:D3381)</f>
        <v>5000</v>
      </c>
      <c r="E3382" s="15" cm="1">
        <f t="array" ref="E3382">SUM(E3380:E3381)</f>
        <v>5000</v>
      </c>
      <c r="F3382" s="16" cm="1">
        <f t="array" ref="F3382">SUM(F3380:F3381)</f>
        <v>0</v>
      </c>
      <c r="G3382" s="16" cm="1">
        <f t="array" ref="G3382">SUM(G3380:G3381)</f>
        <v>0</v>
      </c>
      <c r="H3382" s="16" cm="1">
        <f t="array" ref="H3382">SUM(H3380:H3381)</f>
        <v>0</v>
      </c>
      <c r="I3382" s="16" cm="1">
        <f t="array" ref="I3382">SUM(I3380:I3381)</f>
        <v>0</v>
      </c>
    </row>
    <row r="3383" ht="21.25" customHeight="1">
      <c r="A3383" s="10">
        <v>45606</v>
      </c>
      <c r="B3383" t="s" s="11">
        <v>5</v>
      </c>
      <c r="C3383" t="s" s="12">
        <v>589</v>
      </c>
      <c r="D3383" s="17"/>
      <c r="E3383" s="17">
        <v>10000</v>
      </c>
      <c r="F3383" s="18"/>
      <c r="G3383" s="18"/>
      <c r="H3383" s="18"/>
      <c r="I3383" s="18"/>
    </row>
    <row r="3384" ht="21.25" customHeight="1">
      <c r="A3384" s="10">
        <v>45606</v>
      </c>
      <c r="B3384" t="s" s="11">
        <v>12</v>
      </c>
      <c r="C3384" t="s" s="12">
        <v>589</v>
      </c>
      <c r="D3384" s="13">
        <v>10000</v>
      </c>
      <c r="E3384" s="13"/>
      <c r="F3384" s="14"/>
      <c r="G3384" s="14"/>
      <c r="H3384" s="14"/>
      <c r="I3384" s="14"/>
    </row>
    <row r="3385" ht="20.7" customHeight="1">
      <c r="A3385" s="10">
        <v>45606</v>
      </c>
      <c r="B3385" t="s" s="11">
        <v>8</v>
      </c>
      <c r="C3385" t="s" s="12">
        <v>8</v>
      </c>
      <c r="D3385" s="15" cm="1">
        <f t="array" ref="D3385">SUM(D3383:D3384)</f>
        <v>10000</v>
      </c>
      <c r="E3385" s="15" cm="1">
        <f t="array" ref="E3385">SUM(E3383:E3384)</f>
        <v>10000</v>
      </c>
      <c r="F3385" s="16" cm="1">
        <f t="array" ref="F3385">SUM(F3383:F3384)</f>
        <v>0</v>
      </c>
      <c r="G3385" s="16" cm="1">
        <f t="array" ref="G3385">SUM(G3383:G3384)</f>
        <v>0</v>
      </c>
      <c r="H3385" s="16" cm="1">
        <f t="array" ref="H3385">SUM(H3383:H3384)</f>
        <v>0</v>
      </c>
      <c r="I3385" s="16" cm="1">
        <f t="array" ref="I3385">SUM(I3383:I3384)</f>
        <v>0</v>
      </c>
    </row>
    <row r="3386" ht="20.35" customHeight="1">
      <c r="A3386" s="10">
        <v>45606</v>
      </c>
      <c r="B3386" t="s" s="11">
        <v>107</v>
      </c>
      <c r="C3386" t="s" s="12">
        <v>578</v>
      </c>
      <c r="D3386" s="17"/>
      <c r="E3386" s="17">
        <v>900000</v>
      </c>
      <c r="F3386" s="18"/>
      <c r="G3386" s="18"/>
      <c r="H3386" s="18"/>
      <c r="I3386" s="18"/>
    </row>
    <row r="3387" ht="20.35" customHeight="1">
      <c r="A3387" s="10">
        <v>45606</v>
      </c>
      <c r="B3387" t="s" s="11">
        <v>21</v>
      </c>
      <c r="C3387" t="s" s="12">
        <v>578</v>
      </c>
      <c r="D3387" s="13">
        <v>900000</v>
      </c>
      <c r="E3387" s="13"/>
      <c r="F3387" s="14"/>
      <c r="G3387" s="14"/>
      <c r="H3387" s="14"/>
      <c r="I3387" s="14"/>
    </row>
    <row r="3388" ht="20.7" customHeight="1">
      <c r="A3388" s="10">
        <v>45606</v>
      </c>
      <c r="B3388" t="s" s="11">
        <v>8</v>
      </c>
      <c r="C3388" t="s" s="12">
        <v>8</v>
      </c>
      <c r="D3388" s="15" cm="1">
        <f t="array" ref="D3388">SUM(D3386:D3387)</f>
        <v>900000</v>
      </c>
      <c r="E3388" s="15" cm="1">
        <f t="array" ref="E3388">SUM(E3386:E3387)</f>
        <v>900000</v>
      </c>
      <c r="F3388" s="16" cm="1">
        <f t="array" ref="F3388">SUM(F3386:F3387)</f>
        <v>0</v>
      </c>
      <c r="G3388" s="16" cm="1">
        <f t="array" ref="G3388">SUM(G3386:G3387)</f>
        <v>0</v>
      </c>
      <c r="H3388" s="16" cm="1">
        <f t="array" ref="H3388">SUM(H3386:H3387)</f>
        <v>0</v>
      </c>
      <c r="I3388" s="16" cm="1">
        <f t="array" ref="I3388">SUM(I3386:I3387)</f>
        <v>0</v>
      </c>
    </row>
    <row r="3389" ht="20.35" customHeight="1">
      <c r="A3389" s="10">
        <v>45606</v>
      </c>
      <c r="B3389" t="s" s="11">
        <v>107</v>
      </c>
      <c r="C3389" t="s" s="12">
        <v>590</v>
      </c>
      <c r="D3389" s="17"/>
      <c r="E3389" s="17">
        <v>25790</v>
      </c>
      <c r="F3389" s="18"/>
      <c r="G3389" s="18"/>
      <c r="H3389" s="18"/>
      <c r="I3389" s="18"/>
    </row>
    <row r="3390" ht="20.35" customHeight="1">
      <c r="A3390" s="10">
        <v>45606</v>
      </c>
      <c r="B3390" t="s" s="11">
        <v>12</v>
      </c>
      <c r="C3390" t="s" s="12">
        <v>590</v>
      </c>
      <c r="D3390" s="13">
        <v>25790</v>
      </c>
      <c r="E3390" s="13"/>
      <c r="F3390" s="14"/>
      <c r="G3390" s="14"/>
      <c r="H3390" s="14"/>
      <c r="I3390" s="14"/>
    </row>
    <row r="3391" ht="20.7" customHeight="1">
      <c r="A3391" s="10">
        <v>45606</v>
      </c>
      <c r="B3391" t="s" s="11">
        <v>8</v>
      </c>
      <c r="C3391" t="s" s="12">
        <v>8</v>
      </c>
      <c r="D3391" s="15" cm="1">
        <f t="array" ref="D3391">SUM(D3389:D3390)</f>
        <v>25790</v>
      </c>
      <c r="E3391" s="15" cm="1">
        <f t="array" ref="E3391">SUM(E3389:E3390)</f>
        <v>25790</v>
      </c>
      <c r="F3391" s="16" cm="1">
        <f t="array" ref="F3391">SUM(F3389:F3390)</f>
        <v>0</v>
      </c>
      <c r="G3391" s="16" cm="1">
        <f t="array" ref="G3391">SUM(G3389:G3390)</f>
        <v>0</v>
      </c>
      <c r="H3391" s="16" cm="1">
        <f t="array" ref="H3391">SUM(H3389:H3390)</f>
        <v>0</v>
      </c>
      <c r="I3391" s="16" cm="1">
        <f t="array" ref="I3391">SUM(I3389:I3390)</f>
        <v>0</v>
      </c>
    </row>
    <row r="3392" ht="20.65" customHeight="1">
      <c r="A3392" s="10">
        <v>45606</v>
      </c>
      <c r="B3392" t="s" s="11">
        <v>107</v>
      </c>
      <c r="C3392" t="s" s="12">
        <v>591</v>
      </c>
      <c r="D3392" s="17"/>
      <c r="E3392" s="17">
        <v>5000</v>
      </c>
      <c r="F3392" s="18"/>
      <c r="G3392" s="18"/>
      <c r="H3392" s="18"/>
      <c r="I3392" s="18"/>
    </row>
    <row r="3393" ht="20.65" customHeight="1">
      <c r="A3393" s="10">
        <v>45606</v>
      </c>
      <c r="B3393" t="s" s="11">
        <v>12</v>
      </c>
      <c r="C3393" t="s" s="12">
        <v>591</v>
      </c>
      <c r="D3393" s="13">
        <v>5000</v>
      </c>
      <c r="E3393" s="13"/>
      <c r="F3393" s="14"/>
      <c r="G3393" s="14"/>
      <c r="H3393" s="14"/>
      <c r="I3393" s="14"/>
    </row>
    <row r="3394" ht="20.7" customHeight="1">
      <c r="A3394" s="10">
        <v>45606</v>
      </c>
      <c r="B3394" t="s" s="11">
        <v>8</v>
      </c>
      <c r="C3394" t="s" s="12">
        <v>8</v>
      </c>
      <c r="D3394" s="15" cm="1">
        <f t="array" ref="D3394">SUM(D3392:D3393)</f>
        <v>5000</v>
      </c>
      <c r="E3394" s="15" cm="1">
        <f t="array" ref="E3394">SUM(E3392:E3393)</f>
        <v>5000</v>
      </c>
      <c r="F3394" s="16" cm="1">
        <f t="array" ref="F3394">SUM(F3392:F3393)</f>
        <v>0</v>
      </c>
      <c r="G3394" s="16" cm="1">
        <f t="array" ref="G3394">SUM(G3392:G3393)</f>
        <v>0</v>
      </c>
      <c r="H3394" s="16" cm="1">
        <f t="array" ref="H3394">SUM(H3392:H3393)</f>
        <v>0</v>
      </c>
      <c r="I3394" s="16" cm="1">
        <f t="array" ref="I3394">SUM(I3392:I3393)</f>
        <v>0</v>
      </c>
    </row>
    <row r="3395" ht="21.25" customHeight="1">
      <c r="A3395" s="10">
        <v>45606</v>
      </c>
      <c r="B3395" t="s" s="11">
        <v>21</v>
      </c>
      <c r="C3395" t="s" s="12">
        <v>592</v>
      </c>
      <c r="D3395" s="17"/>
      <c r="E3395" s="17">
        <v>3000</v>
      </c>
      <c r="F3395" s="18"/>
      <c r="G3395" s="18"/>
      <c r="H3395" s="18"/>
      <c r="I3395" s="18"/>
    </row>
    <row r="3396" ht="21.25" customHeight="1">
      <c r="A3396" s="10">
        <v>45606</v>
      </c>
      <c r="B3396" t="s" s="11">
        <v>16</v>
      </c>
      <c r="C3396" t="s" s="12">
        <v>592</v>
      </c>
      <c r="D3396" s="13">
        <v>3000</v>
      </c>
      <c r="E3396" s="13"/>
      <c r="F3396" s="14"/>
      <c r="G3396" s="14"/>
      <c r="H3396" s="14"/>
      <c r="I3396" s="14"/>
    </row>
    <row r="3397" ht="20.7" customHeight="1">
      <c r="A3397" s="10">
        <v>45606</v>
      </c>
      <c r="B3397" t="s" s="11">
        <v>8</v>
      </c>
      <c r="C3397" t="s" s="12">
        <v>8</v>
      </c>
      <c r="D3397" s="15" cm="1">
        <f t="array" ref="D3397">SUM(D3395:D3396)</f>
        <v>3000</v>
      </c>
      <c r="E3397" s="15" cm="1">
        <f t="array" ref="E3397">SUM(E3395:E3396)</f>
        <v>3000</v>
      </c>
      <c r="F3397" s="16" cm="1">
        <f t="array" ref="F3397">SUM(F3395:F3396)</f>
        <v>0</v>
      </c>
      <c r="G3397" s="16" cm="1">
        <f t="array" ref="G3397">SUM(G3395:G3396)</f>
        <v>0</v>
      </c>
      <c r="H3397" s="16" cm="1">
        <f t="array" ref="H3397">SUM(H3395:H3396)</f>
        <v>0</v>
      </c>
      <c r="I3397" s="16" cm="1">
        <f t="array" ref="I3397">SUM(I3395:I3396)</f>
        <v>0</v>
      </c>
    </row>
    <row r="3398" ht="20.35" customHeight="1">
      <c r="A3398" s="10">
        <v>45606</v>
      </c>
      <c r="B3398" t="s" s="11">
        <v>121</v>
      </c>
      <c r="C3398" t="s" s="12">
        <v>439</v>
      </c>
      <c r="D3398" s="17">
        <v>2000</v>
      </c>
      <c r="E3398" s="17"/>
      <c r="F3398" s="18"/>
      <c r="G3398" s="18"/>
      <c r="H3398" s="18"/>
      <c r="I3398" s="18"/>
    </row>
    <row r="3399" ht="20.35" customHeight="1">
      <c r="A3399" s="10">
        <v>45606</v>
      </c>
      <c r="B3399" t="s" s="11">
        <v>107</v>
      </c>
      <c r="C3399" t="s" s="12">
        <v>439</v>
      </c>
      <c r="D3399" s="13"/>
      <c r="E3399" s="13">
        <v>2000</v>
      </c>
      <c r="F3399" s="14"/>
      <c r="G3399" s="14"/>
      <c r="H3399" s="14"/>
      <c r="I3399" s="14"/>
    </row>
    <row r="3400" ht="20.7" customHeight="1">
      <c r="A3400" s="10">
        <v>45606</v>
      </c>
      <c r="B3400" t="s" s="11">
        <v>8</v>
      </c>
      <c r="C3400" t="s" s="12">
        <v>8</v>
      </c>
      <c r="D3400" s="15" cm="1">
        <f t="array" ref="D3400">SUM(D3398:D3399)</f>
        <v>2000</v>
      </c>
      <c r="E3400" s="15" cm="1">
        <f t="array" ref="E3400">SUM(E3398:E3399)</f>
        <v>2000</v>
      </c>
      <c r="F3400" s="16" cm="1">
        <f t="array" ref="F3400">SUM(F3398:F3399)</f>
        <v>0</v>
      </c>
      <c r="G3400" s="16" cm="1">
        <f t="array" ref="G3400">SUM(G3398:G3399)</f>
        <v>0</v>
      </c>
      <c r="H3400" s="16" cm="1">
        <f t="array" ref="H3400">SUM(H3398:H3399)</f>
        <v>0</v>
      </c>
      <c r="I3400" s="16" cm="1">
        <f t="array" ref="I3400">SUM(I3398:I3399)</f>
        <v>0</v>
      </c>
    </row>
    <row r="3401" ht="20.35" customHeight="1">
      <c r="A3401" s="10">
        <v>45606</v>
      </c>
      <c r="B3401" t="s" s="11">
        <v>21</v>
      </c>
      <c r="C3401" t="s" s="12">
        <v>593</v>
      </c>
      <c r="D3401" s="17">
        <v>8250</v>
      </c>
      <c r="E3401" s="17"/>
      <c r="F3401" s="18"/>
      <c r="G3401" s="18"/>
      <c r="H3401" s="18"/>
      <c r="I3401" s="18"/>
    </row>
    <row r="3402" ht="20.35" customHeight="1">
      <c r="A3402" s="10">
        <v>45606</v>
      </c>
      <c r="B3402" t="s" s="11">
        <v>89</v>
      </c>
      <c r="C3402" t="s" s="12">
        <v>593</v>
      </c>
      <c r="D3402" s="13"/>
      <c r="E3402" s="13">
        <v>8250</v>
      </c>
      <c r="F3402" s="14"/>
      <c r="G3402" s="14"/>
      <c r="H3402" s="14"/>
      <c r="I3402" s="14"/>
    </row>
    <row r="3403" ht="20.7" customHeight="1">
      <c r="A3403" s="10">
        <v>45606</v>
      </c>
      <c r="B3403" t="s" s="11">
        <v>8</v>
      </c>
      <c r="C3403" t="s" s="12">
        <v>8</v>
      </c>
      <c r="D3403" s="15" cm="1">
        <f t="array" ref="D3403">SUM(D3401:D3402)</f>
        <v>8250</v>
      </c>
      <c r="E3403" s="15" cm="1">
        <f t="array" ref="E3403">SUM(E3401:E3402)</f>
        <v>8250</v>
      </c>
      <c r="F3403" s="16" cm="1">
        <f t="array" ref="F3403">SUM(F3401:F3402)</f>
        <v>0</v>
      </c>
      <c r="G3403" s="16" cm="1">
        <f t="array" ref="G3403">SUM(G3401:G3402)</f>
        <v>0</v>
      </c>
      <c r="H3403" s="16" cm="1">
        <f t="array" ref="H3403">SUM(H3401:H3402)</f>
        <v>0</v>
      </c>
      <c r="I3403" s="16" cm="1">
        <f t="array" ref="I3403">SUM(I3401:I3402)</f>
        <v>0</v>
      </c>
    </row>
    <row r="3404" ht="21.25" customHeight="1">
      <c r="A3404" s="10">
        <v>45607</v>
      </c>
      <c r="B3404" t="s" s="11">
        <v>441</v>
      </c>
      <c r="C3404" t="s" s="12">
        <v>594</v>
      </c>
      <c r="D3404" s="17"/>
      <c r="E3404" s="17">
        <v>345271.12</v>
      </c>
      <c r="F3404" s="18"/>
      <c r="G3404" s="18"/>
      <c r="H3404" s="18"/>
      <c r="I3404" s="18"/>
    </row>
    <row r="3405" ht="20.05" customHeight="1">
      <c r="A3405" s="10">
        <v>45607</v>
      </c>
      <c r="B3405" t="s" s="11">
        <v>84</v>
      </c>
      <c r="C3405" t="s" s="12">
        <v>595</v>
      </c>
      <c r="D3405" s="19">
        <v>6424.12</v>
      </c>
      <c r="E3405" s="19"/>
      <c r="F3405" s="20"/>
      <c r="G3405" s="20"/>
      <c r="H3405" s="20"/>
      <c r="I3405" s="20"/>
    </row>
    <row r="3406" ht="20.35" customHeight="1">
      <c r="A3406" s="10">
        <v>45607</v>
      </c>
      <c r="B3406" t="s" s="11">
        <v>121</v>
      </c>
      <c r="C3406" t="s" s="12">
        <v>595</v>
      </c>
      <c r="D3406" s="13">
        <v>338847</v>
      </c>
      <c r="E3406" s="13"/>
      <c r="F3406" s="14"/>
      <c r="G3406" s="14"/>
      <c r="H3406" s="14"/>
      <c r="I3406" s="14"/>
    </row>
    <row r="3407" ht="20.7" customHeight="1">
      <c r="A3407" s="10">
        <v>45607</v>
      </c>
      <c r="B3407" t="s" s="11">
        <v>8</v>
      </c>
      <c r="C3407" t="s" s="12">
        <v>8</v>
      </c>
      <c r="D3407" s="15" cm="1">
        <f t="array" ref="D3407">SUM(D3404:D3406)</f>
        <v>345271.12</v>
      </c>
      <c r="E3407" s="15" cm="1">
        <f t="array" ref="E3407">SUM(E3404:E3406)</f>
        <v>345271.12</v>
      </c>
      <c r="F3407" s="16" cm="1">
        <f t="array" ref="F3407">SUM(F3404:F3406)</f>
        <v>0</v>
      </c>
      <c r="G3407" s="16" cm="1">
        <f t="array" ref="G3407">SUM(G3404:G3406)</f>
        <v>0</v>
      </c>
      <c r="H3407" s="16" cm="1">
        <f t="array" ref="H3407">SUM(H3404:H3406)</f>
        <v>0</v>
      </c>
      <c r="I3407" s="16" cm="1">
        <f t="array" ref="I3407">SUM(I3404:I3406)</f>
        <v>0</v>
      </c>
    </row>
    <row r="3408" ht="20.35" customHeight="1">
      <c r="A3408" s="10">
        <v>45607</v>
      </c>
      <c r="B3408" t="s" s="11">
        <v>107</v>
      </c>
      <c r="C3408" t="s" s="12">
        <v>439</v>
      </c>
      <c r="D3408" s="17"/>
      <c r="E3408" s="17">
        <v>60000</v>
      </c>
      <c r="F3408" s="18"/>
      <c r="G3408" s="18"/>
      <c r="H3408" s="18"/>
      <c r="I3408" s="18"/>
    </row>
    <row r="3409" ht="20.35" customHeight="1">
      <c r="A3409" s="10">
        <v>45607</v>
      </c>
      <c r="B3409" t="s" s="11">
        <v>121</v>
      </c>
      <c r="C3409" t="s" s="12">
        <v>439</v>
      </c>
      <c r="D3409" s="13">
        <v>60000</v>
      </c>
      <c r="E3409" s="13"/>
      <c r="F3409" s="14"/>
      <c r="G3409" s="14"/>
      <c r="H3409" s="14"/>
      <c r="I3409" s="14"/>
    </row>
    <row r="3410" ht="20.7" customHeight="1">
      <c r="A3410" s="10">
        <v>45607</v>
      </c>
      <c r="B3410" t="s" s="11">
        <v>8</v>
      </c>
      <c r="C3410" t="s" s="12">
        <v>8</v>
      </c>
      <c r="D3410" s="15" cm="1">
        <f t="array" ref="D3410">SUM(D3408:D3409)</f>
        <v>60000</v>
      </c>
      <c r="E3410" s="15" cm="1">
        <f t="array" ref="E3410">SUM(E3408:E3409)</f>
        <v>60000</v>
      </c>
      <c r="F3410" s="16" cm="1">
        <f t="array" ref="F3410">SUM(F3408:F3409)</f>
        <v>0</v>
      </c>
      <c r="G3410" s="16" cm="1">
        <f t="array" ref="G3410">SUM(G3408:G3409)</f>
        <v>0</v>
      </c>
      <c r="H3410" s="16" cm="1">
        <f t="array" ref="H3410">SUM(H3408:H3409)</f>
        <v>0</v>
      </c>
      <c r="I3410" s="16" cm="1">
        <f t="array" ref="I3410">SUM(I3408:I3409)</f>
        <v>0</v>
      </c>
    </row>
    <row r="3411" ht="20.35" customHeight="1">
      <c r="A3411" s="10">
        <v>45607</v>
      </c>
      <c r="B3411" t="s" s="11">
        <v>121</v>
      </c>
      <c r="C3411" t="s" s="12">
        <v>578</v>
      </c>
      <c r="D3411" s="17"/>
      <c r="E3411" s="17">
        <v>400000</v>
      </c>
      <c r="F3411" s="18"/>
      <c r="G3411" s="18"/>
      <c r="H3411" s="18"/>
      <c r="I3411" s="18"/>
    </row>
    <row r="3412" ht="20.35" customHeight="1">
      <c r="A3412" s="10">
        <v>45607</v>
      </c>
      <c r="B3412" t="s" s="11">
        <v>21</v>
      </c>
      <c r="C3412" t="s" s="12">
        <v>578</v>
      </c>
      <c r="D3412" s="13">
        <v>400000</v>
      </c>
      <c r="E3412" s="13"/>
      <c r="F3412" s="14"/>
      <c r="G3412" s="14"/>
      <c r="H3412" s="14"/>
      <c r="I3412" s="14"/>
    </row>
    <row r="3413" ht="20.7" customHeight="1">
      <c r="A3413" s="10">
        <v>45607</v>
      </c>
      <c r="B3413" t="s" s="11">
        <v>8</v>
      </c>
      <c r="C3413" t="s" s="12">
        <v>8</v>
      </c>
      <c r="D3413" s="15" cm="1">
        <f t="array" ref="D3413">SUM(D3411:D3412)</f>
        <v>400000</v>
      </c>
      <c r="E3413" s="15" cm="1">
        <f t="array" ref="E3413">SUM(E3411:E3412)</f>
        <v>400000</v>
      </c>
      <c r="F3413" s="16" cm="1">
        <f t="array" ref="F3413">SUM(F3411:F3412)</f>
        <v>0</v>
      </c>
      <c r="G3413" s="16" cm="1">
        <f t="array" ref="G3413">SUM(G3411:G3412)</f>
        <v>0</v>
      </c>
      <c r="H3413" s="16" cm="1">
        <f t="array" ref="H3413">SUM(H3411:H3412)</f>
        <v>0</v>
      </c>
      <c r="I3413" s="16" cm="1">
        <f t="array" ref="I3413">SUM(I3411:I3412)</f>
        <v>0</v>
      </c>
    </row>
    <row r="3414" ht="20.35" customHeight="1">
      <c r="A3414" s="10">
        <v>45607</v>
      </c>
      <c r="B3414" t="s" s="11">
        <v>5</v>
      </c>
      <c r="C3414" t="s" s="12">
        <v>96</v>
      </c>
      <c r="D3414" s="17">
        <v>2210</v>
      </c>
      <c r="E3414" s="17"/>
      <c r="F3414" s="18"/>
      <c r="G3414" s="18"/>
      <c r="H3414" s="18"/>
      <c r="I3414" s="18"/>
    </row>
    <row r="3415" ht="20.35" customHeight="1">
      <c r="A3415" s="10">
        <v>45607</v>
      </c>
      <c r="B3415" t="s" s="11">
        <v>107</v>
      </c>
      <c r="C3415" t="s" s="12">
        <v>96</v>
      </c>
      <c r="D3415" s="13"/>
      <c r="E3415" s="13">
        <v>2210</v>
      </c>
      <c r="F3415" s="14"/>
      <c r="G3415" s="14"/>
      <c r="H3415" s="14"/>
      <c r="I3415" s="14"/>
    </row>
    <row r="3416" ht="20.7" customHeight="1">
      <c r="A3416" s="10">
        <v>45607</v>
      </c>
      <c r="B3416" t="s" s="11">
        <v>8</v>
      </c>
      <c r="C3416" t="s" s="12">
        <v>8</v>
      </c>
      <c r="D3416" s="15" cm="1">
        <f t="array" ref="D3416">SUM(D3414:D3415)</f>
        <v>2210</v>
      </c>
      <c r="E3416" s="15" cm="1">
        <f t="array" ref="E3416">SUM(E3414:E3415)</f>
        <v>2210</v>
      </c>
      <c r="F3416" s="16" cm="1">
        <f t="array" ref="F3416">SUM(F3414:F3415)</f>
        <v>0</v>
      </c>
      <c r="G3416" s="16" cm="1">
        <f t="array" ref="G3416">SUM(G3414:G3415)</f>
        <v>0</v>
      </c>
      <c r="H3416" s="16" cm="1">
        <f t="array" ref="H3416">SUM(H3414:H3415)</f>
        <v>0</v>
      </c>
      <c r="I3416" s="16" cm="1">
        <f t="array" ref="I3416">SUM(I3414:I3415)</f>
        <v>0</v>
      </c>
    </row>
    <row r="3417" ht="20.35" customHeight="1">
      <c r="A3417" s="10">
        <v>45607</v>
      </c>
      <c r="B3417" t="s" s="11">
        <v>52</v>
      </c>
      <c r="C3417" t="s" s="12">
        <v>596</v>
      </c>
      <c r="D3417" s="17"/>
      <c r="E3417" s="17"/>
      <c r="F3417" s="18"/>
      <c r="G3417" s="18">
        <v>164.98</v>
      </c>
      <c r="H3417" s="18"/>
      <c r="I3417" s="18"/>
    </row>
    <row r="3418" ht="20.05" customHeight="1">
      <c r="A3418" s="10">
        <v>45607</v>
      </c>
      <c r="B3418" t="s" s="11">
        <v>63</v>
      </c>
      <c r="C3418" t="s" s="12">
        <v>596</v>
      </c>
      <c r="D3418" s="19"/>
      <c r="E3418" s="19"/>
      <c r="F3418" s="20"/>
      <c r="G3418" s="20">
        <v>8.08</v>
      </c>
      <c r="H3418" s="20"/>
      <c r="I3418" s="20"/>
    </row>
    <row r="3419" ht="20.35" customHeight="1">
      <c r="A3419" s="10">
        <v>45607</v>
      </c>
      <c r="B3419" t="s" s="11">
        <v>39</v>
      </c>
      <c r="C3419" t="s" s="12">
        <v>596</v>
      </c>
      <c r="D3419" s="13"/>
      <c r="E3419" s="13"/>
      <c r="F3419" s="14">
        <v>173.06</v>
      </c>
      <c r="G3419" s="14"/>
      <c r="H3419" s="14"/>
      <c r="I3419" s="14"/>
    </row>
    <row r="3420" ht="20.7" customHeight="1">
      <c r="A3420" s="10">
        <v>45607</v>
      </c>
      <c r="B3420" t="s" s="11">
        <v>8</v>
      </c>
      <c r="C3420" t="s" s="12">
        <v>8</v>
      </c>
      <c r="D3420" s="15" cm="1">
        <f t="array" ref="D3420">SUM(D3417:D3419)</f>
        <v>0</v>
      </c>
      <c r="E3420" s="15" cm="1">
        <f t="array" ref="E3420">SUM(E3417:E3419)</f>
        <v>0</v>
      </c>
      <c r="F3420" s="16" cm="1">
        <f t="array" ref="F3420">SUM(F3417:F3419)</f>
        <v>173.06</v>
      </c>
      <c r="G3420" s="16" cm="1">
        <f t="array" ref="G3420">SUM(G3417:G3419)</f>
        <v>173.06</v>
      </c>
      <c r="H3420" s="16" cm="1">
        <f t="array" ref="H3420">SUM(H3417:H3419)</f>
        <v>0</v>
      </c>
      <c r="I3420" s="16" cm="1">
        <f t="array" ref="I3420">SUM(I3417:I3419)</f>
        <v>0</v>
      </c>
    </row>
    <row r="3421" ht="20.35" customHeight="1">
      <c r="A3421" s="10">
        <v>45607</v>
      </c>
      <c r="B3421" t="s" s="11">
        <v>66</v>
      </c>
      <c r="C3421" t="s" s="12">
        <v>597</v>
      </c>
      <c r="D3421" s="17"/>
      <c r="E3421" s="17"/>
      <c r="F3421" s="18"/>
      <c r="G3421" s="18">
        <v>302.06</v>
      </c>
      <c r="H3421" s="18"/>
      <c r="I3421" s="18"/>
    </row>
    <row r="3422" ht="20.05" customHeight="1">
      <c r="A3422" s="10">
        <v>45607</v>
      </c>
      <c r="B3422" t="s" s="11">
        <v>63</v>
      </c>
      <c r="C3422" t="s" s="12">
        <v>598</v>
      </c>
      <c r="D3422" s="19"/>
      <c r="E3422" s="19"/>
      <c r="F3422" s="20"/>
      <c r="G3422" s="20">
        <v>30.1</v>
      </c>
      <c r="H3422" s="20"/>
      <c r="I3422" s="20"/>
    </row>
    <row r="3423" ht="20.05" customHeight="1">
      <c r="A3423" s="10">
        <v>45607</v>
      </c>
      <c r="B3423" t="s" s="11">
        <v>57</v>
      </c>
      <c r="C3423" t="s" s="12">
        <v>598</v>
      </c>
      <c r="D3423" s="19"/>
      <c r="E3423" s="19"/>
      <c r="F3423" s="20">
        <v>9.1</v>
      </c>
      <c r="G3423" s="20"/>
      <c r="H3423" s="20"/>
      <c r="I3423" s="20"/>
    </row>
    <row r="3424" ht="20.35" customHeight="1">
      <c r="A3424" s="10">
        <v>45607</v>
      </c>
      <c r="B3424" t="s" s="11">
        <v>61</v>
      </c>
      <c r="C3424" t="s" s="12">
        <v>598</v>
      </c>
      <c r="D3424" s="13"/>
      <c r="E3424" s="13"/>
      <c r="F3424" s="14">
        <v>323.06</v>
      </c>
      <c r="G3424" s="14"/>
      <c r="H3424" s="14"/>
      <c r="I3424" s="14"/>
    </row>
    <row r="3425" ht="20.7" customHeight="1">
      <c r="A3425" s="10">
        <v>45607</v>
      </c>
      <c r="B3425" t="s" s="11">
        <v>8</v>
      </c>
      <c r="C3425" t="s" s="12">
        <v>8</v>
      </c>
      <c r="D3425" s="15" cm="1">
        <f t="array" ref="D3425">SUM(D3421:D3424)</f>
        <v>0</v>
      </c>
      <c r="E3425" s="15" cm="1">
        <f t="array" ref="E3425">SUM(E3421:E3424)</f>
        <v>0</v>
      </c>
      <c r="F3425" s="16" cm="1">
        <f t="array" ref="F3425">SUM(F3421:F3424)</f>
        <v>332.16</v>
      </c>
      <c r="G3425" s="16" cm="1">
        <f t="array" ref="G3425">SUM(G3421:G3424)</f>
        <v>332.16</v>
      </c>
      <c r="H3425" s="16" cm="1">
        <f t="array" ref="H3425">SUM(H3421:H3424)</f>
        <v>0</v>
      </c>
      <c r="I3425" s="16" cm="1">
        <f t="array" ref="I3425">SUM(I3421:I3424)</f>
        <v>0</v>
      </c>
    </row>
    <row r="3426" ht="20.35" customHeight="1">
      <c r="A3426" s="10">
        <v>45607</v>
      </c>
      <c r="B3426" t="s" s="11">
        <v>66</v>
      </c>
      <c r="C3426" t="s" s="12">
        <v>599</v>
      </c>
      <c r="D3426" s="17"/>
      <c r="E3426" s="17"/>
      <c r="F3426" s="18"/>
      <c r="G3426" s="18">
        <v>4.35</v>
      </c>
      <c r="H3426" s="18"/>
      <c r="I3426" s="18"/>
    </row>
    <row r="3427" ht="20.05" customHeight="1">
      <c r="A3427" s="10">
        <v>45607</v>
      </c>
      <c r="B3427" t="s" s="11">
        <v>57</v>
      </c>
      <c r="C3427" t="s" s="12">
        <v>599</v>
      </c>
      <c r="D3427" s="19"/>
      <c r="E3427" s="19"/>
      <c r="F3427" s="20">
        <v>9.01</v>
      </c>
      <c r="G3427" s="20"/>
      <c r="H3427" s="20"/>
      <c r="I3427" s="20"/>
    </row>
    <row r="3428" ht="20.35" customHeight="1">
      <c r="A3428" s="10">
        <v>45607</v>
      </c>
      <c r="B3428" t="s" s="11">
        <v>61</v>
      </c>
      <c r="C3428" t="s" s="12">
        <v>599</v>
      </c>
      <c r="D3428" s="13"/>
      <c r="E3428" s="13"/>
      <c r="F3428" s="21"/>
      <c r="G3428" s="14">
        <v>4.66</v>
      </c>
      <c r="H3428" s="21"/>
      <c r="I3428" s="14"/>
    </row>
    <row r="3429" ht="20.7" customHeight="1">
      <c r="A3429" s="10">
        <v>45607</v>
      </c>
      <c r="B3429" t="s" s="11">
        <v>8</v>
      </c>
      <c r="C3429" t="s" s="12">
        <v>8</v>
      </c>
      <c r="D3429" s="15" cm="1">
        <f t="array" ref="D3429">SUM(D3426:D3428)</f>
        <v>0</v>
      </c>
      <c r="E3429" s="15" cm="1">
        <f t="array" ref="E3429">SUM(E3426:E3428)</f>
        <v>0</v>
      </c>
      <c r="F3429" s="16" cm="1">
        <f t="array" ref="F3429">SUM(F3426:F3428)</f>
        <v>9.01</v>
      </c>
      <c r="G3429" s="16" cm="1">
        <f t="array" ref="G3429">SUM(G3426:G3428)</f>
        <v>9.01</v>
      </c>
      <c r="H3429" s="16" cm="1">
        <f t="array" ref="H3429">SUM(H3426:H3428)</f>
        <v>0</v>
      </c>
      <c r="I3429" s="16" cm="1">
        <f t="array" ref="I3429">SUM(I3426:I3428)</f>
        <v>0</v>
      </c>
    </row>
    <row r="3430" ht="20.35" customHeight="1">
      <c r="A3430" s="10">
        <v>45607</v>
      </c>
      <c r="B3430" t="s" s="11">
        <v>66</v>
      </c>
      <c r="C3430" t="s" s="12">
        <v>600</v>
      </c>
      <c r="D3430" s="17"/>
      <c r="E3430" s="17"/>
      <c r="F3430" s="18"/>
      <c r="G3430" s="18">
        <v>1.95</v>
      </c>
      <c r="H3430" s="18"/>
      <c r="I3430" s="18"/>
    </row>
    <row r="3431" ht="20.35" customHeight="1">
      <c r="A3431" s="10">
        <v>45607</v>
      </c>
      <c r="B3431" t="s" s="11">
        <v>57</v>
      </c>
      <c r="C3431" t="s" s="12">
        <v>600</v>
      </c>
      <c r="D3431" s="13"/>
      <c r="E3431" s="13"/>
      <c r="F3431" s="14">
        <v>1.95</v>
      </c>
      <c r="G3431" s="14"/>
      <c r="H3431" s="14"/>
      <c r="I3431" s="14"/>
    </row>
    <row r="3432" ht="20.7" customHeight="1">
      <c r="A3432" s="10">
        <v>45607</v>
      </c>
      <c r="B3432" t="s" s="11">
        <v>8</v>
      </c>
      <c r="C3432" t="s" s="12">
        <v>8</v>
      </c>
      <c r="D3432" s="15" cm="1">
        <f t="array" ref="D3432">SUM(D3430:D3431)</f>
        <v>0</v>
      </c>
      <c r="E3432" s="15" cm="1">
        <f t="array" ref="E3432">SUM(E3430:E3431)</f>
        <v>0</v>
      </c>
      <c r="F3432" s="16" cm="1">
        <f t="array" ref="F3432">SUM(F3430:F3431)</f>
        <v>1.95</v>
      </c>
      <c r="G3432" s="16" cm="1">
        <f t="array" ref="G3432">SUM(G3430:G3431)</f>
        <v>1.95</v>
      </c>
      <c r="H3432" s="16" cm="1">
        <f t="array" ref="H3432">SUM(H3430:H3431)</f>
        <v>0</v>
      </c>
      <c r="I3432" s="16" cm="1">
        <f t="array" ref="I3432">SUM(I3430:I3431)</f>
        <v>0</v>
      </c>
    </row>
    <row r="3433" ht="20.35" customHeight="1">
      <c r="A3433" s="10">
        <v>45607</v>
      </c>
      <c r="B3433" t="s" s="11">
        <v>41</v>
      </c>
      <c r="C3433" t="s" s="12">
        <v>40</v>
      </c>
      <c r="D3433" s="17"/>
      <c r="E3433" s="17"/>
      <c r="F3433" s="18"/>
      <c r="G3433" s="18">
        <v>400</v>
      </c>
      <c r="H3433" s="18"/>
      <c r="I3433" s="18"/>
    </row>
    <row r="3434" ht="20.35" customHeight="1">
      <c r="A3434" s="10">
        <v>45607</v>
      </c>
      <c r="B3434" t="s" s="11">
        <v>39</v>
      </c>
      <c r="C3434" t="s" s="12">
        <v>40</v>
      </c>
      <c r="D3434" s="13"/>
      <c r="E3434" s="13"/>
      <c r="F3434" s="14">
        <v>400</v>
      </c>
      <c r="G3434" s="14"/>
      <c r="H3434" s="14"/>
      <c r="I3434" s="14"/>
    </row>
    <row r="3435" ht="20.7" customHeight="1">
      <c r="A3435" s="10">
        <v>45607</v>
      </c>
      <c r="B3435" t="s" s="11">
        <v>8</v>
      </c>
      <c r="C3435" t="s" s="12">
        <v>8</v>
      </c>
      <c r="D3435" s="15" cm="1">
        <f t="array" ref="D3435">SUM(D3433:D3434)</f>
        <v>0</v>
      </c>
      <c r="E3435" s="15" cm="1">
        <f t="array" ref="E3435">SUM(E3433:E3434)</f>
        <v>0</v>
      </c>
      <c r="F3435" s="16" cm="1">
        <f t="array" ref="F3435">SUM(F3433:F3434)</f>
        <v>400</v>
      </c>
      <c r="G3435" s="16" cm="1">
        <f t="array" ref="G3435">SUM(G3433:G3434)</f>
        <v>400</v>
      </c>
      <c r="H3435" s="16" cm="1">
        <f t="array" ref="H3435">SUM(H3433:H3434)</f>
        <v>0</v>
      </c>
      <c r="I3435" s="16" cm="1">
        <f t="array" ref="I3435">SUM(I3433:I3434)</f>
        <v>0</v>
      </c>
    </row>
    <row r="3436" ht="20.35" customHeight="1">
      <c r="A3436" s="10">
        <v>45607</v>
      </c>
      <c r="B3436" t="s" s="11">
        <v>5</v>
      </c>
      <c r="C3436" t="s" s="12">
        <v>17</v>
      </c>
      <c r="D3436" s="17">
        <v>100</v>
      </c>
      <c r="E3436" s="17"/>
      <c r="F3436" s="18"/>
      <c r="G3436" s="18"/>
      <c r="H3436" s="18"/>
      <c r="I3436" s="18"/>
    </row>
    <row r="3437" ht="20.35" customHeight="1">
      <c r="A3437" s="10">
        <v>45607</v>
      </c>
      <c r="B3437" t="s" s="11">
        <v>18</v>
      </c>
      <c r="C3437" t="s" s="12">
        <v>17</v>
      </c>
      <c r="D3437" s="13"/>
      <c r="E3437" s="13">
        <v>100</v>
      </c>
      <c r="F3437" s="14"/>
      <c r="G3437" s="14"/>
      <c r="H3437" s="14"/>
      <c r="I3437" s="14"/>
    </row>
    <row r="3438" ht="20.7" customHeight="1">
      <c r="A3438" s="10">
        <v>45607</v>
      </c>
      <c r="B3438" t="s" s="11">
        <v>8</v>
      </c>
      <c r="C3438" t="s" s="12">
        <v>8</v>
      </c>
      <c r="D3438" s="15" cm="1">
        <f t="array" ref="D3438">SUM(D3436:D3437)</f>
        <v>100</v>
      </c>
      <c r="E3438" s="15" cm="1">
        <f t="array" ref="E3438">SUM(E3436:E3437)</f>
        <v>100</v>
      </c>
      <c r="F3438" s="16" cm="1">
        <f t="array" ref="F3438">SUM(F3436:F3437)</f>
        <v>0</v>
      </c>
      <c r="G3438" s="16" cm="1">
        <f t="array" ref="G3438">SUM(G3436:G3437)</f>
        <v>0</v>
      </c>
      <c r="H3438" s="16" cm="1">
        <f t="array" ref="H3438">SUM(H3436:H3437)</f>
        <v>0</v>
      </c>
      <c r="I3438" s="16" cm="1">
        <f t="array" ref="I3438">SUM(I3436:I3437)</f>
        <v>0</v>
      </c>
    </row>
    <row r="3439" ht="20.35" customHeight="1">
      <c r="A3439" s="10">
        <v>45607</v>
      </c>
      <c r="B3439" t="s" s="11">
        <v>28</v>
      </c>
      <c r="C3439" t="s" s="12">
        <v>601</v>
      </c>
      <c r="D3439" s="17"/>
      <c r="E3439" s="17">
        <v>30000</v>
      </c>
      <c r="F3439" s="18"/>
      <c r="G3439" s="18"/>
      <c r="H3439" s="18"/>
      <c r="I3439" s="18"/>
    </row>
    <row r="3440" ht="20.35" customHeight="1">
      <c r="A3440" s="10">
        <v>45607</v>
      </c>
      <c r="B3440" t="s" s="11">
        <v>5</v>
      </c>
      <c r="C3440" t="s" s="12">
        <v>601</v>
      </c>
      <c r="D3440" s="13">
        <v>30000</v>
      </c>
      <c r="E3440" s="13"/>
      <c r="F3440" s="14"/>
      <c r="G3440" s="14"/>
      <c r="H3440" s="14"/>
      <c r="I3440" s="14"/>
    </row>
    <row r="3441" ht="20.7" customHeight="1">
      <c r="A3441" s="10">
        <v>45607</v>
      </c>
      <c r="B3441" t="s" s="11">
        <v>8</v>
      </c>
      <c r="C3441" t="s" s="12">
        <v>8</v>
      </c>
      <c r="D3441" s="15" cm="1">
        <f t="array" ref="D3441">SUM(D3439:D3440)</f>
        <v>30000</v>
      </c>
      <c r="E3441" s="15" cm="1">
        <f t="array" ref="E3441">SUM(E3439:E3440)</f>
        <v>30000</v>
      </c>
      <c r="F3441" s="16" cm="1">
        <f t="array" ref="F3441">SUM(F3439:F3440)</f>
        <v>0</v>
      </c>
      <c r="G3441" s="16" cm="1">
        <f t="array" ref="G3441">SUM(G3439:G3440)</f>
        <v>0</v>
      </c>
      <c r="H3441" s="16" cm="1">
        <f t="array" ref="H3441">SUM(H3439:H3440)</f>
        <v>0</v>
      </c>
      <c r="I3441" s="16" cm="1">
        <f t="array" ref="I3441">SUM(I3439:I3440)</f>
        <v>0</v>
      </c>
    </row>
    <row r="3442" ht="20.35" customHeight="1">
      <c r="A3442" s="10">
        <v>45607</v>
      </c>
      <c r="B3442" t="s" s="11">
        <v>121</v>
      </c>
      <c r="C3442" t="s" s="12">
        <v>491</v>
      </c>
      <c r="D3442" s="17"/>
      <c r="E3442" s="17">
        <v>847</v>
      </c>
      <c r="F3442" s="18"/>
      <c r="G3442" s="18"/>
      <c r="H3442" s="18"/>
      <c r="I3442" s="18"/>
    </row>
    <row r="3443" ht="20.35" customHeight="1">
      <c r="A3443" s="10">
        <v>45607</v>
      </c>
      <c r="B3443" t="s" s="11">
        <v>10</v>
      </c>
      <c r="C3443" t="s" s="12">
        <v>491</v>
      </c>
      <c r="D3443" s="13">
        <v>847</v>
      </c>
      <c r="E3443" s="13"/>
      <c r="F3443" s="14"/>
      <c r="G3443" s="14"/>
      <c r="H3443" s="14"/>
      <c r="I3443" s="14"/>
    </row>
    <row r="3444" ht="20.7" customHeight="1">
      <c r="A3444" s="10">
        <v>45607</v>
      </c>
      <c r="B3444" t="s" s="11">
        <v>8</v>
      </c>
      <c r="C3444" t="s" s="12">
        <v>8</v>
      </c>
      <c r="D3444" s="15" cm="1">
        <f t="array" ref="D3444">SUM(D3442:D3443)</f>
        <v>847</v>
      </c>
      <c r="E3444" s="15" cm="1">
        <f t="array" ref="E3444">SUM(E3442:E3443)</f>
        <v>847</v>
      </c>
      <c r="F3444" s="16" cm="1">
        <f t="array" ref="F3444">SUM(F3442:F3443)</f>
        <v>0</v>
      </c>
      <c r="G3444" s="16" cm="1">
        <f t="array" ref="G3444">SUM(G3442:G3443)</f>
        <v>0</v>
      </c>
      <c r="H3444" s="16" cm="1">
        <f t="array" ref="H3444">SUM(H3442:H3443)</f>
        <v>0</v>
      </c>
      <c r="I3444" s="16" cm="1">
        <f t="array" ref="I3444">SUM(I3442:I3443)</f>
        <v>0</v>
      </c>
    </row>
    <row r="3445" ht="20.35" customHeight="1">
      <c r="A3445" s="10">
        <v>45607</v>
      </c>
      <c r="B3445" t="s" s="11">
        <v>5</v>
      </c>
      <c r="C3445" t="s" s="12">
        <v>602</v>
      </c>
      <c r="D3445" s="17"/>
      <c r="E3445" s="17">
        <v>18000</v>
      </c>
      <c r="F3445" s="18"/>
      <c r="G3445" s="18"/>
      <c r="H3445" s="18"/>
      <c r="I3445" s="18"/>
    </row>
    <row r="3446" ht="20.35" customHeight="1">
      <c r="A3446" s="10">
        <v>45607</v>
      </c>
      <c r="B3446" t="s" s="11">
        <v>10</v>
      </c>
      <c r="C3446" t="s" s="12">
        <v>602</v>
      </c>
      <c r="D3446" s="13">
        <v>18000</v>
      </c>
      <c r="E3446" s="13"/>
      <c r="F3446" s="14"/>
      <c r="G3446" s="14"/>
      <c r="H3446" s="14"/>
      <c r="I3446" s="14"/>
    </row>
    <row r="3447" ht="20.7" customHeight="1">
      <c r="A3447" s="10">
        <v>45607</v>
      </c>
      <c r="B3447" t="s" s="11">
        <v>8</v>
      </c>
      <c r="C3447" t="s" s="12">
        <v>8</v>
      </c>
      <c r="D3447" s="15" cm="1">
        <f t="array" ref="D3447">SUM(D3445:D3446)</f>
        <v>18000</v>
      </c>
      <c r="E3447" s="15" cm="1">
        <f t="array" ref="E3447">SUM(E3445:E3446)</f>
        <v>18000</v>
      </c>
      <c r="F3447" s="16" cm="1">
        <f t="array" ref="F3447">SUM(F3445:F3446)</f>
        <v>0</v>
      </c>
      <c r="G3447" s="16" cm="1">
        <f t="array" ref="G3447">SUM(G3445:G3446)</f>
        <v>0</v>
      </c>
      <c r="H3447" s="16" cm="1">
        <f t="array" ref="H3447">SUM(H3445:H3446)</f>
        <v>0</v>
      </c>
      <c r="I3447" s="16" cm="1">
        <f t="array" ref="I3447">SUM(I3445:I3446)</f>
        <v>0</v>
      </c>
    </row>
    <row r="3448" ht="20.35" customHeight="1">
      <c r="A3448" s="10">
        <v>45607</v>
      </c>
      <c r="B3448" t="s" s="11">
        <v>5</v>
      </c>
      <c r="C3448" t="s" s="12">
        <v>439</v>
      </c>
      <c r="D3448" s="17"/>
      <c r="E3448" s="17">
        <v>2000</v>
      </c>
      <c r="F3448" s="18"/>
      <c r="G3448" s="18"/>
      <c r="H3448" s="18"/>
      <c r="I3448" s="18"/>
    </row>
    <row r="3449" ht="20.35" customHeight="1">
      <c r="A3449" s="10">
        <v>45607</v>
      </c>
      <c r="B3449" t="s" s="11">
        <v>121</v>
      </c>
      <c r="C3449" t="s" s="12">
        <v>439</v>
      </c>
      <c r="D3449" s="13">
        <v>2000</v>
      </c>
      <c r="E3449" s="13"/>
      <c r="F3449" s="14"/>
      <c r="G3449" s="14"/>
      <c r="H3449" s="14"/>
      <c r="I3449" s="14"/>
    </row>
    <row r="3450" ht="20.7" customHeight="1">
      <c r="A3450" s="10">
        <v>45607</v>
      </c>
      <c r="B3450" t="s" s="11">
        <v>8</v>
      </c>
      <c r="C3450" t="s" s="12">
        <v>8</v>
      </c>
      <c r="D3450" s="15" cm="1">
        <f t="array" ref="D3450">SUM(D3448:D3449)</f>
        <v>2000</v>
      </c>
      <c r="E3450" s="15" cm="1">
        <f t="array" ref="E3450">SUM(E3448:E3449)</f>
        <v>2000</v>
      </c>
      <c r="F3450" s="16" cm="1">
        <f t="array" ref="F3450">SUM(F3448:F3449)</f>
        <v>0</v>
      </c>
      <c r="G3450" s="16" cm="1">
        <f t="array" ref="G3450">SUM(G3448:G3449)</f>
        <v>0</v>
      </c>
      <c r="H3450" s="16" cm="1">
        <f t="array" ref="H3450">SUM(H3448:H3449)</f>
        <v>0</v>
      </c>
      <c r="I3450" s="16" cm="1">
        <f t="array" ref="I3450">SUM(I3448:I3449)</f>
        <v>0</v>
      </c>
    </row>
    <row r="3451" ht="20.35" customHeight="1">
      <c r="A3451" s="10">
        <v>45607</v>
      </c>
      <c r="B3451" t="s" s="11">
        <v>39</v>
      </c>
      <c r="C3451" t="s" s="12">
        <v>603</v>
      </c>
      <c r="D3451" s="17"/>
      <c r="E3451" s="17"/>
      <c r="F3451" s="18"/>
      <c r="G3451" s="18">
        <v>573.0599999999999</v>
      </c>
      <c r="H3451" s="18"/>
      <c r="I3451" s="18"/>
    </row>
    <row r="3452" ht="20.05" customHeight="1">
      <c r="A3452" s="10">
        <v>45607</v>
      </c>
      <c r="B3452" t="s" s="11">
        <v>44</v>
      </c>
      <c r="C3452" t="s" s="12">
        <v>603</v>
      </c>
      <c r="D3452" s="19"/>
      <c r="E3452" s="19"/>
      <c r="F3452" s="20">
        <v>560.86</v>
      </c>
      <c r="G3452" s="20"/>
      <c r="H3452" s="20"/>
      <c r="I3452" s="20"/>
    </row>
    <row r="3453" ht="20.05" customHeight="1">
      <c r="A3453" s="10">
        <v>45607</v>
      </c>
      <c r="B3453" t="s" s="11">
        <v>43</v>
      </c>
      <c r="C3453" t="s" s="12">
        <v>603</v>
      </c>
      <c r="D3453" s="19"/>
      <c r="E3453" s="19"/>
      <c r="F3453" s="20">
        <v>12.2</v>
      </c>
      <c r="G3453" s="20"/>
      <c r="H3453" s="20"/>
      <c r="I3453" s="20"/>
    </row>
    <row r="3454" ht="20.05" customHeight="1">
      <c r="A3454" s="10">
        <v>45607</v>
      </c>
      <c r="B3454" t="s" s="11">
        <v>5</v>
      </c>
      <c r="C3454" t="s" s="12">
        <v>603</v>
      </c>
      <c r="D3454" s="19">
        <v>177921</v>
      </c>
      <c r="E3454" s="19"/>
      <c r="F3454" s="20"/>
      <c r="G3454" s="20"/>
      <c r="H3454" s="20"/>
      <c r="I3454" s="20"/>
    </row>
    <row r="3455" ht="20.35" customHeight="1">
      <c r="A3455" s="10">
        <v>45607</v>
      </c>
      <c r="B3455" t="s" s="11">
        <v>46</v>
      </c>
      <c r="C3455" t="s" s="12">
        <v>603</v>
      </c>
      <c r="D3455" s="13"/>
      <c r="E3455" s="13">
        <v>177921</v>
      </c>
      <c r="F3455" s="14"/>
      <c r="G3455" s="14"/>
      <c r="H3455" s="14"/>
      <c r="I3455" s="14"/>
    </row>
    <row r="3456" ht="20.7" customHeight="1">
      <c r="A3456" s="10">
        <v>45607</v>
      </c>
      <c r="B3456" t="s" s="11">
        <v>8</v>
      </c>
      <c r="C3456" t="s" s="12">
        <v>8</v>
      </c>
      <c r="D3456" s="15" cm="1">
        <f t="array" ref="D3456">SUM(D3451:D3455)</f>
        <v>177921</v>
      </c>
      <c r="E3456" s="15" cm="1">
        <f t="array" ref="E3456">SUM(E3451:E3455)</f>
        <v>177921</v>
      </c>
      <c r="F3456" s="16" cm="1">
        <f t="array" ref="F3456">SUM(F3451:F3455)</f>
        <v>573.0599999999999</v>
      </c>
      <c r="G3456" s="16" cm="1">
        <f t="array" ref="G3456">SUM(G3451:G3455)</f>
        <v>573.0599999999999</v>
      </c>
      <c r="H3456" s="16" cm="1">
        <f t="array" ref="H3456">SUM(H3451:H3455)</f>
        <v>0</v>
      </c>
      <c r="I3456" s="16" cm="1">
        <f t="array" ref="I3456">SUM(I3451:I3455)</f>
        <v>0</v>
      </c>
    </row>
    <row r="3457" ht="20.35" customHeight="1">
      <c r="A3457" s="10">
        <v>45607</v>
      </c>
      <c r="B3457" t="s" s="11">
        <v>5</v>
      </c>
      <c r="C3457" t="s" s="12">
        <v>604</v>
      </c>
      <c r="D3457" s="17"/>
      <c r="E3457" s="17">
        <v>20000</v>
      </c>
      <c r="F3457" s="18"/>
      <c r="G3457" s="18"/>
      <c r="H3457" s="18"/>
      <c r="I3457" s="18"/>
    </row>
    <row r="3458" ht="20.35" customHeight="1">
      <c r="A3458" s="10">
        <v>45607</v>
      </c>
      <c r="B3458" t="s" s="11">
        <v>93</v>
      </c>
      <c r="C3458" t="s" s="12">
        <v>604</v>
      </c>
      <c r="D3458" s="13">
        <v>20000</v>
      </c>
      <c r="E3458" s="13"/>
      <c r="F3458" s="14"/>
      <c r="G3458" s="14"/>
      <c r="H3458" s="14"/>
      <c r="I3458" s="14"/>
    </row>
    <row r="3459" ht="20.7" customHeight="1">
      <c r="A3459" s="10">
        <v>45607</v>
      </c>
      <c r="B3459" t="s" s="11">
        <v>8</v>
      </c>
      <c r="C3459" t="s" s="12">
        <v>8</v>
      </c>
      <c r="D3459" s="15" cm="1">
        <f t="array" ref="D3459">SUM(D3457:D3458)</f>
        <v>20000</v>
      </c>
      <c r="E3459" s="15" cm="1">
        <f t="array" ref="E3459">SUM(E3457:E3458)</f>
        <v>20000</v>
      </c>
      <c r="F3459" s="16" cm="1">
        <f t="array" ref="F3459">SUM(F3457:F3458)</f>
        <v>0</v>
      </c>
      <c r="G3459" s="16" cm="1">
        <f t="array" ref="G3459">SUM(G3457:G3458)</f>
        <v>0</v>
      </c>
      <c r="H3459" s="16" cm="1">
        <f t="array" ref="H3459">SUM(H3457:H3458)</f>
        <v>0</v>
      </c>
      <c r="I3459" s="16" cm="1">
        <f t="array" ref="I3459">SUM(I3457:I3458)</f>
        <v>0</v>
      </c>
    </row>
    <row r="3460" ht="20.35" customHeight="1">
      <c r="A3460" s="10">
        <v>45607</v>
      </c>
      <c r="B3460" t="s" s="11">
        <v>93</v>
      </c>
      <c r="C3460" t="s" s="12">
        <v>20</v>
      </c>
      <c r="D3460" s="17"/>
      <c r="E3460" s="17">
        <v>20000</v>
      </c>
      <c r="F3460" s="18"/>
      <c r="G3460" s="18"/>
      <c r="H3460" s="18"/>
      <c r="I3460" s="18"/>
    </row>
    <row r="3461" ht="20.35" customHeight="1">
      <c r="A3461" s="10">
        <v>45607</v>
      </c>
      <c r="B3461" t="s" s="11">
        <v>89</v>
      </c>
      <c r="C3461" t="s" s="12">
        <v>20</v>
      </c>
      <c r="D3461" s="13">
        <v>20000</v>
      </c>
      <c r="E3461" s="13"/>
      <c r="F3461" s="14"/>
      <c r="G3461" s="14"/>
      <c r="H3461" s="14"/>
      <c r="I3461" s="14"/>
    </row>
    <row r="3462" ht="20.7" customHeight="1">
      <c r="A3462" s="10">
        <v>45607</v>
      </c>
      <c r="B3462" t="s" s="11">
        <v>8</v>
      </c>
      <c r="C3462" t="s" s="12">
        <v>8</v>
      </c>
      <c r="D3462" s="15" cm="1">
        <f t="array" ref="D3462">SUM(D3460:D3461)</f>
        <v>20000</v>
      </c>
      <c r="E3462" s="15" cm="1">
        <f t="array" ref="E3462">SUM(E3460:E3461)</f>
        <v>20000</v>
      </c>
      <c r="F3462" s="16" cm="1">
        <f t="array" ref="F3462">SUM(F3460:F3461)</f>
        <v>0</v>
      </c>
      <c r="G3462" s="16" cm="1">
        <f t="array" ref="G3462">SUM(G3460:G3461)</f>
        <v>0</v>
      </c>
      <c r="H3462" s="16" cm="1">
        <f t="array" ref="H3462">SUM(H3460:H3461)</f>
        <v>0</v>
      </c>
      <c r="I3462" s="16" cm="1">
        <f t="array" ref="I3462">SUM(I3460:I3461)</f>
        <v>0</v>
      </c>
    </row>
    <row r="3463" ht="21.25" customHeight="1">
      <c r="A3463" s="10">
        <v>45607</v>
      </c>
      <c r="B3463" t="s" s="11">
        <v>21</v>
      </c>
      <c r="C3463" t="s" s="12">
        <v>605</v>
      </c>
      <c r="D3463" s="17"/>
      <c r="E3463" s="17">
        <v>1500</v>
      </c>
      <c r="F3463" s="18"/>
      <c r="G3463" s="18"/>
      <c r="H3463" s="18"/>
      <c r="I3463" s="18"/>
    </row>
    <row r="3464" ht="21.25" customHeight="1">
      <c r="A3464" s="10">
        <v>45607</v>
      </c>
      <c r="B3464" t="s" s="11">
        <v>16</v>
      </c>
      <c r="C3464" t="s" s="12">
        <v>605</v>
      </c>
      <c r="D3464" s="13">
        <v>1500</v>
      </c>
      <c r="E3464" s="13"/>
      <c r="F3464" s="14"/>
      <c r="G3464" s="14"/>
      <c r="H3464" s="14"/>
      <c r="I3464" s="14"/>
    </row>
    <row r="3465" ht="20.7" customHeight="1">
      <c r="A3465" s="10">
        <v>45607</v>
      </c>
      <c r="B3465" t="s" s="11">
        <v>8</v>
      </c>
      <c r="C3465" t="s" s="12">
        <v>8</v>
      </c>
      <c r="D3465" s="15" cm="1">
        <f t="array" ref="D3465">SUM(D3463:D3464)</f>
        <v>1500</v>
      </c>
      <c r="E3465" s="15" cm="1">
        <f t="array" ref="E3465">SUM(E3463:E3464)</f>
        <v>1500</v>
      </c>
      <c r="F3465" s="16" cm="1">
        <f t="array" ref="F3465">SUM(F3463:F3464)</f>
        <v>0</v>
      </c>
      <c r="G3465" s="16" cm="1">
        <f t="array" ref="G3465">SUM(G3463:G3464)</f>
        <v>0</v>
      </c>
      <c r="H3465" s="16" cm="1">
        <f t="array" ref="H3465">SUM(H3463:H3464)</f>
        <v>0</v>
      </c>
      <c r="I3465" s="16" cm="1">
        <f t="array" ref="I3465">SUM(I3463:I3464)</f>
        <v>0</v>
      </c>
    </row>
    <row r="3466" ht="21.25" customHeight="1">
      <c r="A3466" s="10">
        <v>45607</v>
      </c>
      <c r="B3466" t="s" s="11">
        <v>5</v>
      </c>
      <c r="C3466" t="s" s="12">
        <v>606</v>
      </c>
      <c r="D3466" s="17"/>
      <c r="E3466" s="17">
        <v>59600</v>
      </c>
      <c r="F3466" s="18"/>
      <c r="G3466" s="18"/>
      <c r="H3466" s="18"/>
      <c r="I3466" s="18"/>
    </row>
    <row r="3467" ht="20.9" customHeight="1">
      <c r="A3467" s="10">
        <v>45607</v>
      </c>
      <c r="B3467" t="s" s="11">
        <v>89</v>
      </c>
      <c r="C3467" t="s" s="12">
        <v>606</v>
      </c>
      <c r="D3467" s="19">
        <v>29800</v>
      </c>
      <c r="E3467" s="19"/>
      <c r="F3467" s="20"/>
      <c r="G3467" s="20"/>
      <c r="H3467" s="20"/>
      <c r="I3467" s="20"/>
    </row>
    <row r="3468" ht="21.25" customHeight="1">
      <c r="A3468" s="10">
        <v>45607</v>
      </c>
      <c r="B3468" t="s" s="11">
        <v>12</v>
      </c>
      <c r="C3468" t="s" s="12">
        <v>606</v>
      </c>
      <c r="D3468" s="13">
        <v>29800</v>
      </c>
      <c r="E3468" s="13"/>
      <c r="F3468" s="14"/>
      <c r="G3468" s="14"/>
      <c r="H3468" s="14"/>
      <c r="I3468" s="14"/>
    </row>
    <row r="3469" ht="20.7" customHeight="1">
      <c r="A3469" s="10">
        <v>45607</v>
      </c>
      <c r="B3469" t="s" s="11">
        <v>8</v>
      </c>
      <c r="C3469" t="s" s="12">
        <v>8</v>
      </c>
      <c r="D3469" s="15" cm="1">
        <f t="array" ref="D3469">SUM(D3466:D3468)</f>
        <v>59600</v>
      </c>
      <c r="E3469" s="15" cm="1">
        <f t="array" ref="E3469">SUM(E3466:E3468)</f>
        <v>59600</v>
      </c>
      <c r="F3469" s="16" cm="1">
        <f t="array" ref="F3469">SUM(F3466:F3468)</f>
        <v>0</v>
      </c>
      <c r="G3469" s="16" cm="1">
        <f t="array" ref="G3469">SUM(G3466:G3468)</f>
        <v>0</v>
      </c>
      <c r="H3469" s="16" cm="1">
        <f t="array" ref="H3469">SUM(H3466:H3468)</f>
        <v>0</v>
      </c>
      <c r="I3469" s="16" cm="1">
        <f t="array" ref="I3469">SUM(I3466:I3468)</f>
        <v>0</v>
      </c>
    </row>
    <row r="3470" ht="20.35" customHeight="1">
      <c r="A3470" s="10">
        <v>45608</v>
      </c>
      <c r="B3470" t="s" s="11">
        <v>5</v>
      </c>
      <c r="C3470" t="s" s="12">
        <v>53</v>
      </c>
      <c r="D3470" s="17"/>
      <c r="E3470" s="17">
        <v>6500</v>
      </c>
      <c r="F3470" s="18"/>
      <c r="G3470" s="18"/>
      <c r="H3470" s="18"/>
      <c r="I3470" s="18"/>
    </row>
    <row r="3471" ht="20.35" customHeight="1">
      <c r="A3471" s="10">
        <v>45608</v>
      </c>
      <c r="B3471" t="s" s="11">
        <v>12</v>
      </c>
      <c r="C3471" t="s" s="12">
        <v>53</v>
      </c>
      <c r="D3471" s="13">
        <v>6500</v>
      </c>
      <c r="E3471" s="13"/>
      <c r="F3471" s="14"/>
      <c r="G3471" s="14"/>
      <c r="H3471" s="14"/>
      <c r="I3471" s="14"/>
    </row>
    <row r="3472" ht="20.7" customHeight="1">
      <c r="A3472" s="10">
        <v>45608</v>
      </c>
      <c r="B3472" t="s" s="11">
        <v>8</v>
      </c>
      <c r="C3472" t="s" s="12">
        <v>8</v>
      </c>
      <c r="D3472" s="15" cm="1">
        <f t="array" ref="D3472">SUM(D3470:D3471)</f>
        <v>6500</v>
      </c>
      <c r="E3472" s="15" cm="1">
        <f t="array" ref="E3472">SUM(E3470:E3471)</f>
        <v>6500</v>
      </c>
      <c r="F3472" s="16" cm="1">
        <f t="array" ref="F3472">SUM(F3470:F3471)</f>
        <v>0</v>
      </c>
      <c r="G3472" s="16" cm="1">
        <f t="array" ref="G3472">SUM(G3470:G3471)</f>
        <v>0</v>
      </c>
      <c r="H3472" s="16" cm="1">
        <f t="array" ref="H3472">SUM(H3470:H3471)</f>
        <v>0</v>
      </c>
      <c r="I3472" s="16" cm="1">
        <f t="array" ref="I3472">SUM(I3470:I3471)</f>
        <v>0</v>
      </c>
    </row>
    <row r="3473" ht="20.35" customHeight="1">
      <c r="A3473" s="10">
        <v>45608</v>
      </c>
      <c r="B3473" t="s" s="11">
        <v>5</v>
      </c>
      <c r="C3473" t="s" s="12">
        <v>17</v>
      </c>
      <c r="D3473" s="17">
        <v>100</v>
      </c>
      <c r="E3473" s="17"/>
      <c r="F3473" s="18"/>
      <c r="G3473" s="18"/>
      <c r="H3473" s="18"/>
      <c r="I3473" s="18"/>
    </row>
    <row r="3474" ht="20.35" customHeight="1">
      <c r="A3474" s="10">
        <v>45608</v>
      </c>
      <c r="B3474" t="s" s="11">
        <v>18</v>
      </c>
      <c r="C3474" t="s" s="12">
        <v>17</v>
      </c>
      <c r="D3474" s="13"/>
      <c r="E3474" s="13">
        <v>100</v>
      </c>
      <c r="F3474" s="14"/>
      <c r="G3474" s="14"/>
      <c r="H3474" s="14"/>
      <c r="I3474" s="14"/>
    </row>
    <row r="3475" ht="20.7" customHeight="1">
      <c r="A3475" s="10">
        <v>45608</v>
      </c>
      <c r="B3475" t="s" s="11">
        <v>8</v>
      </c>
      <c r="C3475" t="s" s="12">
        <v>8</v>
      </c>
      <c r="D3475" s="15" cm="1">
        <f t="array" ref="D3475">SUM(D3473:D3474)</f>
        <v>100</v>
      </c>
      <c r="E3475" s="15" cm="1">
        <f t="array" ref="E3475">SUM(E3473:E3474)</f>
        <v>100</v>
      </c>
      <c r="F3475" s="16" cm="1">
        <f t="array" ref="F3475">SUM(F3473:F3474)</f>
        <v>0</v>
      </c>
      <c r="G3475" s="16" cm="1">
        <f t="array" ref="G3475">SUM(G3473:G3474)</f>
        <v>0</v>
      </c>
      <c r="H3475" s="16" cm="1">
        <f t="array" ref="H3475">SUM(H3473:H3474)</f>
        <v>0</v>
      </c>
      <c r="I3475" s="16" cm="1">
        <f t="array" ref="I3475">SUM(I3473:I3474)</f>
        <v>0</v>
      </c>
    </row>
    <row r="3476" ht="21.25" customHeight="1">
      <c r="A3476" s="10">
        <v>45608</v>
      </c>
      <c r="B3476" t="s" s="11">
        <v>79</v>
      </c>
      <c r="C3476" t="s" s="12">
        <v>282</v>
      </c>
      <c r="D3476" s="17">
        <v>385</v>
      </c>
      <c r="E3476" s="17"/>
      <c r="F3476" s="18"/>
      <c r="G3476" s="18"/>
      <c r="H3476" s="18"/>
      <c r="I3476" s="18"/>
    </row>
    <row r="3477" ht="21.25" customHeight="1">
      <c r="A3477" s="10">
        <v>45608</v>
      </c>
      <c r="B3477" t="s" s="11">
        <v>91</v>
      </c>
      <c r="C3477" t="s" s="12">
        <v>282</v>
      </c>
      <c r="D3477" s="13"/>
      <c r="E3477" s="13">
        <v>385</v>
      </c>
      <c r="F3477" s="14"/>
      <c r="G3477" s="14"/>
      <c r="H3477" s="14"/>
      <c r="I3477" s="14"/>
    </row>
    <row r="3478" ht="20.7" customHeight="1">
      <c r="A3478" s="10">
        <v>45608</v>
      </c>
      <c r="B3478" t="s" s="11">
        <v>8</v>
      </c>
      <c r="C3478" t="s" s="12">
        <v>8</v>
      </c>
      <c r="D3478" s="15" cm="1">
        <f t="array" ref="D3478">SUM(D3476:D3477)</f>
        <v>385</v>
      </c>
      <c r="E3478" s="15" cm="1">
        <f t="array" ref="E3478">SUM(E3476:E3477)</f>
        <v>385</v>
      </c>
      <c r="F3478" s="16" cm="1">
        <f t="array" ref="F3478">SUM(F3476:F3477)</f>
        <v>0</v>
      </c>
      <c r="G3478" s="16" cm="1">
        <f t="array" ref="G3478">SUM(G3476:G3477)</f>
        <v>0</v>
      </c>
      <c r="H3478" s="16" cm="1">
        <f t="array" ref="H3478">SUM(H3476:H3477)</f>
        <v>0</v>
      </c>
      <c r="I3478" s="16" cm="1">
        <f t="array" ref="I3478">SUM(I3476:I3477)</f>
        <v>0</v>
      </c>
    </row>
    <row r="3479" ht="20.65" customHeight="1">
      <c r="A3479" s="10">
        <v>45608</v>
      </c>
      <c r="B3479" t="s" s="11">
        <v>5</v>
      </c>
      <c r="C3479" t="s" s="12">
        <v>607</v>
      </c>
      <c r="D3479" s="17"/>
      <c r="E3479" s="17">
        <v>9500</v>
      </c>
      <c r="F3479" s="18"/>
      <c r="G3479" s="18"/>
      <c r="H3479" s="18"/>
      <c r="I3479" s="18"/>
    </row>
    <row r="3480" ht="20.65" customHeight="1">
      <c r="A3480" s="10">
        <v>45608</v>
      </c>
      <c r="B3480" t="s" s="11">
        <v>12</v>
      </c>
      <c r="C3480" t="s" s="12">
        <v>607</v>
      </c>
      <c r="D3480" s="13">
        <v>9500</v>
      </c>
      <c r="E3480" s="13"/>
      <c r="F3480" s="14"/>
      <c r="G3480" s="14"/>
      <c r="H3480" s="14"/>
      <c r="I3480" s="14"/>
    </row>
    <row r="3481" ht="20.7" customHeight="1">
      <c r="A3481" s="10">
        <v>45608</v>
      </c>
      <c r="B3481" t="s" s="11">
        <v>8</v>
      </c>
      <c r="C3481" t="s" s="12">
        <v>8</v>
      </c>
      <c r="D3481" s="15" cm="1">
        <f t="array" ref="D3481">SUM(D3479:D3480)</f>
        <v>9500</v>
      </c>
      <c r="E3481" s="15" cm="1">
        <f t="array" ref="E3481">SUM(E3479:E3480)</f>
        <v>9500</v>
      </c>
      <c r="F3481" s="16" cm="1">
        <f t="array" ref="F3481">SUM(F3479:F3480)</f>
        <v>0</v>
      </c>
      <c r="G3481" s="16" cm="1">
        <f t="array" ref="G3481">SUM(G3479:G3480)</f>
        <v>0</v>
      </c>
      <c r="H3481" s="16" cm="1">
        <f t="array" ref="H3481">SUM(H3479:H3480)</f>
        <v>0</v>
      </c>
      <c r="I3481" s="16" cm="1">
        <f t="array" ref="I3481">SUM(I3479:I3480)</f>
        <v>0</v>
      </c>
    </row>
    <row r="3482" ht="21.25" customHeight="1">
      <c r="A3482" s="10">
        <v>45608</v>
      </c>
      <c r="B3482" t="s" s="11">
        <v>5</v>
      </c>
      <c r="C3482" t="s" s="12">
        <v>608</v>
      </c>
      <c r="D3482" s="17"/>
      <c r="E3482" s="17">
        <v>4500</v>
      </c>
      <c r="F3482" s="18"/>
      <c r="G3482" s="18"/>
      <c r="H3482" s="18"/>
      <c r="I3482" s="18"/>
    </row>
    <row r="3483" ht="21.25" customHeight="1">
      <c r="A3483" s="10">
        <v>45608</v>
      </c>
      <c r="B3483" t="s" s="11">
        <v>12</v>
      </c>
      <c r="C3483" t="s" s="12">
        <v>608</v>
      </c>
      <c r="D3483" s="13">
        <v>4500</v>
      </c>
      <c r="E3483" s="13"/>
      <c r="F3483" s="14"/>
      <c r="G3483" s="14"/>
      <c r="H3483" s="14"/>
      <c r="I3483" s="14"/>
    </row>
    <row r="3484" ht="20.7" customHeight="1">
      <c r="A3484" s="10">
        <v>45608</v>
      </c>
      <c r="B3484" t="s" s="11">
        <v>8</v>
      </c>
      <c r="C3484" t="s" s="12">
        <v>8</v>
      </c>
      <c r="D3484" s="15" cm="1">
        <f t="array" ref="D3484">SUM(D3482:D3483)</f>
        <v>4500</v>
      </c>
      <c r="E3484" s="15" cm="1">
        <f t="array" ref="E3484">SUM(E3482:E3483)</f>
        <v>4500</v>
      </c>
      <c r="F3484" s="16" cm="1">
        <f t="array" ref="F3484">SUM(F3482:F3483)</f>
        <v>0</v>
      </c>
      <c r="G3484" s="16" cm="1">
        <f t="array" ref="G3484">SUM(G3482:G3483)</f>
        <v>0</v>
      </c>
      <c r="H3484" s="16" cm="1">
        <f t="array" ref="H3484">SUM(H3482:H3483)</f>
        <v>0</v>
      </c>
      <c r="I3484" s="16" cm="1">
        <f t="array" ref="I3484">SUM(I3482:I3483)</f>
        <v>0</v>
      </c>
    </row>
    <row r="3485" ht="20.35" customHeight="1">
      <c r="A3485" s="10">
        <v>45608</v>
      </c>
      <c r="B3485" t="s" s="11">
        <v>5</v>
      </c>
      <c r="C3485" t="s" s="12">
        <v>169</v>
      </c>
      <c r="D3485" s="17"/>
      <c r="E3485" s="17">
        <v>8950</v>
      </c>
      <c r="F3485" s="18"/>
      <c r="G3485" s="18"/>
      <c r="H3485" s="18"/>
      <c r="I3485" s="18"/>
    </row>
    <row r="3486" ht="20.35" customHeight="1">
      <c r="A3486" s="10">
        <v>45608</v>
      </c>
      <c r="B3486" t="s" s="11">
        <v>12</v>
      </c>
      <c r="C3486" t="s" s="12">
        <v>169</v>
      </c>
      <c r="D3486" s="13">
        <v>8950</v>
      </c>
      <c r="E3486" s="13"/>
      <c r="F3486" s="14"/>
      <c r="G3486" s="14"/>
      <c r="H3486" s="14"/>
      <c r="I3486" s="14"/>
    </row>
    <row r="3487" ht="20.7" customHeight="1">
      <c r="A3487" s="10">
        <v>45608</v>
      </c>
      <c r="B3487" t="s" s="11">
        <v>8</v>
      </c>
      <c r="C3487" t="s" s="12">
        <v>8</v>
      </c>
      <c r="D3487" s="15" cm="1">
        <f t="array" ref="D3487">SUM(D3485:D3486)</f>
        <v>8950</v>
      </c>
      <c r="E3487" s="15" cm="1">
        <f t="array" ref="E3487">SUM(E3485:E3486)</f>
        <v>8950</v>
      </c>
      <c r="F3487" s="16" cm="1">
        <f t="array" ref="F3487">SUM(F3485:F3486)</f>
        <v>0</v>
      </c>
      <c r="G3487" s="16" cm="1">
        <f t="array" ref="G3487">SUM(G3485:G3486)</f>
        <v>0</v>
      </c>
      <c r="H3487" s="16" cm="1">
        <f t="array" ref="H3487">SUM(H3485:H3486)</f>
        <v>0</v>
      </c>
      <c r="I3487" s="16" cm="1">
        <f t="array" ref="I3487">SUM(I3485:I3486)</f>
        <v>0</v>
      </c>
    </row>
    <row r="3488" ht="20.35" customHeight="1">
      <c r="A3488" s="10">
        <v>45608</v>
      </c>
      <c r="B3488" t="s" s="11">
        <v>5</v>
      </c>
      <c r="C3488" t="s" s="12">
        <v>17</v>
      </c>
      <c r="D3488" s="17">
        <v>100</v>
      </c>
      <c r="E3488" s="17"/>
      <c r="F3488" s="18"/>
      <c r="G3488" s="18"/>
      <c r="H3488" s="18"/>
      <c r="I3488" s="18"/>
    </row>
    <row r="3489" ht="20.35" customHeight="1">
      <c r="A3489" s="10">
        <v>45608</v>
      </c>
      <c r="B3489" t="s" s="11">
        <v>18</v>
      </c>
      <c r="C3489" t="s" s="12">
        <v>17</v>
      </c>
      <c r="D3489" s="13"/>
      <c r="E3489" s="13">
        <v>100</v>
      </c>
      <c r="F3489" s="14"/>
      <c r="G3489" s="14"/>
      <c r="H3489" s="14"/>
      <c r="I3489" s="14"/>
    </row>
    <row r="3490" ht="20.7" customHeight="1">
      <c r="A3490" s="10">
        <v>45608</v>
      </c>
      <c r="B3490" t="s" s="11">
        <v>8</v>
      </c>
      <c r="C3490" t="s" s="12">
        <v>8</v>
      </c>
      <c r="D3490" s="15" cm="1">
        <f t="array" ref="D3490">SUM(D3488:D3489)</f>
        <v>100</v>
      </c>
      <c r="E3490" s="15" cm="1">
        <f t="array" ref="E3490">SUM(E3488:E3489)</f>
        <v>100</v>
      </c>
      <c r="F3490" s="16" cm="1">
        <f t="array" ref="F3490">SUM(F3488:F3489)</f>
        <v>0</v>
      </c>
      <c r="G3490" s="16" cm="1">
        <f t="array" ref="G3490">SUM(G3488:G3489)</f>
        <v>0</v>
      </c>
      <c r="H3490" s="16" cm="1">
        <f t="array" ref="H3490">SUM(H3488:H3489)</f>
        <v>0</v>
      </c>
      <c r="I3490" s="16" cm="1">
        <f t="array" ref="I3490">SUM(I3488:I3489)</f>
        <v>0</v>
      </c>
    </row>
    <row r="3491" ht="20.35" customHeight="1">
      <c r="A3491" s="10">
        <v>45608</v>
      </c>
      <c r="B3491" t="s" s="11">
        <v>121</v>
      </c>
      <c r="C3491" t="s" s="12">
        <v>491</v>
      </c>
      <c r="D3491" s="17"/>
      <c r="E3491" s="17">
        <v>858</v>
      </c>
      <c r="F3491" s="18"/>
      <c r="G3491" s="18"/>
      <c r="H3491" s="18"/>
      <c r="I3491" s="18"/>
    </row>
    <row r="3492" ht="20.35" customHeight="1">
      <c r="A3492" s="10">
        <v>45608</v>
      </c>
      <c r="B3492" t="s" s="11">
        <v>10</v>
      </c>
      <c r="C3492" t="s" s="12">
        <v>491</v>
      </c>
      <c r="D3492" s="13">
        <v>858</v>
      </c>
      <c r="E3492" s="13"/>
      <c r="F3492" s="14"/>
      <c r="G3492" s="14"/>
      <c r="H3492" s="14"/>
      <c r="I3492" s="14"/>
    </row>
    <row r="3493" ht="20.7" customHeight="1">
      <c r="A3493" s="10">
        <v>45608</v>
      </c>
      <c r="B3493" t="s" s="11">
        <v>8</v>
      </c>
      <c r="C3493" t="s" s="12">
        <v>8</v>
      </c>
      <c r="D3493" s="15" cm="1">
        <f t="array" ref="D3493">SUM(D3491:D3492)</f>
        <v>858</v>
      </c>
      <c r="E3493" s="15" cm="1">
        <f t="array" ref="E3493">SUM(E3491:E3492)</f>
        <v>858</v>
      </c>
      <c r="F3493" s="16" cm="1">
        <f t="array" ref="F3493">SUM(F3491:F3492)</f>
        <v>0</v>
      </c>
      <c r="G3493" s="16" cm="1">
        <f t="array" ref="G3493">SUM(G3491:G3492)</f>
        <v>0</v>
      </c>
      <c r="H3493" s="16" cm="1">
        <f t="array" ref="H3493">SUM(H3491:H3492)</f>
        <v>0</v>
      </c>
      <c r="I3493" s="16" cm="1">
        <f t="array" ref="I3493">SUM(I3491:I3492)</f>
        <v>0</v>
      </c>
    </row>
    <row r="3494" ht="21.25" customHeight="1">
      <c r="A3494" s="10">
        <v>45609</v>
      </c>
      <c r="B3494" t="s" s="11">
        <v>107</v>
      </c>
      <c r="C3494" t="s" s="12">
        <v>609</v>
      </c>
      <c r="D3494" s="17">
        <v>25000</v>
      </c>
      <c r="E3494" s="17"/>
      <c r="F3494" s="18"/>
      <c r="G3494" s="18"/>
      <c r="H3494" s="18"/>
      <c r="I3494" s="18"/>
    </row>
    <row r="3495" ht="21.25" customHeight="1">
      <c r="A3495" s="10">
        <v>45609</v>
      </c>
      <c r="B3495" t="s" s="11">
        <v>91</v>
      </c>
      <c r="C3495" t="s" s="12">
        <v>609</v>
      </c>
      <c r="D3495" s="13"/>
      <c r="E3495" s="13">
        <v>25000</v>
      </c>
      <c r="F3495" s="14"/>
      <c r="G3495" s="14"/>
      <c r="H3495" s="14"/>
      <c r="I3495" s="14"/>
    </row>
    <row r="3496" ht="20.7" customHeight="1">
      <c r="A3496" s="10">
        <v>45609</v>
      </c>
      <c r="B3496" t="s" s="11">
        <v>8</v>
      </c>
      <c r="C3496" t="s" s="12">
        <v>8</v>
      </c>
      <c r="D3496" s="15" cm="1">
        <f t="array" ref="D3496">SUM(D3494:D3495)</f>
        <v>25000</v>
      </c>
      <c r="E3496" s="15" cm="1">
        <f t="array" ref="E3496">SUM(E3494:E3495)</f>
        <v>25000</v>
      </c>
      <c r="F3496" s="16" cm="1">
        <f t="array" ref="F3496">SUM(F3494:F3495)</f>
        <v>0</v>
      </c>
      <c r="G3496" s="16" cm="1">
        <f t="array" ref="G3496">SUM(G3494:G3495)</f>
        <v>0</v>
      </c>
      <c r="H3496" s="16" cm="1">
        <f t="array" ref="H3496">SUM(H3494:H3495)</f>
        <v>0</v>
      </c>
      <c r="I3496" s="16" cm="1">
        <f t="array" ref="I3496">SUM(I3494:I3495)</f>
        <v>0</v>
      </c>
    </row>
    <row r="3497" ht="21.25" customHeight="1">
      <c r="A3497" s="10">
        <v>45609</v>
      </c>
      <c r="B3497" t="s" s="11">
        <v>5</v>
      </c>
      <c r="C3497" t="s" s="12">
        <v>581</v>
      </c>
      <c r="D3497" s="17"/>
      <c r="E3497" s="17">
        <v>800</v>
      </c>
      <c r="F3497" s="18"/>
      <c r="G3497" s="18"/>
      <c r="H3497" s="18"/>
      <c r="I3497" s="18"/>
    </row>
    <row r="3498" ht="21.25" customHeight="1">
      <c r="A3498" s="10">
        <v>45609</v>
      </c>
      <c r="B3498" t="s" s="11">
        <v>10</v>
      </c>
      <c r="C3498" t="s" s="12">
        <v>581</v>
      </c>
      <c r="D3498" s="13">
        <v>800</v>
      </c>
      <c r="E3498" s="13"/>
      <c r="F3498" s="14"/>
      <c r="G3498" s="14"/>
      <c r="H3498" s="14"/>
      <c r="I3498" s="14"/>
    </row>
    <row r="3499" ht="20.7" customHeight="1">
      <c r="A3499" s="10">
        <v>45609</v>
      </c>
      <c r="B3499" t="s" s="11">
        <v>8</v>
      </c>
      <c r="C3499" t="s" s="12">
        <v>8</v>
      </c>
      <c r="D3499" s="15" cm="1">
        <f t="array" ref="D3499">SUM(D3497:D3498)</f>
        <v>800</v>
      </c>
      <c r="E3499" s="15" cm="1">
        <f t="array" ref="E3499">SUM(E3497:E3498)</f>
        <v>800</v>
      </c>
      <c r="F3499" s="16" cm="1">
        <f t="array" ref="F3499">SUM(F3497:F3498)</f>
        <v>0</v>
      </c>
      <c r="G3499" s="16" cm="1">
        <f t="array" ref="G3499">SUM(G3497:G3498)</f>
        <v>0</v>
      </c>
      <c r="H3499" s="16" cm="1">
        <f t="array" ref="H3499">SUM(H3497:H3498)</f>
        <v>0</v>
      </c>
      <c r="I3499" s="16" cm="1">
        <f t="array" ref="I3499">SUM(I3497:I3498)</f>
        <v>0</v>
      </c>
    </row>
    <row r="3500" ht="20.65" customHeight="1">
      <c r="A3500" s="10">
        <v>45609</v>
      </c>
      <c r="B3500" t="s" s="11">
        <v>5</v>
      </c>
      <c r="C3500" t="s" s="12">
        <v>580</v>
      </c>
      <c r="D3500" s="17"/>
      <c r="E3500" s="17">
        <v>800</v>
      </c>
      <c r="F3500" s="18"/>
      <c r="G3500" s="18"/>
      <c r="H3500" s="18"/>
      <c r="I3500" s="18"/>
    </row>
    <row r="3501" ht="20.65" customHeight="1">
      <c r="A3501" s="10">
        <v>45609</v>
      </c>
      <c r="B3501" t="s" s="11">
        <v>12</v>
      </c>
      <c r="C3501" t="s" s="12">
        <v>580</v>
      </c>
      <c r="D3501" s="13">
        <v>800</v>
      </c>
      <c r="E3501" s="13"/>
      <c r="F3501" s="14"/>
      <c r="G3501" s="14"/>
      <c r="H3501" s="14"/>
      <c r="I3501" s="14"/>
    </row>
    <row r="3502" ht="20.7" customHeight="1">
      <c r="A3502" s="10">
        <v>45609</v>
      </c>
      <c r="B3502" t="s" s="11">
        <v>8</v>
      </c>
      <c r="C3502" t="s" s="12">
        <v>8</v>
      </c>
      <c r="D3502" s="15" cm="1">
        <f t="array" ref="D3502">SUM(D3500:D3501)</f>
        <v>800</v>
      </c>
      <c r="E3502" s="15" cm="1">
        <f t="array" ref="E3502">SUM(E3500:E3501)</f>
        <v>800</v>
      </c>
      <c r="F3502" s="16" cm="1">
        <f t="array" ref="F3502">SUM(F3500:F3501)</f>
        <v>0</v>
      </c>
      <c r="G3502" s="16" cm="1">
        <f t="array" ref="G3502">SUM(G3500:G3501)</f>
        <v>0</v>
      </c>
      <c r="H3502" s="16" cm="1">
        <f t="array" ref="H3502">SUM(H3500:H3501)</f>
        <v>0</v>
      </c>
      <c r="I3502" s="16" cm="1">
        <f t="array" ref="I3502">SUM(I3500:I3501)</f>
        <v>0</v>
      </c>
    </row>
    <row r="3503" ht="20.35" customHeight="1">
      <c r="A3503" s="10">
        <v>45609</v>
      </c>
      <c r="B3503" t="s" s="11">
        <v>61</v>
      </c>
      <c r="C3503" t="s" s="12">
        <v>597</v>
      </c>
      <c r="D3503" s="17"/>
      <c r="E3503" s="17"/>
      <c r="F3503" s="18"/>
      <c r="G3503" s="18">
        <v>323.06</v>
      </c>
      <c r="H3503" s="18"/>
      <c r="I3503" s="18"/>
    </row>
    <row r="3504" ht="20.35" customHeight="1">
      <c r="A3504" s="10">
        <v>45609</v>
      </c>
      <c r="B3504" t="s" s="11">
        <v>60</v>
      </c>
      <c r="C3504" t="s" s="12">
        <v>597</v>
      </c>
      <c r="D3504" s="13"/>
      <c r="E3504" s="13"/>
      <c r="F3504" s="14">
        <v>323.06</v>
      </c>
      <c r="G3504" s="14"/>
      <c r="H3504" s="14"/>
      <c r="I3504" s="14"/>
    </row>
    <row r="3505" ht="20.7" customHeight="1">
      <c r="A3505" s="10">
        <v>45609</v>
      </c>
      <c r="B3505" t="s" s="11">
        <v>8</v>
      </c>
      <c r="C3505" t="s" s="12">
        <v>8</v>
      </c>
      <c r="D3505" s="15" cm="1">
        <f t="array" ref="D3505">SUM(D3503:D3504)</f>
        <v>0</v>
      </c>
      <c r="E3505" s="15" cm="1">
        <f t="array" ref="E3505">SUM(E3503:E3504)</f>
        <v>0</v>
      </c>
      <c r="F3505" s="16" cm="1">
        <f t="array" ref="F3505">SUM(F3503:F3504)</f>
        <v>323.06</v>
      </c>
      <c r="G3505" s="16" cm="1">
        <f t="array" ref="G3505">SUM(G3503:G3504)</f>
        <v>323.06</v>
      </c>
      <c r="H3505" s="16" cm="1">
        <f t="array" ref="H3505">SUM(H3503:H3504)</f>
        <v>0</v>
      </c>
      <c r="I3505" s="16" cm="1">
        <f t="array" ref="I3505">SUM(I3503:I3504)</f>
        <v>0</v>
      </c>
    </row>
    <row r="3506" ht="20.35" customHeight="1">
      <c r="A3506" s="10">
        <v>45609</v>
      </c>
      <c r="B3506" t="s" s="11">
        <v>61</v>
      </c>
      <c r="C3506" t="s" s="12">
        <v>599</v>
      </c>
      <c r="D3506" s="17"/>
      <c r="E3506" s="17"/>
      <c r="F3506" s="18">
        <v>4.66</v>
      </c>
      <c r="G3506" s="18"/>
      <c r="H3506" s="18"/>
      <c r="I3506" s="18"/>
    </row>
    <row r="3507" ht="20.35" customHeight="1">
      <c r="A3507" s="10">
        <v>45609</v>
      </c>
      <c r="B3507" t="s" s="11">
        <v>60</v>
      </c>
      <c r="C3507" t="s" s="12">
        <v>599</v>
      </c>
      <c r="D3507" s="13"/>
      <c r="E3507" s="13"/>
      <c r="F3507" s="14"/>
      <c r="G3507" s="14">
        <v>4.66</v>
      </c>
      <c r="H3507" s="14"/>
      <c r="I3507" s="14"/>
    </row>
    <row r="3508" ht="20.7" customHeight="1">
      <c r="A3508" s="10">
        <v>45609</v>
      </c>
      <c r="B3508" t="s" s="11">
        <v>8</v>
      </c>
      <c r="C3508" t="s" s="12">
        <v>8</v>
      </c>
      <c r="D3508" s="15" cm="1">
        <f t="array" ref="D3508">SUM(D3506:D3507)</f>
        <v>0</v>
      </c>
      <c r="E3508" s="15" cm="1">
        <f t="array" ref="E3508">SUM(E3506:E3507)</f>
        <v>0</v>
      </c>
      <c r="F3508" s="16" cm="1">
        <f t="array" ref="F3508">SUM(F3506:F3507)</f>
        <v>4.66</v>
      </c>
      <c r="G3508" s="16" cm="1">
        <f t="array" ref="G3508">SUM(G3506:G3507)</f>
        <v>4.66</v>
      </c>
      <c r="H3508" s="16" cm="1">
        <f t="array" ref="H3508">SUM(H3506:H3507)</f>
        <v>0</v>
      </c>
      <c r="I3508" s="16" cm="1">
        <f t="array" ref="I3508">SUM(I3506:I3507)</f>
        <v>0</v>
      </c>
    </row>
    <row r="3509" ht="21.25" customHeight="1">
      <c r="A3509" s="10">
        <v>45609</v>
      </c>
      <c r="B3509" t="s" s="11">
        <v>81</v>
      </c>
      <c r="C3509" t="s" s="12">
        <v>610</v>
      </c>
      <c r="D3509" s="17">
        <v>155430</v>
      </c>
      <c r="E3509" s="17"/>
      <c r="F3509" s="18"/>
      <c r="G3509" s="18"/>
      <c r="H3509" s="18"/>
      <c r="I3509" s="18"/>
    </row>
    <row r="3510" ht="20.9" customHeight="1">
      <c r="A3510" s="10">
        <v>45609</v>
      </c>
      <c r="B3510" t="s" s="11">
        <v>10</v>
      </c>
      <c r="C3510" t="s" s="12">
        <v>610</v>
      </c>
      <c r="D3510" s="19">
        <v>570</v>
      </c>
      <c r="E3510" s="19"/>
      <c r="F3510" s="20"/>
      <c r="G3510" s="20"/>
      <c r="H3510" s="20"/>
      <c r="I3510" s="20"/>
    </row>
    <row r="3511" ht="20.9" customHeight="1">
      <c r="A3511" s="10">
        <v>45609</v>
      </c>
      <c r="B3511" t="s" s="11">
        <v>84</v>
      </c>
      <c r="C3511" t="s" s="12">
        <v>610</v>
      </c>
      <c r="D3511" s="19">
        <v>43687</v>
      </c>
      <c r="E3511" s="19"/>
      <c r="F3511" s="20"/>
      <c r="G3511" s="20"/>
      <c r="H3511" s="20"/>
      <c r="I3511" s="20"/>
    </row>
    <row r="3512" ht="21.25" customHeight="1">
      <c r="A3512" s="10">
        <v>45609</v>
      </c>
      <c r="B3512" t="s" s="11">
        <v>85</v>
      </c>
      <c r="C3512" t="s" s="12">
        <v>610</v>
      </c>
      <c r="D3512" s="13"/>
      <c r="E3512" s="13">
        <v>199687</v>
      </c>
      <c r="F3512" s="14"/>
      <c r="G3512" s="14"/>
      <c r="H3512" s="14"/>
      <c r="I3512" s="14"/>
    </row>
    <row r="3513" ht="20.7" customHeight="1">
      <c r="A3513" s="10">
        <v>45609</v>
      </c>
      <c r="B3513" t="s" s="11">
        <v>8</v>
      </c>
      <c r="C3513" t="s" s="12">
        <v>8</v>
      </c>
      <c r="D3513" s="15" cm="1">
        <f t="array" ref="D3513">SUM(D3509:D3512)</f>
        <v>199687</v>
      </c>
      <c r="E3513" s="15" cm="1">
        <f t="array" ref="E3513">SUM(E3509:E3512)</f>
        <v>199687</v>
      </c>
      <c r="F3513" s="16" cm="1">
        <f t="array" ref="F3513">SUM(F3509:F3512)</f>
        <v>0</v>
      </c>
      <c r="G3513" s="16" cm="1">
        <f t="array" ref="G3513">SUM(G3509:G3512)</f>
        <v>0</v>
      </c>
      <c r="H3513" s="16" cm="1">
        <f t="array" ref="H3513">SUM(H3509:H3512)</f>
        <v>0</v>
      </c>
      <c r="I3513" s="16" cm="1">
        <f t="array" ref="I3513">SUM(I3509:I3512)</f>
        <v>0</v>
      </c>
    </row>
    <row r="3514" ht="21.25" customHeight="1">
      <c r="A3514" s="10">
        <v>45609</v>
      </c>
      <c r="B3514" t="s" s="11">
        <v>81</v>
      </c>
      <c r="C3514" t="s" s="12">
        <v>611</v>
      </c>
      <c r="D3514" s="17">
        <v>89870</v>
      </c>
      <c r="E3514" s="17"/>
      <c r="F3514" s="18"/>
      <c r="G3514" s="18"/>
      <c r="H3514" s="18"/>
      <c r="I3514" s="18"/>
    </row>
    <row r="3515" ht="20.9" customHeight="1">
      <c r="A3515" s="10">
        <v>45609</v>
      </c>
      <c r="B3515" t="s" s="11">
        <v>10</v>
      </c>
      <c r="C3515" t="s" s="12">
        <v>611</v>
      </c>
      <c r="D3515" s="19">
        <v>130</v>
      </c>
      <c r="E3515" s="19"/>
      <c r="F3515" s="20"/>
      <c r="G3515" s="20"/>
      <c r="H3515" s="20"/>
      <c r="I3515" s="20"/>
    </row>
    <row r="3516" ht="20.9" customHeight="1">
      <c r="A3516" s="10">
        <v>45609</v>
      </c>
      <c r="B3516" t="s" s="11">
        <v>84</v>
      </c>
      <c r="C3516" t="s" s="12">
        <v>611</v>
      </c>
      <c r="D3516" s="19">
        <v>9838</v>
      </c>
      <c r="E3516" s="19"/>
      <c r="F3516" s="20"/>
      <c r="G3516" s="20"/>
      <c r="H3516" s="20"/>
      <c r="I3516" s="20"/>
    </row>
    <row r="3517" ht="21.25" customHeight="1">
      <c r="A3517" s="10">
        <v>45609</v>
      </c>
      <c r="B3517" t="s" s="11">
        <v>85</v>
      </c>
      <c r="C3517" t="s" s="12">
        <v>611</v>
      </c>
      <c r="D3517" s="13"/>
      <c r="E3517" s="13">
        <v>99838</v>
      </c>
      <c r="F3517" s="14"/>
      <c r="G3517" s="14"/>
      <c r="H3517" s="14"/>
      <c r="I3517" s="14"/>
    </row>
    <row r="3518" ht="20.7" customHeight="1">
      <c r="A3518" s="10">
        <v>45609</v>
      </c>
      <c r="B3518" t="s" s="11">
        <v>8</v>
      </c>
      <c r="C3518" t="s" s="12">
        <v>8</v>
      </c>
      <c r="D3518" s="15" cm="1">
        <f t="array" ref="D3518">SUM(D3514:D3517)</f>
        <v>99838</v>
      </c>
      <c r="E3518" s="15" cm="1">
        <f t="array" ref="E3518">SUM(E3514:E3517)</f>
        <v>99838</v>
      </c>
      <c r="F3518" s="16" cm="1">
        <f t="array" ref="F3518">SUM(F3514:F3517)</f>
        <v>0</v>
      </c>
      <c r="G3518" s="16" cm="1">
        <f t="array" ref="G3518">SUM(G3514:G3517)</f>
        <v>0</v>
      </c>
      <c r="H3518" s="16" cm="1">
        <f t="array" ref="H3518">SUM(H3514:H3517)</f>
        <v>0</v>
      </c>
      <c r="I3518" s="16" cm="1">
        <f t="array" ref="I3518">SUM(I3514:I3517)</f>
        <v>0</v>
      </c>
    </row>
    <row r="3519" ht="20.35" customHeight="1">
      <c r="A3519" s="10">
        <v>45609</v>
      </c>
      <c r="B3519" t="s" s="11">
        <v>81</v>
      </c>
      <c r="C3519" t="s" s="12">
        <v>612</v>
      </c>
      <c r="D3519" s="17">
        <v>26815</v>
      </c>
      <c r="E3519" s="17"/>
      <c r="F3519" s="18"/>
      <c r="G3519" s="18"/>
      <c r="H3519" s="18"/>
      <c r="I3519" s="18"/>
    </row>
    <row r="3520" ht="20.05" customHeight="1">
      <c r="A3520" s="10">
        <v>45609</v>
      </c>
      <c r="B3520" t="s" s="11">
        <v>10</v>
      </c>
      <c r="C3520" t="s" s="12">
        <v>612</v>
      </c>
      <c r="D3520" s="19">
        <v>40</v>
      </c>
      <c r="E3520" s="19"/>
      <c r="F3520" s="20"/>
      <c r="G3520" s="20"/>
      <c r="H3520" s="20"/>
      <c r="I3520" s="20"/>
    </row>
    <row r="3521" ht="20.05" customHeight="1">
      <c r="A3521" s="10">
        <v>45609</v>
      </c>
      <c r="B3521" t="s" s="11">
        <v>91</v>
      </c>
      <c r="C3521" t="s" s="12">
        <v>612</v>
      </c>
      <c r="D3521" s="19"/>
      <c r="E3521" s="19">
        <v>1896</v>
      </c>
      <c r="F3521" s="20"/>
      <c r="G3521" s="20"/>
      <c r="H3521" s="20"/>
      <c r="I3521" s="20"/>
    </row>
    <row r="3522" ht="20.35" customHeight="1">
      <c r="A3522" s="10">
        <v>45609</v>
      </c>
      <c r="B3522" t="s" s="11">
        <v>85</v>
      </c>
      <c r="C3522" t="s" s="12">
        <v>612</v>
      </c>
      <c r="D3522" s="13"/>
      <c r="E3522" s="13">
        <v>24959</v>
      </c>
      <c r="F3522" s="14"/>
      <c r="G3522" s="14"/>
      <c r="H3522" s="14"/>
      <c r="I3522" s="14"/>
    </row>
    <row r="3523" ht="20.7" customHeight="1">
      <c r="A3523" s="10">
        <v>45609</v>
      </c>
      <c r="B3523" t="s" s="11">
        <v>8</v>
      </c>
      <c r="C3523" t="s" s="12">
        <v>8</v>
      </c>
      <c r="D3523" s="15" cm="1">
        <f t="array" ref="D3523">SUM(D3519:D3522)</f>
        <v>26855</v>
      </c>
      <c r="E3523" s="15" cm="1">
        <f t="array" ref="E3523">SUM(E3519:E3522)</f>
        <v>26855</v>
      </c>
      <c r="F3523" s="16" cm="1">
        <f t="array" ref="F3523">SUM(F3519:F3522)</f>
        <v>0</v>
      </c>
      <c r="G3523" s="16" cm="1">
        <f t="array" ref="G3523">SUM(G3519:G3522)</f>
        <v>0</v>
      </c>
      <c r="H3523" s="16" cm="1">
        <f t="array" ref="H3523">SUM(H3519:H3522)</f>
        <v>0</v>
      </c>
      <c r="I3523" s="16" cm="1">
        <f t="array" ref="I3523">SUM(I3519:I3522)</f>
        <v>0</v>
      </c>
    </row>
    <row r="3524" ht="21.25" customHeight="1">
      <c r="A3524" s="10">
        <v>45609</v>
      </c>
      <c r="B3524" t="s" s="11">
        <v>81</v>
      </c>
      <c r="C3524" t="s" s="12">
        <v>613</v>
      </c>
      <c r="D3524" s="17">
        <v>72037</v>
      </c>
      <c r="E3524" s="17"/>
      <c r="F3524" s="18"/>
      <c r="G3524" s="18"/>
      <c r="H3524" s="18"/>
      <c r="I3524" s="18"/>
    </row>
    <row r="3525" ht="20.9" customHeight="1">
      <c r="A3525" s="10">
        <v>45609</v>
      </c>
      <c r="B3525" t="s" s="11">
        <v>10</v>
      </c>
      <c r="C3525" t="s" s="12">
        <v>613</v>
      </c>
      <c r="D3525" s="19">
        <v>100</v>
      </c>
      <c r="E3525" s="19"/>
      <c r="F3525" s="20"/>
      <c r="G3525" s="20"/>
      <c r="H3525" s="20"/>
      <c r="I3525" s="20"/>
    </row>
    <row r="3526" ht="20.9" customHeight="1">
      <c r="A3526" s="10">
        <v>45609</v>
      </c>
      <c r="B3526" t="s" s="11">
        <v>84</v>
      </c>
      <c r="C3526" t="s" s="12">
        <v>613</v>
      </c>
      <c r="D3526" s="19">
        <v>2741</v>
      </c>
      <c r="E3526" s="19"/>
      <c r="F3526" s="20"/>
      <c r="G3526" s="20"/>
      <c r="H3526" s="20"/>
      <c r="I3526" s="20"/>
    </row>
    <row r="3527" ht="21.25" customHeight="1">
      <c r="A3527" s="10">
        <v>45609</v>
      </c>
      <c r="B3527" t="s" s="11">
        <v>85</v>
      </c>
      <c r="C3527" t="s" s="12">
        <v>613</v>
      </c>
      <c r="D3527" s="13"/>
      <c r="E3527" s="13">
        <v>74878</v>
      </c>
      <c r="F3527" s="14"/>
      <c r="G3527" s="14"/>
      <c r="H3527" s="14"/>
      <c r="I3527" s="14"/>
    </row>
    <row r="3528" ht="20.7" customHeight="1">
      <c r="A3528" s="10">
        <v>45609</v>
      </c>
      <c r="B3528" t="s" s="11">
        <v>8</v>
      </c>
      <c r="C3528" t="s" s="12">
        <v>8</v>
      </c>
      <c r="D3528" s="15" cm="1">
        <f t="array" ref="D3528">SUM(D3524:D3527)</f>
        <v>74878</v>
      </c>
      <c r="E3528" s="15" cm="1">
        <f t="array" ref="E3528">SUM(E3524:E3527)</f>
        <v>74878</v>
      </c>
      <c r="F3528" s="16" cm="1">
        <f t="array" ref="F3528">SUM(F3524:F3527)</f>
        <v>0</v>
      </c>
      <c r="G3528" s="16" cm="1">
        <f t="array" ref="G3528">SUM(G3524:G3527)</f>
        <v>0</v>
      </c>
      <c r="H3528" s="16" cm="1">
        <f t="array" ref="H3528">SUM(H3524:H3527)</f>
        <v>0</v>
      </c>
      <c r="I3528" s="16" cm="1">
        <f t="array" ref="I3528">SUM(I3524:I3527)</f>
        <v>0</v>
      </c>
    </row>
    <row r="3529" ht="20.35" customHeight="1">
      <c r="A3529" s="10">
        <v>45610</v>
      </c>
      <c r="B3529" t="s" s="11">
        <v>5</v>
      </c>
      <c r="C3529" t="s" s="12">
        <v>31</v>
      </c>
      <c r="D3529" s="17">
        <v>50000</v>
      </c>
      <c r="E3529" s="17"/>
      <c r="F3529" s="18"/>
      <c r="G3529" s="18"/>
      <c r="H3529" s="18"/>
      <c r="I3529" s="18"/>
    </row>
    <row r="3530" ht="20.35" customHeight="1">
      <c r="A3530" s="10">
        <v>45610</v>
      </c>
      <c r="B3530" t="s" s="11">
        <v>32</v>
      </c>
      <c r="C3530" t="s" s="12">
        <v>31</v>
      </c>
      <c r="D3530" s="13"/>
      <c r="E3530" s="13">
        <v>50000</v>
      </c>
      <c r="F3530" s="14"/>
      <c r="G3530" s="14"/>
      <c r="H3530" s="14"/>
      <c r="I3530" s="14"/>
    </row>
    <row r="3531" ht="20.7" customHeight="1">
      <c r="A3531" s="10">
        <v>45610</v>
      </c>
      <c r="B3531" t="s" s="11">
        <v>8</v>
      </c>
      <c r="C3531" t="s" s="12">
        <v>8</v>
      </c>
      <c r="D3531" s="15" cm="1">
        <f t="array" ref="D3531">SUM(D3529:D3530)</f>
        <v>50000</v>
      </c>
      <c r="E3531" s="15" cm="1">
        <f t="array" ref="E3531">SUM(E3529:E3530)</f>
        <v>50000</v>
      </c>
      <c r="F3531" s="16" cm="1">
        <f t="array" ref="F3531">SUM(F3529:F3530)</f>
        <v>0</v>
      </c>
      <c r="G3531" s="16" cm="1">
        <f t="array" ref="G3531">SUM(G3529:G3530)</f>
        <v>0</v>
      </c>
      <c r="H3531" s="16" cm="1">
        <f t="array" ref="H3531">SUM(H3529:H3530)</f>
        <v>0</v>
      </c>
      <c r="I3531" s="16" cm="1">
        <f t="array" ref="I3531">SUM(I3529:I3530)</f>
        <v>0</v>
      </c>
    </row>
    <row r="3532" ht="21.25" customHeight="1">
      <c r="A3532" s="10">
        <v>45610</v>
      </c>
      <c r="B3532" t="s" s="11">
        <v>5</v>
      </c>
      <c r="C3532" t="s" s="12">
        <v>614</v>
      </c>
      <c r="D3532" s="17"/>
      <c r="E3532" s="17">
        <v>32000</v>
      </c>
      <c r="F3532" s="18"/>
      <c r="G3532" s="18"/>
      <c r="H3532" s="18"/>
      <c r="I3532" s="18"/>
    </row>
    <row r="3533" ht="20.9" customHeight="1">
      <c r="A3533" s="10">
        <v>45610</v>
      </c>
      <c r="B3533" t="s" s="11">
        <v>10</v>
      </c>
      <c r="C3533" t="s" s="12">
        <v>614</v>
      </c>
      <c r="D3533" s="19">
        <v>16000</v>
      </c>
      <c r="E3533" s="19"/>
      <c r="F3533" s="20"/>
      <c r="G3533" s="20"/>
      <c r="H3533" s="20"/>
      <c r="I3533" s="20"/>
    </row>
    <row r="3534" ht="21.25" customHeight="1">
      <c r="A3534" s="10">
        <v>45610</v>
      </c>
      <c r="B3534" t="s" s="11">
        <v>12</v>
      </c>
      <c r="C3534" t="s" s="12">
        <v>614</v>
      </c>
      <c r="D3534" s="13">
        <v>16000</v>
      </c>
      <c r="E3534" s="13"/>
      <c r="F3534" s="14"/>
      <c r="G3534" s="14"/>
      <c r="H3534" s="14"/>
      <c r="I3534" s="14"/>
    </row>
    <row r="3535" ht="20.7" customHeight="1">
      <c r="A3535" s="10">
        <v>45610</v>
      </c>
      <c r="B3535" t="s" s="11">
        <v>8</v>
      </c>
      <c r="C3535" t="s" s="12">
        <v>8</v>
      </c>
      <c r="D3535" s="15" cm="1">
        <f t="array" ref="D3535">SUM(D3532:D3534)</f>
        <v>32000</v>
      </c>
      <c r="E3535" s="15" cm="1">
        <f t="array" ref="E3535">SUM(E3532:E3534)</f>
        <v>32000</v>
      </c>
      <c r="F3535" s="16" cm="1">
        <f t="array" ref="F3535">SUM(F3532:F3534)</f>
        <v>0</v>
      </c>
      <c r="G3535" s="16" cm="1">
        <f t="array" ref="G3535">SUM(G3532:G3534)</f>
        <v>0</v>
      </c>
      <c r="H3535" s="16" cm="1">
        <f t="array" ref="H3535">SUM(H3532:H3534)</f>
        <v>0</v>
      </c>
      <c r="I3535" s="16" cm="1">
        <f t="array" ref="I3535">SUM(I3532:I3534)</f>
        <v>0</v>
      </c>
    </row>
    <row r="3536" ht="20.65" customHeight="1">
      <c r="A3536" s="10">
        <v>45610</v>
      </c>
      <c r="B3536" t="s" s="11">
        <v>5</v>
      </c>
      <c r="C3536" t="s" s="12">
        <v>428</v>
      </c>
      <c r="D3536" s="17"/>
      <c r="E3536" s="17">
        <v>5200</v>
      </c>
      <c r="F3536" s="18"/>
      <c r="G3536" s="18"/>
      <c r="H3536" s="18"/>
      <c r="I3536" s="18"/>
    </row>
    <row r="3537" ht="20.65" customHeight="1">
      <c r="A3537" s="10">
        <v>45610</v>
      </c>
      <c r="B3537" t="s" s="11">
        <v>12</v>
      </c>
      <c r="C3537" t="s" s="12">
        <v>428</v>
      </c>
      <c r="D3537" s="13">
        <v>5200</v>
      </c>
      <c r="E3537" s="13"/>
      <c r="F3537" s="14"/>
      <c r="G3537" s="14"/>
      <c r="H3537" s="14"/>
      <c r="I3537" s="14"/>
    </row>
    <row r="3538" ht="20.7" customHeight="1">
      <c r="A3538" s="10">
        <v>45610</v>
      </c>
      <c r="B3538" t="s" s="11">
        <v>8</v>
      </c>
      <c r="C3538" t="s" s="12">
        <v>8</v>
      </c>
      <c r="D3538" s="15" cm="1">
        <f t="array" ref="D3538">SUM(D3536:D3537)</f>
        <v>5200</v>
      </c>
      <c r="E3538" s="15" cm="1">
        <f t="array" ref="E3538">SUM(E3536:E3537)</f>
        <v>5200</v>
      </c>
      <c r="F3538" s="16" cm="1">
        <f t="array" ref="F3538">SUM(F3536:F3537)</f>
        <v>0</v>
      </c>
      <c r="G3538" s="16" cm="1">
        <f t="array" ref="G3538">SUM(G3536:G3537)</f>
        <v>0</v>
      </c>
      <c r="H3538" s="16" cm="1">
        <f t="array" ref="H3538">SUM(H3536:H3537)</f>
        <v>0</v>
      </c>
      <c r="I3538" s="16" cm="1">
        <f t="array" ref="I3538">SUM(I3536:I3537)</f>
        <v>0</v>
      </c>
    </row>
    <row r="3539" ht="20.35" customHeight="1">
      <c r="A3539" s="10">
        <v>45610</v>
      </c>
      <c r="B3539" t="s" s="11">
        <v>39</v>
      </c>
      <c r="C3539" t="s" s="12">
        <v>280</v>
      </c>
      <c r="D3539" s="17"/>
      <c r="E3539" s="17"/>
      <c r="F3539" s="18">
        <v>322</v>
      </c>
      <c r="G3539" s="18"/>
      <c r="H3539" s="18"/>
      <c r="I3539" s="18"/>
    </row>
    <row r="3540" ht="20.35" customHeight="1">
      <c r="A3540" s="10">
        <v>45610</v>
      </c>
      <c r="B3540" t="s" s="11">
        <v>60</v>
      </c>
      <c r="C3540" t="s" s="12">
        <v>280</v>
      </c>
      <c r="D3540" s="13"/>
      <c r="E3540" s="13"/>
      <c r="F3540" s="14"/>
      <c r="G3540" s="14">
        <v>322</v>
      </c>
      <c r="H3540" s="14"/>
      <c r="I3540" s="14"/>
    </row>
    <row r="3541" ht="20.7" customHeight="1">
      <c r="A3541" s="10">
        <v>45610</v>
      </c>
      <c r="B3541" t="s" s="11">
        <v>8</v>
      </c>
      <c r="C3541" t="s" s="12">
        <v>8</v>
      </c>
      <c r="D3541" s="15" cm="1">
        <f t="array" ref="D3541">SUM(D3539:D3540)</f>
        <v>0</v>
      </c>
      <c r="E3541" s="15" cm="1">
        <f t="array" ref="E3541">SUM(E3539:E3540)</f>
        <v>0</v>
      </c>
      <c r="F3541" s="16" cm="1">
        <f t="array" ref="F3541">SUM(F3539:F3540)</f>
        <v>322</v>
      </c>
      <c r="G3541" s="16" cm="1">
        <f t="array" ref="G3541">SUM(G3539:G3540)</f>
        <v>322</v>
      </c>
      <c r="H3541" s="16" cm="1">
        <f t="array" ref="H3541">SUM(H3539:H3540)</f>
        <v>0</v>
      </c>
      <c r="I3541" s="16" cm="1">
        <f t="array" ref="I3541">SUM(I3539:I3540)</f>
        <v>0</v>
      </c>
    </row>
    <row r="3542" ht="20.35" customHeight="1">
      <c r="A3542" s="10">
        <v>45610</v>
      </c>
      <c r="B3542" t="s" s="11">
        <v>39</v>
      </c>
      <c r="C3542" t="s" s="12">
        <v>615</v>
      </c>
      <c r="D3542" s="17"/>
      <c r="E3542" s="17"/>
      <c r="F3542" s="18"/>
      <c r="G3542" s="18">
        <v>322</v>
      </c>
      <c r="H3542" s="18"/>
      <c r="I3542" s="18"/>
    </row>
    <row r="3543" ht="20.05" customHeight="1">
      <c r="A3543" s="10">
        <v>45610</v>
      </c>
      <c r="B3543" t="s" s="11">
        <v>44</v>
      </c>
      <c r="C3543" t="s" s="12">
        <v>615</v>
      </c>
      <c r="D3543" s="19"/>
      <c r="E3543" s="19"/>
      <c r="F3543" s="20">
        <v>311.82</v>
      </c>
      <c r="G3543" s="20"/>
      <c r="H3543" s="20"/>
      <c r="I3543" s="20"/>
    </row>
    <row r="3544" ht="20.05" customHeight="1">
      <c r="A3544" s="10">
        <v>45610</v>
      </c>
      <c r="B3544" t="s" s="11">
        <v>43</v>
      </c>
      <c r="C3544" t="s" s="12">
        <v>615</v>
      </c>
      <c r="D3544" s="19"/>
      <c r="E3544" s="19"/>
      <c r="F3544" s="20">
        <v>10.18</v>
      </c>
      <c r="G3544" s="20"/>
      <c r="H3544" s="20"/>
      <c r="I3544" s="20"/>
    </row>
    <row r="3545" ht="20.05" customHeight="1">
      <c r="A3545" s="10">
        <v>45610</v>
      </c>
      <c r="B3545" t="s" s="11">
        <v>5</v>
      </c>
      <c r="C3545" t="s" s="12">
        <v>615</v>
      </c>
      <c r="D3545" s="19">
        <v>97979</v>
      </c>
      <c r="E3545" s="19"/>
      <c r="F3545" s="20"/>
      <c r="G3545" s="20"/>
      <c r="H3545" s="20"/>
      <c r="I3545" s="20"/>
    </row>
    <row r="3546" ht="20.35" customHeight="1">
      <c r="A3546" s="10">
        <v>45610</v>
      </c>
      <c r="B3546" t="s" s="11">
        <v>46</v>
      </c>
      <c r="C3546" t="s" s="12">
        <v>615</v>
      </c>
      <c r="D3546" s="13"/>
      <c r="E3546" s="13">
        <v>97979</v>
      </c>
      <c r="F3546" s="14"/>
      <c r="G3546" s="14"/>
      <c r="H3546" s="14"/>
      <c r="I3546" s="14"/>
    </row>
    <row r="3547" ht="20.7" customHeight="1">
      <c r="A3547" s="10">
        <v>45610</v>
      </c>
      <c r="B3547" t="s" s="11">
        <v>8</v>
      </c>
      <c r="C3547" t="s" s="12">
        <v>8</v>
      </c>
      <c r="D3547" s="15" cm="1">
        <f t="array" ref="D3547">SUM(D3542:D3546)</f>
        <v>97979</v>
      </c>
      <c r="E3547" s="15" cm="1">
        <f t="array" ref="E3547">SUM(E3542:E3546)</f>
        <v>97979</v>
      </c>
      <c r="F3547" s="16" cm="1">
        <f t="array" ref="F3547">SUM(F3542:F3546)</f>
        <v>322</v>
      </c>
      <c r="G3547" s="16" cm="1">
        <f t="array" ref="G3547">SUM(G3542:G3546)</f>
        <v>322</v>
      </c>
      <c r="H3547" s="16" cm="1">
        <f t="array" ref="H3547">SUM(H3542:H3546)</f>
        <v>0</v>
      </c>
      <c r="I3547" s="16" cm="1">
        <f t="array" ref="I3547">SUM(I3542:I3546)</f>
        <v>0</v>
      </c>
    </row>
    <row r="3548" ht="20.35" customHeight="1">
      <c r="A3548" s="10">
        <v>45610</v>
      </c>
      <c r="B3548" t="s" s="11">
        <v>107</v>
      </c>
      <c r="C3548" t="s" s="12">
        <v>96</v>
      </c>
      <c r="D3548" s="17"/>
      <c r="E3548" s="17">
        <v>25000</v>
      </c>
      <c r="F3548" s="18"/>
      <c r="G3548" s="18"/>
      <c r="H3548" s="18"/>
      <c r="I3548" s="18"/>
    </row>
    <row r="3549" ht="20.35" customHeight="1">
      <c r="A3549" s="10">
        <v>45610</v>
      </c>
      <c r="B3549" t="s" s="11">
        <v>5</v>
      </c>
      <c r="C3549" t="s" s="12">
        <v>96</v>
      </c>
      <c r="D3549" s="13">
        <v>25000</v>
      </c>
      <c r="E3549" s="13"/>
      <c r="F3549" s="14"/>
      <c r="G3549" s="14"/>
      <c r="H3549" s="14"/>
      <c r="I3549" s="14"/>
    </row>
    <row r="3550" ht="20.7" customHeight="1">
      <c r="A3550" s="10">
        <v>45610</v>
      </c>
      <c r="B3550" t="s" s="11">
        <v>8</v>
      </c>
      <c r="C3550" t="s" s="12">
        <v>8</v>
      </c>
      <c r="D3550" s="15" cm="1">
        <f t="array" ref="D3550">SUM(D3548:D3549)</f>
        <v>25000</v>
      </c>
      <c r="E3550" s="15" cm="1">
        <f t="array" ref="E3550">SUM(E3548:E3549)</f>
        <v>25000</v>
      </c>
      <c r="F3550" s="16" cm="1">
        <f t="array" ref="F3550">SUM(F3548:F3549)</f>
        <v>0</v>
      </c>
      <c r="G3550" s="16" cm="1">
        <f t="array" ref="G3550">SUM(G3548:G3549)</f>
        <v>0</v>
      </c>
      <c r="H3550" s="16" cm="1">
        <f t="array" ref="H3550">SUM(H3548:H3549)</f>
        <v>0</v>
      </c>
      <c r="I3550" s="16" cm="1">
        <f t="array" ref="I3550">SUM(I3548:I3549)</f>
        <v>0</v>
      </c>
    </row>
    <row r="3551" ht="20.35" customHeight="1">
      <c r="A3551" s="10">
        <v>45610</v>
      </c>
      <c r="B3551" t="s" s="11">
        <v>5</v>
      </c>
      <c r="C3551" t="s" s="12">
        <v>578</v>
      </c>
      <c r="D3551" s="17"/>
      <c r="E3551" s="17">
        <v>195350</v>
      </c>
      <c r="F3551" s="18"/>
      <c r="G3551" s="18"/>
      <c r="H3551" s="18"/>
      <c r="I3551" s="18"/>
    </row>
    <row r="3552" ht="20.35" customHeight="1">
      <c r="A3552" s="10">
        <v>45610</v>
      </c>
      <c r="B3552" t="s" s="11">
        <v>21</v>
      </c>
      <c r="C3552" t="s" s="12">
        <v>578</v>
      </c>
      <c r="D3552" s="13">
        <v>195350</v>
      </c>
      <c r="E3552" s="13"/>
      <c r="F3552" s="14"/>
      <c r="G3552" s="14"/>
      <c r="H3552" s="14"/>
      <c r="I3552" s="14"/>
    </row>
    <row r="3553" ht="20.7" customHeight="1">
      <c r="A3553" s="10">
        <v>45610</v>
      </c>
      <c r="B3553" t="s" s="11">
        <v>8</v>
      </c>
      <c r="C3553" t="s" s="12">
        <v>8</v>
      </c>
      <c r="D3553" s="15" cm="1">
        <f t="array" ref="D3553">SUM(D3551:D3552)</f>
        <v>195350</v>
      </c>
      <c r="E3553" s="15" cm="1">
        <f t="array" ref="E3553">SUM(E3551:E3552)</f>
        <v>195350</v>
      </c>
      <c r="F3553" s="16" cm="1">
        <f t="array" ref="F3553">SUM(F3551:F3552)</f>
        <v>0</v>
      </c>
      <c r="G3553" s="16" cm="1">
        <f t="array" ref="G3553">SUM(G3551:G3552)</f>
        <v>0</v>
      </c>
      <c r="H3553" s="16" cm="1">
        <f t="array" ref="H3553">SUM(H3551:H3552)</f>
        <v>0</v>
      </c>
      <c r="I3553" s="16" cm="1">
        <f t="array" ref="I3553">SUM(I3551:I3552)</f>
        <v>0</v>
      </c>
    </row>
    <row r="3554" ht="20.65" customHeight="1">
      <c r="A3554" s="10">
        <v>45610</v>
      </c>
      <c r="B3554" t="s" s="11">
        <v>93</v>
      </c>
      <c r="C3554" t="s" s="12">
        <v>70</v>
      </c>
      <c r="D3554" s="17">
        <v>20000</v>
      </c>
      <c r="E3554" s="17"/>
      <c r="F3554" s="18"/>
      <c r="G3554" s="18"/>
      <c r="H3554" s="18"/>
      <c r="I3554" s="18"/>
    </row>
    <row r="3555" ht="20.65" customHeight="1">
      <c r="A3555" s="10">
        <v>45610</v>
      </c>
      <c r="B3555" t="s" s="11">
        <v>21</v>
      </c>
      <c r="C3555" t="s" s="12">
        <v>70</v>
      </c>
      <c r="D3555" s="13"/>
      <c r="E3555" s="13">
        <v>20000</v>
      </c>
      <c r="F3555" s="14"/>
      <c r="G3555" s="14"/>
      <c r="H3555" s="14"/>
      <c r="I3555" s="14"/>
    </row>
    <row r="3556" ht="20.7" customHeight="1">
      <c r="A3556" s="10">
        <v>45610</v>
      </c>
      <c r="B3556" t="s" s="11">
        <v>8</v>
      </c>
      <c r="C3556" t="s" s="12">
        <v>8</v>
      </c>
      <c r="D3556" s="15" cm="1">
        <f t="array" ref="D3556">SUM(D3554:D3555)</f>
        <v>20000</v>
      </c>
      <c r="E3556" s="15" cm="1">
        <f t="array" ref="E3556">SUM(E3554:E3555)</f>
        <v>20000</v>
      </c>
      <c r="F3556" s="16" cm="1">
        <f t="array" ref="F3556">SUM(F3554:F3555)</f>
        <v>0</v>
      </c>
      <c r="G3556" s="16" cm="1">
        <f t="array" ref="G3556">SUM(G3554:G3555)</f>
        <v>0</v>
      </c>
      <c r="H3556" s="16" cm="1">
        <f t="array" ref="H3556">SUM(H3554:H3555)</f>
        <v>0</v>
      </c>
      <c r="I3556" s="16" cm="1">
        <f t="array" ref="I3556">SUM(I3554:I3555)</f>
        <v>0</v>
      </c>
    </row>
    <row r="3557" ht="20.35" customHeight="1">
      <c r="A3557" s="10">
        <v>45610</v>
      </c>
      <c r="B3557" t="s" s="11">
        <v>79</v>
      </c>
      <c r="C3557" t="s" s="12">
        <v>96</v>
      </c>
      <c r="D3557" s="17"/>
      <c r="E3557" s="17">
        <v>5000</v>
      </c>
      <c r="F3557" s="18"/>
      <c r="G3557" s="18"/>
      <c r="H3557" s="18"/>
      <c r="I3557" s="18"/>
    </row>
    <row r="3558" ht="20.35" customHeight="1">
      <c r="A3558" s="10">
        <v>45610</v>
      </c>
      <c r="B3558" t="s" s="11">
        <v>5</v>
      </c>
      <c r="C3558" t="s" s="12">
        <v>96</v>
      </c>
      <c r="D3558" s="13">
        <v>5000</v>
      </c>
      <c r="E3558" s="13"/>
      <c r="F3558" s="14"/>
      <c r="G3558" s="14"/>
      <c r="H3558" s="14"/>
      <c r="I3558" s="14"/>
    </row>
    <row r="3559" ht="20.7" customHeight="1">
      <c r="A3559" s="10">
        <v>45610</v>
      </c>
      <c r="B3559" t="s" s="11">
        <v>8</v>
      </c>
      <c r="C3559" t="s" s="12">
        <v>8</v>
      </c>
      <c r="D3559" s="15" cm="1">
        <f t="array" ref="D3559">SUM(D3557:D3558)</f>
        <v>5000</v>
      </c>
      <c r="E3559" s="15" cm="1">
        <f t="array" ref="E3559">SUM(E3557:E3558)</f>
        <v>5000</v>
      </c>
      <c r="F3559" s="16" cm="1">
        <f t="array" ref="F3559">SUM(F3557:F3558)</f>
        <v>0</v>
      </c>
      <c r="G3559" s="16" cm="1">
        <f t="array" ref="G3559">SUM(G3557:G3558)</f>
        <v>0</v>
      </c>
      <c r="H3559" s="16" cm="1">
        <f t="array" ref="H3559">SUM(H3557:H3558)</f>
        <v>0</v>
      </c>
      <c r="I3559" s="16" cm="1">
        <f t="array" ref="I3559">SUM(I3557:I3558)</f>
        <v>0</v>
      </c>
    </row>
    <row r="3560" ht="20.35" customHeight="1">
      <c r="A3560" s="10">
        <v>45610</v>
      </c>
      <c r="B3560" t="s" s="11">
        <v>107</v>
      </c>
      <c r="C3560" t="s" s="12">
        <v>368</v>
      </c>
      <c r="D3560" s="17">
        <v>10000</v>
      </c>
      <c r="E3560" s="24"/>
      <c r="F3560" s="18"/>
      <c r="G3560" s="18"/>
      <c r="H3560" s="18"/>
      <c r="I3560" s="18"/>
    </row>
    <row r="3561" ht="20.35" customHeight="1">
      <c r="A3561" s="10">
        <v>45610</v>
      </c>
      <c r="B3561" t="s" s="11">
        <v>21</v>
      </c>
      <c r="C3561" t="s" s="12">
        <v>368</v>
      </c>
      <c r="D3561" s="13"/>
      <c r="E3561" s="13">
        <v>10000</v>
      </c>
      <c r="F3561" s="14"/>
      <c r="G3561" s="14"/>
      <c r="H3561" s="14"/>
      <c r="I3561" s="14"/>
    </row>
    <row r="3562" ht="20.7" customHeight="1">
      <c r="A3562" s="10">
        <v>45610</v>
      </c>
      <c r="B3562" t="s" s="11">
        <v>8</v>
      </c>
      <c r="C3562" t="s" s="12">
        <v>8</v>
      </c>
      <c r="D3562" s="15" cm="1">
        <f t="array" ref="D3562">SUM(D3560:D3561)</f>
        <v>10000</v>
      </c>
      <c r="E3562" s="15" cm="1">
        <f t="array" ref="E3562">SUM(E3560:E3561)</f>
        <v>10000</v>
      </c>
      <c r="F3562" s="16" cm="1">
        <f t="array" ref="F3562">SUM(F3560:F3561)</f>
        <v>0</v>
      </c>
      <c r="G3562" s="16" cm="1">
        <f t="array" ref="G3562">SUM(G3560:G3561)</f>
        <v>0</v>
      </c>
      <c r="H3562" s="16" cm="1">
        <f t="array" ref="H3562">SUM(H3560:H3561)</f>
        <v>0</v>
      </c>
      <c r="I3562" s="16" cm="1">
        <f t="array" ref="I3562">SUM(I3560:I3561)</f>
        <v>0</v>
      </c>
    </row>
    <row r="3563" ht="20.35" customHeight="1">
      <c r="A3563" s="10">
        <v>45610</v>
      </c>
      <c r="B3563" t="s" s="11">
        <v>93</v>
      </c>
      <c r="C3563" t="s" s="12">
        <v>96</v>
      </c>
      <c r="D3563" s="17"/>
      <c r="E3563" s="17">
        <v>20000</v>
      </c>
      <c r="F3563" s="18"/>
      <c r="G3563" s="18"/>
      <c r="H3563" s="18"/>
      <c r="I3563" s="18"/>
    </row>
    <row r="3564" ht="20.35" customHeight="1">
      <c r="A3564" s="10">
        <v>45610</v>
      </c>
      <c r="B3564" t="s" s="11">
        <v>5</v>
      </c>
      <c r="C3564" t="s" s="12">
        <v>96</v>
      </c>
      <c r="D3564" s="13">
        <v>20000</v>
      </c>
      <c r="E3564" s="13"/>
      <c r="F3564" s="14"/>
      <c r="G3564" s="14"/>
      <c r="H3564" s="14"/>
      <c r="I3564" s="14"/>
    </row>
    <row r="3565" ht="20.7" customHeight="1">
      <c r="A3565" s="10">
        <v>45610</v>
      </c>
      <c r="B3565" t="s" s="11">
        <v>8</v>
      </c>
      <c r="C3565" t="s" s="12">
        <v>8</v>
      </c>
      <c r="D3565" s="15" cm="1">
        <f t="array" ref="D3565">SUM(D3563:D3564)</f>
        <v>20000</v>
      </c>
      <c r="E3565" s="15" cm="1">
        <f t="array" ref="E3565">SUM(E3563:E3564)</f>
        <v>20000</v>
      </c>
      <c r="F3565" s="16" cm="1">
        <f t="array" ref="F3565">SUM(F3563:F3564)</f>
        <v>0</v>
      </c>
      <c r="G3565" s="16" cm="1">
        <f t="array" ref="G3565">SUM(G3563:G3564)</f>
        <v>0</v>
      </c>
      <c r="H3565" s="16" cm="1">
        <f t="array" ref="H3565">SUM(H3563:H3564)</f>
        <v>0</v>
      </c>
      <c r="I3565" s="16" cm="1">
        <f t="array" ref="I3565">SUM(I3563:I3564)</f>
        <v>0</v>
      </c>
    </row>
    <row r="3566" ht="20.35" customHeight="1">
      <c r="A3566" s="10">
        <v>45610</v>
      </c>
      <c r="B3566" t="s" s="11">
        <v>107</v>
      </c>
      <c r="C3566" t="s" s="12">
        <v>96</v>
      </c>
      <c r="D3566" s="17"/>
      <c r="E3566" s="17">
        <v>10000</v>
      </c>
      <c r="F3566" s="18"/>
      <c r="G3566" s="18"/>
      <c r="H3566" s="18"/>
      <c r="I3566" s="18"/>
    </row>
    <row r="3567" ht="20.35" customHeight="1">
      <c r="A3567" s="10">
        <v>45610</v>
      </c>
      <c r="B3567" t="s" s="11">
        <v>5</v>
      </c>
      <c r="C3567" t="s" s="12">
        <v>96</v>
      </c>
      <c r="D3567" s="13">
        <v>10000</v>
      </c>
      <c r="E3567" s="13"/>
      <c r="F3567" s="14"/>
      <c r="G3567" s="14"/>
      <c r="H3567" s="14"/>
      <c r="I3567" s="14"/>
    </row>
    <row r="3568" ht="20.7" customHeight="1">
      <c r="A3568" s="10">
        <v>45610</v>
      </c>
      <c r="B3568" t="s" s="11">
        <v>8</v>
      </c>
      <c r="C3568" t="s" s="12">
        <v>8</v>
      </c>
      <c r="D3568" s="15" cm="1">
        <f t="array" ref="D3568">SUM(D3566:D3567)</f>
        <v>10000</v>
      </c>
      <c r="E3568" s="15" cm="1">
        <f t="array" ref="E3568">SUM(E3566:E3567)</f>
        <v>10000</v>
      </c>
      <c r="F3568" s="16" cm="1">
        <f t="array" ref="F3568">SUM(F3566:F3567)</f>
        <v>0</v>
      </c>
      <c r="G3568" s="16" cm="1">
        <f t="array" ref="G3568">SUM(G3566:G3567)</f>
        <v>0</v>
      </c>
      <c r="H3568" s="16" cm="1">
        <f t="array" ref="H3568">SUM(H3566:H3567)</f>
        <v>0</v>
      </c>
      <c r="I3568" s="16" cm="1">
        <f t="array" ref="I3568">SUM(I3566:I3567)</f>
        <v>0</v>
      </c>
    </row>
    <row r="3569" ht="21.25" customHeight="1">
      <c r="A3569" s="10">
        <v>45610</v>
      </c>
      <c r="B3569" t="s" s="11">
        <v>107</v>
      </c>
      <c r="C3569" t="s" s="12">
        <v>606</v>
      </c>
      <c r="D3569" s="17">
        <v>35000</v>
      </c>
      <c r="E3569" s="24"/>
      <c r="F3569" s="18"/>
      <c r="G3569" s="18"/>
      <c r="H3569" s="18"/>
      <c r="I3569" s="18"/>
    </row>
    <row r="3570" ht="20.9" customHeight="1">
      <c r="A3570" s="10">
        <v>45610</v>
      </c>
      <c r="B3570" t="s" s="11">
        <v>89</v>
      </c>
      <c r="C3570" t="s" s="12">
        <v>606</v>
      </c>
      <c r="D3570" s="23"/>
      <c r="E3570" s="19">
        <v>29800</v>
      </c>
      <c r="F3570" s="20"/>
      <c r="G3570" s="20"/>
      <c r="H3570" s="20"/>
      <c r="I3570" s="20"/>
    </row>
    <row r="3571" ht="21.25" customHeight="1">
      <c r="A3571" s="10">
        <v>45610</v>
      </c>
      <c r="B3571" t="s" s="11">
        <v>91</v>
      </c>
      <c r="C3571" t="s" s="12">
        <v>606</v>
      </c>
      <c r="D3571" s="13"/>
      <c r="E3571" s="13">
        <v>5200</v>
      </c>
      <c r="F3571" s="14"/>
      <c r="G3571" s="14"/>
      <c r="H3571" s="14"/>
      <c r="I3571" s="14"/>
    </row>
    <row r="3572" ht="20.7" customHeight="1">
      <c r="A3572" s="10">
        <v>45610</v>
      </c>
      <c r="B3572" t="s" s="11">
        <v>8</v>
      </c>
      <c r="C3572" t="s" s="12">
        <v>8</v>
      </c>
      <c r="D3572" s="15" cm="1">
        <f t="array" ref="D3572">SUM(D3569:D3571)</f>
        <v>35000</v>
      </c>
      <c r="E3572" s="15" cm="1">
        <f t="array" ref="E3572">SUM(E3569:E3571)</f>
        <v>35000</v>
      </c>
      <c r="F3572" s="16" cm="1">
        <f t="array" ref="F3572">SUM(F3569:F3571)</f>
        <v>0</v>
      </c>
      <c r="G3572" s="16" cm="1">
        <f t="array" ref="G3572">SUM(G3569:G3571)</f>
        <v>0</v>
      </c>
      <c r="H3572" s="16" cm="1">
        <f t="array" ref="H3572">SUM(H3569:H3571)</f>
        <v>0</v>
      </c>
      <c r="I3572" s="16" cm="1">
        <f t="array" ref="I3572">SUM(I3569:I3571)</f>
        <v>0</v>
      </c>
    </row>
    <row r="3573" ht="20.35" customHeight="1">
      <c r="A3573" s="10">
        <v>45610</v>
      </c>
      <c r="B3573" t="s" s="11">
        <v>5</v>
      </c>
      <c r="C3573" t="s" s="12">
        <v>53</v>
      </c>
      <c r="D3573" s="17"/>
      <c r="E3573" s="17">
        <v>1800</v>
      </c>
      <c r="F3573" s="18"/>
      <c r="G3573" s="18"/>
      <c r="H3573" s="18"/>
      <c r="I3573" s="18"/>
    </row>
    <row r="3574" ht="20.35" customHeight="1">
      <c r="A3574" s="10">
        <v>45610</v>
      </c>
      <c r="B3574" t="s" s="11">
        <v>12</v>
      </c>
      <c r="C3574" t="s" s="12">
        <v>53</v>
      </c>
      <c r="D3574" s="13">
        <v>1800</v>
      </c>
      <c r="E3574" s="13"/>
      <c r="F3574" s="14"/>
      <c r="G3574" s="14"/>
      <c r="H3574" s="14"/>
      <c r="I3574" s="14"/>
    </row>
    <row r="3575" ht="20.7" customHeight="1">
      <c r="A3575" s="10">
        <v>45610</v>
      </c>
      <c r="B3575" t="s" s="11">
        <v>8</v>
      </c>
      <c r="C3575" t="s" s="12">
        <v>8</v>
      </c>
      <c r="D3575" s="15" cm="1">
        <f t="array" ref="D3575">SUM(D3573:D3574)</f>
        <v>1800</v>
      </c>
      <c r="E3575" s="15" cm="1">
        <f t="array" ref="E3575">SUM(E3573:E3574)</f>
        <v>1800</v>
      </c>
      <c r="F3575" s="16" cm="1">
        <f t="array" ref="F3575">SUM(F3573:F3574)</f>
        <v>0</v>
      </c>
      <c r="G3575" s="16" cm="1">
        <f t="array" ref="G3575">SUM(G3573:G3574)</f>
        <v>0</v>
      </c>
      <c r="H3575" s="16" cm="1">
        <f t="array" ref="H3575">SUM(H3573:H3574)</f>
        <v>0</v>
      </c>
      <c r="I3575" s="16" cm="1">
        <f t="array" ref="I3575">SUM(I3573:I3574)</f>
        <v>0</v>
      </c>
    </row>
    <row r="3576" ht="21.25" customHeight="1">
      <c r="A3576" s="10">
        <v>45610</v>
      </c>
      <c r="B3576" t="s" s="11">
        <v>21</v>
      </c>
      <c r="C3576" t="s" s="12">
        <v>616</v>
      </c>
      <c r="D3576" s="17"/>
      <c r="E3576" s="17">
        <v>2800</v>
      </c>
      <c r="F3576" s="18"/>
      <c r="G3576" s="18"/>
      <c r="H3576" s="18"/>
      <c r="I3576" s="18"/>
    </row>
    <row r="3577" ht="21.25" customHeight="1">
      <c r="A3577" s="10">
        <v>45610</v>
      </c>
      <c r="B3577" t="s" s="11">
        <v>16</v>
      </c>
      <c r="C3577" t="s" s="12">
        <v>616</v>
      </c>
      <c r="D3577" s="13">
        <v>2800</v>
      </c>
      <c r="E3577" s="13"/>
      <c r="F3577" s="14"/>
      <c r="G3577" s="14"/>
      <c r="H3577" s="14"/>
      <c r="I3577" s="14"/>
    </row>
    <row r="3578" ht="20.7" customHeight="1">
      <c r="A3578" s="10">
        <v>45610</v>
      </c>
      <c r="B3578" t="s" s="11">
        <v>8</v>
      </c>
      <c r="C3578" t="s" s="12">
        <v>8</v>
      </c>
      <c r="D3578" s="15" cm="1">
        <f t="array" ref="D3578">SUM(D3576:D3577)</f>
        <v>2800</v>
      </c>
      <c r="E3578" s="15" cm="1">
        <f t="array" ref="E3578">SUM(E3576:E3577)</f>
        <v>2800</v>
      </c>
      <c r="F3578" s="16" cm="1">
        <f t="array" ref="F3578">SUM(F3576:F3577)</f>
        <v>0</v>
      </c>
      <c r="G3578" s="16" cm="1">
        <f t="array" ref="G3578">SUM(G3576:G3577)</f>
        <v>0</v>
      </c>
      <c r="H3578" s="16" cm="1">
        <f t="array" ref="H3578">SUM(H3576:H3577)</f>
        <v>0</v>
      </c>
      <c r="I3578" s="16" cm="1">
        <f t="array" ref="I3578">SUM(I3576:I3577)</f>
        <v>0</v>
      </c>
    </row>
    <row r="3579" ht="21.25" customHeight="1">
      <c r="A3579" s="10">
        <v>45611</v>
      </c>
      <c r="B3579" t="s" s="11">
        <v>81</v>
      </c>
      <c r="C3579" t="s" s="12">
        <v>610</v>
      </c>
      <c r="D3579" s="17"/>
      <c r="E3579" s="17">
        <v>155430</v>
      </c>
      <c r="F3579" s="18"/>
      <c r="G3579" s="18"/>
      <c r="H3579" s="18"/>
      <c r="I3579" s="18"/>
    </row>
    <row r="3580" ht="21.25" customHeight="1">
      <c r="A3580" s="10">
        <v>45611</v>
      </c>
      <c r="B3580" t="s" s="11">
        <v>79</v>
      </c>
      <c r="C3580" t="s" s="12">
        <v>610</v>
      </c>
      <c r="D3580" s="13">
        <v>155430</v>
      </c>
      <c r="E3580" s="13"/>
      <c r="F3580" s="14"/>
      <c r="G3580" s="14"/>
      <c r="H3580" s="14"/>
      <c r="I3580" s="14"/>
    </row>
    <row r="3581" ht="20.7" customHeight="1">
      <c r="A3581" s="10">
        <v>45611</v>
      </c>
      <c r="B3581" t="s" s="11">
        <v>8</v>
      </c>
      <c r="C3581" t="s" s="12">
        <v>8</v>
      </c>
      <c r="D3581" s="15" cm="1">
        <f t="array" ref="D3581">SUM(D3579:D3580)</f>
        <v>155430</v>
      </c>
      <c r="E3581" s="15" cm="1">
        <f t="array" ref="E3581">SUM(E3579:E3580)</f>
        <v>155430</v>
      </c>
      <c r="F3581" s="16" cm="1">
        <f t="array" ref="F3581">SUM(F3579:F3580)</f>
        <v>0</v>
      </c>
      <c r="G3581" s="16" cm="1">
        <f t="array" ref="G3581">SUM(G3579:G3580)</f>
        <v>0</v>
      </c>
      <c r="H3581" s="16" cm="1">
        <f t="array" ref="H3581">SUM(H3579:H3580)</f>
        <v>0</v>
      </c>
      <c r="I3581" s="16" cm="1">
        <f t="array" ref="I3581">SUM(I3579:I3580)</f>
        <v>0</v>
      </c>
    </row>
    <row r="3582" ht="21.25" customHeight="1">
      <c r="A3582" s="10">
        <v>45611</v>
      </c>
      <c r="B3582" t="s" s="11">
        <v>81</v>
      </c>
      <c r="C3582" t="s" s="12">
        <v>611</v>
      </c>
      <c r="D3582" s="17"/>
      <c r="E3582" s="17">
        <v>89870</v>
      </c>
      <c r="F3582" s="18"/>
      <c r="G3582" s="18"/>
      <c r="H3582" s="18"/>
      <c r="I3582" s="18"/>
    </row>
    <row r="3583" ht="21.25" customHeight="1">
      <c r="A3583" s="10">
        <v>45611</v>
      </c>
      <c r="B3583" t="s" s="11">
        <v>79</v>
      </c>
      <c r="C3583" t="s" s="12">
        <v>611</v>
      </c>
      <c r="D3583" s="13">
        <v>89870</v>
      </c>
      <c r="E3583" s="13"/>
      <c r="F3583" s="14"/>
      <c r="G3583" s="14"/>
      <c r="H3583" s="14"/>
      <c r="I3583" s="14"/>
    </row>
    <row r="3584" ht="20.7" customHeight="1">
      <c r="A3584" s="10">
        <v>45611</v>
      </c>
      <c r="B3584" t="s" s="11">
        <v>8</v>
      </c>
      <c r="C3584" t="s" s="12">
        <v>8</v>
      </c>
      <c r="D3584" s="15" cm="1">
        <f t="array" ref="D3584">SUM(D3582:D3583)</f>
        <v>89870</v>
      </c>
      <c r="E3584" s="15" cm="1">
        <f t="array" ref="E3584">SUM(E3582:E3583)</f>
        <v>89870</v>
      </c>
      <c r="F3584" s="16" cm="1">
        <f t="array" ref="F3584">SUM(F3582:F3583)</f>
        <v>0</v>
      </c>
      <c r="G3584" s="16" cm="1">
        <f t="array" ref="G3584">SUM(G3582:G3583)</f>
        <v>0</v>
      </c>
      <c r="H3584" s="16" cm="1">
        <f t="array" ref="H3584">SUM(H3582:H3583)</f>
        <v>0</v>
      </c>
      <c r="I3584" s="16" cm="1">
        <f t="array" ref="I3584">SUM(I3582:I3583)</f>
        <v>0</v>
      </c>
    </row>
    <row r="3585" ht="20.35" customHeight="1">
      <c r="A3585" s="10">
        <v>45611</v>
      </c>
      <c r="B3585" t="s" s="11">
        <v>81</v>
      </c>
      <c r="C3585" t="s" s="12">
        <v>612</v>
      </c>
      <c r="D3585" s="17"/>
      <c r="E3585" s="17">
        <v>26815</v>
      </c>
      <c r="F3585" s="18"/>
      <c r="G3585" s="18"/>
      <c r="H3585" s="18"/>
      <c r="I3585" s="18"/>
    </row>
    <row r="3586" ht="20.35" customHeight="1">
      <c r="A3586" s="10">
        <v>45611</v>
      </c>
      <c r="B3586" t="s" s="11">
        <v>79</v>
      </c>
      <c r="C3586" t="s" s="12">
        <v>612</v>
      </c>
      <c r="D3586" s="13">
        <v>26815</v>
      </c>
      <c r="E3586" s="13"/>
      <c r="F3586" s="14"/>
      <c r="G3586" s="14"/>
      <c r="H3586" s="14"/>
      <c r="I3586" s="14"/>
    </row>
    <row r="3587" ht="20.7" customHeight="1">
      <c r="A3587" s="10">
        <v>45611</v>
      </c>
      <c r="B3587" t="s" s="11">
        <v>8</v>
      </c>
      <c r="C3587" t="s" s="12">
        <v>8</v>
      </c>
      <c r="D3587" s="15" cm="1">
        <f t="array" ref="D3587">SUM(D3585:D3586)</f>
        <v>26815</v>
      </c>
      <c r="E3587" s="15" cm="1">
        <f t="array" ref="E3587">SUM(E3585:E3586)</f>
        <v>26815</v>
      </c>
      <c r="F3587" s="16" cm="1">
        <f t="array" ref="F3587">SUM(F3585:F3586)</f>
        <v>0</v>
      </c>
      <c r="G3587" s="16" cm="1">
        <f t="array" ref="G3587">SUM(G3585:G3586)</f>
        <v>0</v>
      </c>
      <c r="H3587" s="16" cm="1">
        <f t="array" ref="H3587">SUM(H3585:H3586)</f>
        <v>0</v>
      </c>
      <c r="I3587" s="16" cm="1">
        <f t="array" ref="I3587">SUM(I3585:I3586)</f>
        <v>0</v>
      </c>
    </row>
    <row r="3588" ht="21.25" customHeight="1">
      <c r="A3588" s="10">
        <v>45611</v>
      </c>
      <c r="B3588" t="s" s="11">
        <v>81</v>
      </c>
      <c r="C3588" t="s" s="12">
        <v>613</v>
      </c>
      <c r="D3588" s="17"/>
      <c r="E3588" s="17">
        <v>72037</v>
      </c>
      <c r="F3588" s="18"/>
      <c r="G3588" s="18"/>
      <c r="H3588" s="18"/>
      <c r="I3588" s="18"/>
    </row>
    <row r="3589" ht="21.25" customHeight="1">
      <c r="A3589" s="10">
        <v>45611</v>
      </c>
      <c r="B3589" t="s" s="11">
        <v>79</v>
      </c>
      <c r="C3589" t="s" s="12">
        <v>613</v>
      </c>
      <c r="D3589" s="13">
        <v>72037</v>
      </c>
      <c r="E3589" s="13"/>
      <c r="F3589" s="14"/>
      <c r="G3589" s="14"/>
      <c r="H3589" s="14"/>
      <c r="I3589" s="14"/>
    </row>
    <row r="3590" ht="20.7" customHeight="1">
      <c r="A3590" s="10">
        <v>45611</v>
      </c>
      <c r="B3590" t="s" s="11">
        <v>8</v>
      </c>
      <c r="C3590" t="s" s="12">
        <v>8</v>
      </c>
      <c r="D3590" s="15" cm="1">
        <f t="array" ref="D3590">SUM(D3588:D3589)</f>
        <v>72037</v>
      </c>
      <c r="E3590" s="15" cm="1">
        <f t="array" ref="E3590">SUM(E3588:E3589)</f>
        <v>72037</v>
      </c>
      <c r="F3590" s="16" cm="1">
        <f t="array" ref="F3590">SUM(F3588:F3589)</f>
        <v>0</v>
      </c>
      <c r="G3590" s="16" cm="1">
        <f t="array" ref="G3590">SUM(G3588:G3589)</f>
        <v>0</v>
      </c>
      <c r="H3590" s="16" cm="1">
        <f t="array" ref="H3590">SUM(H3588:H3589)</f>
        <v>0</v>
      </c>
      <c r="I3590" s="16" cm="1">
        <f t="array" ref="I3590">SUM(I3588:I3589)</f>
        <v>0</v>
      </c>
    </row>
    <row r="3591" ht="20.35" customHeight="1">
      <c r="A3591" s="10">
        <v>45611</v>
      </c>
      <c r="B3591" t="s" s="11">
        <v>5</v>
      </c>
      <c r="C3591" t="s" s="12">
        <v>96</v>
      </c>
      <c r="D3591" s="17">
        <v>344592</v>
      </c>
      <c r="E3591" s="17"/>
      <c r="F3591" s="18"/>
      <c r="G3591" s="18"/>
      <c r="H3591" s="18"/>
      <c r="I3591" s="18"/>
    </row>
    <row r="3592" ht="20.35" customHeight="1">
      <c r="A3592" s="10">
        <v>45611</v>
      </c>
      <c r="B3592" t="s" s="11">
        <v>79</v>
      </c>
      <c r="C3592" t="s" s="12">
        <v>96</v>
      </c>
      <c r="D3592" s="13"/>
      <c r="E3592" s="13">
        <v>344592</v>
      </c>
      <c r="F3592" s="14"/>
      <c r="G3592" s="14"/>
      <c r="H3592" s="14"/>
      <c r="I3592" s="14"/>
    </row>
    <row r="3593" ht="20.7" customHeight="1">
      <c r="A3593" s="10">
        <v>45611</v>
      </c>
      <c r="B3593" t="s" s="11">
        <v>8</v>
      </c>
      <c r="C3593" t="s" s="12">
        <v>8</v>
      </c>
      <c r="D3593" s="15" cm="1">
        <f t="array" ref="D3593">SUM(D3591:D3592)</f>
        <v>344592</v>
      </c>
      <c r="E3593" s="15" cm="1">
        <f t="array" ref="E3593">SUM(E3591:E3592)</f>
        <v>344592</v>
      </c>
      <c r="F3593" s="16" cm="1">
        <f t="array" ref="F3593">SUM(F3591:F3592)</f>
        <v>0</v>
      </c>
      <c r="G3593" s="16" cm="1">
        <f t="array" ref="G3593">SUM(G3591:G3592)</f>
        <v>0</v>
      </c>
      <c r="H3593" s="16" cm="1">
        <f t="array" ref="H3593">SUM(H3591:H3592)</f>
        <v>0</v>
      </c>
      <c r="I3593" s="16" cm="1">
        <f t="array" ref="I3593">SUM(I3591:I3592)</f>
        <v>0</v>
      </c>
    </row>
    <row r="3594" ht="21.25" customHeight="1">
      <c r="A3594" s="10">
        <v>45611</v>
      </c>
      <c r="B3594" t="s" s="11">
        <v>5</v>
      </c>
      <c r="C3594" t="s" s="12">
        <v>617</v>
      </c>
      <c r="D3594" s="17"/>
      <c r="E3594" s="17">
        <v>4000</v>
      </c>
      <c r="F3594" s="18"/>
      <c r="G3594" s="18"/>
      <c r="H3594" s="18"/>
      <c r="I3594" s="18"/>
    </row>
    <row r="3595" ht="21.25" customHeight="1">
      <c r="A3595" s="10">
        <v>45611</v>
      </c>
      <c r="B3595" t="s" s="11">
        <v>10</v>
      </c>
      <c r="C3595" t="s" s="12">
        <v>617</v>
      </c>
      <c r="D3595" s="13">
        <v>4000</v>
      </c>
      <c r="E3595" s="13"/>
      <c r="F3595" s="14"/>
      <c r="G3595" s="14"/>
      <c r="H3595" s="14"/>
      <c r="I3595" s="14"/>
    </row>
    <row r="3596" ht="20.7" customHeight="1">
      <c r="A3596" s="10">
        <v>45611</v>
      </c>
      <c r="B3596" t="s" s="11">
        <v>8</v>
      </c>
      <c r="C3596" t="s" s="12">
        <v>8</v>
      </c>
      <c r="D3596" s="15" cm="1">
        <f t="array" ref="D3596">SUM(D3594:D3595)</f>
        <v>4000</v>
      </c>
      <c r="E3596" s="15" cm="1">
        <f t="array" ref="E3596">SUM(E3594:E3595)</f>
        <v>4000</v>
      </c>
      <c r="F3596" s="16" cm="1">
        <f t="array" ref="F3596">SUM(F3594:F3595)</f>
        <v>0</v>
      </c>
      <c r="G3596" s="16" cm="1">
        <f t="array" ref="G3596">SUM(G3594:G3595)</f>
        <v>0</v>
      </c>
      <c r="H3596" s="16" cm="1">
        <f t="array" ref="H3596">SUM(H3594:H3595)</f>
        <v>0</v>
      </c>
      <c r="I3596" s="16" cm="1">
        <f t="array" ref="I3596">SUM(I3594:I3595)</f>
        <v>0</v>
      </c>
    </row>
    <row r="3597" ht="21.25" customHeight="1">
      <c r="A3597" s="10">
        <v>45611</v>
      </c>
      <c r="B3597" t="s" s="11">
        <v>5</v>
      </c>
      <c r="C3597" t="s" s="12">
        <v>618</v>
      </c>
      <c r="D3597" s="17"/>
      <c r="E3597" s="17">
        <v>9100</v>
      </c>
      <c r="F3597" s="18"/>
      <c r="G3597" s="18"/>
      <c r="H3597" s="18"/>
      <c r="I3597" s="18"/>
    </row>
    <row r="3598" ht="21.25" customHeight="1">
      <c r="A3598" s="10">
        <v>45611</v>
      </c>
      <c r="B3598" t="s" s="11">
        <v>10</v>
      </c>
      <c r="C3598" t="s" s="12">
        <v>618</v>
      </c>
      <c r="D3598" s="13">
        <v>9100</v>
      </c>
      <c r="E3598" s="13"/>
      <c r="F3598" s="14"/>
      <c r="G3598" s="14"/>
      <c r="H3598" s="14"/>
      <c r="I3598" s="14"/>
    </row>
    <row r="3599" ht="20.7" customHeight="1">
      <c r="A3599" s="10">
        <v>45611</v>
      </c>
      <c r="B3599" t="s" s="11">
        <v>8</v>
      </c>
      <c r="C3599" t="s" s="12">
        <v>8</v>
      </c>
      <c r="D3599" s="15" cm="1">
        <f t="array" ref="D3599">SUM(D3597:D3598)</f>
        <v>9100</v>
      </c>
      <c r="E3599" s="15" cm="1">
        <f t="array" ref="E3599">SUM(E3597:E3598)</f>
        <v>9100</v>
      </c>
      <c r="F3599" s="16" cm="1">
        <f t="array" ref="F3599">SUM(F3597:F3598)</f>
        <v>0</v>
      </c>
      <c r="G3599" s="16" cm="1">
        <f t="array" ref="G3599">SUM(G3597:G3598)</f>
        <v>0</v>
      </c>
      <c r="H3599" s="16" cm="1">
        <f t="array" ref="H3599">SUM(H3597:H3598)</f>
        <v>0</v>
      </c>
      <c r="I3599" s="16" cm="1">
        <f t="array" ref="I3599">SUM(I3597:I3598)</f>
        <v>0</v>
      </c>
    </row>
    <row r="3600" ht="21.25" customHeight="1">
      <c r="A3600" s="10">
        <v>45611</v>
      </c>
      <c r="B3600" t="s" s="11">
        <v>5</v>
      </c>
      <c r="C3600" t="s" s="12">
        <v>619</v>
      </c>
      <c r="D3600" s="17"/>
      <c r="E3600" s="17">
        <v>14300</v>
      </c>
      <c r="F3600" s="18"/>
      <c r="G3600" s="18"/>
      <c r="H3600" s="18"/>
      <c r="I3600" s="18"/>
    </row>
    <row r="3601" ht="21.25" customHeight="1">
      <c r="A3601" s="10">
        <v>45611</v>
      </c>
      <c r="B3601" t="s" s="11">
        <v>10</v>
      </c>
      <c r="C3601" t="s" s="12">
        <v>619</v>
      </c>
      <c r="D3601" s="13">
        <v>14300</v>
      </c>
      <c r="E3601" s="13"/>
      <c r="F3601" s="14"/>
      <c r="G3601" s="14"/>
      <c r="H3601" s="14"/>
      <c r="I3601" s="14"/>
    </row>
    <row r="3602" ht="20.7" customHeight="1">
      <c r="A3602" s="10">
        <v>45611</v>
      </c>
      <c r="B3602" t="s" s="11">
        <v>8</v>
      </c>
      <c r="C3602" t="s" s="12">
        <v>8</v>
      </c>
      <c r="D3602" s="15" cm="1">
        <f t="array" ref="D3602">SUM(D3600:D3601)</f>
        <v>14300</v>
      </c>
      <c r="E3602" s="15" cm="1">
        <f t="array" ref="E3602">SUM(E3600:E3601)</f>
        <v>14300</v>
      </c>
      <c r="F3602" s="16" cm="1">
        <f t="array" ref="F3602">SUM(F3600:F3601)</f>
        <v>0</v>
      </c>
      <c r="G3602" s="16" cm="1">
        <f t="array" ref="G3602">SUM(G3600:G3601)</f>
        <v>0</v>
      </c>
      <c r="H3602" s="16" cm="1">
        <f t="array" ref="H3602">SUM(H3600:H3601)</f>
        <v>0</v>
      </c>
      <c r="I3602" s="16" cm="1">
        <f t="array" ref="I3602">SUM(I3600:I3601)</f>
        <v>0</v>
      </c>
    </row>
    <row r="3603" ht="21.25" customHeight="1">
      <c r="A3603" s="10">
        <v>45611</v>
      </c>
      <c r="B3603" t="s" s="11">
        <v>5</v>
      </c>
      <c r="C3603" t="s" s="12">
        <v>620</v>
      </c>
      <c r="D3603" s="17"/>
      <c r="E3603" s="17">
        <v>34500</v>
      </c>
      <c r="F3603" s="18"/>
      <c r="G3603" s="18"/>
      <c r="H3603" s="18"/>
      <c r="I3603" s="18"/>
    </row>
    <row r="3604" ht="21.25" customHeight="1">
      <c r="A3604" s="10">
        <v>45611</v>
      </c>
      <c r="B3604" t="s" s="11">
        <v>10</v>
      </c>
      <c r="C3604" t="s" s="12">
        <v>620</v>
      </c>
      <c r="D3604" s="13">
        <v>34500</v>
      </c>
      <c r="E3604" s="13"/>
      <c r="F3604" s="14"/>
      <c r="G3604" s="14"/>
      <c r="H3604" s="14"/>
      <c r="I3604" s="14"/>
    </row>
    <row r="3605" ht="20.7" customHeight="1">
      <c r="A3605" s="10">
        <v>45611</v>
      </c>
      <c r="B3605" t="s" s="11">
        <v>8</v>
      </c>
      <c r="C3605" t="s" s="12">
        <v>8</v>
      </c>
      <c r="D3605" s="15" cm="1">
        <f t="array" ref="D3605">SUM(D3603:D3604)</f>
        <v>34500</v>
      </c>
      <c r="E3605" s="15" cm="1">
        <f t="array" ref="E3605">SUM(E3603:E3604)</f>
        <v>34500</v>
      </c>
      <c r="F3605" s="16" cm="1">
        <f t="array" ref="F3605">SUM(F3603:F3604)</f>
        <v>0</v>
      </c>
      <c r="G3605" s="16" cm="1">
        <f t="array" ref="G3605">SUM(G3603:G3604)</f>
        <v>0</v>
      </c>
      <c r="H3605" s="16" cm="1">
        <f t="array" ref="H3605">SUM(H3603:H3604)</f>
        <v>0</v>
      </c>
      <c r="I3605" s="16" cm="1">
        <f t="array" ref="I3605">SUM(I3603:I3604)</f>
        <v>0</v>
      </c>
    </row>
    <row r="3606" ht="21.25" customHeight="1">
      <c r="A3606" s="10">
        <v>45611</v>
      </c>
      <c r="B3606" t="s" s="11">
        <v>5</v>
      </c>
      <c r="C3606" t="s" s="12">
        <v>620</v>
      </c>
      <c r="D3606" s="17"/>
      <c r="E3606" s="17">
        <v>10000</v>
      </c>
      <c r="F3606" s="18"/>
      <c r="G3606" s="18"/>
      <c r="H3606" s="18"/>
      <c r="I3606" s="18"/>
    </row>
    <row r="3607" ht="21.25" customHeight="1">
      <c r="A3607" s="10">
        <v>45611</v>
      </c>
      <c r="B3607" t="s" s="11">
        <v>10</v>
      </c>
      <c r="C3607" t="s" s="12">
        <v>620</v>
      </c>
      <c r="D3607" s="13">
        <v>10000</v>
      </c>
      <c r="E3607" s="13"/>
      <c r="F3607" s="14"/>
      <c r="G3607" s="14"/>
      <c r="H3607" s="14"/>
      <c r="I3607" s="14"/>
    </row>
    <row r="3608" ht="20.7" customHeight="1">
      <c r="A3608" s="10">
        <v>45611</v>
      </c>
      <c r="B3608" t="s" s="11">
        <v>8</v>
      </c>
      <c r="C3608" t="s" s="12">
        <v>8</v>
      </c>
      <c r="D3608" s="15" cm="1">
        <f t="array" ref="D3608">SUM(D3606:D3607)</f>
        <v>10000</v>
      </c>
      <c r="E3608" s="15" cm="1">
        <f t="array" ref="E3608">SUM(E3606:E3607)</f>
        <v>10000</v>
      </c>
      <c r="F3608" s="16" cm="1">
        <f t="array" ref="F3608">SUM(F3606:F3607)</f>
        <v>0</v>
      </c>
      <c r="G3608" s="16" cm="1">
        <f t="array" ref="G3608">SUM(G3606:G3607)</f>
        <v>0</v>
      </c>
      <c r="H3608" s="16" cm="1">
        <f t="array" ref="H3608">SUM(H3606:H3607)</f>
        <v>0</v>
      </c>
      <c r="I3608" s="16" cm="1">
        <f t="array" ref="I3608">SUM(I3606:I3607)</f>
        <v>0</v>
      </c>
    </row>
    <row r="3609" ht="21.25" customHeight="1">
      <c r="A3609" s="10">
        <v>45611</v>
      </c>
      <c r="B3609" t="s" s="11">
        <v>5</v>
      </c>
      <c r="C3609" t="s" s="12">
        <v>621</v>
      </c>
      <c r="D3609" s="17"/>
      <c r="E3609" s="17">
        <v>17900</v>
      </c>
      <c r="F3609" s="18"/>
      <c r="G3609" s="18"/>
      <c r="H3609" s="18"/>
      <c r="I3609" s="18"/>
    </row>
    <row r="3610" ht="21.25" customHeight="1">
      <c r="A3610" s="10">
        <v>45611</v>
      </c>
      <c r="B3610" t="s" s="11">
        <v>10</v>
      </c>
      <c r="C3610" t="s" s="12">
        <v>621</v>
      </c>
      <c r="D3610" s="13">
        <v>17900</v>
      </c>
      <c r="E3610" s="13"/>
      <c r="F3610" s="14"/>
      <c r="G3610" s="14"/>
      <c r="H3610" s="14"/>
      <c r="I3610" s="14"/>
    </row>
    <row r="3611" ht="20.7" customHeight="1">
      <c r="A3611" s="10">
        <v>45611</v>
      </c>
      <c r="B3611" t="s" s="11">
        <v>8</v>
      </c>
      <c r="C3611" t="s" s="12">
        <v>8</v>
      </c>
      <c r="D3611" s="15" cm="1">
        <f t="array" ref="D3611">SUM(D3609:D3610)</f>
        <v>17900</v>
      </c>
      <c r="E3611" s="15" cm="1">
        <f t="array" ref="E3611">SUM(E3609:E3610)</f>
        <v>17900</v>
      </c>
      <c r="F3611" s="16" cm="1">
        <f t="array" ref="F3611">SUM(F3609:F3610)</f>
        <v>0</v>
      </c>
      <c r="G3611" s="16" cm="1">
        <f t="array" ref="G3611">SUM(G3609:G3610)</f>
        <v>0</v>
      </c>
      <c r="H3611" s="16" cm="1">
        <f t="array" ref="H3611">SUM(H3609:H3610)</f>
        <v>0</v>
      </c>
      <c r="I3611" s="16" cm="1">
        <f t="array" ref="I3611">SUM(I3609:I3610)</f>
        <v>0</v>
      </c>
    </row>
    <row r="3612" ht="21.25" customHeight="1">
      <c r="A3612" s="10">
        <v>45611</v>
      </c>
      <c r="B3612" t="s" s="11">
        <v>5</v>
      </c>
      <c r="C3612" t="s" s="12">
        <v>622</v>
      </c>
      <c r="D3612" s="17"/>
      <c r="E3612" s="17">
        <v>21500</v>
      </c>
      <c r="F3612" s="18"/>
      <c r="G3612" s="18"/>
      <c r="H3612" s="18"/>
      <c r="I3612" s="18"/>
    </row>
    <row r="3613" ht="21.25" customHeight="1">
      <c r="A3613" s="10">
        <v>45611</v>
      </c>
      <c r="B3613" t="s" s="11">
        <v>10</v>
      </c>
      <c r="C3613" t="s" s="12">
        <v>622</v>
      </c>
      <c r="D3613" s="13">
        <v>21500</v>
      </c>
      <c r="E3613" s="13"/>
      <c r="F3613" s="14"/>
      <c r="G3613" s="14"/>
      <c r="H3613" s="14"/>
      <c r="I3613" s="14"/>
    </row>
    <row r="3614" ht="20.7" customHeight="1">
      <c r="A3614" s="10">
        <v>45611</v>
      </c>
      <c r="B3614" t="s" s="11">
        <v>8</v>
      </c>
      <c r="C3614" t="s" s="12">
        <v>8</v>
      </c>
      <c r="D3614" s="15" cm="1">
        <f t="array" ref="D3614">SUM(D3612:D3613)</f>
        <v>21500</v>
      </c>
      <c r="E3614" s="15" cm="1">
        <f t="array" ref="E3614">SUM(E3612:E3613)</f>
        <v>21500</v>
      </c>
      <c r="F3614" s="16" cm="1">
        <f t="array" ref="F3614">SUM(F3612:F3613)</f>
        <v>0</v>
      </c>
      <c r="G3614" s="16" cm="1">
        <f t="array" ref="G3614">SUM(G3612:G3613)</f>
        <v>0</v>
      </c>
      <c r="H3614" s="16" cm="1">
        <f t="array" ref="H3614">SUM(H3612:H3613)</f>
        <v>0</v>
      </c>
      <c r="I3614" s="16" cm="1">
        <f t="array" ref="I3614">SUM(I3612:I3613)</f>
        <v>0</v>
      </c>
    </row>
    <row r="3615" ht="21.25" customHeight="1">
      <c r="A3615" s="10">
        <v>45611</v>
      </c>
      <c r="B3615" t="s" s="11">
        <v>21</v>
      </c>
      <c r="C3615" t="s" s="12">
        <v>623</v>
      </c>
      <c r="D3615" s="17"/>
      <c r="E3615" s="17">
        <v>10400</v>
      </c>
      <c r="F3615" s="18"/>
      <c r="G3615" s="18"/>
      <c r="H3615" s="18"/>
      <c r="I3615" s="18"/>
    </row>
    <row r="3616" ht="21.25" customHeight="1">
      <c r="A3616" s="10">
        <v>45611</v>
      </c>
      <c r="B3616" t="s" s="11">
        <v>10</v>
      </c>
      <c r="C3616" t="s" s="12">
        <v>623</v>
      </c>
      <c r="D3616" s="13">
        <v>10400</v>
      </c>
      <c r="E3616" s="13"/>
      <c r="F3616" s="14"/>
      <c r="G3616" s="14"/>
      <c r="H3616" s="14"/>
      <c r="I3616" s="14"/>
    </row>
    <row r="3617" ht="20.7" customHeight="1">
      <c r="A3617" s="10">
        <v>45611</v>
      </c>
      <c r="B3617" t="s" s="11">
        <v>8</v>
      </c>
      <c r="C3617" t="s" s="12">
        <v>8</v>
      </c>
      <c r="D3617" s="15" cm="1">
        <f t="array" ref="D3617">SUM(D3615:D3616)</f>
        <v>10400</v>
      </c>
      <c r="E3617" s="15" cm="1">
        <f t="array" ref="E3617">SUM(E3615:E3616)</f>
        <v>10400</v>
      </c>
      <c r="F3617" s="16" cm="1">
        <f t="array" ref="F3617">SUM(F3615:F3616)</f>
        <v>0</v>
      </c>
      <c r="G3617" s="16" cm="1">
        <f t="array" ref="G3617">SUM(G3615:G3616)</f>
        <v>0</v>
      </c>
      <c r="H3617" s="16" cm="1">
        <f t="array" ref="H3617">SUM(H3615:H3616)</f>
        <v>0</v>
      </c>
      <c r="I3617" s="16" cm="1">
        <f t="array" ref="I3617">SUM(I3615:I3616)</f>
        <v>0</v>
      </c>
    </row>
    <row r="3618" ht="21.25" customHeight="1">
      <c r="A3618" s="10">
        <v>45611</v>
      </c>
      <c r="B3618" t="s" s="11">
        <v>21</v>
      </c>
      <c r="C3618" t="s" s="12">
        <v>624</v>
      </c>
      <c r="D3618" s="17"/>
      <c r="E3618" s="17">
        <v>3000</v>
      </c>
      <c r="F3618" s="18"/>
      <c r="G3618" s="18"/>
      <c r="H3618" s="18"/>
      <c r="I3618" s="18"/>
    </row>
    <row r="3619" ht="21.25" customHeight="1">
      <c r="A3619" s="10">
        <v>45611</v>
      </c>
      <c r="B3619" t="s" s="11">
        <v>16</v>
      </c>
      <c r="C3619" t="s" s="12">
        <v>624</v>
      </c>
      <c r="D3619" s="13">
        <v>3000</v>
      </c>
      <c r="E3619" s="13"/>
      <c r="F3619" s="14"/>
      <c r="G3619" s="14"/>
      <c r="H3619" s="14"/>
      <c r="I3619" s="14"/>
    </row>
    <row r="3620" ht="20.7" customHeight="1">
      <c r="A3620" s="10">
        <v>45611</v>
      </c>
      <c r="B3620" t="s" s="11">
        <v>8</v>
      </c>
      <c r="C3620" t="s" s="12">
        <v>8</v>
      </c>
      <c r="D3620" s="15" cm="1">
        <f t="array" ref="D3620">SUM(D3618:D3619)</f>
        <v>3000</v>
      </c>
      <c r="E3620" s="15" cm="1">
        <f t="array" ref="E3620">SUM(E3618:E3619)</f>
        <v>3000</v>
      </c>
      <c r="F3620" s="16" cm="1">
        <f t="array" ref="F3620">SUM(F3618:F3619)</f>
        <v>0</v>
      </c>
      <c r="G3620" s="16" cm="1">
        <f t="array" ref="G3620">SUM(G3618:G3619)</f>
        <v>0</v>
      </c>
      <c r="H3620" s="16" cm="1">
        <f t="array" ref="H3620">SUM(H3618:H3619)</f>
        <v>0</v>
      </c>
      <c r="I3620" s="16" cm="1">
        <f t="array" ref="I3620">SUM(I3618:I3619)</f>
        <v>0</v>
      </c>
    </row>
    <row r="3621" ht="21.25" customHeight="1">
      <c r="A3621" s="10">
        <v>45611</v>
      </c>
      <c r="B3621" t="s" s="11">
        <v>21</v>
      </c>
      <c r="C3621" t="s" s="12">
        <v>625</v>
      </c>
      <c r="D3621" s="17"/>
      <c r="E3621" s="17">
        <v>1700</v>
      </c>
      <c r="F3621" s="18"/>
      <c r="G3621" s="18"/>
      <c r="H3621" s="18"/>
      <c r="I3621" s="18"/>
    </row>
    <row r="3622" ht="21.25" customHeight="1">
      <c r="A3622" s="10">
        <v>45611</v>
      </c>
      <c r="B3622" t="s" s="11">
        <v>16</v>
      </c>
      <c r="C3622" t="s" s="12">
        <v>625</v>
      </c>
      <c r="D3622" s="13">
        <v>1700</v>
      </c>
      <c r="E3622" s="13"/>
      <c r="F3622" s="14"/>
      <c r="G3622" s="14"/>
      <c r="H3622" s="14"/>
      <c r="I3622" s="14"/>
    </row>
    <row r="3623" ht="20.7" customHeight="1">
      <c r="A3623" s="10">
        <v>45611</v>
      </c>
      <c r="B3623" t="s" s="11">
        <v>8</v>
      </c>
      <c r="C3623" t="s" s="12">
        <v>8</v>
      </c>
      <c r="D3623" s="15" cm="1">
        <f t="array" ref="D3623">SUM(D3621:D3622)</f>
        <v>1700</v>
      </c>
      <c r="E3623" s="15" cm="1">
        <f t="array" ref="E3623">SUM(E3621:E3622)</f>
        <v>1700</v>
      </c>
      <c r="F3623" s="16" cm="1">
        <f t="array" ref="F3623">SUM(F3621:F3622)</f>
        <v>0</v>
      </c>
      <c r="G3623" s="16" cm="1">
        <f t="array" ref="G3623">SUM(G3621:G3622)</f>
        <v>0</v>
      </c>
      <c r="H3623" s="16" cm="1">
        <f t="array" ref="H3623">SUM(H3621:H3622)</f>
        <v>0</v>
      </c>
      <c r="I3623" s="16" cm="1">
        <f t="array" ref="I3623">SUM(I3621:I3622)</f>
        <v>0</v>
      </c>
    </row>
    <row r="3624" ht="21.25" customHeight="1">
      <c r="A3624" s="10">
        <v>45611</v>
      </c>
      <c r="B3624" t="s" s="11">
        <v>21</v>
      </c>
      <c r="C3624" t="s" s="12">
        <v>626</v>
      </c>
      <c r="D3624" s="17"/>
      <c r="E3624" s="17">
        <v>1400</v>
      </c>
      <c r="F3624" s="18"/>
      <c r="G3624" s="18"/>
      <c r="H3624" s="18"/>
      <c r="I3624" s="18"/>
    </row>
    <row r="3625" ht="21.25" customHeight="1">
      <c r="A3625" s="10">
        <v>45611</v>
      </c>
      <c r="B3625" t="s" s="11">
        <v>10</v>
      </c>
      <c r="C3625" t="s" s="12">
        <v>626</v>
      </c>
      <c r="D3625" s="13">
        <v>1400</v>
      </c>
      <c r="E3625" s="13"/>
      <c r="F3625" s="14"/>
      <c r="G3625" s="14"/>
      <c r="H3625" s="14"/>
      <c r="I3625" s="14"/>
    </row>
    <row r="3626" ht="20.7" customHeight="1">
      <c r="A3626" s="10">
        <v>45611</v>
      </c>
      <c r="B3626" t="s" s="11">
        <v>8</v>
      </c>
      <c r="C3626" t="s" s="12">
        <v>8</v>
      </c>
      <c r="D3626" s="15" cm="1">
        <f t="array" ref="D3626">SUM(D3624:D3625)</f>
        <v>1400</v>
      </c>
      <c r="E3626" s="15" cm="1">
        <f t="array" ref="E3626">SUM(E3624:E3625)</f>
        <v>1400</v>
      </c>
      <c r="F3626" s="16" cm="1">
        <f t="array" ref="F3626">SUM(F3624:F3625)</f>
        <v>0</v>
      </c>
      <c r="G3626" s="16" cm="1">
        <f t="array" ref="G3626">SUM(G3624:G3625)</f>
        <v>0</v>
      </c>
      <c r="H3626" s="16" cm="1">
        <f t="array" ref="H3626">SUM(H3624:H3625)</f>
        <v>0</v>
      </c>
      <c r="I3626" s="16" cm="1">
        <f t="array" ref="I3626">SUM(I3624:I3625)</f>
        <v>0</v>
      </c>
    </row>
    <row r="3627" ht="21.25" customHeight="1">
      <c r="A3627" s="10">
        <v>45611</v>
      </c>
      <c r="B3627" t="s" s="11">
        <v>21</v>
      </c>
      <c r="C3627" t="s" s="12">
        <v>627</v>
      </c>
      <c r="D3627" s="17"/>
      <c r="E3627" s="17">
        <v>2900</v>
      </c>
      <c r="F3627" s="18"/>
      <c r="G3627" s="18"/>
      <c r="H3627" s="18"/>
      <c r="I3627" s="18"/>
    </row>
    <row r="3628" ht="21.25" customHeight="1">
      <c r="A3628" s="10">
        <v>45611</v>
      </c>
      <c r="B3628" t="s" s="11">
        <v>10</v>
      </c>
      <c r="C3628" t="s" s="12">
        <v>627</v>
      </c>
      <c r="D3628" s="13">
        <v>2900</v>
      </c>
      <c r="E3628" s="13"/>
      <c r="F3628" s="14"/>
      <c r="G3628" s="14"/>
      <c r="H3628" s="14"/>
      <c r="I3628" s="14"/>
    </row>
    <row r="3629" ht="20.7" customHeight="1">
      <c r="A3629" s="10">
        <v>45611</v>
      </c>
      <c r="B3629" t="s" s="11">
        <v>8</v>
      </c>
      <c r="C3629" t="s" s="12">
        <v>8</v>
      </c>
      <c r="D3629" s="15" cm="1">
        <f t="array" ref="D3629">SUM(D3627:D3628)</f>
        <v>2900</v>
      </c>
      <c r="E3629" s="15" cm="1">
        <f t="array" ref="E3629">SUM(E3627:E3628)</f>
        <v>2900</v>
      </c>
      <c r="F3629" s="16" cm="1">
        <f t="array" ref="F3629">SUM(F3627:F3628)</f>
        <v>0</v>
      </c>
      <c r="G3629" s="16" cm="1">
        <f t="array" ref="G3629">SUM(G3627:G3628)</f>
        <v>0</v>
      </c>
      <c r="H3629" s="16" cm="1">
        <f t="array" ref="H3629">SUM(H3627:H3628)</f>
        <v>0</v>
      </c>
      <c r="I3629" s="16" cm="1">
        <f t="array" ref="I3629">SUM(I3627:I3628)</f>
        <v>0</v>
      </c>
    </row>
    <row r="3630" ht="21.25" customHeight="1">
      <c r="A3630" s="10">
        <v>45611</v>
      </c>
      <c r="B3630" t="s" s="11">
        <v>21</v>
      </c>
      <c r="C3630" t="s" s="12">
        <v>628</v>
      </c>
      <c r="D3630" s="17"/>
      <c r="E3630" s="17">
        <v>2800</v>
      </c>
      <c r="F3630" s="18"/>
      <c r="G3630" s="18"/>
      <c r="H3630" s="18"/>
      <c r="I3630" s="18"/>
    </row>
    <row r="3631" ht="21.25" customHeight="1">
      <c r="A3631" s="10">
        <v>45611</v>
      </c>
      <c r="B3631" t="s" s="11">
        <v>10</v>
      </c>
      <c r="C3631" t="s" s="12">
        <v>628</v>
      </c>
      <c r="D3631" s="13">
        <v>2800</v>
      </c>
      <c r="E3631" s="13"/>
      <c r="F3631" s="14"/>
      <c r="G3631" s="14"/>
      <c r="H3631" s="14"/>
      <c r="I3631" s="14"/>
    </row>
    <row r="3632" ht="20.7" customHeight="1">
      <c r="A3632" s="10">
        <v>45611</v>
      </c>
      <c r="B3632" t="s" s="11">
        <v>8</v>
      </c>
      <c r="C3632" t="s" s="12">
        <v>8</v>
      </c>
      <c r="D3632" s="15" cm="1">
        <f t="array" ref="D3632">SUM(D3630:D3631)</f>
        <v>2800</v>
      </c>
      <c r="E3632" s="15" cm="1">
        <f t="array" ref="E3632">SUM(E3630:E3631)</f>
        <v>2800</v>
      </c>
      <c r="F3632" s="16" cm="1">
        <f t="array" ref="F3632">SUM(F3630:F3631)</f>
        <v>0</v>
      </c>
      <c r="G3632" s="16" cm="1">
        <f t="array" ref="G3632">SUM(G3630:G3631)</f>
        <v>0</v>
      </c>
      <c r="H3632" s="16" cm="1">
        <f t="array" ref="H3632">SUM(H3630:H3631)</f>
        <v>0</v>
      </c>
      <c r="I3632" s="16" cm="1">
        <f t="array" ref="I3632">SUM(I3630:I3631)</f>
        <v>0</v>
      </c>
    </row>
    <row r="3633" ht="20.35" customHeight="1">
      <c r="A3633" s="10">
        <v>45611</v>
      </c>
      <c r="B3633" t="s" s="11">
        <v>5</v>
      </c>
      <c r="C3633" t="s" s="12">
        <v>17</v>
      </c>
      <c r="D3633" s="17">
        <v>100</v>
      </c>
      <c r="E3633" s="17"/>
      <c r="F3633" s="18"/>
      <c r="G3633" s="18"/>
      <c r="H3633" s="18"/>
      <c r="I3633" s="18"/>
    </row>
    <row r="3634" ht="20.35" customHeight="1">
      <c r="A3634" s="10">
        <v>45611</v>
      </c>
      <c r="B3634" t="s" s="11">
        <v>18</v>
      </c>
      <c r="C3634" t="s" s="12">
        <v>17</v>
      </c>
      <c r="D3634" s="13"/>
      <c r="E3634" s="13">
        <v>100</v>
      </c>
      <c r="F3634" s="14"/>
      <c r="G3634" s="14"/>
      <c r="H3634" s="14"/>
      <c r="I3634" s="14"/>
    </row>
    <row r="3635" ht="20.7" customHeight="1">
      <c r="A3635" s="10">
        <v>45611</v>
      </c>
      <c r="B3635" t="s" s="11">
        <v>8</v>
      </c>
      <c r="C3635" t="s" s="12">
        <v>8</v>
      </c>
      <c r="D3635" s="15" cm="1">
        <f t="array" ref="D3635">SUM(D3633:D3634)</f>
        <v>100</v>
      </c>
      <c r="E3635" s="15" cm="1">
        <f t="array" ref="E3635">SUM(E3633:E3634)</f>
        <v>100</v>
      </c>
      <c r="F3635" s="16" cm="1">
        <f t="array" ref="F3635">SUM(F3633:F3634)</f>
        <v>0</v>
      </c>
      <c r="G3635" s="16" cm="1">
        <f t="array" ref="G3635">SUM(G3633:G3634)</f>
        <v>0</v>
      </c>
      <c r="H3635" s="16" cm="1">
        <f t="array" ref="H3635">SUM(H3633:H3634)</f>
        <v>0</v>
      </c>
      <c r="I3635" s="16" cm="1">
        <f t="array" ref="I3635">SUM(I3633:I3634)</f>
        <v>0</v>
      </c>
    </row>
    <row r="3636" ht="20.35" customHeight="1">
      <c r="A3636" s="10">
        <v>45612</v>
      </c>
      <c r="B3636" t="s" s="11">
        <v>5</v>
      </c>
      <c r="C3636" t="s" s="12">
        <v>604</v>
      </c>
      <c r="D3636" s="17"/>
      <c r="E3636" s="17">
        <v>75490</v>
      </c>
      <c r="F3636" s="18"/>
      <c r="G3636" s="18"/>
      <c r="H3636" s="18"/>
      <c r="I3636" s="18"/>
    </row>
    <row r="3637" ht="20.35" customHeight="1">
      <c r="A3637" s="10">
        <v>45612</v>
      </c>
      <c r="B3637" t="s" s="11">
        <v>93</v>
      </c>
      <c r="C3637" t="s" s="12">
        <v>604</v>
      </c>
      <c r="D3637" s="13">
        <v>75490</v>
      </c>
      <c r="E3637" s="13"/>
      <c r="F3637" s="14"/>
      <c r="G3637" s="14"/>
      <c r="H3637" s="14"/>
      <c r="I3637" s="14"/>
    </row>
    <row r="3638" ht="20.7" customHeight="1">
      <c r="A3638" s="10">
        <v>45612</v>
      </c>
      <c r="B3638" t="s" s="11">
        <v>8</v>
      </c>
      <c r="C3638" t="s" s="12">
        <v>8</v>
      </c>
      <c r="D3638" s="15" cm="1">
        <f t="array" ref="D3638">SUM(D3636:D3637)</f>
        <v>75490</v>
      </c>
      <c r="E3638" s="15" cm="1">
        <f t="array" ref="E3638">SUM(E3636:E3637)</f>
        <v>75490</v>
      </c>
      <c r="F3638" s="16" cm="1">
        <f t="array" ref="F3638">SUM(F3636:F3637)</f>
        <v>0</v>
      </c>
      <c r="G3638" s="16" cm="1">
        <f t="array" ref="G3638">SUM(G3636:G3637)</f>
        <v>0</v>
      </c>
      <c r="H3638" s="16" cm="1">
        <f t="array" ref="H3638">SUM(H3636:H3637)</f>
        <v>0</v>
      </c>
      <c r="I3638" s="16" cm="1">
        <f t="array" ref="I3638">SUM(I3636:I3637)</f>
        <v>0</v>
      </c>
    </row>
    <row r="3639" ht="21.25" customHeight="1">
      <c r="A3639" s="10">
        <v>45612</v>
      </c>
      <c r="B3639" t="s" s="11">
        <v>93</v>
      </c>
      <c r="C3639" t="s" s="12">
        <v>629</v>
      </c>
      <c r="D3639" s="17"/>
      <c r="E3639" s="17">
        <v>75490</v>
      </c>
      <c r="F3639" s="18"/>
      <c r="G3639" s="18"/>
      <c r="H3639" s="18"/>
      <c r="I3639" s="18"/>
    </row>
    <row r="3640" ht="21.25" customHeight="1">
      <c r="A3640" s="10">
        <v>45612</v>
      </c>
      <c r="B3640" t="s" s="11">
        <v>86</v>
      </c>
      <c r="C3640" t="s" s="12">
        <v>629</v>
      </c>
      <c r="D3640" s="13">
        <v>75490</v>
      </c>
      <c r="E3640" s="13"/>
      <c r="F3640" s="14"/>
      <c r="G3640" s="14"/>
      <c r="H3640" s="14"/>
      <c r="I3640" s="14"/>
    </row>
    <row r="3641" ht="20.7" customHeight="1">
      <c r="A3641" s="10">
        <v>45612</v>
      </c>
      <c r="B3641" t="s" s="11">
        <v>8</v>
      </c>
      <c r="C3641" t="s" s="12">
        <v>8</v>
      </c>
      <c r="D3641" s="15" cm="1">
        <f t="array" ref="D3641">SUM(D3639:D3640)</f>
        <v>75490</v>
      </c>
      <c r="E3641" s="15" cm="1">
        <f t="array" ref="E3641">SUM(E3639:E3640)</f>
        <v>75490</v>
      </c>
      <c r="F3641" s="16" cm="1">
        <f t="array" ref="F3641">SUM(F3639:F3640)</f>
        <v>0</v>
      </c>
      <c r="G3641" s="16" cm="1">
        <f t="array" ref="G3641">SUM(G3639:G3640)</f>
        <v>0</v>
      </c>
      <c r="H3641" s="16" cm="1">
        <f t="array" ref="H3641">SUM(H3639:H3640)</f>
        <v>0</v>
      </c>
      <c r="I3641" s="16" cm="1">
        <f t="array" ref="I3641">SUM(I3639:I3640)</f>
        <v>0</v>
      </c>
    </row>
    <row r="3642" ht="20.35" customHeight="1">
      <c r="A3642" s="10">
        <v>45612</v>
      </c>
      <c r="B3642" t="s" s="11">
        <v>5</v>
      </c>
      <c r="C3642" t="s" s="12">
        <v>604</v>
      </c>
      <c r="D3642" s="17"/>
      <c r="E3642" s="17">
        <v>20000</v>
      </c>
      <c r="F3642" s="18"/>
      <c r="G3642" s="18"/>
      <c r="H3642" s="18"/>
      <c r="I3642" s="18"/>
    </row>
    <row r="3643" ht="20.35" customHeight="1">
      <c r="A3643" s="10">
        <v>45612</v>
      </c>
      <c r="B3643" t="s" s="11">
        <v>93</v>
      </c>
      <c r="C3643" t="s" s="12">
        <v>604</v>
      </c>
      <c r="D3643" s="13">
        <v>20000</v>
      </c>
      <c r="E3643" s="13"/>
      <c r="F3643" s="14"/>
      <c r="G3643" s="14"/>
      <c r="H3643" s="14"/>
      <c r="I3643" s="14"/>
    </row>
    <row r="3644" ht="20.7" customHeight="1">
      <c r="A3644" s="10">
        <v>45612</v>
      </c>
      <c r="B3644" t="s" s="11">
        <v>8</v>
      </c>
      <c r="C3644" t="s" s="12">
        <v>8</v>
      </c>
      <c r="D3644" s="15" cm="1">
        <f t="array" ref="D3644">SUM(D3642:D3643)</f>
        <v>20000</v>
      </c>
      <c r="E3644" s="15" cm="1">
        <f t="array" ref="E3644">SUM(E3642:E3643)</f>
        <v>20000</v>
      </c>
      <c r="F3644" s="16" cm="1">
        <f t="array" ref="F3644">SUM(F3642:F3643)</f>
        <v>0</v>
      </c>
      <c r="G3644" s="16" cm="1">
        <f t="array" ref="G3644">SUM(G3642:G3643)</f>
        <v>0</v>
      </c>
      <c r="H3644" s="16" cm="1">
        <f t="array" ref="H3644">SUM(H3642:H3643)</f>
        <v>0</v>
      </c>
      <c r="I3644" s="16" cm="1">
        <f t="array" ref="I3644">SUM(I3642:I3643)</f>
        <v>0</v>
      </c>
    </row>
    <row r="3645" ht="20.35" customHeight="1">
      <c r="A3645" s="10">
        <v>45612</v>
      </c>
      <c r="B3645" t="s" s="11">
        <v>5</v>
      </c>
      <c r="C3645" t="s" s="12">
        <v>604</v>
      </c>
      <c r="D3645" s="17"/>
      <c r="E3645" s="17">
        <v>10000</v>
      </c>
      <c r="F3645" s="18"/>
      <c r="G3645" s="18"/>
      <c r="H3645" s="18"/>
      <c r="I3645" s="18"/>
    </row>
    <row r="3646" ht="20.35" customHeight="1">
      <c r="A3646" s="10">
        <v>45612</v>
      </c>
      <c r="B3646" t="s" s="11">
        <v>93</v>
      </c>
      <c r="C3646" t="s" s="12">
        <v>604</v>
      </c>
      <c r="D3646" s="13">
        <v>10000</v>
      </c>
      <c r="E3646" s="13"/>
      <c r="F3646" s="14"/>
      <c r="G3646" s="14"/>
      <c r="H3646" s="14"/>
      <c r="I3646" s="14"/>
    </row>
    <row r="3647" ht="20.7" customHeight="1">
      <c r="A3647" s="10">
        <v>45612</v>
      </c>
      <c r="B3647" t="s" s="11">
        <v>8</v>
      </c>
      <c r="C3647" t="s" s="12">
        <v>8</v>
      </c>
      <c r="D3647" s="15" cm="1">
        <f t="array" ref="D3647">SUM(D3645:D3646)</f>
        <v>10000</v>
      </c>
      <c r="E3647" s="15" cm="1">
        <f t="array" ref="E3647">SUM(E3645:E3646)</f>
        <v>10000</v>
      </c>
      <c r="F3647" s="16" cm="1">
        <f t="array" ref="F3647">SUM(F3645:F3646)</f>
        <v>0</v>
      </c>
      <c r="G3647" s="16" cm="1">
        <f t="array" ref="G3647">SUM(G3645:G3646)</f>
        <v>0</v>
      </c>
      <c r="H3647" s="16" cm="1">
        <f t="array" ref="H3647">SUM(H3645:H3646)</f>
        <v>0</v>
      </c>
      <c r="I3647" s="16" cm="1">
        <f t="array" ref="I3647">SUM(I3645:I3646)</f>
        <v>0</v>
      </c>
    </row>
    <row r="3648" ht="20.65" customHeight="1">
      <c r="A3648" s="10">
        <v>45612</v>
      </c>
      <c r="B3648" t="s" s="11">
        <v>93</v>
      </c>
      <c r="C3648" t="s" s="12">
        <v>70</v>
      </c>
      <c r="D3648" s="17"/>
      <c r="E3648" s="17">
        <v>20000</v>
      </c>
      <c r="F3648" s="18"/>
      <c r="G3648" s="18"/>
      <c r="H3648" s="18"/>
      <c r="I3648" s="18"/>
    </row>
    <row r="3649" ht="20.65" customHeight="1">
      <c r="A3649" s="10">
        <v>45612</v>
      </c>
      <c r="B3649" t="s" s="11">
        <v>21</v>
      </c>
      <c r="C3649" t="s" s="12">
        <v>70</v>
      </c>
      <c r="D3649" s="13">
        <v>20000</v>
      </c>
      <c r="E3649" s="13"/>
      <c r="F3649" s="14"/>
      <c r="G3649" s="14"/>
      <c r="H3649" s="14"/>
      <c r="I3649" s="14"/>
    </row>
    <row r="3650" ht="20.7" customHeight="1">
      <c r="A3650" s="10">
        <v>45612</v>
      </c>
      <c r="B3650" t="s" s="11">
        <v>8</v>
      </c>
      <c r="C3650" t="s" s="12">
        <v>8</v>
      </c>
      <c r="D3650" s="15" cm="1">
        <f t="array" ref="D3650">SUM(D3648:D3649)</f>
        <v>20000</v>
      </c>
      <c r="E3650" s="15" cm="1">
        <f t="array" ref="E3650">SUM(E3648:E3649)</f>
        <v>20000</v>
      </c>
      <c r="F3650" s="16" cm="1">
        <f t="array" ref="F3650">SUM(F3648:F3649)</f>
        <v>0</v>
      </c>
      <c r="G3650" s="16" cm="1">
        <f t="array" ref="G3650">SUM(G3648:G3649)</f>
        <v>0</v>
      </c>
      <c r="H3650" s="16" cm="1">
        <f t="array" ref="H3650">SUM(H3648:H3649)</f>
        <v>0</v>
      </c>
      <c r="I3650" s="16" cm="1">
        <f t="array" ref="I3650">SUM(I3648:I3649)</f>
        <v>0</v>
      </c>
    </row>
    <row r="3651" ht="20.35" customHeight="1">
      <c r="A3651" s="10">
        <v>45612</v>
      </c>
      <c r="B3651" t="s" s="11">
        <v>93</v>
      </c>
      <c r="C3651" t="s" s="12">
        <v>368</v>
      </c>
      <c r="D3651" s="17"/>
      <c r="E3651" s="17">
        <v>10000</v>
      </c>
      <c r="F3651" s="18"/>
      <c r="G3651" s="18"/>
      <c r="H3651" s="18"/>
      <c r="I3651" s="18"/>
    </row>
    <row r="3652" ht="20.35" customHeight="1">
      <c r="A3652" s="10">
        <v>45612</v>
      </c>
      <c r="B3652" t="s" s="11">
        <v>21</v>
      </c>
      <c r="C3652" t="s" s="12">
        <v>368</v>
      </c>
      <c r="D3652" s="13">
        <v>10000</v>
      </c>
      <c r="E3652" s="13"/>
      <c r="F3652" s="14"/>
      <c r="G3652" s="14"/>
      <c r="H3652" s="14"/>
      <c r="I3652" s="14"/>
    </row>
    <row r="3653" ht="20.7" customHeight="1">
      <c r="A3653" s="10">
        <v>45612</v>
      </c>
      <c r="B3653" t="s" s="11">
        <v>8</v>
      </c>
      <c r="C3653" t="s" s="12">
        <v>8</v>
      </c>
      <c r="D3653" s="15" cm="1">
        <f t="array" ref="D3653">SUM(D3651:D3652)</f>
        <v>10000</v>
      </c>
      <c r="E3653" s="15" cm="1">
        <f t="array" ref="E3653">SUM(E3651:E3652)</f>
        <v>10000</v>
      </c>
      <c r="F3653" s="16" cm="1">
        <f t="array" ref="F3653">SUM(F3651:F3652)</f>
        <v>0</v>
      </c>
      <c r="G3653" s="16" cm="1">
        <f t="array" ref="G3653">SUM(G3651:G3652)</f>
        <v>0</v>
      </c>
      <c r="H3653" s="16" cm="1">
        <f t="array" ref="H3653">SUM(H3651:H3652)</f>
        <v>0</v>
      </c>
      <c r="I3653" s="16" cm="1">
        <f t="array" ref="I3653">SUM(I3651:I3652)</f>
        <v>0</v>
      </c>
    </row>
    <row r="3654" ht="21.25" customHeight="1">
      <c r="A3654" s="10">
        <v>45612</v>
      </c>
      <c r="B3654" t="s" s="11">
        <v>5</v>
      </c>
      <c r="C3654" t="s" s="12">
        <v>521</v>
      </c>
      <c r="D3654" s="17"/>
      <c r="E3654" s="17">
        <v>21800</v>
      </c>
      <c r="F3654" s="18"/>
      <c r="G3654" s="18"/>
      <c r="H3654" s="18"/>
      <c r="I3654" s="18"/>
    </row>
    <row r="3655" ht="21.25" customHeight="1">
      <c r="A3655" s="10">
        <v>45612</v>
      </c>
      <c r="B3655" t="s" s="11">
        <v>12</v>
      </c>
      <c r="C3655" t="s" s="12">
        <v>521</v>
      </c>
      <c r="D3655" s="13">
        <v>21800</v>
      </c>
      <c r="E3655" s="13"/>
      <c r="F3655" s="14"/>
      <c r="G3655" s="14"/>
      <c r="H3655" s="14"/>
      <c r="I3655" s="14"/>
    </row>
    <row r="3656" ht="20.7" customHeight="1">
      <c r="A3656" s="10">
        <v>45612</v>
      </c>
      <c r="B3656" t="s" s="11">
        <v>8</v>
      </c>
      <c r="C3656" t="s" s="12">
        <v>8</v>
      </c>
      <c r="D3656" s="15" cm="1">
        <f t="array" ref="D3656">SUM(D3654:D3655)</f>
        <v>21800</v>
      </c>
      <c r="E3656" s="15" cm="1">
        <f t="array" ref="E3656">SUM(E3654:E3655)</f>
        <v>21800</v>
      </c>
      <c r="F3656" s="16" cm="1">
        <f t="array" ref="F3656">SUM(F3654:F3655)</f>
        <v>0</v>
      </c>
      <c r="G3656" s="16" cm="1">
        <f t="array" ref="G3656">SUM(G3654:G3655)</f>
        <v>0</v>
      </c>
      <c r="H3656" s="16" cm="1">
        <f t="array" ref="H3656">SUM(H3654:H3655)</f>
        <v>0</v>
      </c>
      <c r="I3656" s="16" cm="1">
        <f t="array" ref="I3656">SUM(I3654:I3655)</f>
        <v>0</v>
      </c>
    </row>
    <row r="3657" ht="20.35" customHeight="1">
      <c r="A3657" s="10">
        <v>45612</v>
      </c>
      <c r="B3657" t="s" s="11">
        <v>5</v>
      </c>
      <c r="C3657" t="s" s="12">
        <v>630</v>
      </c>
      <c r="D3657" s="17"/>
      <c r="E3657" s="17">
        <v>14200</v>
      </c>
      <c r="F3657" s="18"/>
      <c r="G3657" s="18"/>
      <c r="H3657" s="18"/>
      <c r="I3657" s="18"/>
    </row>
    <row r="3658" ht="20.35" customHeight="1">
      <c r="A3658" s="10">
        <v>45612</v>
      </c>
      <c r="B3658" t="s" s="11">
        <v>12</v>
      </c>
      <c r="C3658" t="s" s="12">
        <v>630</v>
      </c>
      <c r="D3658" s="13">
        <v>14200</v>
      </c>
      <c r="E3658" s="13"/>
      <c r="F3658" s="14"/>
      <c r="G3658" s="14"/>
      <c r="H3658" s="14"/>
      <c r="I3658" s="14"/>
    </row>
    <row r="3659" ht="20.7" customHeight="1">
      <c r="A3659" s="10">
        <v>45612</v>
      </c>
      <c r="B3659" t="s" s="11">
        <v>8</v>
      </c>
      <c r="C3659" t="s" s="12">
        <v>8</v>
      </c>
      <c r="D3659" s="15" cm="1">
        <f t="array" ref="D3659">SUM(D3657:D3658)</f>
        <v>14200</v>
      </c>
      <c r="E3659" s="15" cm="1">
        <f t="array" ref="E3659">SUM(E3657:E3658)</f>
        <v>14200</v>
      </c>
      <c r="F3659" s="16" cm="1">
        <f t="array" ref="F3659">SUM(F3657:F3658)</f>
        <v>0</v>
      </c>
      <c r="G3659" s="16" cm="1">
        <f t="array" ref="G3659">SUM(G3657:G3658)</f>
        <v>0</v>
      </c>
      <c r="H3659" s="16" cm="1">
        <f t="array" ref="H3659">SUM(H3657:H3658)</f>
        <v>0</v>
      </c>
      <c r="I3659" s="16" cm="1">
        <f t="array" ref="I3659">SUM(I3657:I3658)</f>
        <v>0</v>
      </c>
    </row>
    <row r="3660" ht="20.35" customHeight="1">
      <c r="A3660" s="10">
        <v>45612</v>
      </c>
      <c r="B3660" t="s" s="11">
        <v>5</v>
      </c>
      <c r="C3660" t="s" s="12">
        <v>17</v>
      </c>
      <c r="D3660" s="17">
        <v>500</v>
      </c>
      <c r="E3660" s="17"/>
      <c r="F3660" s="18"/>
      <c r="G3660" s="18"/>
      <c r="H3660" s="18"/>
      <c r="I3660" s="18"/>
    </row>
    <row r="3661" ht="20.35" customHeight="1">
      <c r="A3661" s="10">
        <v>45612</v>
      </c>
      <c r="B3661" t="s" s="11">
        <v>18</v>
      </c>
      <c r="C3661" t="s" s="12">
        <v>17</v>
      </c>
      <c r="D3661" s="13"/>
      <c r="E3661" s="13">
        <v>500</v>
      </c>
      <c r="F3661" s="14"/>
      <c r="G3661" s="14"/>
      <c r="H3661" s="14"/>
      <c r="I3661" s="14"/>
    </row>
    <row r="3662" ht="20.7" customHeight="1">
      <c r="A3662" s="10">
        <v>45612</v>
      </c>
      <c r="B3662" t="s" s="11">
        <v>8</v>
      </c>
      <c r="C3662" t="s" s="12">
        <v>8</v>
      </c>
      <c r="D3662" s="15" cm="1">
        <f t="array" ref="D3662">SUM(D3660:D3661)</f>
        <v>500</v>
      </c>
      <c r="E3662" s="15" cm="1">
        <f t="array" ref="E3662">SUM(E3660:E3661)</f>
        <v>500</v>
      </c>
      <c r="F3662" s="16" cm="1">
        <f t="array" ref="F3662">SUM(F3660:F3661)</f>
        <v>0</v>
      </c>
      <c r="G3662" s="16" cm="1">
        <f t="array" ref="G3662">SUM(G3660:G3661)</f>
        <v>0</v>
      </c>
      <c r="H3662" s="16" cm="1">
        <f t="array" ref="H3662">SUM(H3660:H3661)</f>
        <v>0</v>
      </c>
      <c r="I3662" s="16" cm="1">
        <f t="array" ref="I3662">SUM(I3660:I3661)</f>
        <v>0</v>
      </c>
    </row>
    <row r="3663" ht="21.25" customHeight="1">
      <c r="A3663" s="10">
        <v>45612</v>
      </c>
      <c r="B3663" t="s" s="11">
        <v>21</v>
      </c>
      <c r="C3663" t="s" s="12">
        <v>631</v>
      </c>
      <c r="D3663" s="17"/>
      <c r="E3663" s="17">
        <v>1500</v>
      </c>
      <c r="F3663" s="18"/>
      <c r="G3663" s="18"/>
      <c r="H3663" s="18"/>
      <c r="I3663" s="18"/>
    </row>
    <row r="3664" ht="21.25" customHeight="1">
      <c r="A3664" s="10">
        <v>45612</v>
      </c>
      <c r="B3664" t="s" s="11">
        <v>16</v>
      </c>
      <c r="C3664" t="s" s="12">
        <v>631</v>
      </c>
      <c r="D3664" s="13">
        <v>1500</v>
      </c>
      <c r="E3664" s="13"/>
      <c r="F3664" s="14"/>
      <c r="G3664" s="14"/>
      <c r="H3664" s="14"/>
      <c r="I3664" s="14"/>
    </row>
    <row r="3665" ht="20.7" customHeight="1">
      <c r="A3665" s="10">
        <v>45612</v>
      </c>
      <c r="B3665" t="s" s="11">
        <v>8</v>
      </c>
      <c r="C3665" t="s" s="12">
        <v>8</v>
      </c>
      <c r="D3665" s="15" cm="1">
        <f t="array" ref="D3665">SUM(D3663:D3664)</f>
        <v>1500</v>
      </c>
      <c r="E3665" s="15" cm="1">
        <f t="array" ref="E3665">SUM(E3663:E3664)</f>
        <v>1500</v>
      </c>
      <c r="F3665" s="16" cm="1">
        <f t="array" ref="F3665">SUM(F3663:F3664)</f>
        <v>0</v>
      </c>
      <c r="G3665" s="16" cm="1">
        <f t="array" ref="G3665">SUM(G3663:G3664)</f>
        <v>0</v>
      </c>
      <c r="H3665" s="16" cm="1">
        <f t="array" ref="H3665">SUM(H3663:H3664)</f>
        <v>0</v>
      </c>
      <c r="I3665" s="16" cm="1">
        <f t="array" ref="I3665">SUM(I3663:I3664)</f>
        <v>0</v>
      </c>
    </row>
    <row r="3666" ht="20.35" customHeight="1">
      <c r="A3666" s="10">
        <v>45612</v>
      </c>
      <c r="B3666" t="s" s="11">
        <v>5</v>
      </c>
      <c r="C3666" t="s" s="12">
        <v>17</v>
      </c>
      <c r="D3666" s="17">
        <v>100</v>
      </c>
      <c r="E3666" s="17"/>
      <c r="F3666" s="18"/>
      <c r="G3666" s="18"/>
      <c r="H3666" s="18"/>
      <c r="I3666" s="18"/>
    </row>
    <row r="3667" ht="20.35" customHeight="1">
      <c r="A3667" s="10">
        <v>45612</v>
      </c>
      <c r="B3667" t="s" s="11">
        <v>18</v>
      </c>
      <c r="C3667" t="s" s="12">
        <v>17</v>
      </c>
      <c r="D3667" s="13"/>
      <c r="E3667" s="13">
        <v>100</v>
      </c>
      <c r="F3667" s="14"/>
      <c r="G3667" s="14"/>
      <c r="H3667" s="14"/>
      <c r="I3667" s="14"/>
    </row>
    <row r="3668" ht="20.7" customHeight="1">
      <c r="A3668" s="10">
        <v>45612</v>
      </c>
      <c r="B3668" t="s" s="11">
        <v>8</v>
      </c>
      <c r="C3668" t="s" s="12">
        <v>8</v>
      </c>
      <c r="D3668" s="15" cm="1">
        <f t="array" ref="D3668">SUM(D3666:D3667)</f>
        <v>100</v>
      </c>
      <c r="E3668" s="15" cm="1">
        <f t="array" ref="E3668">SUM(E3666:E3667)</f>
        <v>100</v>
      </c>
      <c r="F3668" s="16" cm="1">
        <f t="array" ref="F3668">SUM(F3666:F3667)</f>
        <v>0</v>
      </c>
      <c r="G3668" s="16" cm="1">
        <f t="array" ref="G3668">SUM(G3666:G3667)</f>
        <v>0</v>
      </c>
      <c r="H3668" s="16" cm="1">
        <f t="array" ref="H3668">SUM(H3666:H3667)</f>
        <v>0</v>
      </c>
      <c r="I3668" s="16" cm="1">
        <f t="array" ref="I3668">SUM(I3666:I3667)</f>
        <v>0</v>
      </c>
    </row>
    <row r="3669" ht="21.25" customHeight="1">
      <c r="A3669" s="10">
        <v>45613</v>
      </c>
      <c r="B3669" t="s" s="11">
        <v>5</v>
      </c>
      <c r="C3669" t="s" s="12">
        <v>632</v>
      </c>
      <c r="D3669" s="17"/>
      <c r="E3669" s="17">
        <v>11800</v>
      </c>
      <c r="F3669" s="18"/>
      <c r="G3669" s="18"/>
      <c r="H3669" s="18"/>
      <c r="I3669" s="18"/>
    </row>
    <row r="3670" ht="21.25" customHeight="1">
      <c r="A3670" s="10">
        <v>45613</v>
      </c>
      <c r="B3670" t="s" s="11">
        <v>21</v>
      </c>
      <c r="C3670" t="s" s="12">
        <v>632</v>
      </c>
      <c r="D3670" s="13">
        <v>11800</v>
      </c>
      <c r="E3670" s="13"/>
      <c r="F3670" s="14"/>
      <c r="G3670" s="14"/>
      <c r="H3670" s="14"/>
      <c r="I3670" s="14"/>
    </row>
    <row r="3671" ht="20.7" customHeight="1">
      <c r="A3671" s="10">
        <v>45613</v>
      </c>
      <c r="B3671" t="s" s="11">
        <v>8</v>
      </c>
      <c r="C3671" t="s" s="12">
        <v>8</v>
      </c>
      <c r="D3671" s="15" cm="1">
        <f t="array" ref="D3671">SUM(D3669:D3670)</f>
        <v>11800</v>
      </c>
      <c r="E3671" s="15" cm="1">
        <f t="array" ref="E3671">SUM(E3669:E3670)</f>
        <v>11800</v>
      </c>
      <c r="F3671" s="16" cm="1">
        <f t="array" ref="F3671">SUM(F3669:F3670)</f>
        <v>0</v>
      </c>
      <c r="G3671" s="16" cm="1">
        <f t="array" ref="G3671">SUM(G3669:G3670)</f>
        <v>0</v>
      </c>
      <c r="H3671" s="16" cm="1">
        <f t="array" ref="H3671">SUM(H3669:H3670)</f>
        <v>0</v>
      </c>
      <c r="I3671" s="16" cm="1">
        <f t="array" ref="I3671">SUM(I3669:I3670)</f>
        <v>0</v>
      </c>
    </row>
    <row r="3672" ht="21.25" customHeight="1">
      <c r="A3672" s="10">
        <v>45613</v>
      </c>
      <c r="B3672" t="s" s="11">
        <v>5</v>
      </c>
      <c r="C3672" t="s" s="12">
        <v>627</v>
      </c>
      <c r="D3672" s="17"/>
      <c r="E3672" s="17">
        <v>2800</v>
      </c>
      <c r="F3672" s="18"/>
      <c r="G3672" s="18"/>
      <c r="H3672" s="18"/>
      <c r="I3672" s="18"/>
    </row>
    <row r="3673" ht="21.25" customHeight="1">
      <c r="A3673" s="10">
        <v>45613</v>
      </c>
      <c r="B3673" t="s" s="11">
        <v>21</v>
      </c>
      <c r="C3673" t="s" s="12">
        <v>627</v>
      </c>
      <c r="D3673" s="13">
        <v>2800</v>
      </c>
      <c r="E3673" s="13"/>
      <c r="F3673" s="14"/>
      <c r="G3673" s="14"/>
      <c r="H3673" s="14"/>
      <c r="I3673" s="14"/>
    </row>
    <row r="3674" ht="20.7" customHeight="1">
      <c r="A3674" s="10">
        <v>45613</v>
      </c>
      <c r="B3674" t="s" s="11">
        <v>8</v>
      </c>
      <c r="C3674" t="s" s="12">
        <v>8</v>
      </c>
      <c r="D3674" s="15" cm="1">
        <f t="array" ref="D3674">SUM(D3672:D3673)</f>
        <v>2800</v>
      </c>
      <c r="E3674" s="15" cm="1">
        <f t="array" ref="E3674">SUM(E3672:E3673)</f>
        <v>2800</v>
      </c>
      <c r="F3674" s="16" cm="1">
        <f t="array" ref="F3674">SUM(F3672:F3673)</f>
        <v>0</v>
      </c>
      <c r="G3674" s="16" cm="1">
        <f t="array" ref="G3674">SUM(G3672:G3673)</f>
        <v>0</v>
      </c>
      <c r="H3674" s="16" cm="1">
        <f t="array" ref="H3674">SUM(H3672:H3673)</f>
        <v>0</v>
      </c>
      <c r="I3674" s="16" cm="1">
        <f t="array" ref="I3674">SUM(I3672:I3673)</f>
        <v>0</v>
      </c>
    </row>
    <row r="3675" ht="21.25" customHeight="1">
      <c r="A3675" s="10">
        <v>45613</v>
      </c>
      <c r="B3675" t="s" s="11">
        <v>5</v>
      </c>
      <c r="C3675" t="s" s="12">
        <v>628</v>
      </c>
      <c r="D3675" s="17"/>
      <c r="E3675" s="17">
        <v>2800</v>
      </c>
      <c r="F3675" s="18"/>
      <c r="G3675" s="18"/>
      <c r="H3675" s="18"/>
      <c r="I3675" s="18"/>
    </row>
    <row r="3676" ht="21.25" customHeight="1">
      <c r="A3676" s="10">
        <v>45613</v>
      </c>
      <c r="B3676" t="s" s="11">
        <v>21</v>
      </c>
      <c r="C3676" t="s" s="12">
        <v>628</v>
      </c>
      <c r="D3676" s="13">
        <v>2800</v>
      </c>
      <c r="E3676" s="13"/>
      <c r="F3676" s="14"/>
      <c r="G3676" s="14"/>
      <c r="H3676" s="14"/>
      <c r="I3676" s="14"/>
    </row>
    <row r="3677" ht="20.7" customHeight="1">
      <c r="A3677" s="10">
        <v>45613</v>
      </c>
      <c r="B3677" t="s" s="11">
        <v>8</v>
      </c>
      <c r="C3677" t="s" s="12">
        <v>8</v>
      </c>
      <c r="D3677" s="15" cm="1">
        <f t="array" ref="D3677">SUM(D3675:D3676)</f>
        <v>2800</v>
      </c>
      <c r="E3677" s="15" cm="1">
        <f t="array" ref="E3677">SUM(E3675:E3676)</f>
        <v>2800</v>
      </c>
      <c r="F3677" s="16" cm="1">
        <f t="array" ref="F3677">SUM(F3675:F3676)</f>
        <v>0</v>
      </c>
      <c r="G3677" s="16" cm="1">
        <f t="array" ref="G3677">SUM(G3675:G3676)</f>
        <v>0</v>
      </c>
      <c r="H3677" s="16" cm="1">
        <f t="array" ref="H3677">SUM(H3675:H3676)</f>
        <v>0</v>
      </c>
      <c r="I3677" s="16" cm="1">
        <f t="array" ref="I3677">SUM(I3675:I3676)</f>
        <v>0</v>
      </c>
    </row>
    <row r="3678" ht="21.25" customHeight="1">
      <c r="A3678" s="10">
        <v>45613</v>
      </c>
      <c r="B3678" t="s" s="11">
        <v>5</v>
      </c>
      <c r="C3678" t="s" s="12">
        <v>627</v>
      </c>
      <c r="D3678" s="17"/>
      <c r="E3678" s="17">
        <v>100</v>
      </c>
      <c r="F3678" s="18"/>
      <c r="G3678" s="18"/>
      <c r="H3678" s="18"/>
      <c r="I3678" s="18"/>
    </row>
    <row r="3679" ht="21.25" customHeight="1">
      <c r="A3679" s="10">
        <v>45613</v>
      </c>
      <c r="B3679" t="s" s="11">
        <v>21</v>
      </c>
      <c r="C3679" t="s" s="12">
        <v>627</v>
      </c>
      <c r="D3679" s="13">
        <v>100</v>
      </c>
      <c r="E3679" s="13"/>
      <c r="F3679" s="14"/>
      <c r="G3679" s="14"/>
      <c r="H3679" s="14"/>
      <c r="I3679" s="14"/>
    </row>
    <row r="3680" ht="20.7" customHeight="1">
      <c r="A3680" s="10">
        <v>45613</v>
      </c>
      <c r="B3680" t="s" s="11">
        <v>8</v>
      </c>
      <c r="C3680" t="s" s="12">
        <v>8</v>
      </c>
      <c r="D3680" s="15" cm="1">
        <f t="array" ref="D3680">SUM(D3678:D3679)</f>
        <v>100</v>
      </c>
      <c r="E3680" s="15" cm="1">
        <f t="array" ref="E3680">SUM(E3678:E3679)</f>
        <v>100</v>
      </c>
      <c r="F3680" s="16" cm="1">
        <f t="array" ref="F3680">SUM(F3678:F3679)</f>
        <v>0</v>
      </c>
      <c r="G3680" s="16" cm="1">
        <f t="array" ref="G3680">SUM(G3678:G3679)</f>
        <v>0</v>
      </c>
      <c r="H3680" s="16" cm="1">
        <f t="array" ref="H3680">SUM(H3678:H3679)</f>
        <v>0</v>
      </c>
      <c r="I3680" s="16" cm="1">
        <f t="array" ref="I3680">SUM(I3678:I3679)</f>
        <v>0</v>
      </c>
    </row>
    <row r="3681" ht="20.35" customHeight="1">
      <c r="A3681" s="10">
        <v>45613</v>
      </c>
      <c r="B3681" t="s" s="11">
        <v>5</v>
      </c>
      <c r="C3681" t="s" s="12">
        <v>96</v>
      </c>
      <c r="D3681" s="17">
        <v>35000</v>
      </c>
      <c r="E3681" s="17"/>
      <c r="F3681" s="18"/>
      <c r="G3681" s="18"/>
      <c r="H3681" s="18"/>
      <c r="I3681" s="18"/>
    </row>
    <row r="3682" ht="20.35" customHeight="1">
      <c r="A3682" s="10">
        <v>45613</v>
      </c>
      <c r="B3682" t="s" s="11">
        <v>107</v>
      </c>
      <c r="C3682" t="s" s="12">
        <v>96</v>
      </c>
      <c r="D3682" s="13"/>
      <c r="E3682" s="13">
        <v>35000</v>
      </c>
      <c r="F3682" s="14"/>
      <c r="G3682" s="14"/>
      <c r="H3682" s="14"/>
      <c r="I3682" s="14"/>
    </row>
    <row r="3683" ht="20.7" customHeight="1">
      <c r="A3683" s="10">
        <v>45613</v>
      </c>
      <c r="B3683" t="s" s="11">
        <v>8</v>
      </c>
      <c r="C3683" t="s" s="12">
        <v>8</v>
      </c>
      <c r="D3683" s="15" cm="1">
        <f t="array" ref="D3683">SUM(D3681:D3682)</f>
        <v>35000</v>
      </c>
      <c r="E3683" s="15" cm="1">
        <f t="array" ref="E3683">SUM(E3681:E3682)</f>
        <v>35000</v>
      </c>
      <c r="F3683" s="16" cm="1">
        <f t="array" ref="F3683">SUM(F3681:F3682)</f>
        <v>0</v>
      </c>
      <c r="G3683" s="16" cm="1">
        <f t="array" ref="G3683">SUM(G3681:G3682)</f>
        <v>0</v>
      </c>
      <c r="H3683" s="16" cm="1">
        <f t="array" ref="H3683">SUM(H3681:H3682)</f>
        <v>0</v>
      </c>
      <c r="I3683" s="16" cm="1">
        <f t="array" ref="I3683">SUM(I3681:I3682)</f>
        <v>0</v>
      </c>
    </row>
    <row r="3684" ht="20.65" customHeight="1">
      <c r="A3684" s="10">
        <v>45613</v>
      </c>
      <c r="B3684" t="s" s="11">
        <v>5</v>
      </c>
      <c r="C3684" t="s" s="12">
        <v>633</v>
      </c>
      <c r="D3684" s="17"/>
      <c r="E3684" s="17">
        <v>42000</v>
      </c>
      <c r="F3684" s="18"/>
      <c r="G3684" s="18"/>
      <c r="H3684" s="18"/>
      <c r="I3684" s="18"/>
    </row>
    <row r="3685" ht="20.35" customHeight="1">
      <c r="A3685" s="10">
        <v>45613</v>
      </c>
      <c r="B3685" t="s" s="11">
        <v>12</v>
      </c>
      <c r="C3685" t="s" s="12">
        <v>633</v>
      </c>
      <c r="D3685" s="19">
        <v>21000</v>
      </c>
      <c r="E3685" s="19"/>
      <c r="F3685" s="20"/>
      <c r="G3685" s="20"/>
      <c r="H3685" s="20"/>
      <c r="I3685" s="20"/>
    </row>
    <row r="3686" ht="20.65" customHeight="1">
      <c r="A3686" s="10">
        <v>45613</v>
      </c>
      <c r="B3686" t="s" s="11">
        <v>89</v>
      </c>
      <c r="C3686" t="s" s="12">
        <v>633</v>
      </c>
      <c r="D3686" s="13">
        <v>21000</v>
      </c>
      <c r="E3686" s="13"/>
      <c r="F3686" s="14"/>
      <c r="G3686" s="14"/>
      <c r="H3686" s="14"/>
      <c r="I3686" s="14"/>
    </row>
    <row r="3687" ht="20.7" customHeight="1">
      <c r="A3687" s="10">
        <v>45613</v>
      </c>
      <c r="B3687" t="s" s="11">
        <v>8</v>
      </c>
      <c r="C3687" t="s" s="12">
        <v>8</v>
      </c>
      <c r="D3687" s="15" cm="1">
        <f t="array" ref="D3687">SUM(D3684:D3686)</f>
        <v>42000</v>
      </c>
      <c r="E3687" s="15" cm="1">
        <f t="array" ref="E3687">SUM(E3684:E3686)</f>
        <v>42000</v>
      </c>
      <c r="F3687" s="16" cm="1">
        <f t="array" ref="F3687">SUM(F3684:F3686)</f>
        <v>0</v>
      </c>
      <c r="G3687" s="16" cm="1">
        <f t="array" ref="G3687">SUM(G3684:G3686)</f>
        <v>0</v>
      </c>
      <c r="H3687" s="16" cm="1">
        <f t="array" ref="H3687">SUM(H3684:H3686)</f>
        <v>0</v>
      </c>
      <c r="I3687" s="16" cm="1">
        <f t="array" ref="I3687">SUM(I3684:I3686)</f>
        <v>0</v>
      </c>
    </row>
    <row r="3688" ht="20.35" customHeight="1">
      <c r="A3688" s="10">
        <v>45613</v>
      </c>
      <c r="B3688" t="s" s="11">
        <v>5</v>
      </c>
      <c r="C3688" t="s" s="12">
        <v>17</v>
      </c>
      <c r="D3688" s="17">
        <v>100</v>
      </c>
      <c r="E3688" s="17"/>
      <c r="F3688" s="18"/>
      <c r="G3688" s="18"/>
      <c r="H3688" s="18"/>
      <c r="I3688" s="18"/>
    </row>
    <row r="3689" ht="20.35" customHeight="1">
      <c r="A3689" s="10">
        <v>45613</v>
      </c>
      <c r="B3689" t="s" s="11">
        <v>18</v>
      </c>
      <c r="C3689" t="s" s="12">
        <v>17</v>
      </c>
      <c r="D3689" s="13"/>
      <c r="E3689" s="13">
        <v>100</v>
      </c>
      <c r="F3689" s="14"/>
      <c r="G3689" s="14"/>
      <c r="H3689" s="14"/>
      <c r="I3689" s="14"/>
    </row>
    <row r="3690" ht="20.7" customHeight="1">
      <c r="A3690" s="10">
        <v>45613</v>
      </c>
      <c r="B3690" t="s" s="11">
        <v>8</v>
      </c>
      <c r="C3690" t="s" s="12">
        <v>8</v>
      </c>
      <c r="D3690" s="15" cm="1">
        <f t="array" ref="D3690">SUM(D3688:D3689)</f>
        <v>100</v>
      </c>
      <c r="E3690" s="15" cm="1">
        <f t="array" ref="E3690">SUM(E3688:E3689)</f>
        <v>100</v>
      </c>
      <c r="F3690" s="16" cm="1">
        <f t="array" ref="F3690">SUM(F3688:F3689)</f>
        <v>0</v>
      </c>
      <c r="G3690" s="16" cm="1">
        <f t="array" ref="G3690">SUM(G3688:G3689)</f>
        <v>0</v>
      </c>
      <c r="H3690" s="16" cm="1">
        <f t="array" ref="H3690">SUM(H3688:H3689)</f>
        <v>0</v>
      </c>
      <c r="I3690" s="16" cm="1">
        <f t="array" ref="I3690">SUM(I3688:I3689)</f>
        <v>0</v>
      </c>
    </row>
    <row r="3691" ht="21.25" customHeight="1">
      <c r="A3691" s="10">
        <v>45613</v>
      </c>
      <c r="B3691" t="s" s="11">
        <v>5</v>
      </c>
      <c r="C3691" t="s" s="12">
        <v>634</v>
      </c>
      <c r="D3691" s="17"/>
      <c r="E3691" s="17">
        <v>26600</v>
      </c>
      <c r="F3691" s="18"/>
      <c r="G3691" s="18"/>
      <c r="H3691" s="18"/>
      <c r="I3691" s="18"/>
    </row>
    <row r="3692" ht="20.9" customHeight="1">
      <c r="A3692" s="10">
        <v>45613</v>
      </c>
      <c r="B3692" t="s" s="11">
        <v>10</v>
      </c>
      <c r="C3692" t="s" s="12">
        <v>634</v>
      </c>
      <c r="D3692" s="19">
        <v>13300</v>
      </c>
      <c r="E3692" s="19"/>
      <c r="F3692" s="20"/>
      <c r="G3692" s="20"/>
      <c r="H3692" s="20"/>
      <c r="I3692" s="20"/>
    </row>
    <row r="3693" ht="21.25" customHeight="1">
      <c r="A3693" s="10">
        <v>45613</v>
      </c>
      <c r="B3693" t="s" s="11">
        <v>12</v>
      </c>
      <c r="C3693" t="s" s="12">
        <v>634</v>
      </c>
      <c r="D3693" s="13">
        <v>13300</v>
      </c>
      <c r="E3693" s="13"/>
      <c r="F3693" s="14"/>
      <c r="G3693" s="14"/>
      <c r="H3693" s="14"/>
      <c r="I3693" s="14"/>
    </row>
    <row r="3694" ht="20.7" customHeight="1">
      <c r="A3694" s="10">
        <v>45613</v>
      </c>
      <c r="B3694" t="s" s="11">
        <v>8</v>
      </c>
      <c r="C3694" t="s" s="12">
        <v>8</v>
      </c>
      <c r="D3694" s="15" cm="1">
        <f t="array" ref="D3694">SUM(D3691:D3693)</f>
        <v>26600</v>
      </c>
      <c r="E3694" s="15" cm="1">
        <f t="array" ref="E3694">SUM(E3691:E3693)</f>
        <v>26600</v>
      </c>
      <c r="F3694" s="16" cm="1">
        <f t="array" ref="F3694">SUM(F3691:F3693)</f>
        <v>0</v>
      </c>
      <c r="G3694" s="16" cm="1">
        <f t="array" ref="G3694">SUM(G3691:G3693)</f>
        <v>0</v>
      </c>
      <c r="H3694" s="16" cm="1">
        <f t="array" ref="H3694">SUM(H3691:H3693)</f>
        <v>0</v>
      </c>
      <c r="I3694" s="16" cm="1">
        <f t="array" ref="I3694">SUM(I3691:I3693)</f>
        <v>0</v>
      </c>
    </row>
    <row r="3695" ht="21.25" customHeight="1">
      <c r="A3695" s="10">
        <v>45613</v>
      </c>
      <c r="B3695" t="s" s="11">
        <v>5</v>
      </c>
      <c r="C3695" t="s" s="12">
        <v>635</v>
      </c>
      <c r="D3695" s="17"/>
      <c r="E3695" s="17">
        <v>4500</v>
      </c>
      <c r="F3695" s="18"/>
      <c r="G3695" s="18"/>
      <c r="H3695" s="18"/>
      <c r="I3695" s="18"/>
    </row>
    <row r="3696" ht="21.25" customHeight="1">
      <c r="A3696" s="10">
        <v>45613</v>
      </c>
      <c r="B3696" t="s" s="11">
        <v>12</v>
      </c>
      <c r="C3696" t="s" s="12">
        <v>635</v>
      </c>
      <c r="D3696" s="13">
        <v>4500</v>
      </c>
      <c r="E3696" s="13"/>
      <c r="F3696" s="14"/>
      <c r="G3696" s="14"/>
      <c r="H3696" s="14"/>
      <c r="I3696" s="14"/>
    </row>
    <row r="3697" ht="20.7" customHeight="1">
      <c r="A3697" s="10">
        <v>45613</v>
      </c>
      <c r="B3697" t="s" s="11">
        <v>8</v>
      </c>
      <c r="C3697" t="s" s="12">
        <v>8</v>
      </c>
      <c r="D3697" s="15" cm="1">
        <f t="array" ref="D3697">SUM(D3695:D3696)</f>
        <v>4500</v>
      </c>
      <c r="E3697" s="15" cm="1">
        <f t="array" ref="E3697">SUM(E3695:E3696)</f>
        <v>4500</v>
      </c>
      <c r="F3697" s="16" cm="1">
        <f t="array" ref="F3697">SUM(F3695:F3696)</f>
        <v>0</v>
      </c>
      <c r="G3697" s="16" cm="1">
        <f t="array" ref="G3697">SUM(G3695:G3696)</f>
        <v>0</v>
      </c>
      <c r="H3697" s="16" cm="1">
        <f t="array" ref="H3697">SUM(H3695:H3696)</f>
        <v>0</v>
      </c>
      <c r="I3697" s="16" cm="1">
        <f t="array" ref="I3697">SUM(I3695:I3696)</f>
        <v>0</v>
      </c>
    </row>
    <row r="3698" ht="20.35" customHeight="1">
      <c r="A3698" s="10">
        <v>45613</v>
      </c>
      <c r="B3698" t="s" s="11">
        <v>5</v>
      </c>
      <c r="C3698" t="s" s="12">
        <v>636</v>
      </c>
      <c r="D3698" s="17"/>
      <c r="E3698" s="17">
        <v>52456</v>
      </c>
      <c r="F3698" s="18"/>
      <c r="G3698" s="18"/>
      <c r="H3698" s="18"/>
      <c r="I3698" s="18"/>
    </row>
    <row r="3699" ht="20.35" customHeight="1">
      <c r="A3699" s="10">
        <v>45613</v>
      </c>
      <c r="B3699" t="s" s="11">
        <v>10</v>
      </c>
      <c r="C3699" t="s" s="12">
        <v>636</v>
      </c>
      <c r="D3699" s="13">
        <v>52456</v>
      </c>
      <c r="E3699" s="13"/>
      <c r="F3699" s="14"/>
      <c r="G3699" s="14"/>
      <c r="H3699" s="14"/>
      <c r="I3699" s="14"/>
    </row>
    <row r="3700" ht="20.7" customHeight="1">
      <c r="A3700" s="10">
        <v>45613</v>
      </c>
      <c r="B3700" t="s" s="11">
        <v>8</v>
      </c>
      <c r="C3700" t="s" s="12">
        <v>8</v>
      </c>
      <c r="D3700" s="15" cm="1">
        <f t="array" ref="D3700">SUM(D3698:D3699)</f>
        <v>52456</v>
      </c>
      <c r="E3700" s="15" cm="1">
        <f t="array" ref="E3700">SUM(E3698:E3699)</f>
        <v>52456</v>
      </c>
      <c r="F3700" s="16" cm="1">
        <f t="array" ref="F3700">SUM(F3698:F3699)</f>
        <v>0</v>
      </c>
      <c r="G3700" s="16" cm="1">
        <f t="array" ref="G3700">SUM(G3698:G3699)</f>
        <v>0</v>
      </c>
      <c r="H3700" s="16" cm="1">
        <f t="array" ref="H3700">SUM(H3698:H3699)</f>
        <v>0</v>
      </c>
      <c r="I3700" s="16" cm="1">
        <f t="array" ref="I3700">SUM(I3698:I3699)</f>
        <v>0</v>
      </c>
    </row>
    <row r="3701" ht="21.25" customHeight="1">
      <c r="A3701" s="10">
        <v>45613</v>
      </c>
      <c r="B3701" t="s" s="11">
        <v>21</v>
      </c>
      <c r="C3701" t="s" s="12">
        <v>637</v>
      </c>
      <c r="D3701" s="17"/>
      <c r="E3701" s="17">
        <v>6000</v>
      </c>
      <c r="F3701" s="18"/>
      <c r="G3701" s="18"/>
      <c r="H3701" s="18"/>
      <c r="I3701" s="18"/>
    </row>
    <row r="3702" ht="21.25" customHeight="1">
      <c r="A3702" s="10">
        <v>45613</v>
      </c>
      <c r="B3702" t="s" s="11">
        <v>16</v>
      </c>
      <c r="C3702" t="s" s="12">
        <v>637</v>
      </c>
      <c r="D3702" s="13">
        <v>6000</v>
      </c>
      <c r="E3702" s="13"/>
      <c r="F3702" s="14"/>
      <c r="G3702" s="14"/>
      <c r="H3702" s="14"/>
      <c r="I3702" s="14"/>
    </row>
    <row r="3703" ht="20.7" customHeight="1">
      <c r="A3703" s="10">
        <v>45613</v>
      </c>
      <c r="B3703" t="s" s="11">
        <v>8</v>
      </c>
      <c r="C3703" t="s" s="12">
        <v>8</v>
      </c>
      <c r="D3703" s="15" cm="1">
        <f t="array" ref="D3703">SUM(D3701:D3702)</f>
        <v>6000</v>
      </c>
      <c r="E3703" s="15" cm="1">
        <f t="array" ref="E3703">SUM(E3701:E3702)</f>
        <v>6000</v>
      </c>
      <c r="F3703" s="16" cm="1">
        <f t="array" ref="F3703">SUM(F3701:F3702)</f>
        <v>0</v>
      </c>
      <c r="G3703" s="16" cm="1">
        <f t="array" ref="G3703">SUM(G3701:G3702)</f>
        <v>0</v>
      </c>
      <c r="H3703" s="16" cm="1">
        <f t="array" ref="H3703">SUM(H3701:H3702)</f>
        <v>0</v>
      </c>
      <c r="I3703" s="16" cm="1">
        <f t="array" ref="I3703">SUM(I3701:I3702)</f>
        <v>0</v>
      </c>
    </row>
    <row r="3704" ht="20.35" customHeight="1">
      <c r="A3704" s="10">
        <v>45613</v>
      </c>
      <c r="B3704" t="s" s="11">
        <v>5</v>
      </c>
      <c r="C3704" t="s" s="12">
        <v>17</v>
      </c>
      <c r="D3704" s="17">
        <v>100</v>
      </c>
      <c r="E3704" s="17"/>
      <c r="F3704" s="18"/>
      <c r="G3704" s="18"/>
      <c r="H3704" s="18"/>
      <c r="I3704" s="18"/>
    </row>
    <row r="3705" ht="20.35" customHeight="1">
      <c r="A3705" s="10">
        <v>45613</v>
      </c>
      <c r="B3705" t="s" s="11">
        <v>18</v>
      </c>
      <c r="C3705" t="s" s="12">
        <v>17</v>
      </c>
      <c r="D3705" s="13"/>
      <c r="E3705" s="13">
        <v>100</v>
      </c>
      <c r="F3705" s="14"/>
      <c r="G3705" s="14"/>
      <c r="H3705" s="14"/>
      <c r="I3705" s="14"/>
    </row>
    <row r="3706" ht="20.7" customHeight="1">
      <c r="A3706" s="10">
        <v>45613</v>
      </c>
      <c r="B3706" t="s" s="11">
        <v>8</v>
      </c>
      <c r="C3706" t="s" s="12">
        <v>8</v>
      </c>
      <c r="D3706" s="15" cm="1">
        <f t="array" ref="D3706">SUM(D3704:D3705)</f>
        <v>100</v>
      </c>
      <c r="E3706" s="15" cm="1">
        <f t="array" ref="E3706">SUM(E3704:E3705)</f>
        <v>100</v>
      </c>
      <c r="F3706" s="16" cm="1">
        <f t="array" ref="F3706">SUM(F3704:F3705)</f>
        <v>0</v>
      </c>
      <c r="G3706" s="16" cm="1">
        <f t="array" ref="G3706">SUM(G3704:G3705)</f>
        <v>0</v>
      </c>
      <c r="H3706" s="16" cm="1">
        <f t="array" ref="H3706">SUM(H3704:H3705)</f>
        <v>0</v>
      </c>
      <c r="I3706" s="16" cm="1">
        <f t="array" ref="I3706">SUM(I3704:I3705)</f>
        <v>0</v>
      </c>
    </row>
    <row r="3707" ht="20.35" customHeight="1">
      <c r="A3707" s="10">
        <v>45614</v>
      </c>
      <c r="B3707" t="s" s="11">
        <v>5</v>
      </c>
      <c r="C3707" t="s" s="12">
        <v>169</v>
      </c>
      <c r="D3707" s="17"/>
      <c r="E3707" s="17">
        <v>10300</v>
      </c>
      <c r="F3707" s="18"/>
      <c r="G3707" s="18"/>
      <c r="H3707" s="18"/>
      <c r="I3707" s="18"/>
    </row>
    <row r="3708" ht="20.35" customHeight="1">
      <c r="A3708" s="10">
        <v>45614</v>
      </c>
      <c r="B3708" t="s" s="11">
        <v>12</v>
      </c>
      <c r="C3708" t="s" s="12">
        <v>169</v>
      </c>
      <c r="D3708" s="13">
        <v>10300</v>
      </c>
      <c r="E3708" s="13"/>
      <c r="F3708" s="14"/>
      <c r="G3708" s="14"/>
      <c r="H3708" s="14"/>
      <c r="I3708" s="14"/>
    </row>
    <row r="3709" ht="20.7" customHeight="1">
      <c r="A3709" s="10">
        <v>45614</v>
      </c>
      <c r="B3709" t="s" s="11">
        <v>8</v>
      </c>
      <c r="C3709" t="s" s="12">
        <v>8</v>
      </c>
      <c r="D3709" s="15" cm="1">
        <f t="array" ref="D3709">SUM(D3707:D3708)</f>
        <v>10300</v>
      </c>
      <c r="E3709" s="15" cm="1">
        <f t="array" ref="E3709">SUM(E3707:E3708)</f>
        <v>10300</v>
      </c>
      <c r="F3709" s="16" cm="1">
        <f t="array" ref="F3709">SUM(F3707:F3708)</f>
        <v>0</v>
      </c>
      <c r="G3709" s="16" cm="1">
        <f t="array" ref="G3709">SUM(G3707:G3708)</f>
        <v>0</v>
      </c>
      <c r="H3709" s="16" cm="1">
        <f t="array" ref="H3709">SUM(H3707:H3708)</f>
        <v>0</v>
      </c>
      <c r="I3709" s="16" cm="1">
        <f t="array" ref="I3709">SUM(I3707:I3708)</f>
        <v>0</v>
      </c>
    </row>
    <row r="3710" ht="20.35" customHeight="1">
      <c r="A3710" s="10">
        <v>45614</v>
      </c>
      <c r="B3710" t="s" s="11">
        <v>5</v>
      </c>
      <c r="C3710" t="s" s="12">
        <v>17</v>
      </c>
      <c r="D3710" s="17">
        <v>100</v>
      </c>
      <c r="E3710" s="17"/>
      <c r="F3710" s="18"/>
      <c r="G3710" s="18"/>
      <c r="H3710" s="18"/>
      <c r="I3710" s="18"/>
    </row>
    <row r="3711" ht="20.35" customHeight="1">
      <c r="A3711" s="10">
        <v>45614</v>
      </c>
      <c r="B3711" t="s" s="11">
        <v>18</v>
      </c>
      <c r="C3711" t="s" s="12">
        <v>17</v>
      </c>
      <c r="D3711" s="13"/>
      <c r="E3711" s="13">
        <v>100</v>
      </c>
      <c r="F3711" s="14"/>
      <c r="G3711" s="14"/>
      <c r="H3711" s="14"/>
      <c r="I3711" s="14"/>
    </row>
    <row r="3712" ht="20.7" customHeight="1">
      <c r="A3712" s="10">
        <v>45614</v>
      </c>
      <c r="B3712" t="s" s="11">
        <v>8</v>
      </c>
      <c r="C3712" t="s" s="12">
        <v>8</v>
      </c>
      <c r="D3712" s="15" cm="1">
        <f t="array" ref="D3712">SUM(D3710:D3711)</f>
        <v>100</v>
      </c>
      <c r="E3712" s="15" cm="1">
        <f t="array" ref="E3712">SUM(E3710:E3711)</f>
        <v>100</v>
      </c>
      <c r="F3712" s="16" cm="1">
        <f t="array" ref="F3712">SUM(F3710:F3711)</f>
        <v>0</v>
      </c>
      <c r="G3712" s="16" cm="1">
        <f t="array" ref="G3712">SUM(G3710:G3711)</f>
        <v>0</v>
      </c>
      <c r="H3712" s="16" cm="1">
        <f t="array" ref="H3712">SUM(H3710:H3711)</f>
        <v>0</v>
      </c>
      <c r="I3712" s="16" cm="1">
        <f t="array" ref="I3712">SUM(I3710:I3711)</f>
        <v>0</v>
      </c>
    </row>
    <row r="3713" ht="20.65" customHeight="1">
      <c r="A3713" s="10">
        <v>45614</v>
      </c>
      <c r="B3713" t="s" s="11">
        <v>5</v>
      </c>
      <c r="C3713" t="s" s="12">
        <v>638</v>
      </c>
      <c r="D3713" s="17"/>
      <c r="E3713" s="17">
        <v>5700</v>
      </c>
      <c r="F3713" s="18"/>
      <c r="G3713" s="18"/>
      <c r="H3713" s="18"/>
      <c r="I3713" s="18"/>
    </row>
    <row r="3714" ht="20.65" customHeight="1">
      <c r="A3714" s="10">
        <v>45614</v>
      </c>
      <c r="B3714" t="s" s="11">
        <v>12</v>
      </c>
      <c r="C3714" t="s" s="12">
        <v>638</v>
      </c>
      <c r="D3714" s="13">
        <v>5700</v>
      </c>
      <c r="E3714" s="13"/>
      <c r="F3714" s="14"/>
      <c r="G3714" s="14"/>
      <c r="H3714" s="14"/>
      <c r="I3714" s="14"/>
    </row>
    <row r="3715" ht="20.7" customHeight="1">
      <c r="A3715" s="10">
        <v>45614</v>
      </c>
      <c r="B3715" t="s" s="11">
        <v>8</v>
      </c>
      <c r="C3715" t="s" s="12">
        <v>8</v>
      </c>
      <c r="D3715" s="15" cm="1">
        <f t="array" ref="D3715">SUM(D3713:D3714)</f>
        <v>5700</v>
      </c>
      <c r="E3715" s="15" cm="1">
        <f t="array" ref="E3715">SUM(E3713:E3714)</f>
        <v>5700</v>
      </c>
      <c r="F3715" s="16" cm="1">
        <f t="array" ref="F3715">SUM(F3713:F3714)</f>
        <v>0</v>
      </c>
      <c r="G3715" s="16" cm="1">
        <f t="array" ref="G3715">SUM(G3713:G3714)</f>
        <v>0</v>
      </c>
      <c r="H3715" s="16" cm="1">
        <f t="array" ref="H3715">SUM(H3713:H3714)</f>
        <v>0</v>
      </c>
      <c r="I3715" s="16" cm="1">
        <f t="array" ref="I3715">SUM(I3713:I3714)</f>
        <v>0</v>
      </c>
    </row>
    <row r="3716" ht="21.25" customHeight="1">
      <c r="A3716" s="10">
        <v>45615</v>
      </c>
      <c r="B3716" t="s" s="11">
        <v>21</v>
      </c>
      <c r="C3716" t="s" s="12">
        <v>639</v>
      </c>
      <c r="D3716" s="17"/>
      <c r="E3716" s="17">
        <v>16000</v>
      </c>
      <c r="F3716" s="18"/>
      <c r="G3716" s="18"/>
      <c r="H3716" s="18"/>
      <c r="I3716" s="18"/>
    </row>
    <row r="3717" ht="21.25" customHeight="1">
      <c r="A3717" s="10">
        <v>45615</v>
      </c>
      <c r="B3717" t="s" s="11">
        <v>12</v>
      </c>
      <c r="C3717" t="s" s="12">
        <v>639</v>
      </c>
      <c r="D3717" s="13">
        <v>16000</v>
      </c>
      <c r="E3717" s="13"/>
      <c r="F3717" s="14"/>
      <c r="G3717" s="14"/>
      <c r="H3717" s="14"/>
      <c r="I3717" s="14"/>
    </row>
    <row r="3718" ht="20.7" customHeight="1">
      <c r="A3718" s="10">
        <v>45615</v>
      </c>
      <c r="B3718" t="s" s="11">
        <v>8</v>
      </c>
      <c r="C3718" t="s" s="12">
        <v>8</v>
      </c>
      <c r="D3718" s="15" cm="1">
        <f t="array" ref="D3718">SUM(D3716:D3717)</f>
        <v>16000</v>
      </c>
      <c r="E3718" s="15" cm="1">
        <f t="array" ref="E3718">SUM(E3716:E3717)</f>
        <v>16000</v>
      </c>
      <c r="F3718" s="16" cm="1">
        <f t="array" ref="F3718">SUM(F3716:F3717)</f>
        <v>0</v>
      </c>
      <c r="G3718" s="16" cm="1">
        <f t="array" ref="G3718">SUM(G3716:G3717)</f>
        <v>0</v>
      </c>
      <c r="H3718" s="16" cm="1">
        <f t="array" ref="H3718">SUM(H3716:H3717)</f>
        <v>0</v>
      </c>
      <c r="I3718" s="16" cm="1">
        <f t="array" ref="I3718">SUM(I3716:I3717)</f>
        <v>0</v>
      </c>
    </row>
    <row r="3719" ht="20.35" customHeight="1">
      <c r="A3719" s="10">
        <v>45615</v>
      </c>
      <c r="B3719" t="s" s="11">
        <v>5</v>
      </c>
      <c r="C3719" t="s" s="12">
        <v>604</v>
      </c>
      <c r="D3719" s="17"/>
      <c r="E3719" s="17">
        <v>16000</v>
      </c>
      <c r="F3719" s="18"/>
      <c r="G3719" s="18"/>
      <c r="H3719" s="18"/>
      <c r="I3719" s="18"/>
    </row>
    <row r="3720" ht="20.35" customHeight="1">
      <c r="A3720" s="10">
        <v>45615</v>
      </c>
      <c r="B3720" t="s" s="11">
        <v>93</v>
      </c>
      <c r="C3720" t="s" s="12">
        <v>604</v>
      </c>
      <c r="D3720" s="13">
        <v>16000</v>
      </c>
      <c r="E3720" s="13"/>
      <c r="F3720" s="14"/>
      <c r="G3720" s="14"/>
      <c r="H3720" s="14"/>
      <c r="I3720" s="14"/>
    </row>
    <row r="3721" ht="20.7" customHeight="1">
      <c r="A3721" s="10">
        <v>45615</v>
      </c>
      <c r="B3721" t="s" s="11">
        <v>8</v>
      </c>
      <c r="C3721" t="s" s="12">
        <v>8</v>
      </c>
      <c r="D3721" s="15" cm="1">
        <f t="array" ref="D3721">SUM(D3719:D3720)</f>
        <v>16000</v>
      </c>
      <c r="E3721" s="15" cm="1">
        <f t="array" ref="E3721">SUM(E3719:E3720)</f>
        <v>16000</v>
      </c>
      <c r="F3721" s="16" cm="1">
        <f t="array" ref="F3721">SUM(F3719:F3720)</f>
        <v>0</v>
      </c>
      <c r="G3721" s="16" cm="1">
        <f t="array" ref="G3721">SUM(G3719:G3720)</f>
        <v>0</v>
      </c>
      <c r="H3721" s="16" cm="1">
        <f t="array" ref="H3721">SUM(H3719:H3720)</f>
        <v>0</v>
      </c>
      <c r="I3721" s="16" cm="1">
        <f t="array" ref="I3721">SUM(I3719:I3720)</f>
        <v>0</v>
      </c>
    </row>
    <row r="3722" ht="21.25" customHeight="1">
      <c r="A3722" s="10">
        <v>45615</v>
      </c>
      <c r="B3722" t="s" s="11">
        <v>93</v>
      </c>
      <c r="C3722" t="s" s="12">
        <v>639</v>
      </c>
      <c r="D3722" s="17"/>
      <c r="E3722" s="17">
        <v>16000</v>
      </c>
      <c r="F3722" s="18"/>
      <c r="G3722" s="18"/>
      <c r="H3722" s="18"/>
      <c r="I3722" s="18"/>
    </row>
    <row r="3723" ht="21.25" customHeight="1">
      <c r="A3723" s="10">
        <v>45615</v>
      </c>
      <c r="B3723" t="s" s="11">
        <v>21</v>
      </c>
      <c r="C3723" t="s" s="12">
        <v>639</v>
      </c>
      <c r="D3723" s="13">
        <v>16000</v>
      </c>
      <c r="E3723" s="13"/>
      <c r="F3723" s="14"/>
      <c r="G3723" s="14"/>
      <c r="H3723" s="14"/>
      <c r="I3723" s="14"/>
    </row>
    <row r="3724" ht="20.7" customHeight="1">
      <c r="A3724" s="10">
        <v>45615</v>
      </c>
      <c r="B3724" t="s" s="11">
        <v>8</v>
      </c>
      <c r="C3724" t="s" s="12">
        <v>8</v>
      </c>
      <c r="D3724" s="15" cm="1">
        <f t="array" ref="D3724">SUM(D3722:D3723)</f>
        <v>16000</v>
      </c>
      <c r="E3724" s="15" cm="1">
        <f t="array" ref="E3724">SUM(E3722:E3723)</f>
        <v>16000</v>
      </c>
      <c r="F3724" s="16" cm="1">
        <f t="array" ref="F3724">SUM(F3722:F3723)</f>
        <v>0</v>
      </c>
      <c r="G3724" s="16" cm="1">
        <f t="array" ref="G3724">SUM(G3722:G3723)</f>
        <v>0</v>
      </c>
      <c r="H3724" s="16" cm="1">
        <f t="array" ref="H3724">SUM(H3722:H3723)</f>
        <v>0</v>
      </c>
      <c r="I3724" s="16" cm="1">
        <f t="array" ref="I3724">SUM(I3722:I3723)</f>
        <v>0</v>
      </c>
    </row>
    <row r="3725" ht="20.65" customHeight="1">
      <c r="A3725" s="10">
        <v>45615</v>
      </c>
      <c r="B3725" t="s" s="11">
        <v>5</v>
      </c>
      <c r="C3725" t="s" s="12">
        <v>640</v>
      </c>
      <c r="D3725" s="17">
        <v>1500000</v>
      </c>
      <c r="E3725" s="17"/>
      <c r="F3725" s="18"/>
      <c r="G3725" s="18"/>
      <c r="H3725" s="18"/>
      <c r="I3725" s="18"/>
    </row>
    <row r="3726" ht="20.65" customHeight="1">
      <c r="A3726" s="10">
        <v>45615</v>
      </c>
      <c r="B3726" t="s" s="11">
        <v>91</v>
      </c>
      <c r="C3726" t="s" s="12">
        <v>640</v>
      </c>
      <c r="D3726" s="13"/>
      <c r="E3726" s="13">
        <v>1500000</v>
      </c>
      <c r="F3726" s="14"/>
      <c r="G3726" s="14"/>
      <c r="H3726" s="14"/>
      <c r="I3726" s="14"/>
    </row>
    <row r="3727" ht="20.7" customHeight="1">
      <c r="A3727" s="10">
        <v>45615</v>
      </c>
      <c r="B3727" t="s" s="11">
        <v>8</v>
      </c>
      <c r="C3727" t="s" s="12">
        <v>8</v>
      </c>
      <c r="D3727" s="15" cm="1">
        <f t="array" ref="D3727">SUM(D3725:D3726)</f>
        <v>1500000</v>
      </c>
      <c r="E3727" s="15" cm="1">
        <f t="array" ref="E3727">SUM(E3725:E3726)</f>
        <v>1500000</v>
      </c>
      <c r="F3727" s="16" cm="1">
        <f t="array" ref="F3727">SUM(F3725:F3726)</f>
        <v>0</v>
      </c>
      <c r="G3727" s="16" cm="1">
        <f t="array" ref="G3727">SUM(G3725:G3726)</f>
        <v>0</v>
      </c>
      <c r="H3727" s="16" cm="1">
        <f t="array" ref="H3727">SUM(H3725:H3726)</f>
        <v>0</v>
      </c>
      <c r="I3727" s="16" cm="1">
        <f t="array" ref="I3727">SUM(I3725:I3726)</f>
        <v>0</v>
      </c>
    </row>
    <row r="3728" ht="20.35" customHeight="1">
      <c r="A3728" s="10">
        <v>45615</v>
      </c>
      <c r="B3728" t="s" s="11">
        <v>5</v>
      </c>
      <c r="C3728" t="s" s="12">
        <v>465</v>
      </c>
      <c r="D3728" s="17"/>
      <c r="E3728" s="17">
        <v>100000</v>
      </c>
      <c r="F3728" s="18"/>
      <c r="G3728" s="18"/>
      <c r="H3728" s="18"/>
      <c r="I3728" s="18"/>
    </row>
    <row r="3729" ht="20.35" customHeight="1">
      <c r="A3729" s="10">
        <v>45615</v>
      </c>
      <c r="B3729" t="s" s="11">
        <v>89</v>
      </c>
      <c r="C3729" t="s" s="12">
        <v>465</v>
      </c>
      <c r="D3729" s="13">
        <v>100000</v>
      </c>
      <c r="E3729" s="13"/>
      <c r="F3729" s="14"/>
      <c r="G3729" s="14"/>
      <c r="H3729" s="14"/>
      <c r="I3729" s="14"/>
    </row>
    <row r="3730" ht="20.7" customHeight="1">
      <c r="A3730" s="10">
        <v>45615</v>
      </c>
      <c r="B3730" t="s" s="11">
        <v>8</v>
      </c>
      <c r="C3730" t="s" s="12">
        <v>8</v>
      </c>
      <c r="D3730" s="15" cm="1">
        <f t="array" ref="D3730">SUM(D3728:D3729)</f>
        <v>100000</v>
      </c>
      <c r="E3730" s="15" cm="1">
        <f t="array" ref="E3730">SUM(E3728:E3729)</f>
        <v>100000</v>
      </c>
      <c r="F3730" s="16" cm="1">
        <f t="array" ref="F3730">SUM(F3728:F3729)</f>
        <v>0</v>
      </c>
      <c r="G3730" s="16" cm="1">
        <f t="array" ref="G3730">SUM(G3728:G3729)</f>
        <v>0</v>
      </c>
      <c r="H3730" s="16" cm="1">
        <f t="array" ref="H3730">SUM(H3728:H3729)</f>
        <v>0</v>
      </c>
      <c r="I3730" s="16" cm="1">
        <f t="array" ref="I3730">SUM(I3728:I3729)</f>
        <v>0</v>
      </c>
    </row>
    <row r="3731" ht="21.25" customHeight="1">
      <c r="A3731" s="10">
        <v>45615</v>
      </c>
      <c r="B3731" t="s" s="11">
        <v>5</v>
      </c>
      <c r="C3731" t="s" s="12">
        <v>641</v>
      </c>
      <c r="D3731" s="17"/>
      <c r="E3731" s="17">
        <v>92000</v>
      </c>
      <c r="F3731" s="18"/>
      <c r="G3731" s="18"/>
      <c r="H3731" s="18"/>
      <c r="I3731" s="18"/>
    </row>
    <row r="3732" ht="21.25" customHeight="1">
      <c r="A3732" s="10">
        <v>45615</v>
      </c>
      <c r="B3732" t="s" s="11">
        <v>10</v>
      </c>
      <c r="C3732" t="s" s="12">
        <v>641</v>
      </c>
      <c r="D3732" s="13">
        <v>92000</v>
      </c>
      <c r="E3732" s="13"/>
      <c r="F3732" s="14"/>
      <c r="G3732" s="14"/>
      <c r="H3732" s="14"/>
      <c r="I3732" s="14"/>
    </row>
    <row r="3733" ht="20.7" customHeight="1">
      <c r="A3733" s="10">
        <v>45615</v>
      </c>
      <c r="B3733" t="s" s="11">
        <v>8</v>
      </c>
      <c r="C3733" t="s" s="12">
        <v>8</v>
      </c>
      <c r="D3733" s="15" cm="1">
        <f t="array" ref="D3733">SUM(D3731:D3732)</f>
        <v>92000</v>
      </c>
      <c r="E3733" s="15" cm="1">
        <f t="array" ref="E3733">SUM(E3731:E3732)</f>
        <v>92000</v>
      </c>
      <c r="F3733" s="16" cm="1">
        <f t="array" ref="F3733">SUM(F3731:F3732)</f>
        <v>0</v>
      </c>
      <c r="G3733" s="16" cm="1">
        <f t="array" ref="G3733">SUM(G3731:G3732)</f>
        <v>0</v>
      </c>
      <c r="H3733" s="16" cm="1">
        <f t="array" ref="H3733">SUM(H3731:H3732)</f>
        <v>0</v>
      </c>
      <c r="I3733" s="16" cm="1">
        <f t="array" ref="I3733">SUM(I3731:I3732)</f>
        <v>0</v>
      </c>
    </row>
    <row r="3734" ht="21.25" customHeight="1">
      <c r="A3734" s="10">
        <v>45615</v>
      </c>
      <c r="B3734" t="s" s="11">
        <v>21</v>
      </c>
      <c r="C3734" t="s" s="12">
        <v>592</v>
      </c>
      <c r="D3734" s="17"/>
      <c r="E3734" s="17">
        <v>2900</v>
      </c>
      <c r="F3734" s="18"/>
      <c r="G3734" s="18"/>
      <c r="H3734" s="18"/>
      <c r="I3734" s="18"/>
    </row>
    <row r="3735" ht="21.25" customHeight="1">
      <c r="A3735" s="10">
        <v>45615</v>
      </c>
      <c r="B3735" t="s" s="11">
        <v>16</v>
      </c>
      <c r="C3735" t="s" s="12">
        <v>592</v>
      </c>
      <c r="D3735" s="13">
        <v>2900</v>
      </c>
      <c r="E3735" s="13"/>
      <c r="F3735" s="14"/>
      <c r="G3735" s="14"/>
      <c r="H3735" s="14"/>
      <c r="I3735" s="14"/>
    </row>
    <row r="3736" ht="20.7" customHeight="1">
      <c r="A3736" s="10">
        <v>45615</v>
      </c>
      <c r="B3736" t="s" s="11">
        <v>8</v>
      </c>
      <c r="C3736" t="s" s="12">
        <v>8</v>
      </c>
      <c r="D3736" s="15" cm="1">
        <f t="array" ref="D3736">SUM(D3734:D3735)</f>
        <v>2900</v>
      </c>
      <c r="E3736" s="15" cm="1">
        <f t="array" ref="E3736">SUM(E3734:E3735)</f>
        <v>2900</v>
      </c>
      <c r="F3736" s="16" cm="1">
        <f t="array" ref="F3736">SUM(F3734:F3735)</f>
        <v>0</v>
      </c>
      <c r="G3736" s="16" cm="1">
        <f t="array" ref="G3736">SUM(G3734:G3735)</f>
        <v>0</v>
      </c>
      <c r="H3736" s="16" cm="1">
        <f t="array" ref="H3736">SUM(H3734:H3735)</f>
        <v>0</v>
      </c>
      <c r="I3736" s="16" cm="1">
        <f t="array" ref="I3736">SUM(I3734:I3735)</f>
        <v>0</v>
      </c>
    </row>
    <row r="3737" ht="20.35" customHeight="1">
      <c r="A3737" s="10">
        <v>45616</v>
      </c>
      <c r="B3737" t="s" s="11">
        <v>93</v>
      </c>
      <c r="C3737" t="s" s="12">
        <v>54</v>
      </c>
      <c r="D3737" s="17"/>
      <c r="E3737" s="17">
        <v>3300</v>
      </c>
      <c r="F3737" s="18"/>
      <c r="G3737" s="18"/>
      <c r="H3737" s="18"/>
      <c r="I3737" s="18"/>
    </row>
    <row r="3738" ht="20.35" customHeight="1">
      <c r="A3738" s="10">
        <v>45616</v>
      </c>
      <c r="B3738" t="s" s="11">
        <v>10</v>
      </c>
      <c r="C3738" t="s" s="12">
        <v>54</v>
      </c>
      <c r="D3738" s="13">
        <v>3300</v>
      </c>
      <c r="E3738" s="13"/>
      <c r="F3738" s="14"/>
      <c r="G3738" s="14"/>
      <c r="H3738" s="14"/>
      <c r="I3738" s="14"/>
    </row>
    <row r="3739" ht="20.7" customHeight="1">
      <c r="A3739" s="10">
        <v>45616</v>
      </c>
      <c r="B3739" t="s" s="11">
        <v>8</v>
      </c>
      <c r="C3739" t="s" s="12">
        <v>8</v>
      </c>
      <c r="D3739" s="15" cm="1">
        <f t="array" ref="D3739">SUM(D3737:D3738)</f>
        <v>3300</v>
      </c>
      <c r="E3739" s="15" cm="1">
        <f t="array" ref="E3739">SUM(E3737:E3738)</f>
        <v>3300</v>
      </c>
      <c r="F3739" s="16" cm="1">
        <f t="array" ref="F3739">SUM(F3737:F3738)</f>
        <v>0</v>
      </c>
      <c r="G3739" s="16" cm="1">
        <f t="array" ref="G3739">SUM(G3737:G3738)</f>
        <v>0</v>
      </c>
      <c r="H3739" s="16" cm="1">
        <f t="array" ref="H3739">SUM(H3737:H3738)</f>
        <v>0</v>
      </c>
      <c r="I3739" s="16" cm="1">
        <f t="array" ref="I3739">SUM(I3737:I3738)</f>
        <v>0</v>
      </c>
    </row>
    <row r="3740" ht="20.35" customHeight="1">
      <c r="A3740" s="10">
        <v>45616</v>
      </c>
      <c r="B3740" t="s" s="11">
        <v>93</v>
      </c>
      <c r="C3740" t="s" s="12">
        <v>604</v>
      </c>
      <c r="D3740" s="17">
        <v>10000</v>
      </c>
      <c r="E3740" s="17"/>
      <c r="F3740" s="18"/>
      <c r="G3740" s="18"/>
      <c r="H3740" s="18"/>
      <c r="I3740" s="18"/>
    </row>
    <row r="3741" ht="20.35" customHeight="1">
      <c r="A3741" s="10">
        <v>45616</v>
      </c>
      <c r="B3741" t="s" s="11">
        <v>5</v>
      </c>
      <c r="C3741" t="s" s="12">
        <v>604</v>
      </c>
      <c r="D3741" s="13"/>
      <c r="E3741" s="13">
        <v>10000</v>
      </c>
      <c r="F3741" s="14"/>
      <c r="G3741" s="14"/>
      <c r="H3741" s="14"/>
      <c r="I3741" s="14"/>
    </row>
    <row r="3742" ht="20.7" customHeight="1">
      <c r="A3742" s="10">
        <v>45616</v>
      </c>
      <c r="B3742" t="s" s="11">
        <v>8</v>
      </c>
      <c r="C3742" t="s" s="12">
        <v>8</v>
      </c>
      <c r="D3742" s="15" cm="1">
        <f t="array" ref="D3742">SUM(D3740:D3741)</f>
        <v>10000</v>
      </c>
      <c r="E3742" s="15" cm="1">
        <f t="array" ref="E3742">SUM(E3740:E3741)</f>
        <v>10000</v>
      </c>
      <c r="F3742" s="16" cm="1">
        <f t="array" ref="F3742">SUM(F3740:F3741)</f>
        <v>0</v>
      </c>
      <c r="G3742" s="16" cm="1">
        <f t="array" ref="G3742">SUM(G3740:G3741)</f>
        <v>0</v>
      </c>
      <c r="H3742" s="16" cm="1">
        <f t="array" ref="H3742">SUM(H3740:H3741)</f>
        <v>0</v>
      </c>
      <c r="I3742" s="16" cm="1">
        <f t="array" ref="I3742">SUM(I3740:I3741)</f>
        <v>0</v>
      </c>
    </row>
    <row r="3743" ht="21.25" customHeight="1">
      <c r="A3743" s="10">
        <v>45616</v>
      </c>
      <c r="B3743" t="s" s="11">
        <v>79</v>
      </c>
      <c r="C3743" t="s" s="12">
        <v>282</v>
      </c>
      <c r="D3743" s="17">
        <v>361</v>
      </c>
      <c r="E3743" s="17"/>
      <c r="F3743" s="18"/>
      <c r="G3743" s="18"/>
      <c r="H3743" s="18"/>
      <c r="I3743" s="18"/>
    </row>
    <row r="3744" ht="21.25" customHeight="1">
      <c r="A3744" s="10">
        <v>45616</v>
      </c>
      <c r="B3744" t="s" s="11">
        <v>91</v>
      </c>
      <c r="C3744" t="s" s="12">
        <v>282</v>
      </c>
      <c r="D3744" s="13"/>
      <c r="E3744" s="13">
        <v>361</v>
      </c>
      <c r="F3744" s="14"/>
      <c r="G3744" s="14"/>
      <c r="H3744" s="14"/>
      <c r="I3744" s="14"/>
    </row>
    <row r="3745" ht="20.7" customHeight="1">
      <c r="A3745" s="10">
        <v>45616</v>
      </c>
      <c r="B3745" t="s" s="11">
        <v>8</v>
      </c>
      <c r="C3745" t="s" s="12">
        <v>8</v>
      </c>
      <c r="D3745" s="15" cm="1">
        <f t="array" ref="D3745">SUM(D3743:D3744)</f>
        <v>361</v>
      </c>
      <c r="E3745" s="15" cm="1">
        <f t="array" ref="E3745">SUM(E3743:E3744)</f>
        <v>361</v>
      </c>
      <c r="F3745" s="16" cm="1">
        <f t="array" ref="F3745">SUM(F3743:F3744)</f>
        <v>0</v>
      </c>
      <c r="G3745" s="16" cm="1">
        <f t="array" ref="G3745">SUM(G3743:G3744)</f>
        <v>0</v>
      </c>
      <c r="H3745" s="16" cm="1">
        <f t="array" ref="H3745">SUM(H3743:H3744)</f>
        <v>0</v>
      </c>
      <c r="I3745" s="16" cm="1">
        <f t="array" ref="I3745">SUM(I3743:I3744)</f>
        <v>0</v>
      </c>
    </row>
    <row r="3746" ht="21.25" customHeight="1">
      <c r="A3746" s="10">
        <v>45616</v>
      </c>
      <c r="B3746" t="s" s="11">
        <v>79</v>
      </c>
      <c r="C3746" t="s" s="12">
        <v>282</v>
      </c>
      <c r="D3746" s="17">
        <v>151</v>
      </c>
      <c r="E3746" s="17"/>
      <c r="F3746" s="18"/>
      <c r="G3746" s="18"/>
      <c r="H3746" s="18"/>
      <c r="I3746" s="18"/>
    </row>
    <row r="3747" ht="21.25" customHeight="1">
      <c r="A3747" s="10">
        <v>45616</v>
      </c>
      <c r="B3747" t="s" s="11">
        <v>91</v>
      </c>
      <c r="C3747" t="s" s="12">
        <v>282</v>
      </c>
      <c r="D3747" s="13"/>
      <c r="E3747" s="13">
        <v>151</v>
      </c>
      <c r="F3747" s="14"/>
      <c r="G3747" s="14"/>
      <c r="H3747" s="14"/>
      <c r="I3747" s="14"/>
    </row>
    <row r="3748" ht="20.7" customHeight="1">
      <c r="A3748" s="10">
        <v>45616</v>
      </c>
      <c r="B3748" t="s" s="11">
        <v>8</v>
      </c>
      <c r="C3748" t="s" s="12">
        <v>8</v>
      </c>
      <c r="D3748" s="15" cm="1">
        <f t="array" ref="D3748">SUM(D3746:D3747)</f>
        <v>151</v>
      </c>
      <c r="E3748" s="15" cm="1">
        <f t="array" ref="E3748">SUM(E3746:E3747)</f>
        <v>151</v>
      </c>
      <c r="F3748" s="16" cm="1">
        <f t="array" ref="F3748">SUM(F3746:F3747)</f>
        <v>0</v>
      </c>
      <c r="G3748" s="16" cm="1">
        <f t="array" ref="G3748">SUM(G3746:G3747)</f>
        <v>0</v>
      </c>
      <c r="H3748" s="16" cm="1">
        <f t="array" ref="H3748">SUM(H3746:H3747)</f>
        <v>0</v>
      </c>
      <c r="I3748" s="16" cm="1">
        <f t="array" ref="I3748">SUM(I3746:I3747)</f>
        <v>0</v>
      </c>
    </row>
    <row r="3749" ht="21.25" customHeight="1">
      <c r="A3749" s="10">
        <v>45616</v>
      </c>
      <c r="B3749" t="s" s="11">
        <v>5</v>
      </c>
      <c r="C3749" t="s" s="12">
        <v>642</v>
      </c>
      <c r="D3749" s="17"/>
      <c r="E3749" s="17">
        <v>12900</v>
      </c>
      <c r="F3749" s="18"/>
      <c r="G3749" s="18"/>
      <c r="H3749" s="18"/>
      <c r="I3749" s="18"/>
    </row>
    <row r="3750" ht="20.9" customHeight="1">
      <c r="A3750" s="10">
        <v>45616</v>
      </c>
      <c r="B3750" t="s" s="11">
        <v>10</v>
      </c>
      <c r="C3750" t="s" s="12">
        <v>642</v>
      </c>
      <c r="D3750" s="19">
        <v>6500</v>
      </c>
      <c r="E3750" s="19"/>
      <c r="F3750" s="20"/>
      <c r="G3750" s="20"/>
      <c r="H3750" s="20"/>
      <c r="I3750" s="20"/>
    </row>
    <row r="3751" ht="21.25" customHeight="1">
      <c r="A3751" s="10">
        <v>45616</v>
      </c>
      <c r="B3751" t="s" s="11">
        <v>12</v>
      </c>
      <c r="C3751" t="s" s="12">
        <v>642</v>
      </c>
      <c r="D3751" s="13">
        <v>6400</v>
      </c>
      <c r="E3751" s="13"/>
      <c r="F3751" s="14"/>
      <c r="G3751" s="14"/>
      <c r="H3751" s="14"/>
      <c r="I3751" s="14"/>
    </row>
    <row r="3752" ht="20.7" customHeight="1">
      <c r="A3752" s="10">
        <v>45616</v>
      </c>
      <c r="B3752" t="s" s="11">
        <v>8</v>
      </c>
      <c r="C3752" t="s" s="12">
        <v>8</v>
      </c>
      <c r="D3752" s="15" cm="1">
        <f t="array" ref="D3752">SUM(D3749:D3751)</f>
        <v>12900</v>
      </c>
      <c r="E3752" s="15" cm="1">
        <f t="array" ref="E3752">SUM(E3749:E3751)</f>
        <v>12900</v>
      </c>
      <c r="F3752" s="16" cm="1">
        <f t="array" ref="F3752">SUM(F3749:F3751)</f>
        <v>0</v>
      </c>
      <c r="G3752" s="16" cm="1">
        <f t="array" ref="G3752">SUM(G3749:G3751)</f>
        <v>0</v>
      </c>
      <c r="H3752" s="16" cm="1">
        <f t="array" ref="H3752">SUM(H3749:H3751)</f>
        <v>0</v>
      </c>
      <c r="I3752" s="16" cm="1">
        <f t="array" ref="I3752">SUM(I3749:I3751)</f>
        <v>0</v>
      </c>
    </row>
    <row r="3753" ht="21.25" customHeight="1">
      <c r="A3753" s="10">
        <v>45616</v>
      </c>
      <c r="B3753" t="s" s="11">
        <v>5</v>
      </c>
      <c r="C3753" t="s" s="12">
        <v>581</v>
      </c>
      <c r="D3753" s="17"/>
      <c r="E3753" s="17">
        <v>800</v>
      </c>
      <c r="F3753" s="18"/>
      <c r="G3753" s="18"/>
      <c r="H3753" s="18"/>
      <c r="I3753" s="18"/>
    </row>
    <row r="3754" ht="21.25" customHeight="1">
      <c r="A3754" s="10">
        <v>45616</v>
      </c>
      <c r="B3754" t="s" s="11">
        <v>10</v>
      </c>
      <c r="C3754" t="s" s="12">
        <v>581</v>
      </c>
      <c r="D3754" s="13">
        <v>800</v>
      </c>
      <c r="E3754" s="13"/>
      <c r="F3754" s="14"/>
      <c r="G3754" s="14"/>
      <c r="H3754" s="14"/>
      <c r="I3754" s="14"/>
    </row>
    <row r="3755" ht="20.7" customHeight="1">
      <c r="A3755" s="10">
        <v>45616</v>
      </c>
      <c r="B3755" t="s" s="11">
        <v>8</v>
      </c>
      <c r="C3755" t="s" s="12">
        <v>8</v>
      </c>
      <c r="D3755" s="15" cm="1">
        <f t="array" ref="D3755">SUM(D3753:D3754)</f>
        <v>800</v>
      </c>
      <c r="E3755" s="15" cm="1">
        <f t="array" ref="E3755">SUM(E3753:E3754)</f>
        <v>800</v>
      </c>
      <c r="F3755" s="16" cm="1">
        <f t="array" ref="F3755">SUM(F3753:F3754)</f>
        <v>0</v>
      </c>
      <c r="G3755" s="16" cm="1">
        <f t="array" ref="G3755">SUM(G3753:G3754)</f>
        <v>0</v>
      </c>
      <c r="H3755" s="16" cm="1">
        <f t="array" ref="H3755">SUM(H3753:H3754)</f>
        <v>0</v>
      </c>
      <c r="I3755" s="16" cm="1">
        <f t="array" ref="I3755">SUM(I3753:I3754)</f>
        <v>0</v>
      </c>
    </row>
    <row r="3756" ht="20.65" customHeight="1">
      <c r="A3756" s="10">
        <v>45616</v>
      </c>
      <c r="B3756" t="s" s="11">
        <v>5</v>
      </c>
      <c r="C3756" t="s" s="12">
        <v>580</v>
      </c>
      <c r="D3756" s="17"/>
      <c r="E3756" s="17">
        <v>800</v>
      </c>
      <c r="F3756" s="18"/>
      <c r="G3756" s="18"/>
      <c r="H3756" s="18"/>
      <c r="I3756" s="18"/>
    </row>
    <row r="3757" ht="20.65" customHeight="1">
      <c r="A3757" s="10">
        <v>45616</v>
      </c>
      <c r="B3757" t="s" s="11">
        <v>12</v>
      </c>
      <c r="C3757" t="s" s="12">
        <v>580</v>
      </c>
      <c r="D3757" s="13">
        <v>800</v>
      </c>
      <c r="E3757" s="13"/>
      <c r="F3757" s="14"/>
      <c r="G3757" s="14"/>
      <c r="H3757" s="14"/>
      <c r="I3757" s="14"/>
    </row>
    <row r="3758" ht="20.7" customHeight="1">
      <c r="A3758" s="10">
        <v>45616</v>
      </c>
      <c r="B3758" t="s" s="11">
        <v>8</v>
      </c>
      <c r="C3758" t="s" s="12">
        <v>8</v>
      </c>
      <c r="D3758" s="15" cm="1">
        <f t="array" ref="D3758">SUM(D3756:D3757)</f>
        <v>800</v>
      </c>
      <c r="E3758" s="15" cm="1">
        <f t="array" ref="E3758">SUM(E3756:E3757)</f>
        <v>800</v>
      </c>
      <c r="F3758" s="16" cm="1">
        <f t="array" ref="F3758">SUM(F3756:F3757)</f>
        <v>0</v>
      </c>
      <c r="G3758" s="16" cm="1">
        <f t="array" ref="G3758">SUM(G3756:G3757)</f>
        <v>0</v>
      </c>
      <c r="H3758" s="16" cm="1">
        <f t="array" ref="H3758">SUM(H3756:H3757)</f>
        <v>0</v>
      </c>
      <c r="I3758" s="16" cm="1">
        <f t="array" ref="I3758">SUM(I3756:I3757)</f>
        <v>0</v>
      </c>
    </row>
    <row r="3759" ht="20.35" customHeight="1">
      <c r="A3759" s="10">
        <v>45616</v>
      </c>
      <c r="B3759" t="s" s="11">
        <v>5</v>
      </c>
      <c r="C3759" t="s" s="12">
        <v>17</v>
      </c>
      <c r="D3759" s="17">
        <v>100</v>
      </c>
      <c r="E3759" s="17"/>
      <c r="F3759" s="18"/>
      <c r="G3759" s="18"/>
      <c r="H3759" s="18"/>
      <c r="I3759" s="18"/>
    </row>
    <row r="3760" ht="20.35" customHeight="1">
      <c r="A3760" s="10">
        <v>45616</v>
      </c>
      <c r="B3760" t="s" s="11">
        <v>18</v>
      </c>
      <c r="C3760" t="s" s="12">
        <v>17</v>
      </c>
      <c r="D3760" s="13"/>
      <c r="E3760" s="13">
        <v>100</v>
      </c>
      <c r="F3760" s="14"/>
      <c r="G3760" s="14"/>
      <c r="H3760" s="14"/>
      <c r="I3760" s="14"/>
    </row>
    <row r="3761" ht="20.7" customHeight="1">
      <c r="A3761" s="10">
        <v>45616</v>
      </c>
      <c r="B3761" t="s" s="11">
        <v>8</v>
      </c>
      <c r="C3761" t="s" s="12">
        <v>8</v>
      </c>
      <c r="D3761" s="15" cm="1">
        <f t="array" ref="D3761">SUM(D3759:D3760)</f>
        <v>100</v>
      </c>
      <c r="E3761" s="15" cm="1">
        <f t="array" ref="E3761">SUM(E3759:E3760)</f>
        <v>100</v>
      </c>
      <c r="F3761" s="16" cm="1">
        <f t="array" ref="F3761">SUM(F3759:F3760)</f>
        <v>0</v>
      </c>
      <c r="G3761" s="16" cm="1">
        <f t="array" ref="G3761">SUM(G3759:G3760)</f>
        <v>0</v>
      </c>
      <c r="H3761" s="16" cm="1">
        <f t="array" ref="H3761">SUM(H3759:H3760)</f>
        <v>0</v>
      </c>
      <c r="I3761" s="16" cm="1">
        <f t="array" ref="I3761">SUM(I3759:I3760)</f>
        <v>0</v>
      </c>
    </row>
    <row r="3762" ht="21.25" customHeight="1">
      <c r="A3762" s="10">
        <v>45616</v>
      </c>
      <c r="B3762" t="s" s="11">
        <v>5</v>
      </c>
      <c r="C3762" t="s" s="12">
        <v>643</v>
      </c>
      <c r="D3762" s="17"/>
      <c r="E3762" s="17">
        <v>44500</v>
      </c>
      <c r="F3762" s="18"/>
      <c r="G3762" s="18"/>
      <c r="H3762" s="18"/>
      <c r="I3762" s="18"/>
    </row>
    <row r="3763" ht="21.25" customHeight="1">
      <c r="A3763" s="10">
        <v>45616</v>
      </c>
      <c r="B3763" t="s" s="11">
        <v>10</v>
      </c>
      <c r="C3763" t="s" s="12">
        <v>643</v>
      </c>
      <c r="D3763" s="13">
        <v>44500</v>
      </c>
      <c r="E3763" s="13"/>
      <c r="F3763" s="14"/>
      <c r="G3763" s="14"/>
      <c r="H3763" s="14"/>
      <c r="I3763" s="14"/>
    </row>
    <row r="3764" ht="20.7" customHeight="1">
      <c r="A3764" s="10">
        <v>45616</v>
      </c>
      <c r="B3764" t="s" s="11">
        <v>8</v>
      </c>
      <c r="C3764" t="s" s="12">
        <v>8</v>
      </c>
      <c r="D3764" s="15" cm="1">
        <f t="array" ref="D3764">SUM(D3762:D3763)</f>
        <v>44500</v>
      </c>
      <c r="E3764" s="15" cm="1">
        <f t="array" ref="E3764">SUM(E3762:E3763)</f>
        <v>44500</v>
      </c>
      <c r="F3764" s="16" cm="1">
        <f t="array" ref="F3764">SUM(F3762:F3763)</f>
        <v>0</v>
      </c>
      <c r="G3764" s="16" cm="1">
        <f t="array" ref="G3764">SUM(G3762:G3763)</f>
        <v>0</v>
      </c>
      <c r="H3764" s="16" cm="1">
        <f t="array" ref="H3764">SUM(H3762:H3763)</f>
        <v>0</v>
      </c>
      <c r="I3764" s="16" cm="1">
        <f t="array" ref="I3764">SUM(I3762:I3763)</f>
        <v>0</v>
      </c>
    </row>
    <row r="3765" ht="21.25" customHeight="1">
      <c r="A3765" s="10">
        <v>45617</v>
      </c>
      <c r="B3765" t="s" s="11">
        <v>107</v>
      </c>
      <c r="C3765" t="s" s="12">
        <v>644</v>
      </c>
      <c r="D3765" s="17">
        <v>80000</v>
      </c>
      <c r="E3765" s="17"/>
      <c r="F3765" s="18"/>
      <c r="G3765" s="18"/>
      <c r="H3765" s="18"/>
      <c r="I3765" s="18"/>
    </row>
    <row r="3766" ht="21.25" customHeight="1">
      <c r="A3766" s="10">
        <v>45617</v>
      </c>
      <c r="B3766" t="s" s="11">
        <v>91</v>
      </c>
      <c r="C3766" t="s" s="12">
        <v>644</v>
      </c>
      <c r="D3766" s="13"/>
      <c r="E3766" s="13">
        <v>80000</v>
      </c>
      <c r="F3766" s="14"/>
      <c r="G3766" s="14"/>
      <c r="H3766" s="14"/>
      <c r="I3766" s="14"/>
    </row>
    <row r="3767" ht="20.7" customHeight="1">
      <c r="A3767" s="10">
        <v>45617</v>
      </c>
      <c r="B3767" t="s" s="11">
        <v>8</v>
      </c>
      <c r="C3767" t="s" s="12">
        <v>8</v>
      </c>
      <c r="D3767" s="15" cm="1">
        <f t="array" ref="D3767">SUM(D3765:D3766)</f>
        <v>80000</v>
      </c>
      <c r="E3767" s="15" cm="1">
        <f t="array" ref="E3767">SUM(E3765:E3766)</f>
        <v>80000</v>
      </c>
      <c r="F3767" s="16" cm="1">
        <f t="array" ref="F3767">SUM(F3765:F3766)</f>
        <v>0</v>
      </c>
      <c r="G3767" s="16" cm="1">
        <f t="array" ref="G3767">SUM(G3765:G3766)</f>
        <v>0</v>
      </c>
      <c r="H3767" s="16" cm="1">
        <f t="array" ref="H3767">SUM(H3765:H3766)</f>
        <v>0</v>
      </c>
      <c r="I3767" s="16" cm="1">
        <f t="array" ref="I3767">SUM(I3765:I3766)</f>
        <v>0</v>
      </c>
    </row>
    <row r="3768" ht="20.35" customHeight="1">
      <c r="A3768" s="10">
        <v>45617</v>
      </c>
      <c r="B3768" t="s" s="11">
        <v>5</v>
      </c>
      <c r="C3768" t="s" s="12">
        <v>169</v>
      </c>
      <c r="D3768" s="17"/>
      <c r="E3768" s="17">
        <v>15600</v>
      </c>
      <c r="F3768" s="18"/>
      <c r="G3768" s="18"/>
      <c r="H3768" s="18"/>
      <c r="I3768" s="18"/>
    </row>
    <row r="3769" ht="20.35" customHeight="1">
      <c r="A3769" s="10">
        <v>45617</v>
      </c>
      <c r="B3769" t="s" s="11">
        <v>12</v>
      </c>
      <c r="C3769" t="s" s="12">
        <v>169</v>
      </c>
      <c r="D3769" s="13">
        <v>15600</v>
      </c>
      <c r="E3769" s="13"/>
      <c r="F3769" s="14"/>
      <c r="G3769" s="14"/>
      <c r="H3769" s="14"/>
      <c r="I3769" s="14"/>
    </row>
    <row r="3770" ht="20.7" customHeight="1">
      <c r="A3770" s="10">
        <v>45617</v>
      </c>
      <c r="B3770" t="s" s="11">
        <v>8</v>
      </c>
      <c r="C3770" t="s" s="12">
        <v>8</v>
      </c>
      <c r="D3770" s="15" cm="1">
        <f t="array" ref="D3770">SUM(D3768:D3769)</f>
        <v>15600</v>
      </c>
      <c r="E3770" s="15" cm="1">
        <f t="array" ref="E3770">SUM(E3768:E3769)</f>
        <v>15600</v>
      </c>
      <c r="F3770" s="16" cm="1">
        <f t="array" ref="F3770">SUM(F3768:F3769)</f>
        <v>0</v>
      </c>
      <c r="G3770" s="16" cm="1">
        <f t="array" ref="G3770">SUM(G3768:G3769)</f>
        <v>0</v>
      </c>
      <c r="H3770" s="16" cm="1">
        <f t="array" ref="H3770">SUM(H3768:H3769)</f>
        <v>0</v>
      </c>
      <c r="I3770" s="16" cm="1">
        <f t="array" ref="I3770">SUM(I3768:I3769)</f>
        <v>0</v>
      </c>
    </row>
    <row r="3771" ht="21.25" customHeight="1">
      <c r="A3771" s="10">
        <v>45617</v>
      </c>
      <c r="B3771" t="s" s="11">
        <v>21</v>
      </c>
      <c r="C3771" t="s" s="12">
        <v>616</v>
      </c>
      <c r="D3771" s="17"/>
      <c r="E3771" s="17">
        <v>2800</v>
      </c>
      <c r="F3771" s="18"/>
      <c r="G3771" s="18"/>
      <c r="H3771" s="18"/>
      <c r="I3771" s="18"/>
    </row>
    <row r="3772" ht="21.25" customHeight="1">
      <c r="A3772" s="10">
        <v>45617</v>
      </c>
      <c r="B3772" t="s" s="11">
        <v>16</v>
      </c>
      <c r="C3772" t="s" s="12">
        <v>616</v>
      </c>
      <c r="D3772" s="13">
        <v>2800</v>
      </c>
      <c r="E3772" s="13"/>
      <c r="F3772" s="14"/>
      <c r="G3772" s="14"/>
      <c r="H3772" s="14"/>
      <c r="I3772" s="14"/>
    </row>
    <row r="3773" ht="20.7" customHeight="1">
      <c r="A3773" s="10">
        <v>45617</v>
      </c>
      <c r="B3773" t="s" s="11">
        <v>8</v>
      </c>
      <c r="C3773" t="s" s="12">
        <v>8</v>
      </c>
      <c r="D3773" s="15" cm="1">
        <f t="array" ref="D3773">SUM(D3771:D3772)</f>
        <v>2800</v>
      </c>
      <c r="E3773" s="15" cm="1">
        <f t="array" ref="E3773">SUM(E3771:E3772)</f>
        <v>2800</v>
      </c>
      <c r="F3773" s="16" cm="1">
        <f t="array" ref="F3773">SUM(F3771:F3772)</f>
        <v>0</v>
      </c>
      <c r="G3773" s="16" cm="1">
        <f t="array" ref="G3773">SUM(G3771:G3772)</f>
        <v>0</v>
      </c>
      <c r="H3773" s="16" cm="1">
        <f t="array" ref="H3773">SUM(H3771:H3772)</f>
        <v>0</v>
      </c>
      <c r="I3773" s="16" cm="1">
        <f t="array" ref="I3773">SUM(I3771:I3772)</f>
        <v>0</v>
      </c>
    </row>
    <row r="3774" ht="21.25" customHeight="1">
      <c r="A3774" s="10">
        <v>45618</v>
      </c>
      <c r="B3774" t="s" s="11">
        <v>5</v>
      </c>
      <c r="C3774" t="s" s="12">
        <v>645</v>
      </c>
      <c r="D3774" s="17"/>
      <c r="E3774" s="17">
        <v>10000</v>
      </c>
      <c r="F3774" s="18"/>
      <c r="G3774" s="18"/>
      <c r="H3774" s="18"/>
      <c r="I3774" s="18"/>
    </row>
    <row r="3775" ht="20.9" customHeight="1">
      <c r="A3775" s="10">
        <v>45618</v>
      </c>
      <c r="B3775" t="s" s="11">
        <v>89</v>
      </c>
      <c r="C3775" t="s" s="12">
        <v>645</v>
      </c>
      <c r="D3775" s="19">
        <v>5000</v>
      </c>
      <c r="E3775" s="19"/>
      <c r="F3775" s="20"/>
      <c r="G3775" s="20"/>
      <c r="H3775" s="20"/>
      <c r="I3775" s="20"/>
    </row>
    <row r="3776" ht="21.25" customHeight="1">
      <c r="A3776" s="10">
        <v>45618</v>
      </c>
      <c r="B3776" t="s" s="11">
        <v>12</v>
      </c>
      <c r="C3776" t="s" s="12">
        <v>645</v>
      </c>
      <c r="D3776" s="13">
        <v>5000</v>
      </c>
      <c r="E3776" s="13"/>
      <c r="F3776" s="14"/>
      <c r="G3776" s="14"/>
      <c r="H3776" s="14"/>
      <c r="I3776" s="14"/>
    </row>
    <row r="3777" ht="20.7" customHeight="1">
      <c r="A3777" s="10">
        <v>45618</v>
      </c>
      <c r="B3777" t="s" s="11">
        <v>8</v>
      </c>
      <c r="C3777" t="s" s="12">
        <v>8</v>
      </c>
      <c r="D3777" s="15" cm="1">
        <f t="array" ref="D3777">SUM(D3774:D3776)</f>
        <v>10000</v>
      </c>
      <c r="E3777" s="15" cm="1">
        <f t="array" ref="E3777">SUM(E3774:E3776)</f>
        <v>10000</v>
      </c>
      <c r="F3777" s="16" cm="1">
        <f t="array" ref="F3777">SUM(F3774:F3776)</f>
        <v>0</v>
      </c>
      <c r="G3777" s="16" cm="1">
        <f t="array" ref="G3777">SUM(G3774:G3776)</f>
        <v>0</v>
      </c>
      <c r="H3777" s="16" cm="1">
        <f t="array" ref="H3777">SUM(H3774:H3776)</f>
        <v>0</v>
      </c>
      <c r="I3777" s="16" cm="1">
        <f t="array" ref="I3777">SUM(I3774:I3776)</f>
        <v>0</v>
      </c>
    </row>
    <row r="3778" ht="21.25" customHeight="1">
      <c r="A3778" s="10">
        <v>45618</v>
      </c>
      <c r="B3778" t="s" s="11">
        <v>107</v>
      </c>
      <c r="C3778" t="s" s="12">
        <v>645</v>
      </c>
      <c r="D3778" s="17">
        <v>10000</v>
      </c>
      <c r="E3778" s="17"/>
      <c r="F3778" s="18"/>
      <c r="G3778" s="18"/>
      <c r="H3778" s="18"/>
      <c r="I3778" s="18"/>
    </row>
    <row r="3779" ht="20.35" customHeight="1">
      <c r="A3779" s="10">
        <v>45618</v>
      </c>
      <c r="B3779" t="s" s="11">
        <v>21</v>
      </c>
      <c r="C3779" t="s" s="12">
        <v>646</v>
      </c>
      <c r="D3779" s="19"/>
      <c r="E3779" s="19">
        <v>5000</v>
      </c>
      <c r="F3779" s="20"/>
      <c r="G3779" s="20"/>
      <c r="H3779" s="20"/>
      <c r="I3779" s="20"/>
    </row>
    <row r="3780" ht="20.65" customHeight="1">
      <c r="A3780" s="10">
        <v>45618</v>
      </c>
      <c r="B3780" t="s" s="11">
        <v>89</v>
      </c>
      <c r="C3780" t="s" s="12">
        <v>646</v>
      </c>
      <c r="D3780" s="13"/>
      <c r="E3780" s="13">
        <v>5000</v>
      </c>
      <c r="F3780" s="14"/>
      <c r="G3780" s="14"/>
      <c r="H3780" s="14"/>
      <c r="I3780" s="14"/>
    </row>
    <row r="3781" ht="20.7" customHeight="1">
      <c r="A3781" s="10">
        <v>45618</v>
      </c>
      <c r="B3781" t="s" s="11">
        <v>8</v>
      </c>
      <c r="C3781" t="s" s="12">
        <v>8</v>
      </c>
      <c r="D3781" s="15" cm="1">
        <f t="array" ref="D3781">SUM(D3778:D3780)</f>
        <v>10000</v>
      </c>
      <c r="E3781" s="15" cm="1">
        <f t="array" ref="E3781">SUM(E3778:E3780)</f>
        <v>10000</v>
      </c>
      <c r="F3781" s="16" cm="1">
        <f t="array" ref="F3781">SUM(F3778:F3780)</f>
        <v>0</v>
      </c>
      <c r="G3781" s="16" cm="1">
        <f t="array" ref="G3781">SUM(G3778:G3780)</f>
        <v>0</v>
      </c>
      <c r="H3781" s="16" cm="1">
        <f t="array" ref="H3781">SUM(H3778:H3780)</f>
        <v>0</v>
      </c>
      <c r="I3781" s="16" cm="1">
        <f t="array" ref="I3781">SUM(I3778:I3780)</f>
        <v>0</v>
      </c>
    </row>
    <row r="3782" ht="21.25" customHeight="1">
      <c r="A3782" s="10">
        <v>45618</v>
      </c>
      <c r="B3782" t="s" s="11">
        <v>93</v>
      </c>
      <c r="C3782" t="s" s="12">
        <v>647</v>
      </c>
      <c r="D3782" s="17"/>
      <c r="E3782" s="17">
        <v>5000</v>
      </c>
      <c r="F3782" s="18"/>
      <c r="G3782" s="18"/>
      <c r="H3782" s="18"/>
      <c r="I3782" s="18"/>
    </row>
    <row r="3783" ht="21.25" customHeight="1">
      <c r="A3783" s="10">
        <v>45618</v>
      </c>
      <c r="B3783" t="s" s="11">
        <v>21</v>
      </c>
      <c r="C3783" t="s" s="12">
        <v>647</v>
      </c>
      <c r="D3783" s="13">
        <v>5000</v>
      </c>
      <c r="E3783" s="13"/>
      <c r="F3783" s="14"/>
      <c r="G3783" s="14"/>
      <c r="H3783" s="14"/>
      <c r="I3783" s="14"/>
    </row>
    <row r="3784" ht="20.7" customHeight="1">
      <c r="A3784" s="10">
        <v>45618</v>
      </c>
      <c r="B3784" t="s" s="11">
        <v>8</v>
      </c>
      <c r="C3784" t="s" s="12">
        <v>8</v>
      </c>
      <c r="D3784" s="15" cm="1">
        <f t="array" ref="D3784">SUM(D3782:D3783)</f>
        <v>5000</v>
      </c>
      <c r="E3784" s="15" cm="1">
        <f t="array" ref="E3784">SUM(E3782:E3783)</f>
        <v>5000</v>
      </c>
      <c r="F3784" s="16" cm="1">
        <f t="array" ref="F3784">SUM(F3782:F3783)</f>
        <v>0</v>
      </c>
      <c r="G3784" s="16" cm="1">
        <f t="array" ref="G3784">SUM(G3782:G3783)</f>
        <v>0</v>
      </c>
      <c r="H3784" s="16" cm="1">
        <f t="array" ref="H3784">SUM(H3782:H3783)</f>
        <v>0</v>
      </c>
      <c r="I3784" s="16" cm="1">
        <f t="array" ref="I3784">SUM(I3782:I3783)</f>
        <v>0</v>
      </c>
    </row>
    <row r="3785" ht="21.25" customHeight="1">
      <c r="A3785" s="10">
        <v>45618</v>
      </c>
      <c r="B3785" t="s" s="11">
        <v>5</v>
      </c>
      <c r="C3785" t="s" s="12">
        <v>648</v>
      </c>
      <c r="D3785" s="17"/>
      <c r="E3785" s="17">
        <v>31980</v>
      </c>
      <c r="F3785" s="18"/>
      <c r="G3785" s="18"/>
      <c r="H3785" s="18"/>
      <c r="I3785" s="18"/>
    </row>
    <row r="3786" ht="21.25" customHeight="1">
      <c r="A3786" s="10">
        <v>45618</v>
      </c>
      <c r="B3786" t="s" s="11">
        <v>12</v>
      </c>
      <c r="C3786" t="s" s="12">
        <v>648</v>
      </c>
      <c r="D3786" s="13">
        <v>31980</v>
      </c>
      <c r="E3786" s="13"/>
      <c r="F3786" s="14"/>
      <c r="G3786" s="14"/>
      <c r="H3786" s="14"/>
      <c r="I3786" s="14"/>
    </row>
    <row r="3787" ht="20.7" customHeight="1">
      <c r="A3787" s="10">
        <v>45618</v>
      </c>
      <c r="B3787" t="s" s="11">
        <v>8</v>
      </c>
      <c r="C3787" t="s" s="12">
        <v>8</v>
      </c>
      <c r="D3787" s="15" cm="1">
        <f t="array" ref="D3787">SUM(D3785:D3786)</f>
        <v>31980</v>
      </c>
      <c r="E3787" s="15" cm="1">
        <f t="array" ref="E3787">SUM(E3785:E3786)</f>
        <v>31980</v>
      </c>
      <c r="F3787" s="16" cm="1">
        <f t="array" ref="F3787">SUM(F3785:F3786)</f>
        <v>0</v>
      </c>
      <c r="G3787" s="16" cm="1">
        <f t="array" ref="G3787">SUM(G3785:G3786)</f>
        <v>0</v>
      </c>
      <c r="H3787" s="16" cm="1">
        <f t="array" ref="H3787">SUM(H3785:H3786)</f>
        <v>0</v>
      </c>
      <c r="I3787" s="16" cm="1">
        <f t="array" ref="I3787">SUM(I3785:I3786)</f>
        <v>0</v>
      </c>
    </row>
    <row r="3788" ht="21.25" customHeight="1">
      <c r="A3788" s="10">
        <v>45618</v>
      </c>
      <c r="B3788" t="s" s="11">
        <v>5</v>
      </c>
      <c r="C3788" t="s" s="12">
        <v>648</v>
      </c>
      <c r="D3788" s="17"/>
      <c r="E3788" s="17">
        <v>12500</v>
      </c>
      <c r="F3788" s="18"/>
      <c r="G3788" s="18"/>
      <c r="H3788" s="18"/>
      <c r="I3788" s="18"/>
    </row>
    <row r="3789" ht="21.25" customHeight="1">
      <c r="A3789" s="10">
        <v>45618</v>
      </c>
      <c r="B3789" t="s" s="11">
        <v>10</v>
      </c>
      <c r="C3789" t="s" s="12">
        <v>648</v>
      </c>
      <c r="D3789" s="13">
        <v>12500</v>
      </c>
      <c r="E3789" s="13"/>
      <c r="F3789" s="14"/>
      <c r="G3789" s="14"/>
      <c r="H3789" s="14"/>
      <c r="I3789" s="14"/>
    </row>
    <row r="3790" ht="20.7" customHeight="1">
      <c r="A3790" s="10">
        <v>45618</v>
      </c>
      <c r="B3790" t="s" s="11">
        <v>8</v>
      </c>
      <c r="C3790" t="s" s="12">
        <v>8</v>
      </c>
      <c r="D3790" s="15" cm="1">
        <f t="array" ref="D3790">SUM(D3788:D3789)</f>
        <v>12500</v>
      </c>
      <c r="E3790" s="15" cm="1">
        <f t="array" ref="E3790">SUM(E3788:E3789)</f>
        <v>12500</v>
      </c>
      <c r="F3790" s="16" cm="1">
        <f t="array" ref="F3790">SUM(F3788:F3789)</f>
        <v>0</v>
      </c>
      <c r="G3790" s="16" cm="1">
        <f t="array" ref="G3790">SUM(G3788:G3789)</f>
        <v>0</v>
      </c>
      <c r="H3790" s="16" cm="1">
        <f t="array" ref="H3790">SUM(H3788:H3789)</f>
        <v>0</v>
      </c>
      <c r="I3790" s="16" cm="1">
        <f t="array" ref="I3790">SUM(I3788:I3789)</f>
        <v>0</v>
      </c>
    </row>
    <row r="3791" ht="20.35" customHeight="1">
      <c r="A3791" s="10">
        <v>45618</v>
      </c>
      <c r="B3791" t="s" s="11">
        <v>5</v>
      </c>
      <c r="C3791" t="s" s="12">
        <v>17</v>
      </c>
      <c r="D3791" s="17">
        <v>100</v>
      </c>
      <c r="E3791" s="17"/>
      <c r="F3791" s="18"/>
      <c r="G3791" s="18"/>
      <c r="H3791" s="18"/>
      <c r="I3791" s="18"/>
    </row>
    <row r="3792" ht="20.35" customHeight="1">
      <c r="A3792" s="10">
        <v>45618</v>
      </c>
      <c r="B3792" t="s" s="11">
        <v>18</v>
      </c>
      <c r="C3792" t="s" s="12">
        <v>17</v>
      </c>
      <c r="D3792" s="13"/>
      <c r="E3792" s="13">
        <v>100</v>
      </c>
      <c r="F3792" s="14"/>
      <c r="G3792" s="14"/>
      <c r="H3792" s="14"/>
      <c r="I3792" s="14"/>
    </row>
    <row r="3793" ht="20.7" customHeight="1">
      <c r="A3793" s="10">
        <v>45618</v>
      </c>
      <c r="B3793" t="s" s="11">
        <v>8</v>
      </c>
      <c r="C3793" t="s" s="12">
        <v>8</v>
      </c>
      <c r="D3793" s="15" cm="1">
        <f t="array" ref="D3793">SUM(D3791:D3792)</f>
        <v>100</v>
      </c>
      <c r="E3793" s="15" cm="1">
        <f t="array" ref="E3793">SUM(E3791:E3792)</f>
        <v>100</v>
      </c>
      <c r="F3793" s="16" cm="1">
        <f t="array" ref="F3793">SUM(F3791:F3792)</f>
        <v>0</v>
      </c>
      <c r="G3793" s="16" cm="1">
        <f t="array" ref="G3793">SUM(G3791:G3792)</f>
        <v>0</v>
      </c>
      <c r="H3793" s="16" cm="1">
        <f t="array" ref="H3793">SUM(H3791:H3792)</f>
        <v>0</v>
      </c>
      <c r="I3793" s="16" cm="1">
        <f t="array" ref="I3793">SUM(I3791:I3792)</f>
        <v>0</v>
      </c>
    </row>
    <row r="3794" ht="20.65" customHeight="1">
      <c r="A3794" s="10">
        <v>45618</v>
      </c>
      <c r="B3794" t="s" s="11">
        <v>5</v>
      </c>
      <c r="C3794" t="s" s="12">
        <v>649</v>
      </c>
      <c r="D3794" s="17"/>
      <c r="E3794" s="17">
        <v>1200</v>
      </c>
      <c r="F3794" s="18"/>
      <c r="G3794" s="18"/>
      <c r="H3794" s="18"/>
      <c r="I3794" s="18"/>
    </row>
    <row r="3795" ht="20.65" customHeight="1">
      <c r="A3795" s="10">
        <v>45618</v>
      </c>
      <c r="B3795" t="s" s="11">
        <v>12</v>
      </c>
      <c r="C3795" t="s" s="12">
        <v>649</v>
      </c>
      <c r="D3795" s="13">
        <v>1200</v>
      </c>
      <c r="E3795" s="13"/>
      <c r="F3795" s="14"/>
      <c r="G3795" s="14"/>
      <c r="H3795" s="14"/>
      <c r="I3795" s="14"/>
    </row>
    <row r="3796" ht="20.7" customHeight="1">
      <c r="A3796" s="10">
        <v>45618</v>
      </c>
      <c r="B3796" t="s" s="11">
        <v>8</v>
      </c>
      <c r="C3796" t="s" s="12">
        <v>8</v>
      </c>
      <c r="D3796" s="15" cm="1">
        <f t="array" ref="D3796">SUM(D3794:D3795)</f>
        <v>1200</v>
      </c>
      <c r="E3796" s="15" cm="1">
        <f t="array" ref="E3796">SUM(E3794:E3795)</f>
        <v>1200</v>
      </c>
      <c r="F3796" s="16" cm="1">
        <f t="array" ref="F3796">SUM(F3794:F3795)</f>
        <v>0</v>
      </c>
      <c r="G3796" s="16" cm="1">
        <f t="array" ref="G3796">SUM(G3794:G3795)</f>
        <v>0</v>
      </c>
      <c r="H3796" s="16" cm="1">
        <f t="array" ref="H3796">SUM(H3794:H3795)</f>
        <v>0</v>
      </c>
      <c r="I3796" s="16" cm="1">
        <f t="array" ref="I3796">SUM(I3794:I3795)</f>
        <v>0</v>
      </c>
    </row>
    <row r="3797" ht="21.25" customHeight="1">
      <c r="A3797" s="10">
        <v>45619</v>
      </c>
      <c r="B3797" t="s" s="11">
        <v>5</v>
      </c>
      <c r="C3797" t="s" s="12">
        <v>650</v>
      </c>
      <c r="D3797" s="17"/>
      <c r="E3797" s="17">
        <v>39400</v>
      </c>
      <c r="F3797" s="18"/>
      <c r="G3797" s="18"/>
      <c r="H3797" s="18"/>
      <c r="I3797" s="18"/>
    </row>
    <row r="3798" ht="21.25" customHeight="1">
      <c r="A3798" s="10">
        <v>45619</v>
      </c>
      <c r="B3798" t="s" s="11">
        <v>10</v>
      </c>
      <c r="C3798" t="s" s="12">
        <v>650</v>
      </c>
      <c r="D3798" s="13">
        <v>39400</v>
      </c>
      <c r="E3798" s="13"/>
      <c r="F3798" s="14"/>
      <c r="G3798" s="14"/>
      <c r="H3798" s="14"/>
      <c r="I3798" s="14"/>
    </row>
    <row r="3799" ht="20.7" customHeight="1">
      <c r="A3799" s="10">
        <v>45619</v>
      </c>
      <c r="B3799" t="s" s="11">
        <v>8</v>
      </c>
      <c r="C3799" t="s" s="12">
        <v>8</v>
      </c>
      <c r="D3799" s="15" cm="1">
        <f t="array" ref="D3799">SUM(D3797:D3798)</f>
        <v>39400</v>
      </c>
      <c r="E3799" s="15" cm="1">
        <f t="array" ref="E3799">SUM(E3797:E3798)</f>
        <v>39400</v>
      </c>
      <c r="F3799" s="16" cm="1">
        <f t="array" ref="F3799">SUM(F3797:F3798)</f>
        <v>0</v>
      </c>
      <c r="G3799" s="16" cm="1">
        <f t="array" ref="G3799">SUM(G3797:G3798)</f>
        <v>0</v>
      </c>
      <c r="H3799" s="16" cm="1">
        <f t="array" ref="H3799">SUM(H3797:H3798)</f>
        <v>0</v>
      </c>
      <c r="I3799" s="16" cm="1">
        <f t="array" ref="I3799">SUM(I3797:I3798)</f>
        <v>0</v>
      </c>
    </row>
    <row r="3800" ht="21.25" customHeight="1">
      <c r="A3800" s="10">
        <v>45619</v>
      </c>
      <c r="B3800" t="s" s="11">
        <v>5</v>
      </c>
      <c r="C3800" t="s" s="12">
        <v>651</v>
      </c>
      <c r="D3800" s="17"/>
      <c r="E3800" s="17">
        <v>36000</v>
      </c>
      <c r="F3800" s="18"/>
      <c r="G3800" s="18"/>
      <c r="H3800" s="18"/>
      <c r="I3800" s="18"/>
    </row>
    <row r="3801" ht="20.9" customHeight="1">
      <c r="A3801" s="10">
        <v>45619</v>
      </c>
      <c r="B3801" t="s" s="11">
        <v>89</v>
      </c>
      <c r="C3801" t="s" s="12">
        <v>651</v>
      </c>
      <c r="D3801" s="19">
        <v>27000</v>
      </c>
      <c r="E3801" s="19"/>
      <c r="F3801" s="20"/>
      <c r="G3801" s="20"/>
      <c r="H3801" s="20"/>
      <c r="I3801" s="20"/>
    </row>
    <row r="3802" ht="21.25" customHeight="1">
      <c r="A3802" s="10">
        <v>45619</v>
      </c>
      <c r="B3802" t="s" s="11">
        <v>12</v>
      </c>
      <c r="C3802" t="s" s="12">
        <v>651</v>
      </c>
      <c r="D3802" s="13">
        <v>9000</v>
      </c>
      <c r="E3802" s="13"/>
      <c r="F3802" s="14"/>
      <c r="G3802" s="14"/>
      <c r="H3802" s="14"/>
      <c r="I3802" s="14"/>
    </row>
    <row r="3803" ht="20.7" customHeight="1">
      <c r="A3803" s="10">
        <v>45619</v>
      </c>
      <c r="B3803" t="s" s="11">
        <v>8</v>
      </c>
      <c r="C3803" t="s" s="12">
        <v>8</v>
      </c>
      <c r="D3803" s="15" cm="1">
        <f t="array" ref="D3803">SUM(D3800:D3802)</f>
        <v>36000</v>
      </c>
      <c r="E3803" s="15" cm="1">
        <f t="array" ref="E3803">SUM(E3800:E3802)</f>
        <v>36000</v>
      </c>
      <c r="F3803" s="16" cm="1">
        <f t="array" ref="F3803">SUM(F3800:F3802)</f>
        <v>0</v>
      </c>
      <c r="G3803" s="16" cm="1">
        <f t="array" ref="G3803">SUM(G3800:G3802)</f>
        <v>0</v>
      </c>
      <c r="H3803" s="16" cm="1">
        <f t="array" ref="H3803">SUM(H3800:H3802)</f>
        <v>0</v>
      </c>
      <c r="I3803" s="16" cm="1">
        <f t="array" ref="I3803">SUM(I3800:I3802)</f>
        <v>0</v>
      </c>
    </row>
    <row r="3804" ht="21.25" customHeight="1">
      <c r="A3804" s="10">
        <v>45619</v>
      </c>
      <c r="B3804" t="s" s="11">
        <v>89</v>
      </c>
      <c r="C3804" t="s" s="12">
        <v>652</v>
      </c>
      <c r="D3804" s="17"/>
      <c r="E3804" s="17">
        <v>9000</v>
      </c>
      <c r="F3804" s="18"/>
      <c r="G3804" s="18"/>
      <c r="H3804" s="18"/>
      <c r="I3804" s="18"/>
    </row>
    <row r="3805" ht="21.25" customHeight="1">
      <c r="A3805" s="10">
        <v>45619</v>
      </c>
      <c r="B3805" t="s" s="11">
        <v>107</v>
      </c>
      <c r="C3805" t="s" s="12">
        <v>652</v>
      </c>
      <c r="D3805" s="13">
        <v>9000</v>
      </c>
      <c r="E3805" s="13"/>
      <c r="F3805" s="14"/>
      <c r="G3805" s="14"/>
      <c r="H3805" s="14"/>
      <c r="I3805" s="14"/>
    </row>
    <row r="3806" ht="20.7" customHeight="1">
      <c r="A3806" s="10">
        <v>45619</v>
      </c>
      <c r="B3806" t="s" s="11">
        <v>8</v>
      </c>
      <c r="C3806" t="s" s="12">
        <v>8</v>
      </c>
      <c r="D3806" s="15" cm="1">
        <f t="array" ref="D3806">SUM(D3804:D3805)</f>
        <v>9000</v>
      </c>
      <c r="E3806" s="15" cm="1">
        <f t="array" ref="E3806">SUM(E3804:E3805)</f>
        <v>9000</v>
      </c>
      <c r="F3806" s="16" cm="1">
        <f t="array" ref="F3806">SUM(F3804:F3805)</f>
        <v>0</v>
      </c>
      <c r="G3806" s="16" cm="1">
        <f t="array" ref="G3806">SUM(G3804:G3805)</f>
        <v>0</v>
      </c>
      <c r="H3806" s="16" cm="1">
        <f t="array" ref="H3806">SUM(H3804:H3805)</f>
        <v>0</v>
      </c>
      <c r="I3806" s="16" cm="1">
        <f t="array" ref="I3806">SUM(I3804:I3805)</f>
        <v>0</v>
      </c>
    </row>
    <row r="3807" ht="21.25" customHeight="1">
      <c r="A3807" s="10">
        <v>45619</v>
      </c>
      <c r="B3807" t="s" s="11">
        <v>89</v>
      </c>
      <c r="C3807" t="s" s="12">
        <v>653</v>
      </c>
      <c r="D3807" s="17"/>
      <c r="E3807" s="17">
        <v>9000</v>
      </c>
      <c r="F3807" s="18"/>
      <c r="G3807" s="18"/>
      <c r="H3807" s="18"/>
      <c r="I3807" s="18"/>
    </row>
    <row r="3808" ht="21.25" customHeight="1">
      <c r="A3808" s="10">
        <v>45619</v>
      </c>
      <c r="B3808" t="s" s="11">
        <v>5</v>
      </c>
      <c r="C3808" t="s" s="12">
        <v>653</v>
      </c>
      <c r="D3808" s="13">
        <v>9000</v>
      </c>
      <c r="E3808" s="13"/>
      <c r="F3808" s="14"/>
      <c r="G3808" s="14"/>
      <c r="H3808" s="14"/>
      <c r="I3808" s="14"/>
    </row>
    <row r="3809" ht="20.7" customHeight="1">
      <c r="A3809" s="10">
        <v>45619</v>
      </c>
      <c r="B3809" t="s" s="11">
        <v>8</v>
      </c>
      <c r="C3809" t="s" s="12">
        <v>8</v>
      </c>
      <c r="D3809" s="15" cm="1">
        <f t="array" ref="D3809">SUM(D3807:D3808)</f>
        <v>9000</v>
      </c>
      <c r="E3809" s="15" cm="1">
        <f t="array" ref="E3809">SUM(E3807:E3808)</f>
        <v>9000</v>
      </c>
      <c r="F3809" s="16" cm="1">
        <f t="array" ref="F3809">SUM(F3807:F3808)</f>
        <v>0</v>
      </c>
      <c r="G3809" s="16" cm="1">
        <f t="array" ref="G3809">SUM(G3807:G3808)</f>
        <v>0</v>
      </c>
      <c r="H3809" s="16" cm="1">
        <f t="array" ref="H3809">SUM(H3807:H3808)</f>
        <v>0</v>
      </c>
      <c r="I3809" s="16" cm="1">
        <f t="array" ref="I3809">SUM(I3807:I3808)</f>
        <v>0</v>
      </c>
    </row>
    <row r="3810" ht="20.35" customHeight="1">
      <c r="A3810" s="10">
        <v>45619</v>
      </c>
      <c r="B3810" t="s" s="11">
        <v>39</v>
      </c>
      <c r="C3810" t="s" s="12">
        <v>64</v>
      </c>
      <c r="D3810" s="17"/>
      <c r="E3810" s="17"/>
      <c r="F3810" s="18">
        <v>50</v>
      </c>
      <c r="G3810" s="18"/>
      <c r="H3810" s="18"/>
      <c r="I3810" s="18"/>
    </row>
    <row r="3811" ht="20.35" customHeight="1">
      <c r="A3811" s="10">
        <v>45619</v>
      </c>
      <c r="B3811" t="s" s="11">
        <v>41</v>
      </c>
      <c r="C3811" t="s" s="12">
        <v>64</v>
      </c>
      <c r="D3811" s="13"/>
      <c r="E3811" s="13"/>
      <c r="F3811" s="14"/>
      <c r="G3811" s="14">
        <v>50</v>
      </c>
      <c r="H3811" s="14"/>
      <c r="I3811" s="14"/>
    </row>
    <row r="3812" ht="20.7" customHeight="1">
      <c r="A3812" s="10">
        <v>45619</v>
      </c>
      <c r="B3812" t="s" s="11">
        <v>8</v>
      </c>
      <c r="C3812" t="s" s="12">
        <v>8</v>
      </c>
      <c r="D3812" s="15" cm="1">
        <f t="array" ref="D3812">SUM(D3810:D3811)</f>
        <v>0</v>
      </c>
      <c r="E3812" s="15" cm="1">
        <f t="array" ref="E3812">SUM(E3810:E3811)</f>
        <v>0</v>
      </c>
      <c r="F3812" s="16" cm="1">
        <f t="array" ref="F3812">SUM(F3810:F3811)</f>
        <v>50</v>
      </c>
      <c r="G3812" s="16" cm="1">
        <f t="array" ref="G3812">SUM(G3810:G3811)</f>
        <v>50</v>
      </c>
      <c r="H3812" s="16" cm="1">
        <f t="array" ref="H3812">SUM(H3810:H3811)</f>
        <v>0</v>
      </c>
      <c r="I3812" s="16" cm="1">
        <f t="array" ref="I3812">SUM(I3810:I3811)</f>
        <v>0</v>
      </c>
    </row>
    <row r="3813" ht="20.35" customHeight="1">
      <c r="A3813" s="10">
        <v>45619</v>
      </c>
      <c r="B3813" t="s" s="11">
        <v>39</v>
      </c>
      <c r="C3813" t="s" s="12">
        <v>68</v>
      </c>
      <c r="D3813" s="17"/>
      <c r="E3813" s="17"/>
      <c r="F3813" s="18"/>
      <c r="G3813" s="18">
        <v>8.49</v>
      </c>
      <c r="H3813" s="18"/>
      <c r="I3813" s="18"/>
    </row>
    <row r="3814" ht="20.35" customHeight="1">
      <c r="A3814" s="10">
        <v>45619</v>
      </c>
      <c r="B3814" t="s" s="11">
        <v>44</v>
      </c>
      <c r="C3814" t="s" s="12">
        <v>68</v>
      </c>
      <c r="D3814" s="13"/>
      <c r="E3814" s="13"/>
      <c r="F3814" s="14">
        <v>8.49</v>
      </c>
      <c r="G3814" s="14"/>
      <c r="H3814" s="14"/>
      <c r="I3814" s="14"/>
    </row>
    <row r="3815" ht="20.7" customHeight="1">
      <c r="A3815" s="10">
        <v>45619</v>
      </c>
      <c r="B3815" t="s" s="11">
        <v>8</v>
      </c>
      <c r="C3815" t="s" s="12">
        <v>8</v>
      </c>
      <c r="D3815" s="15" cm="1">
        <f t="array" ref="D3815">SUM(D3813:D3814)</f>
        <v>0</v>
      </c>
      <c r="E3815" s="15" cm="1">
        <f t="array" ref="E3815">SUM(E3813:E3814)</f>
        <v>0</v>
      </c>
      <c r="F3815" s="16" cm="1">
        <f t="array" ref="F3815">SUM(F3813:F3814)</f>
        <v>8.49</v>
      </c>
      <c r="G3815" s="16" cm="1">
        <f t="array" ref="G3815">SUM(G3813:G3814)</f>
        <v>8.49</v>
      </c>
      <c r="H3815" s="16" cm="1">
        <f t="array" ref="H3815">SUM(H3813:H3814)</f>
        <v>0</v>
      </c>
      <c r="I3815" s="16" cm="1">
        <f t="array" ref="I3815">SUM(I3813:I3814)</f>
        <v>0</v>
      </c>
    </row>
    <row r="3816" ht="21.25" customHeight="1">
      <c r="A3816" s="10">
        <v>45619</v>
      </c>
      <c r="B3816" t="s" s="11">
        <v>89</v>
      </c>
      <c r="C3816" t="s" s="12">
        <v>654</v>
      </c>
      <c r="D3816" s="17"/>
      <c r="E3816" s="17">
        <v>9000</v>
      </c>
      <c r="F3816" s="18"/>
      <c r="G3816" s="18"/>
      <c r="H3816" s="18"/>
      <c r="I3816" s="18"/>
    </row>
    <row r="3817" ht="21.25" customHeight="1">
      <c r="A3817" s="10">
        <v>45619</v>
      </c>
      <c r="B3817" t="s" s="11">
        <v>93</v>
      </c>
      <c r="C3817" t="s" s="12">
        <v>654</v>
      </c>
      <c r="D3817" s="13">
        <v>9000</v>
      </c>
      <c r="E3817" s="13"/>
      <c r="F3817" s="14"/>
      <c r="G3817" s="14"/>
      <c r="H3817" s="14"/>
      <c r="I3817" s="14"/>
    </row>
    <row r="3818" ht="20.7" customHeight="1">
      <c r="A3818" s="10">
        <v>45619</v>
      </c>
      <c r="B3818" t="s" s="11">
        <v>8</v>
      </c>
      <c r="C3818" t="s" s="12">
        <v>8</v>
      </c>
      <c r="D3818" s="15" cm="1">
        <f t="array" ref="D3818">SUM(D3816:D3817)</f>
        <v>9000</v>
      </c>
      <c r="E3818" s="15" cm="1">
        <f t="array" ref="E3818">SUM(E3816:E3817)</f>
        <v>9000</v>
      </c>
      <c r="F3818" s="16" cm="1">
        <f t="array" ref="F3818">SUM(F3816:F3817)</f>
        <v>0</v>
      </c>
      <c r="G3818" s="16" cm="1">
        <f t="array" ref="G3818">SUM(G3816:G3817)</f>
        <v>0</v>
      </c>
      <c r="H3818" s="16" cm="1">
        <f t="array" ref="H3818">SUM(H3816:H3817)</f>
        <v>0</v>
      </c>
      <c r="I3818" s="16" cm="1">
        <f t="array" ref="I3818">SUM(I3816:I3817)</f>
        <v>0</v>
      </c>
    </row>
    <row r="3819" ht="21.25" customHeight="1">
      <c r="A3819" s="10">
        <v>45619</v>
      </c>
      <c r="B3819" t="s" s="11">
        <v>5</v>
      </c>
      <c r="C3819" t="s" s="12">
        <v>655</v>
      </c>
      <c r="D3819" s="17"/>
      <c r="E3819" s="17">
        <v>53500</v>
      </c>
      <c r="F3819" s="18"/>
      <c r="G3819" s="18"/>
      <c r="H3819" s="18"/>
      <c r="I3819" s="18"/>
    </row>
    <row r="3820" ht="20.9" customHeight="1">
      <c r="A3820" s="10">
        <v>45619</v>
      </c>
      <c r="B3820" t="s" s="11">
        <v>89</v>
      </c>
      <c r="C3820" t="s" s="12">
        <v>655</v>
      </c>
      <c r="D3820" s="19">
        <v>26750</v>
      </c>
      <c r="E3820" s="19"/>
      <c r="F3820" s="20"/>
      <c r="G3820" s="20"/>
      <c r="H3820" s="20"/>
      <c r="I3820" s="20"/>
    </row>
    <row r="3821" ht="21.25" customHeight="1">
      <c r="A3821" s="10">
        <v>45619</v>
      </c>
      <c r="B3821" t="s" s="11">
        <v>12</v>
      </c>
      <c r="C3821" t="s" s="12">
        <v>655</v>
      </c>
      <c r="D3821" s="13">
        <v>26750</v>
      </c>
      <c r="E3821" s="13"/>
      <c r="F3821" s="14"/>
      <c r="G3821" s="14"/>
      <c r="H3821" s="14"/>
      <c r="I3821" s="14"/>
    </row>
    <row r="3822" ht="20.7" customHeight="1">
      <c r="A3822" s="10">
        <v>45619</v>
      </c>
      <c r="B3822" t="s" s="11">
        <v>8</v>
      </c>
      <c r="C3822" t="s" s="12">
        <v>8</v>
      </c>
      <c r="D3822" s="15" cm="1">
        <f t="array" ref="D3822">SUM(D3819:D3821)</f>
        <v>53500</v>
      </c>
      <c r="E3822" s="15" cm="1">
        <f t="array" ref="E3822">SUM(E3819:E3821)</f>
        <v>53500</v>
      </c>
      <c r="F3822" s="16" cm="1">
        <f t="array" ref="F3822">SUM(F3819:F3821)</f>
        <v>0</v>
      </c>
      <c r="G3822" s="16" cm="1">
        <f t="array" ref="G3822">SUM(G3819:G3821)</f>
        <v>0</v>
      </c>
      <c r="H3822" s="16" cm="1">
        <f t="array" ref="H3822">SUM(H3819:H3821)</f>
        <v>0</v>
      </c>
      <c r="I3822" s="16" cm="1">
        <f t="array" ref="I3822">SUM(I3819:I3821)</f>
        <v>0</v>
      </c>
    </row>
    <row r="3823" ht="21.25" customHeight="1">
      <c r="A3823" s="10">
        <v>45619</v>
      </c>
      <c r="B3823" t="s" s="11">
        <v>89</v>
      </c>
      <c r="C3823" t="s" s="12">
        <v>655</v>
      </c>
      <c r="D3823" s="17"/>
      <c r="E3823" s="17">
        <v>26750</v>
      </c>
      <c r="F3823" s="18"/>
      <c r="G3823" s="18"/>
      <c r="H3823" s="18"/>
      <c r="I3823" s="18"/>
    </row>
    <row r="3824" ht="20.9" customHeight="1">
      <c r="A3824" s="10">
        <v>45619</v>
      </c>
      <c r="B3824" t="s" s="11">
        <v>91</v>
      </c>
      <c r="C3824" t="s" s="12">
        <v>655</v>
      </c>
      <c r="D3824" s="19"/>
      <c r="E3824" s="19">
        <v>250</v>
      </c>
      <c r="F3824" s="20"/>
      <c r="G3824" s="20"/>
      <c r="H3824" s="20"/>
      <c r="I3824" s="20"/>
    </row>
    <row r="3825" ht="21.25" customHeight="1">
      <c r="A3825" s="10">
        <v>45619</v>
      </c>
      <c r="B3825" t="s" s="11">
        <v>93</v>
      </c>
      <c r="C3825" t="s" s="12">
        <v>655</v>
      </c>
      <c r="D3825" s="13">
        <v>27000</v>
      </c>
      <c r="E3825" s="13"/>
      <c r="F3825" s="14"/>
      <c r="G3825" s="14"/>
      <c r="H3825" s="14"/>
      <c r="I3825" s="14"/>
    </row>
    <row r="3826" ht="20.7" customHeight="1">
      <c r="A3826" s="10">
        <v>45619</v>
      </c>
      <c r="B3826" t="s" s="11">
        <v>8</v>
      </c>
      <c r="C3826" t="s" s="12">
        <v>8</v>
      </c>
      <c r="D3826" s="15" cm="1">
        <f t="array" ref="D3826">SUM(D3823:D3825)</f>
        <v>27000</v>
      </c>
      <c r="E3826" s="15" cm="1">
        <f t="array" ref="E3826">SUM(E3823:E3825)</f>
        <v>27000</v>
      </c>
      <c r="F3826" s="16" cm="1">
        <f t="array" ref="F3826">SUM(F3823:F3825)</f>
        <v>0</v>
      </c>
      <c r="G3826" s="16" cm="1">
        <f t="array" ref="G3826">SUM(G3823:G3825)</f>
        <v>0</v>
      </c>
      <c r="H3826" s="16" cm="1">
        <f t="array" ref="H3826">SUM(H3823:H3825)</f>
        <v>0</v>
      </c>
      <c r="I3826" s="16" cm="1">
        <f t="array" ref="I3826">SUM(I3823:I3825)</f>
        <v>0</v>
      </c>
    </row>
    <row r="3827" ht="20.65" customHeight="1">
      <c r="A3827" s="10">
        <v>45620</v>
      </c>
      <c r="B3827" t="s" s="11">
        <v>5</v>
      </c>
      <c r="C3827" t="s" s="12">
        <v>363</v>
      </c>
      <c r="D3827" s="17"/>
      <c r="E3827" s="17">
        <v>9000</v>
      </c>
      <c r="F3827" s="18"/>
      <c r="G3827" s="18"/>
      <c r="H3827" s="18"/>
      <c r="I3827" s="18"/>
    </row>
    <row r="3828" ht="20.65" customHeight="1">
      <c r="A3828" s="10">
        <v>45620</v>
      </c>
      <c r="B3828" t="s" s="11">
        <v>12</v>
      </c>
      <c r="C3828" t="s" s="12">
        <v>363</v>
      </c>
      <c r="D3828" s="13">
        <v>9000</v>
      </c>
      <c r="E3828" s="13"/>
      <c r="F3828" s="14"/>
      <c r="G3828" s="14"/>
      <c r="H3828" s="14"/>
      <c r="I3828" s="14"/>
    </row>
    <row r="3829" ht="20.7" customHeight="1">
      <c r="A3829" s="10">
        <v>45620</v>
      </c>
      <c r="B3829" t="s" s="11">
        <v>8</v>
      </c>
      <c r="C3829" t="s" s="12">
        <v>8</v>
      </c>
      <c r="D3829" s="15" cm="1">
        <f t="array" ref="D3829">SUM(D3827:D3828)</f>
        <v>9000</v>
      </c>
      <c r="E3829" s="15" cm="1">
        <f t="array" ref="E3829">SUM(E3827:E3828)</f>
        <v>9000</v>
      </c>
      <c r="F3829" s="16" cm="1">
        <f t="array" ref="F3829">SUM(F3827:F3828)</f>
        <v>0</v>
      </c>
      <c r="G3829" s="16" cm="1">
        <f t="array" ref="G3829">SUM(G3827:G3828)</f>
        <v>0</v>
      </c>
      <c r="H3829" s="16" cm="1">
        <f t="array" ref="H3829">SUM(H3827:H3828)</f>
        <v>0</v>
      </c>
      <c r="I3829" s="16" cm="1">
        <f t="array" ref="I3829">SUM(I3827:I3828)</f>
        <v>0</v>
      </c>
    </row>
    <row r="3830" ht="21.25" customHeight="1">
      <c r="A3830" s="10">
        <v>45620</v>
      </c>
      <c r="B3830" t="s" s="11">
        <v>5</v>
      </c>
      <c r="C3830" t="s" s="12">
        <v>656</v>
      </c>
      <c r="D3830" s="17"/>
      <c r="E3830" s="17">
        <v>4700</v>
      </c>
      <c r="F3830" s="18"/>
      <c r="G3830" s="18"/>
      <c r="H3830" s="18"/>
      <c r="I3830" s="18"/>
    </row>
    <row r="3831" ht="21.25" customHeight="1">
      <c r="A3831" s="10">
        <v>45620</v>
      </c>
      <c r="B3831" t="s" s="11">
        <v>12</v>
      </c>
      <c r="C3831" t="s" s="12">
        <v>656</v>
      </c>
      <c r="D3831" s="13">
        <v>4700</v>
      </c>
      <c r="E3831" s="13"/>
      <c r="F3831" s="14"/>
      <c r="G3831" s="14"/>
      <c r="H3831" s="14"/>
      <c r="I3831" s="14"/>
    </row>
    <row r="3832" ht="20.7" customHeight="1">
      <c r="A3832" s="10">
        <v>45620</v>
      </c>
      <c r="B3832" t="s" s="11">
        <v>8</v>
      </c>
      <c r="C3832" t="s" s="12">
        <v>8</v>
      </c>
      <c r="D3832" s="15" cm="1">
        <f t="array" ref="D3832">SUM(D3830:D3831)</f>
        <v>4700</v>
      </c>
      <c r="E3832" s="15" cm="1">
        <f t="array" ref="E3832">SUM(E3830:E3831)</f>
        <v>4700</v>
      </c>
      <c r="F3832" s="16" cm="1">
        <f t="array" ref="F3832">SUM(F3830:F3831)</f>
        <v>0</v>
      </c>
      <c r="G3832" s="16" cm="1">
        <f t="array" ref="G3832">SUM(G3830:G3831)</f>
        <v>0</v>
      </c>
      <c r="H3832" s="16" cm="1">
        <f t="array" ref="H3832">SUM(H3830:H3831)</f>
        <v>0</v>
      </c>
      <c r="I3832" s="16" cm="1">
        <f t="array" ref="I3832">SUM(I3830:I3831)</f>
        <v>0</v>
      </c>
    </row>
    <row r="3833" ht="20.35" customHeight="1">
      <c r="A3833" s="10">
        <v>45620</v>
      </c>
      <c r="B3833" t="s" s="11">
        <v>5</v>
      </c>
      <c r="C3833" t="s" s="12">
        <v>17</v>
      </c>
      <c r="D3833" s="17">
        <v>100</v>
      </c>
      <c r="E3833" s="17"/>
      <c r="F3833" s="18"/>
      <c r="G3833" s="18"/>
      <c r="H3833" s="18"/>
      <c r="I3833" s="18"/>
    </row>
    <row r="3834" ht="20.35" customHeight="1">
      <c r="A3834" s="10">
        <v>45620</v>
      </c>
      <c r="B3834" t="s" s="11">
        <v>18</v>
      </c>
      <c r="C3834" t="s" s="12">
        <v>17</v>
      </c>
      <c r="D3834" s="13"/>
      <c r="E3834" s="13">
        <v>100</v>
      </c>
      <c r="F3834" s="14"/>
      <c r="G3834" s="14"/>
      <c r="H3834" s="14"/>
      <c r="I3834" s="14"/>
    </row>
    <row r="3835" ht="20.7" customHeight="1">
      <c r="A3835" s="10">
        <v>45620</v>
      </c>
      <c r="B3835" t="s" s="11">
        <v>8</v>
      </c>
      <c r="C3835" t="s" s="12">
        <v>8</v>
      </c>
      <c r="D3835" s="15" cm="1">
        <f t="array" ref="D3835">SUM(D3833:D3834)</f>
        <v>100</v>
      </c>
      <c r="E3835" s="15" cm="1">
        <f t="array" ref="E3835">SUM(E3833:E3834)</f>
        <v>100</v>
      </c>
      <c r="F3835" s="16" cm="1">
        <f t="array" ref="F3835">SUM(F3833:F3834)</f>
        <v>0</v>
      </c>
      <c r="G3835" s="16" cm="1">
        <f t="array" ref="G3835">SUM(G3833:G3834)</f>
        <v>0</v>
      </c>
      <c r="H3835" s="16" cm="1">
        <f t="array" ref="H3835">SUM(H3833:H3834)</f>
        <v>0</v>
      </c>
      <c r="I3835" s="16" cm="1">
        <f t="array" ref="I3835">SUM(I3833:I3834)</f>
        <v>0</v>
      </c>
    </row>
    <row r="3836" ht="21.25" customHeight="1">
      <c r="A3836" s="10">
        <v>45620</v>
      </c>
      <c r="B3836" t="s" s="11">
        <v>21</v>
      </c>
      <c r="C3836" t="s" s="12">
        <v>657</v>
      </c>
      <c r="D3836" s="17"/>
      <c r="E3836" s="17">
        <v>1500</v>
      </c>
      <c r="F3836" s="18"/>
      <c r="G3836" s="18"/>
      <c r="H3836" s="18"/>
      <c r="I3836" s="18"/>
    </row>
    <row r="3837" ht="21.25" customHeight="1">
      <c r="A3837" s="10">
        <v>45620</v>
      </c>
      <c r="B3837" t="s" s="11">
        <v>16</v>
      </c>
      <c r="C3837" t="s" s="12">
        <v>657</v>
      </c>
      <c r="D3837" s="13">
        <v>1500</v>
      </c>
      <c r="E3837" s="13"/>
      <c r="F3837" s="14"/>
      <c r="G3837" s="14"/>
      <c r="H3837" s="14"/>
      <c r="I3837" s="14"/>
    </row>
    <row r="3838" ht="20.7" customHeight="1">
      <c r="A3838" s="10">
        <v>45620</v>
      </c>
      <c r="B3838" t="s" s="11">
        <v>8</v>
      </c>
      <c r="C3838" t="s" s="12">
        <v>8</v>
      </c>
      <c r="D3838" s="15" cm="1">
        <f t="array" ref="D3838">SUM(D3836:D3837)</f>
        <v>1500</v>
      </c>
      <c r="E3838" s="15" cm="1">
        <f t="array" ref="E3838">SUM(E3836:E3837)</f>
        <v>1500</v>
      </c>
      <c r="F3838" s="16" cm="1">
        <f t="array" ref="F3838">SUM(F3836:F3837)</f>
        <v>0</v>
      </c>
      <c r="G3838" s="16" cm="1">
        <f t="array" ref="G3838">SUM(G3836:G3837)</f>
        <v>0</v>
      </c>
      <c r="H3838" s="16" cm="1">
        <f t="array" ref="H3838">SUM(H3836:H3837)</f>
        <v>0</v>
      </c>
      <c r="I3838" s="16" cm="1">
        <f t="array" ref="I3838">SUM(I3836:I3837)</f>
        <v>0</v>
      </c>
    </row>
    <row r="3839" ht="20.35" customHeight="1">
      <c r="A3839" s="10">
        <v>45621</v>
      </c>
      <c r="B3839" t="s" s="11">
        <v>5</v>
      </c>
      <c r="C3839" t="s" s="12">
        <v>658</v>
      </c>
      <c r="D3839" s="17"/>
      <c r="E3839" s="17">
        <v>99400</v>
      </c>
      <c r="F3839" s="18"/>
      <c r="G3839" s="18"/>
      <c r="H3839" s="18"/>
      <c r="I3839" s="18"/>
    </row>
    <row r="3840" ht="20.05" customHeight="1">
      <c r="A3840" s="10">
        <v>45621</v>
      </c>
      <c r="B3840" t="s" s="11">
        <v>10</v>
      </c>
      <c r="C3840" t="s" s="12">
        <v>658</v>
      </c>
      <c r="D3840" s="19">
        <v>49700</v>
      </c>
      <c r="E3840" s="19"/>
      <c r="F3840" s="20"/>
      <c r="G3840" s="20"/>
      <c r="H3840" s="20"/>
      <c r="I3840" s="20"/>
    </row>
    <row r="3841" ht="20.35" customHeight="1">
      <c r="A3841" s="10">
        <v>45621</v>
      </c>
      <c r="B3841" t="s" s="11">
        <v>12</v>
      </c>
      <c r="C3841" t="s" s="12">
        <v>658</v>
      </c>
      <c r="D3841" s="13">
        <v>49700</v>
      </c>
      <c r="E3841" s="13"/>
      <c r="F3841" s="14"/>
      <c r="G3841" s="14"/>
      <c r="H3841" s="14"/>
      <c r="I3841" s="14"/>
    </row>
    <row r="3842" ht="20.7" customHeight="1">
      <c r="A3842" s="10">
        <v>45621</v>
      </c>
      <c r="B3842" t="s" s="11">
        <v>8</v>
      </c>
      <c r="C3842" t="s" s="12">
        <v>8</v>
      </c>
      <c r="D3842" s="15" cm="1">
        <f t="array" ref="D3842">SUM(D3839:D3841)</f>
        <v>99400</v>
      </c>
      <c r="E3842" s="15" cm="1">
        <f t="array" ref="E3842">SUM(E3839:E3841)</f>
        <v>99400</v>
      </c>
      <c r="F3842" s="16" cm="1">
        <f t="array" ref="F3842">SUM(F3839:F3841)</f>
        <v>0</v>
      </c>
      <c r="G3842" s="16" cm="1">
        <f t="array" ref="G3842">SUM(G3839:G3841)</f>
        <v>0</v>
      </c>
      <c r="H3842" s="16" cm="1">
        <f t="array" ref="H3842">SUM(H3839:H3841)</f>
        <v>0</v>
      </c>
      <c r="I3842" s="16" cm="1">
        <f t="array" ref="I3842">SUM(I3839:I3841)</f>
        <v>0</v>
      </c>
    </row>
    <row r="3843" ht="20.35" customHeight="1">
      <c r="A3843" s="10">
        <v>45621</v>
      </c>
      <c r="B3843" t="s" s="11">
        <v>93</v>
      </c>
      <c r="C3843" t="s" s="12">
        <v>659</v>
      </c>
      <c r="D3843" s="17"/>
      <c r="E3843" s="17">
        <v>22690</v>
      </c>
      <c r="F3843" s="18"/>
      <c r="G3843" s="18"/>
      <c r="H3843" s="18"/>
      <c r="I3843" s="18"/>
    </row>
    <row r="3844" ht="20.35" customHeight="1">
      <c r="A3844" s="10">
        <v>45621</v>
      </c>
      <c r="B3844" t="s" s="11">
        <v>89</v>
      </c>
      <c r="C3844" t="s" s="12">
        <v>659</v>
      </c>
      <c r="D3844" s="13">
        <v>22690</v>
      </c>
      <c r="E3844" s="13"/>
      <c r="F3844" s="14"/>
      <c r="G3844" s="14"/>
      <c r="H3844" s="14"/>
      <c r="I3844" s="14"/>
    </row>
    <row r="3845" ht="20.7" customHeight="1">
      <c r="A3845" s="10">
        <v>45621</v>
      </c>
      <c r="B3845" t="s" s="11">
        <v>8</v>
      </c>
      <c r="C3845" t="s" s="12">
        <v>8</v>
      </c>
      <c r="D3845" s="15" cm="1">
        <f t="array" ref="D3845">SUM(D3843:D3844)</f>
        <v>22690</v>
      </c>
      <c r="E3845" s="15" cm="1">
        <f t="array" ref="E3845">SUM(E3843:E3844)</f>
        <v>22690</v>
      </c>
      <c r="F3845" s="16" cm="1">
        <f t="array" ref="F3845">SUM(F3843:F3844)</f>
        <v>0</v>
      </c>
      <c r="G3845" s="16" cm="1">
        <f t="array" ref="G3845">SUM(G3843:G3844)</f>
        <v>0</v>
      </c>
      <c r="H3845" s="16" cm="1">
        <f t="array" ref="H3845">SUM(H3843:H3844)</f>
        <v>0</v>
      </c>
      <c r="I3845" s="16" cm="1">
        <f t="array" ref="I3845">SUM(I3843:I3844)</f>
        <v>0</v>
      </c>
    </row>
    <row r="3846" ht="20.35" customHeight="1">
      <c r="A3846" s="10">
        <v>45621</v>
      </c>
      <c r="B3846" t="s" s="11">
        <v>28</v>
      </c>
      <c r="C3846" t="s" s="12">
        <v>659</v>
      </c>
      <c r="D3846" s="17">
        <v>30000</v>
      </c>
      <c r="E3846" s="17"/>
      <c r="F3846" s="18"/>
      <c r="G3846" s="18"/>
      <c r="H3846" s="18"/>
      <c r="I3846" s="18"/>
    </row>
    <row r="3847" ht="20.05" customHeight="1">
      <c r="A3847" s="10">
        <v>45621</v>
      </c>
      <c r="B3847" t="s" s="11">
        <v>21</v>
      </c>
      <c r="C3847" t="s" s="12">
        <v>659</v>
      </c>
      <c r="D3847" s="19"/>
      <c r="E3847" s="19">
        <v>7310</v>
      </c>
      <c r="F3847" s="20"/>
      <c r="G3847" s="20"/>
      <c r="H3847" s="20"/>
      <c r="I3847" s="20"/>
    </row>
    <row r="3848" ht="20.35" customHeight="1">
      <c r="A3848" s="10">
        <v>45621</v>
      </c>
      <c r="B3848" t="s" s="11">
        <v>89</v>
      </c>
      <c r="C3848" t="s" s="12">
        <v>659</v>
      </c>
      <c r="D3848" s="13"/>
      <c r="E3848" s="13">
        <v>22690</v>
      </c>
      <c r="F3848" s="14"/>
      <c r="G3848" s="14"/>
      <c r="H3848" s="14"/>
      <c r="I3848" s="14"/>
    </row>
    <row r="3849" ht="20.7" customHeight="1">
      <c r="A3849" s="10">
        <v>45621</v>
      </c>
      <c r="B3849" t="s" s="11">
        <v>8</v>
      </c>
      <c r="C3849" t="s" s="12">
        <v>8</v>
      </c>
      <c r="D3849" s="15" cm="1">
        <f t="array" ref="D3849">SUM(D3846:D3848)</f>
        <v>30000</v>
      </c>
      <c r="E3849" s="15" cm="1">
        <f t="array" ref="E3849">SUM(E3846:E3848)</f>
        <v>30000</v>
      </c>
      <c r="F3849" s="16" cm="1">
        <f t="array" ref="F3849">SUM(F3846:F3848)</f>
        <v>0</v>
      </c>
      <c r="G3849" s="16" cm="1">
        <f t="array" ref="G3849">SUM(G3846:G3848)</f>
        <v>0</v>
      </c>
      <c r="H3849" s="16" cm="1">
        <f t="array" ref="H3849">SUM(H3846:H3848)</f>
        <v>0</v>
      </c>
      <c r="I3849" s="16" cm="1">
        <f t="array" ref="I3849">SUM(I3846:I3848)</f>
        <v>0</v>
      </c>
    </row>
    <row r="3850" ht="20.65" customHeight="1">
      <c r="A3850" s="10">
        <v>45621</v>
      </c>
      <c r="B3850" t="s" s="11">
        <v>5</v>
      </c>
      <c r="C3850" t="s" s="12">
        <v>660</v>
      </c>
      <c r="D3850" s="17"/>
      <c r="E3850" s="17">
        <v>11000</v>
      </c>
      <c r="F3850" s="18"/>
      <c r="G3850" s="18"/>
      <c r="H3850" s="18"/>
      <c r="I3850" s="18"/>
    </row>
    <row r="3851" ht="20.65" customHeight="1">
      <c r="A3851" s="10">
        <v>45621</v>
      </c>
      <c r="B3851" t="s" s="11">
        <v>12</v>
      </c>
      <c r="C3851" t="s" s="12">
        <v>660</v>
      </c>
      <c r="D3851" s="13">
        <v>11000</v>
      </c>
      <c r="E3851" s="13"/>
      <c r="F3851" s="14"/>
      <c r="G3851" s="14"/>
      <c r="H3851" s="14"/>
      <c r="I3851" s="14"/>
    </row>
    <row r="3852" ht="20.7" customHeight="1">
      <c r="A3852" s="10">
        <v>45621</v>
      </c>
      <c r="B3852" t="s" s="11">
        <v>8</v>
      </c>
      <c r="C3852" t="s" s="12">
        <v>8</v>
      </c>
      <c r="D3852" s="15" cm="1">
        <f t="array" ref="D3852">SUM(D3850:D3851)</f>
        <v>11000</v>
      </c>
      <c r="E3852" s="15" cm="1">
        <f t="array" ref="E3852">SUM(E3850:E3851)</f>
        <v>11000</v>
      </c>
      <c r="F3852" s="16" cm="1">
        <f t="array" ref="F3852">SUM(F3850:F3851)</f>
        <v>0</v>
      </c>
      <c r="G3852" s="16" cm="1">
        <f t="array" ref="G3852">SUM(G3850:G3851)</f>
        <v>0</v>
      </c>
      <c r="H3852" s="16" cm="1">
        <f t="array" ref="H3852">SUM(H3850:H3851)</f>
        <v>0</v>
      </c>
      <c r="I3852" s="16" cm="1">
        <f t="array" ref="I3852">SUM(I3850:I3851)</f>
        <v>0</v>
      </c>
    </row>
    <row r="3853" ht="21.25" customHeight="1">
      <c r="A3853" s="10">
        <v>45621</v>
      </c>
      <c r="B3853" t="s" s="11">
        <v>5</v>
      </c>
      <c r="C3853" t="s" s="12">
        <v>643</v>
      </c>
      <c r="D3853" s="17"/>
      <c r="E3853" s="17">
        <v>46500</v>
      </c>
      <c r="F3853" s="18"/>
      <c r="G3853" s="18"/>
      <c r="H3853" s="18"/>
      <c r="I3853" s="18"/>
    </row>
    <row r="3854" ht="21.25" customHeight="1">
      <c r="A3854" s="10">
        <v>45621</v>
      </c>
      <c r="B3854" t="s" s="11">
        <v>10</v>
      </c>
      <c r="C3854" t="s" s="12">
        <v>643</v>
      </c>
      <c r="D3854" s="13">
        <v>46500</v>
      </c>
      <c r="E3854" s="13"/>
      <c r="F3854" s="14"/>
      <c r="G3854" s="14"/>
      <c r="H3854" s="14"/>
      <c r="I3854" s="14"/>
    </row>
    <row r="3855" ht="20.7" customHeight="1">
      <c r="A3855" s="10">
        <v>45621</v>
      </c>
      <c r="B3855" t="s" s="11">
        <v>8</v>
      </c>
      <c r="C3855" t="s" s="12">
        <v>8</v>
      </c>
      <c r="D3855" s="15" cm="1">
        <f t="array" ref="D3855">SUM(D3853:D3854)</f>
        <v>46500</v>
      </c>
      <c r="E3855" s="15" cm="1">
        <f t="array" ref="E3855">SUM(E3853:E3854)</f>
        <v>46500</v>
      </c>
      <c r="F3855" s="16" cm="1">
        <f t="array" ref="F3855">SUM(F3853:F3854)</f>
        <v>0</v>
      </c>
      <c r="G3855" s="16" cm="1">
        <f t="array" ref="G3855">SUM(G3853:G3854)</f>
        <v>0</v>
      </c>
      <c r="H3855" s="16" cm="1">
        <f t="array" ref="H3855">SUM(H3853:H3854)</f>
        <v>0</v>
      </c>
      <c r="I3855" s="16" cm="1">
        <f t="array" ref="I3855">SUM(I3853:I3854)</f>
        <v>0</v>
      </c>
    </row>
    <row r="3856" ht="20.35" customHeight="1">
      <c r="A3856" s="10">
        <v>45621</v>
      </c>
      <c r="B3856" t="s" s="11">
        <v>5</v>
      </c>
      <c r="C3856" t="s" s="12">
        <v>75</v>
      </c>
      <c r="D3856" s="17"/>
      <c r="E3856" s="17">
        <v>410000</v>
      </c>
      <c r="F3856" s="18"/>
      <c r="G3856" s="18"/>
      <c r="H3856" s="18"/>
      <c r="I3856" s="18"/>
    </row>
    <row r="3857" ht="20.35" customHeight="1">
      <c r="A3857" s="10">
        <v>45621</v>
      </c>
      <c r="B3857" t="s" s="11">
        <v>74</v>
      </c>
      <c r="C3857" t="s" s="12">
        <v>75</v>
      </c>
      <c r="D3857" s="13">
        <v>410000</v>
      </c>
      <c r="E3857" s="13"/>
      <c r="F3857" s="14"/>
      <c r="G3857" s="14"/>
      <c r="H3857" s="14"/>
      <c r="I3857" s="14"/>
    </row>
    <row r="3858" ht="20.7" customHeight="1">
      <c r="A3858" s="10">
        <v>45621</v>
      </c>
      <c r="B3858" t="s" s="11">
        <v>8</v>
      </c>
      <c r="C3858" t="s" s="12">
        <v>8</v>
      </c>
      <c r="D3858" s="15" cm="1">
        <f t="array" ref="D3858">SUM(D3856:D3857)</f>
        <v>410000</v>
      </c>
      <c r="E3858" s="15" cm="1">
        <f t="array" ref="E3858">SUM(E3856:E3857)</f>
        <v>410000</v>
      </c>
      <c r="F3858" s="16" cm="1">
        <f t="array" ref="F3858">SUM(F3856:F3857)</f>
        <v>0</v>
      </c>
      <c r="G3858" s="16" cm="1">
        <f t="array" ref="G3858">SUM(G3856:G3857)</f>
        <v>0</v>
      </c>
      <c r="H3858" s="16" cm="1">
        <f t="array" ref="H3858">SUM(H3856:H3857)</f>
        <v>0</v>
      </c>
      <c r="I3858" s="16" cm="1">
        <f t="array" ref="I3858">SUM(I3856:I3857)</f>
        <v>0</v>
      </c>
    </row>
    <row r="3859" ht="20.35" customHeight="1">
      <c r="A3859" s="10">
        <v>45621</v>
      </c>
      <c r="B3859" t="s" s="11">
        <v>5</v>
      </c>
      <c r="C3859" t="s" s="12">
        <v>17</v>
      </c>
      <c r="D3859" s="17">
        <v>100</v>
      </c>
      <c r="E3859" s="17"/>
      <c r="F3859" s="18"/>
      <c r="G3859" s="18"/>
      <c r="H3859" s="18"/>
      <c r="I3859" s="18"/>
    </row>
    <row r="3860" ht="20.35" customHeight="1">
      <c r="A3860" s="10">
        <v>45621</v>
      </c>
      <c r="B3860" t="s" s="11">
        <v>18</v>
      </c>
      <c r="C3860" t="s" s="12">
        <v>17</v>
      </c>
      <c r="D3860" s="13"/>
      <c r="E3860" s="13">
        <v>100</v>
      </c>
      <c r="F3860" s="14"/>
      <c r="G3860" s="14"/>
      <c r="H3860" s="14"/>
      <c r="I3860" s="14"/>
    </row>
    <row r="3861" ht="20.7" customHeight="1">
      <c r="A3861" s="10">
        <v>45621</v>
      </c>
      <c r="B3861" t="s" s="11">
        <v>8</v>
      </c>
      <c r="C3861" t="s" s="12">
        <v>8</v>
      </c>
      <c r="D3861" s="15" cm="1">
        <f t="array" ref="D3861">SUM(D3859:D3860)</f>
        <v>100</v>
      </c>
      <c r="E3861" s="15" cm="1">
        <f t="array" ref="E3861">SUM(E3859:E3860)</f>
        <v>100</v>
      </c>
      <c r="F3861" s="16" cm="1">
        <f t="array" ref="F3861">SUM(F3859:F3860)</f>
        <v>0</v>
      </c>
      <c r="G3861" s="16" cm="1">
        <f t="array" ref="G3861">SUM(G3859:G3860)</f>
        <v>0</v>
      </c>
      <c r="H3861" s="16" cm="1">
        <f t="array" ref="H3861">SUM(H3859:H3860)</f>
        <v>0</v>
      </c>
      <c r="I3861" s="16" cm="1">
        <f t="array" ref="I3861">SUM(I3859:I3860)</f>
        <v>0</v>
      </c>
    </row>
    <row r="3862" ht="20.35" customHeight="1">
      <c r="A3862" s="10">
        <v>45621</v>
      </c>
      <c r="B3862" t="s" s="11">
        <v>5</v>
      </c>
      <c r="C3862" t="s" s="12">
        <v>17</v>
      </c>
      <c r="D3862" s="17">
        <v>100</v>
      </c>
      <c r="E3862" s="17"/>
      <c r="F3862" s="18"/>
      <c r="G3862" s="18"/>
      <c r="H3862" s="18"/>
      <c r="I3862" s="18"/>
    </row>
    <row r="3863" ht="20.35" customHeight="1">
      <c r="A3863" s="10">
        <v>45621</v>
      </c>
      <c r="B3863" t="s" s="11">
        <v>18</v>
      </c>
      <c r="C3863" t="s" s="12">
        <v>17</v>
      </c>
      <c r="D3863" s="13"/>
      <c r="E3863" s="13">
        <v>100</v>
      </c>
      <c r="F3863" s="14"/>
      <c r="G3863" s="14"/>
      <c r="H3863" s="14"/>
      <c r="I3863" s="14"/>
    </row>
    <row r="3864" ht="20.7" customHeight="1">
      <c r="A3864" s="10">
        <v>45621</v>
      </c>
      <c r="B3864" t="s" s="11">
        <v>8</v>
      </c>
      <c r="C3864" t="s" s="12">
        <v>8</v>
      </c>
      <c r="D3864" s="15" cm="1">
        <f t="array" ref="D3864">SUM(D3862:D3863)</f>
        <v>100</v>
      </c>
      <c r="E3864" s="15" cm="1">
        <f t="array" ref="E3864">SUM(E3862:E3863)</f>
        <v>100</v>
      </c>
      <c r="F3864" s="16" cm="1">
        <f t="array" ref="F3864">SUM(F3862:F3863)</f>
        <v>0</v>
      </c>
      <c r="G3864" s="16" cm="1">
        <f t="array" ref="G3864">SUM(G3862:G3863)</f>
        <v>0</v>
      </c>
      <c r="H3864" s="16" cm="1">
        <f t="array" ref="H3864">SUM(H3862:H3863)</f>
        <v>0</v>
      </c>
      <c r="I3864" s="16" cm="1">
        <f t="array" ref="I3864">SUM(I3862:I3863)</f>
        <v>0</v>
      </c>
    </row>
    <row r="3865" ht="20.35" customHeight="1">
      <c r="A3865" s="10">
        <v>45621</v>
      </c>
      <c r="B3865" t="s" s="11">
        <v>5</v>
      </c>
      <c r="C3865" t="s" s="12">
        <v>604</v>
      </c>
      <c r="D3865" s="17"/>
      <c r="E3865" s="17">
        <v>84990</v>
      </c>
      <c r="F3865" s="18"/>
      <c r="G3865" s="18"/>
      <c r="H3865" s="18"/>
      <c r="I3865" s="18"/>
    </row>
    <row r="3866" ht="20.35" customHeight="1">
      <c r="A3866" s="10">
        <v>45621</v>
      </c>
      <c r="B3866" t="s" s="11">
        <v>93</v>
      </c>
      <c r="C3866" t="s" s="12">
        <v>604</v>
      </c>
      <c r="D3866" s="13">
        <v>84990</v>
      </c>
      <c r="E3866" s="13"/>
      <c r="F3866" s="14"/>
      <c r="G3866" s="14"/>
      <c r="H3866" s="14"/>
      <c r="I3866" s="14"/>
    </row>
    <row r="3867" ht="20.7" customHeight="1">
      <c r="A3867" s="10">
        <v>45621</v>
      </c>
      <c r="B3867" t="s" s="11">
        <v>8</v>
      </c>
      <c r="C3867" t="s" s="12">
        <v>8</v>
      </c>
      <c r="D3867" s="15" cm="1">
        <f t="array" ref="D3867">SUM(D3865:D3866)</f>
        <v>84990</v>
      </c>
      <c r="E3867" s="15" cm="1">
        <f t="array" ref="E3867">SUM(E3865:E3866)</f>
        <v>84990</v>
      </c>
      <c r="F3867" s="16" cm="1">
        <f t="array" ref="F3867">SUM(F3865:F3866)</f>
        <v>0</v>
      </c>
      <c r="G3867" s="16" cm="1">
        <f t="array" ref="G3867">SUM(G3865:G3866)</f>
        <v>0</v>
      </c>
      <c r="H3867" s="16" cm="1">
        <f t="array" ref="H3867">SUM(H3865:H3866)</f>
        <v>0</v>
      </c>
      <c r="I3867" s="16" cm="1">
        <f t="array" ref="I3867">SUM(I3865:I3866)</f>
        <v>0</v>
      </c>
    </row>
    <row r="3868" ht="20.35" customHeight="1">
      <c r="A3868" s="10">
        <v>45621</v>
      </c>
      <c r="B3868" t="s" s="11">
        <v>93</v>
      </c>
      <c r="C3868" t="s" s="12">
        <v>368</v>
      </c>
      <c r="D3868" s="17"/>
      <c r="E3868" s="17">
        <v>100000</v>
      </c>
      <c r="F3868" s="18"/>
      <c r="G3868" s="18"/>
      <c r="H3868" s="18"/>
      <c r="I3868" s="18"/>
    </row>
    <row r="3869" ht="20.35" customHeight="1">
      <c r="A3869" s="10">
        <v>45621</v>
      </c>
      <c r="B3869" t="s" s="11">
        <v>89</v>
      </c>
      <c r="C3869" t="s" s="12">
        <v>368</v>
      </c>
      <c r="D3869" s="13">
        <v>100000</v>
      </c>
      <c r="E3869" s="13"/>
      <c r="F3869" s="14"/>
      <c r="G3869" s="14"/>
      <c r="H3869" s="14"/>
      <c r="I3869" s="14"/>
    </row>
    <row r="3870" ht="20.7" customHeight="1">
      <c r="A3870" s="10">
        <v>45621</v>
      </c>
      <c r="B3870" t="s" s="11">
        <v>8</v>
      </c>
      <c r="C3870" t="s" s="12">
        <v>8</v>
      </c>
      <c r="D3870" s="15" cm="1">
        <f t="array" ref="D3870">SUM(D3868:D3869)</f>
        <v>100000</v>
      </c>
      <c r="E3870" s="15" cm="1">
        <f t="array" ref="E3870">SUM(E3868:E3869)</f>
        <v>100000</v>
      </c>
      <c r="F3870" s="16" cm="1">
        <f t="array" ref="F3870">SUM(F3868:F3869)</f>
        <v>0</v>
      </c>
      <c r="G3870" s="16" cm="1">
        <f t="array" ref="G3870">SUM(G3868:G3869)</f>
        <v>0</v>
      </c>
      <c r="H3870" s="16" cm="1">
        <f t="array" ref="H3870">SUM(H3868:H3869)</f>
        <v>0</v>
      </c>
      <c r="I3870" s="16" cm="1">
        <f t="array" ref="I3870">SUM(I3868:I3869)</f>
        <v>0</v>
      </c>
    </row>
    <row r="3871" ht="21.25" customHeight="1">
      <c r="A3871" s="10">
        <v>45621</v>
      </c>
      <c r="B3871" t="s" s="11">
        <v>21</v>
      </c>
      <c r="C3871" t="s" s="12">
        <v>631</v>
      </c>
      <c r="D3871" s="17"/>
      <c r="E3871" s="17">
        <v>2500</v>
      </c>
      <c r="F3871" s="18"/>
      <c r="G3871" s="18"/>
      <c r="H3871" s="18"/>
      <c r="I3871" s="18"/>
    </row>
    <row r="3872" ht="21.25" customHeight="1">
      <c r="A3872" s="10">
        <v>45621</v>
      </c>
      <c r="B3872" t="s" s="11">
        <v>16</v>
      </c>
      <c r="C3872" t="s" s="12">
        <v>631</v>
      </c>
      <c r="D3872" s="13">
        <v>2500</v>
      </c>
      <c r="E3872" s="13"/>
      <c r="F3872" s="14"/>
      <c r="G3872" s="14"/>
      <c r="H3872" s="14"/>
      <c r="I3872" s="14"/>
    </row>
    <row r="3873" ht="20.7" customHeight="1">
      <c r="A3873" s="10">
        <v>45621</v>
      </c>
      <c r="B3873" t="s" s="11">
        <v>8</v>
      </c>
      <c r="C3873" t="s" s="12">
        <v>8</v>
      </c>
      <c r="D3873" s="15" cm="1">
        <f t="array" ref="D3873">SUM(D3871:D3872)</f>
        <v>2500</v>
      </c>
      <c r="E3873" s="15" cm="1">
        <f t="array" ref="E3873">SUM(E3871:E3872)</f>
        <v>2500</v>
      </c>
      <c r="F3873" s="16" cm="1">
        <f t="array" ref="F3873">SUM(F3871:F3872)</f>
        <v>0</v>
      </c>
      <c r="G3873" s="16" cm="1">
        <f t="array" ref="G3873">SUM(G3871:G3872)</f>
        <v>0</v>
      </c>
      <c r="H3873" s="16" cm="1">
        <f t="array" ref="H3873">SUM(H3871:H3872)</f>
        <v>0</v>
      </c>
      <c r="I3873" s="16" cm="1">
        <f t="array" ref="I3873">SUM(I3871:I3872)</f>
        <v>0</v>
      </c>
    </row>
    <row r="3874" ht="20.35" customHeight="1">
      <c r="A3874" s="10">
        <v>45622</v>
      </c>
      <c r="B3874" t="s" s="11">
        <v>39</v>
      </c>
      <c r="C3874" t="s" s="12">
        <v>661</v>
      </c>
      <c r="D3874" s="17"/>
      <c r="E3874" s="17"/>
      <c r="F3874" s="18"/>
      <c r="G3874" s="18">
        <v>1941.51</v>
      </c>
      <c r="H3874" s="18"/>
      <c r="I3874" s="18"/>
    </row>
    <row r="3875" ht="20.05" customHeight="1">
      <c r="A3875" s="10">
        <v>45622</v>
      </c>
      <c r="B3875" t="s" s="11">
        <v>44</v>
      </c>
      <c r="C3875" t="s" s="12">
        <v>661</v>
      </c>
      <c r="D3875" s="19"/>
      <c r="E3875" s="19"/>
      <c r="F3875" s="20">
        <v>1918.3</v>
      </c>
      <c r="G3875" s="20"/>
      <c r="H3875" s="20"/>
      <c r="I3875" s="20"/>
    </row>
    <row r="3876" ht="20.05" customHeight="1">
      <c r="A3876" s="10">
        <v>45622</v>
      </c>
      <c r="B3876" t="s" s="11">
        <v>43</v>
      </c>
      <c r="C3876" t="s" s="12">
        <v>661</v>
      </c>
      <c r="D3876" s="19"/>
      <c r="E3876" s="19"/>
      <c r="F3876" s="20">
        <v>23.21</v>
      </c>
      <c r="G3876" s="20"/>
      <c r="H3876" s="20"/>
      <c r="I3876" s="20"/>
    </row>
    <row r="3877" ht="20.05" customHeight="1">
      <c r="A3877" s="10">
        <v>45622</v>
      </c>
      <c r="B3877" t="s" s="11">
        <v>5</v>
      </c>
      <c r="C3877" t="s" s="12">
        <v>661</v>
      </c>
      <c r="D3877" s="19">
        <v>603890</v>
      </c>
      <c r="E3877" s="19"/>
      <c r="F3877" s="20"/>
      <c r="G3877" s="20"/>
      <c r="H3877" s="20"/>
      <c r="I3877" s="20"/>
    </row>
    <row r="3878" ht="20.35" customHeight="1">
      <c r="A3878" s="10">
        <v>45622</v>
      </c>
      <c r="B3878" t="s" s="11">
        <v>46</v>
      </c>
      <c r="C3878" t="s" s="12">
        <v>661</v>
      </c>
      <c r="D3878" s="13"/>
      <c r="E3878" s="13">
        <v>603890</v>
      </c>
      <c r="F3878" s="14"/>
      <c r="G3878" s="14"/>
      <c r="H3878" s="14"/>
      <c r="I3878" s="14"/>
    </row>
    <row r="3879" ht="20.7" customHeight="1">
      <c r="A3879" s="10">
        <v>45622</v>
      </c>
      <c r="B3879" t="s" s="11">
        <v>8</v>
      </c>
      <c r="C3879" t="s" s="12">
        <v>8</v>
      </c>
      <c r="D3879" s="15" cm="1">
        <f t="array" ref="D3879">SUM(D3874:D3878)</f>
        <v>603890</v>
      </c>
      <c r="E3879" s="15" cm="1">
        <f t="array" ref="E3879">SUM(E3874:E3878)</f>
        <v>603890</v>
      </c>
      <c r="F3879" s="16" cm="1">
        <f t="array" ref="F3879">SUM(F3874:F3878)</f>
        <v>1941.51</v>
      </c>
      <c r="G3879" s="16" cm="1">
        <f t="array" ref="G3879">SUM(G3874:G3878)</f>
        <v>1941.51</v>
      </c>
      <c r="H3879" s="16" cm="1">
        <f t="array" ref="H3879">SUM(H3874:H3878)</f>
        <v>0</v>
      </c>
      <c r="I3879" s="16" cm="1">
        <f t="array" ref="I3879">SUM(I3874:I3878)</f>
        <v>0</v>
      </c>
    </row>
    <row r="3880" ht="20.35" customHeight="1">
      <c r="A3880" s="10">
        <v>45622</v>
      </c>
      <c r="B3880" t="s" s="11">
        <v>39</v>
      </c>
      <c r="C3880" t="s" s="12">
        <v>40</v>
      </c>
      <c r="D3880" s="17"/>
      <c r="E3880" s="17"/>
      <c r="F3880" s="18">
        <v>2000</v>
      </c>
      <c r="G3880" s="18"/>
      <c r="H3880" s="18"/>
      <c r="I3880" s="18"/>
    </row>
    <row r="3881" ht="20.35" customHeight="1">
      <c r="A3881" s="10">
        <v>45622</v>
      </c>
      <c r="B3881" t="s" s="11">
        <v>41</v>
      </c>
      <c r="C3881" t="s" s="12">
        <v>40</v>
      </c>
      <c r="D3881" s="13"/>
      <c r="E3881" s="13"/>
      <c r="F3881" s="14"/>
      <c r="G3881" s="14">
        <v>2000</v>
      </c>
      <c r="H3881" s="14"/>
      <c r="I3881" s="14"/>
    </row>
    <row r="3882" ht="20.7" customHeight="1">
      <c r="A3882" s="10">
        <v>45622</v>
      </c>
      <c r="B3882" t="s" s="11">
        <v>8</v>
      </c>
      <c r="C3882" t="s" s="12">
        <v>8</v>
      </c>
      <c r="D3882" s="15" cm="1">
        <f t="array" ref="D3882">SUM(D3880:D3881)</f>
        <v>0</v>
      </c>
      <c r="E3882" s="15" cm="1">
        <f t="array" ref="E3882">SUM(E3880:E3881)</f>
        <v>0</v>
      </c>
      <c r="F3882" s="16" cm="1">
        <f t="array" ref="F3882">SUM(F3880:F3881)</f>
        <v>2000</v>
      </c>
      <c r="G3882" s="16" cm="1">
        <f t="array" ref="G3882">SUM(G3880:G3881)</f>
        <v>2000</v>
      </c>
      <c r="H3882" s="16" cm="1">
        <f t="array" ref="H3882">SUM(H3880:H3881)</f>
        <v>0</v>
      </c>
      <c r="I3882" s="16" cm="1">
        <f t="array" ref="I3882">SUM(I3880:I3881)</f>
        <v>0</v>
      </c>
    </row>
    <row r="3883" ht="20.35" customHeight="1">
      <c r="A3883" s="10">
        <v>45622</v>
      </c>
      <c r="B3883" t="s" s="11">
        <v>39</v>
      </c>
      <c r="C3883" t="s" s="12">
        <v>662</v>
      </c>
      <c r="D3883" s="17"/>
      <c r="E3883" s="17"/>
      <c r="F3883" s="18"/>
      <c r="G3883" s="18">
        <v>100</v>
      </c>
      <c r="H3883" s="18"/>
      <c r="I3883" s="18"/>
    </row>
    <row r="3884" ht="20.35" customHeight="1">
      <c r="A3884" s="10">
        <v>45622</v>
      </c>
      <c r="B3884" t="s" s="11">
        <v>663</v>
      </c>
      <c r="C3884" t="s" s="12">
        <v>662</v>
      </c>
      <c r="D3884" s="13"/>
      <c r="E3884" s="13"/>
      <c r="F3884" s="14">
        <v>100</v>
      </c>
      <c r="G3884" s="14"/>
      <c r="H3884" s="14"/>
      <c r="I3884" s="14"/>
    </row>
    <row r="3885" ht="20.7" customHeight="1">
      <c r="A3885" s="10">
        <v>45622</v>
      </c>
      <c r="B3885" t="s" s="11">
        <v>8</v>
      </c>
      <c r="C3885" t="s" s="12">
        <v>8</v>
      </c>
      <c r="D3885" s="15" cm="1">
        <f t="array" ref="D3885">SUM(D3883:D3884)</f>
        <v>0</v>
      </c>
      <c r="E3885" s="15" cm="1">
        <f t="array" ref="E3885">SUM(E3883:E3884)</f>
        <v>0</v>
      </c>
      <c r="F3885" s="16" cm="1">
        <f t="array" ref="F3885">SUM(F3883:F3884)</f>
        <v>100</v>
      </c>
      <c r="G3885" s="16" cm="1">
        <f t="array" ref="G3885">SUM(G3883:G3884)</f>
        <v>100</v>
      </c>
      <c r="H3885" s="16" cm="1">
        <f t="array" ref="H3885">SUM(H3883:H3884)</f>
        <v>0</v>
      </c>
      <c r="I3885" s="16" cm="1">
        <f t="array" ref="I3885">SUM(I3883:I3884)</f>
        <v>0</v>
      </c>
    </row>
    <row r="3886" ht="20.35" customHeight="1">
      <c r="A3886" s="10">
        <v>45622</v>
      </c>
      <c r="B3886" t="s" s="11">
        <v>5</v>
      </c>
      <c r="C3886" t="s" s="12">
        <v>439</v>
      </c>
      <c r="D3886" s="17"/>
      <c r="E3886" s="17">
        <v>190000</v>
      </c>
      <c r="F3886" s="18"/>
      <c r="G3886" s="18"/>
      <c r="H3886" s="18"/>
      <c r="I3886" s="18"/>
    </row>
    <row r="3887" ht="20.35" customHeight="1">
      <c r="A3887" s="10">
        <v>45622</v>
      </c>
      <c r="B3887" t="s" s="11">
        <v>121</v>
      </c>
      <c r="C3887" t="s" s="12">
        <v>439</v>
      </c>
      <c r="D3887" s="13">
        <v>190000</v>
      </c>
      <c r="E3887" s="13"/>
      <c r="F3887" s="14"/>
      <c r="G3887" s="14"/>
      <c r="H3887" s="14"/>
      <c r="I3887" s="14"/>
    </row>
    <row r="3888" ht="20.7" customHeight="1">
      <c r="A3888" s="10">
        <v>45622</v>
      </c>
      <c r="B3888" t="s" s="11">
        <v>8</v>
      </c>
      <c r="C3888" t="s" s="12">
        <v>8</v>
      </c>
      <c r="D3888" s="15" cm="1">
        <f t="array" ref="D3888">SUM(D3886:D3887)</f>
        <v>190000</v>
      </c>
      <c r="E3888" s="15" cm="1">
        <f t="array" ref="E3888">SUM(E3886:E3887)</f>
        <v>190000</v>
      </c>
      <c r="F3888" s="16" cm="1">
        <f t="array" ref="F3888">SUM(F3886:F3887)</f>
        <v>0</v>
      </c>
      <c r="G3888" s="16" cm="1">
        <f t="array" ref="G3888">SUM(G3886:G3887)</f>
        <v>0</v>
      </c>
      <c r="H3888" s="16" cm="1">
        <f t="array" ref="H3888">SUM(H3886:H3887)</f>
        <v>0</v>
      </c>
      <c r="I3888" s="16" cm="1">
        <f t="array" ref="I3888">SUM(I3886:I3887)</f>
        <v>0</v>
      </c>
    </row>
    <row r="3889" ht="21.25" customHeight="1">
      <c r="A3889" s="10">
        <v>45622</v>
      </c>
      <c r="B3889" t="s" s="11">
        <v>121</v>
      </c>
      <c r="C3889" t="s" s="12">
        <v>664</v>
      </c>
      <c r="D3889" s="17"/>
      <c r="E3889" s="17">
        <v>189969</v>
      </c>
      <c r="F3889" s="18"/>
      <c r="G3889" s="18"/>
      <c r="H3889" s="18"/>
      <c r="I3889" s="18"/>
    </row>
    <row r="3890" ht="21.25" customHeight="1">
      <c r="A3890" s="10">
        <v>45622</v>
      </c>
      <c r="B3890" t="s" s="11">
        <v>441</v>
      </c>
      <c r="C3890" t="s" s="12">
        <v>664</v>
      </c>
      <c r="D3890" s="13">
        <v>189969</v>
      </c>
      <c r="E3890" s="13"/>
      <c r="F3890" s="14"/>
      <c r="G3890" s="14"/>
      <c r="H3890" s="14"/>
      <c r="I3890" s="14"/>
    </row>
    <row r="3891" ht="20.7" customHeight="1">
      <c r="A3891" s="10">
        <v>45622</v>
      </c>
      <c r="B3891" t="s" s="11">
        <v>8</v>
      </c>
      <c r="C3891" t="s" s="12">
        <v>8</v>
      </c>
      <c r="D3891" s="15" cm="1">
        <f t="array" ref="D3891">SUM(D3889:D3890)</f>
        <v>189969</v>
      </c>
      <c r="E3891" s="15" cm="1">
        <f t="array" ref="E3891">SUM(E3889:E3890)</f>
        <v>189969</v>
      </c>
      <c r="F3891" s="16" cm="1">
        <f t="array" ref="F3891">SUM(F3889:F3890)</f>
        <v>0</v>
      </c>
      <c r="G3891" s="16" cm="1">
        <f t="array" ref="G3891">SUM(G3889:G3890)</f>
        <v>0</v>
      </c>
      <c r="H3891" s="16" cm="1">
        <f t="array" ref="H3891">SUM(H3889:H3890)</f>
        <v>0</v>
      </c>
      <c r="I3891" s="16" cm="1">
        <f t="array" ref="I3891">SUM(I3889:I3890)</f>
        <v>0</v>
      </c>
    </row>
    <row r="3892" ht="20.35" customHeight="1">
      <c r="A3892" s="10">
        <v>45622</v>
      </c>
      <c r="B3892" t="s" s="11">
        <v>107</v>
      </c>
      <c r="C3892" t="s" s="12">
        <v>533</v>
      </c>
      <c r="D3892" s="17"/>
      <c r="E3892" s="17">
        <v>99000</v>
      </c>
      <c r="F3892" s="18"/>
      <c r="G3892" s="18"/>
      <c r="H3892" s="18"/>
      <c r="I3892" s="18"/>
    </row>
    <row r="3893" ht="20.35" customHeight="1">
      <c r="A3893" s="10">
        <v>45622</v>
      </c>
      <c r="B3893" t="s" s="11">
        <v>79</v>
      </c>
      <c r="C3893" t="s" s="12">
        <v>533</v>
      </c>
      <c r="D3893" s="13">
        <v>99000</v>
      </c>
      <c r="E3893" s="13"/>
      <c r="F3893" s="14"/>
      <c r="G3893" s="14"/>
      <c r="H3893" s="14"/>
      <c r="I3893" s="14"/>
    </row>
    <row r="3894" ht="20.7" customHeight="1">
      <c r="A3894" s="10">
        <v>45622</v>
      </c>
      <c r="B3894" t="s" s="11">
        <v>8</v>
      </c>
      <c r="C3894" t="s" s="12">
        <v>8</v>
      </c>
      <c r="D3894" s="15" cm="1">
        <f t="array" ref="D3894">SUM(D3892:D3893)</f>
        <v>99000</v>
      </c>
      <c r="E3894" s="15" cm="1">
        <f t="array" ref="E3894">SUM(E3892:E3893)</f>
        <v>99000</v>
      </c>
      <c r="F3894" s="16" cm="1">
        <f t="array" ref="F3894">SUM(F3892:F3893)</f>
        <v>0</v>
      </c>
      <c r="G3894" s="16" cm="1">
        <f t="array" ref="G3894">SUM(G3892:G3893)</f>
        <v>0</v>
      </c>
      <c r="H3894" s="16" cm="1">
        <f t="array" ref="H3894">SUM(H3892:H3893)</f>
        <v>0</v>
      </c>
      <c r="I3894" s="16" cm="1">
        <f t="array" ref="I3894">SUM(I3892:I3893)</f>
        <v>0</v>
      </c>
    </row>
    <row r="3895" ht="21.25" customHeight="1">
      <c r="A3895" s="10">
        <v>45622</v>
      </c>
      <c r="B3895" t="s" s="11">
        <v>79</v>
      </c>
      <c r="C3895" t="s" s="12">
        <v>665</v>
      </c>
      <c r="D3895" s="17"/>
      <c r="E3895" s="17">
        <v>95160</v>
      </c>
      <c r="F3895" s="18"/>
      <c r="G3895" s="18"/>
      <c r="H3895" s="18"/>
      <c r="I3895" s="18"/>
    </row>
    <row r="3896" ht="21.25" customHeight="1">
      <c r="A3896" s="10">
        <v>45622</v>
      </c>
      <c r="B3896" t="s" s="11">
        <v>85</v>
      </c>
      <c r="C3896" t="s" s="12">
        <v>665</v>
      </c>
      <c r="D3896" s="13">
        <v>95160</v>
      </c>
      <c r="E3896" s="13"/>
      <c r="F3896" s="14"/>
      <c r="G3896" s="14"/>
      <c r="H3896" s="14"/>
      <c r="I3896" s="14"/>
    </row>
    <row r="3897" ht="20.7" customHeight="1">
      <c r="A3897" s="10">
        <v>45622</v>
      </c>
      <c r="B3897" t="s" s="11">
        <v>8</v>
      </c>
      <c r="C3897" t="s" s="12">
        <v>8</v>
      </c>
      <c r="D3897" s="15" cm="1">
        <f t="array" ref="D3897">SUM(D3895:D3896)</f>
        <v>95160</v>
      </c>
      <c r="E3897" s="15" cm="1">
        <f t="array" ref="E3897">SUM(E3895:E3896)</f>
        <v>95160</v>
      </c>
      <c r="F3897" s="16" cm="1">
        <f t="array" ref="F3897">SUM(F3895:F3896)</f>
        <v>0</v>
      </c>
      <c r="G3897" s="16" cm="1">
        <f t="array" ref="G3897">SUM(G3895:G3896)</f>
        <v>0</v>
      </c>
      <c r="H3897" s="16" cm="1">
        <f t="array" ref="H3897">SUM(H3895:H3896)</f>
        <v>0</v>
      </c>
      <c r="I3897" s="16" cm="1">
        <f t="array" ref="I3897">SUM(I3895:I3896)</f>
        <v>0</v>
      </c>
    </row>
    <row r="3898" ht="21.25" customHeight="1">
      <c r="A3898" s="10">
        <v>45622</v>
      </c>
      <c r="B3898" t="s" s="11">
        <v>79</v>
      </c>
      <c r="C3898" t="s" s="12">
        <v>666</v>
      </c>
      <c r="D3898" s="17"/>
      <c r="E3898" s="17">
        <v>3839</v>
      </c>
      <c r="F3898" s="18"/>
      <c r="G3898" s="18"/>
      <c r="H3898" s="18"/>
      <c r="I3898" s="18"/>
    </row>
    <row r="3899" ht="21.25" customHeight="1">
      <c r="A3899" s="10">
        <v>45622</v>
      </c>
      <c r="B3899" t="s" s="11">
        <v>85</v>
      </c>
      <c r="C3899" t="s" s="12">
        <v>666</v>
      </c>
      <c r="D3899" s="13">
        <v>3839</v>
      </c>
      <c r="E3899" s="13"/>
      <c r="F3899" s="14"/>
      <c r="G3899" s="14"/>
      <c r="H3899" s="14"/>
      <c r="I3899" s="14"/>
    </row>
    <row r="3900" ht="20.7" customHeight="1">
      <c r="A3900" s="10">
        <v>45622</v>
      </c>
      <c r="B3900" t="s" s="11">
        <v>8</v>
      </c>
      <c r="C3900" t="s" s="12">
        <v>8</v>
      </c>
      <c r="D3900" s="15" cm="1">
        <f t="array" ref="D3900">SUM(D3898:D3899)</f>
        <v>3839</v>
      </c>
      <c r="E3900" s="15" cm="1">
        <f t="array" ref="E3900">SUM(E3898:E3899)</f>
        <v>3839</v>
      </c>
      <c r="F3900" s="16" cm="1">
        <f t="array" ref="F3900">SUM(F3898:F3899)</f>
        <v>0</v>
      </c>
      <c r="G3900" s="16" cm="1">
        <f t="array" ref="G3900">SUM(G3898:G3899)</f>
        <v>0</v>
      </c>
      <c r="H3900" s="16" cm="1">
        <f t="array" ref="H3900">SUM(H3898:H3899)</f>
        <v>0</v>
      </c>
      <c r="I3900" s="16" cm="1">
        <f t="array" ref="I3900">SUM(I3898:I3899)</f>
        <v>0</v>
      </c>
    </row>
    <row r="3901" ht="20.35" customHeight="1">
      <c r="A3901" s="10">
        <v>45622</v>
      </c>
      <c r="B3901" t="s" s="11">
        <v>5</v>
      </c>
      <c r="C3901" t="s" s="12">
        <v>166</v>
      </c>
      <c r="D3901" s="17"/>
      <c r="E3901" s="17">
        <v>7500</v>
      </c>
      <c r="F3901" s="18"/>
      <c r="G3901" s="18"/>
      <c r="H3901" s="18"/>
      <c r="I3901" s="18"/>
    </row>
    <row r="3902" ht="20.35" customHeight="1">
      <c r="A3902" s="10">
        <v>45622</v>
      </c>
      <c r="B3902" t="s" s="11">
        <v>12</v>
      </c>
      <c r="C3902" t="s" s="12">
        <v>166</v>
      </c>
      <c r="D3902" s="13">
        <v>7500</v>
      </c>
      <c r="E3902" s="13"/>
      <c r="F3902" s="14"/>
      <c r="G3902" s="14"/>
      <c r="H3902" s="14"/>
      <c r="I3902" s="14"/>
    </row>
    <row r="3903" ht="20.7" customHeight="1">
      <c r="A3903" s="10">
        <v>45622</v>
      </c>
      <c r="B3903" t="s" s="11">
        <v>8</v>
      </c>
      <c r="C3903" t="s" s="12">
        <v>8</v>
      </c>
      <c r="D3903" s="15" cm="1">
        <f t="array" ref="D3903">SUM(D3901:D3902)</f>
        <v>7500</v>
      </c>
      <c r="E3903" s="15" cm="1">
        <f t="array" ref="E3903">SUM(E3901:E3902)</f>
        <v>7500</v>
      </c>
      <c r="F3903" s="16" cm="1">
        <f t="array" ref="F3903">SUM(F3901:F3902)</f>
        <v>0</v>
      </c>
      <c r="G3903" s="16" cm="1">
        <f t="array" ref="G3903">SUM(G3901:G3902)</f>
        <v>0</v>
      </c>
      <c r="H3903" s="16" cm="1">
        <f t="array" ref="H3903">SUM(H3901:H3902)</f>
        <v>0</v>
      </c>
      <c r="I3903" s="16" cm="1">
        <f t="array" ref="I3903">SUM(I3901:I3902)</f>
        <v>0</v>
      </c>
    </row>
    <row r="3904" ht="20.35" customHeight="1">
      <c r="A3904" s="10">
        <v>45622</v>
      </c>
      <c r="B3904" t="s" s="11">
        <v>5</v>
      </c>
      <c r="C3904" t="s" s="12">
        <v>667</v>
      </c>
      <c r="D3904" s="17"/>
      <c r="E3904" s="17">
        <v>20000</v>
      </c>
      <c r="F3904" s="18"/>
      <c r="G3904" s="18"/>
      <c r="H3904" s="18"/>
      <c r="I3904" s="18"/>
    </row>
    <row r="3905" ht="20.35" customHeight="1">
      <c r="A3905" s="10">
        <v>45622</v>
      </c>
      <c r="B3905" t="s" s="11">
        <v>10</v>
      </c>
      <c r="C3905" t="s" s="12">
        <v>667</v>
      </c>
      <c r="D3905" s="13">
        <v>20000</v>
      </c>
      <c r="E3905" s="13"/>
      <c r="F3905" s="14"/>
      <c r="G3905" s="14"/>
      <c r="H3905" s="14"/>
      <c r="I3905" s="14"/>
    </row>
    <row r="3906" ht="20.7" customHeight="1">
      <c r="A3906" s="10">
        <v>45622</v>
      </c>
      <c r="B3906" t="s" s="11">
        <v>8</v>
      </c>
      <c r="C3906" t="s" s="12">
        <v>8</v>
      </c>
      <c r="D3906" s="15" cm="1">
        <f t="array" ref="D3906">SUM(D3904:D3905)</f>
        <v>20000</v>
      </c>
      <c r="E3906" s="15" cm="1">
        <f t="array" ref="E3906">SUM(E3904:E3905)</f>
        <v>20000</v>
      </c>
      <c r="F3906" s="16" cm="1">
        <f t="array" ref="F3906">SUM(F3904:F3905)</f>
        <v>0</v>
      </c>
      <c r="G3906" s="16" cm="1">
        <f t="array" ref="G3906">SUM(G3904:G3905)</f>
        <v>0</v>
      </c>
      <c r="H3906" s="16" cm="1">
        <f t="array" ref="H3906">SUM(H3904:H3905)</f>
        <v>0</v>
      </c>
      <c r="I3906" s="16" cm="1">
        <f t="array" ref="I3906">SUM(I3904:I3905)</f>
        <v>0</v>
      </c>
    </row>
    <row r="3907" ht="20.35" customHeight="1">
      <c r="A3907" s="10">
        <v>45622</v>
      </c>
      <c r="B3907" t="s" s="11">
        <v>5</v>
      </c>
      <c r="C3907" t="s" s="12">
        <v>668</v>
      </c>
      <c r="D3907" s="17"/>
      <c r="E3907" s="17">
        <v>50000</v>
      </c>
      <c r="F3907" s="18"/>
      <c r="G3907" s="18"/>
      <c r="H3907" s="18"/>
      <c r="I3907" s="18"/>
    </row>
    <row r="3908" ht="20.35" customHeight="1">
      <c r="A3908" s="10">
        <v>45622</v>
      </c>
      <c r="B3908" t="s" s="11">
        <v>28</v>
      </c>
      <c r="C3908" t="s" s="12">
        <v>668</v>
      </c>
      <c r="D3908" s="13">
        <v>50000</v>
      </c>
      <c r="E3908" s="13"/>
      <c r="F3908" s="14"/>
      <c r="G3908" s="14"/>
      <c r="H3908" s="14"/>
      <c r="I3908" s="14"/>
    </row>
    <row r="3909" ht="20.7" customHeight="1">
      <c r="A3909" s="10">
        <v>45622</v>
      </c>
      <c r="B3909" t="s" s="11">
        <v>8</v>
      </c>
      <c r="C3909" t="s" s="12">
        <v>8</v>
      </c>
      <c r="D3909" s="15" cm="1">
        <f t="array" ref="D3909">SUM(D3907:D3908)</f>
        <v>50000</v>
      </c>
      <c r="E3909" s="15" cm="1">
        <f t="array" ref="E3909">SUM(E3907:E3908)</f>
        <v>50000</v>
      </c>
      <c r="F3909" s="16" cm="1">
        <f t="array" ref="F3909">SUM(F3907:F3908)</f>
        <v>0</v>
      </c>
      <c r="G3909" s="16" cm="1">
        <f t="array" ref="G3909">SUM(G3907:G3908)</f>
        <v>0</v>
      </c>
      <c r="H3909" s="16" cm="1">
        <f t="array" ref="H3909">SUM(H3907:H3908)</f>
        <v>0</v>
      </c>
      <c r="I3909" s="16" cm="1">
        <f t="array" ref="I3909">SUM(I3907:I3908)</f>
        <v>0</v>
      </c>
    </row>
    <row r="3910" ht="20.35" customHeight="1">
      <c r="A3910" s="10">
        <v>45622</v>
      </c>
      <c r="B3910" t="s" s="11">
        <v>5</v>
      </c>
      <c r="C3910" t="s" s="12">
        <v>669</v>
      </c>
      <c r="D3910" s="17"/>
      <c r="E3910" s="17">
        <v>35000</v>
      </c>
      <c r="F3910" s="18"/>
      <c r="G3910" s="18"/>
      <c r="H3910" s="18"/>
      <c r="I3910" s="18"/>
    </row>
    <row r="3911" ht="20.35" customHeight="1">
      <c r="A3911" s="10">
        <v>45622</v>
      </c>
      <c r="B3911" t="s" s="11">
        <v>10</v>
      </c>
      <c r="C3911" t="s" s="12">
        <v>669</v>
      </c>
      <c r="D3911" s="13">
        <v>35000</v>
      </c>
      <c r="E3911" s="13"/>
      <c r="F3911" s="14"/>
      <c r="G3911" s="14"/>
      <c r="H3911" s="14"/>
      <c r="I3911" s="14"/>
    </row>
    <row r="3912" ht="20.7" customHeight="1">
      <c r="A3912" s="10">
        <v>45622</v>
      </c>
      <c r="B3912" t="s" s="11">
        <v>8</v>
      </c>
      <c r="C3912" t="s" s="12">
        <v>8</v>
      </c>
      <c r="D3912" s="15" cm="1">
        <f t="array" ref="D3912">SUM(D3910:D3911)</f>
        <v>35000</v>
      </c>
      <c r="E3912" s="15" cm="1">
        <f t="array" ref="E3912">SUM(E3910:E3911)</f>
        <v>35000</v>
      </c>
      <c r="F3912" s="16" cm="1">
        <f t="array" ref="F3912">SUM(F3910:F3911)</f>
        <v>0</v>
      </c>
      <c r="G3912" s="16" cm="1">
        <f t="array" ref="G3912">SUM(G3910:G3911)</f>
        <v>0</v>
      </c>
      <c r="H3912" s="16" cm="1">
        <f t="array" ref="H3912">SUM(H3910:H3911)</f>
        <v>0</v>
      </c>
      <c r="I3912" s="16" cm="1">
        <f t="array" ref="I3912">SUM(I3910:I3911)</f>
        <v>0</v>
      </c>
    </row>
    <row r="3913" ht="20.35" customHeight="1">
      <c r="A3913" s="10">
        <v>45623</v>
      </c>
      <c r="B3913" t="s" s="11">
        <v>5</v>
      </c>
      <c r="C3913" t="s" s="12">
        <v>182</v>
      </c>
      <c r="D3913" s="17"/>
      <c r="E3913" s="17">
        <v>16000</v>
      </c>
      <c r="F3913" s="18"/>
      <c r="G3913" s="18"/>
      <c r="H3913" s="18"/>
      <c r="I3913" s="18"/>
    </row>
    <row r="3914" ht="20.35" customHeight="1">
      <c r="A3914" s="10">
        <v>45623</v>
      </c>
      <c r="B3914" t="s" s="11">
        <v>10</v>
      </c>
      <c r="C3914" t="s" s="12">
        <v>182</v>
      </c>
      <c r="D3914" s="13">
        <v>16000</v>
      </c>
      <c r="E3914" s="13"/>
      <c r="F3914" s="14"/>
      <c r="G3914" s="14"/>
      <c r="H3914" s="14"/>
      <c r="I3914" s="14"/>
    </row>
    <row r="3915" ht="20.7" customHeight="1">
      <c r="A3915" s="10">
        <v>45623</v>
      </c>
      <c r="B3915" t="s" s="11">
        <v>8</v>
      </c>
      <c r="C3915" t="s" s="12">
        <v>8</v>
      </c>
      <c r="D3915" s="15" cm="1">
        <f t="array" ref="D3915">SUM(D3913:D3914)</f>
        <v>16000</v>
      </c>
      <c r="E3915" s="15" cm="1">
        <f t="array" ref="E3915">SUM(E3913:E3914)</f>
        <v>16000</v>
      </c>
      <c r="F3915" s="16" cm="1">
        <f t="array" ref="F3915">SUM(F3913:F3914)</f>
        <v>0</v>
      </c>
      <c r="G3915" s="16" cm="1">
        <f t="array" ref="G3915">SUM(G3913:G3914)</f>
        <v>0</v>
      </c>
      <c r="H3915" s="16" cm="1">
        <f t="array" ref="H3915">SUM(H3913:H3914)</f>
        <v>0</v>
      </c>
      <c r="I3915" s="16" cm="1">
        <f t="array" ref="I3915">SUM(I3913:I3914)</f>
        <v>0</v>
      </c>
    </row>
    <row r="3916" ht="20.65" customHeight="1">
      <c r="A3916" s="10">
        <v>45623</v>
      </c>
      <c r="B3916" t="s" s="11">
        <v>5</v>
      </c>
      <c r="C3916" t="s" s="12">
        <v>670</v>
      </c>
      <c r="D3916" s="17"/>
      <c r="E3916" s="17">
        <v>16400</v>
      </c>
      <c r="F3916" s="18"/>
      <c r="G3916" s="18"/>
      <c r="H3916" s="18"/>
      <c r="I3916" s="18"/>
    </row>
    <row r="3917" ht="20.65" customHeight="1">
      <c r="A3917" s="10">
        <v>45623</v>
      </c>
      <c r="B3917" t="s" s="11">
        <v>12</v>
      </c>
      <c r="C3917" t="s" s="12">
        <v>670</v>
      </c>
      <c r="D3917" s="13">
        <v>16400</v>
      </c>
      <c r="E3917" s="13"/>
      <c r="F3917" s="14"/>
      <c r="G3917" s="14"/>
      <c r="H3917" s="14"/>
      <c r="I3917" s="14"/>
    </row>
    <row r="3918" ht="20.7" customHeight="1">
      <c r="A3918" s="10">
        <v>45623</v>
      </c>
      <c r="B3918" t="s" s="11">
        <v>8</v>
      </c>
      <c r="C3918" t="s" s="12">
        <v>8</v>
      </c>
      <c r="D3918" s="15" cm="1">
        <f t="array" ref="D3918">SUM(D3916:D3917)</f>
        <v>16400</v>
      </c>
      <c r="E3918" s="15" cm="1">
        <f t="array" ref="E3918">SUM(E3916:E3917)</f>
        <v>16400</v>
      </c>
      <c r="F3918" s="16" cm="1">
        <f t="array" ref="F3918">SUM(F3916:F3917)</f>
        <v>0</v>
      </c>
      <c r="G3918" s="16" cm="1">
        <f t="array" ref="G3918">SUM(G3916:G3917)</f>
        <v>0</v>
      </c>
      <c r="H3918" s="16" cm="1">
        <f t="array" ref="H3918">SUM(H3916:H3917)</f>
        <v>0</v>
      </c>
      <c r="I3918" s="16" cm="1">
        <f t="array" ref="I3918">SUM(I3916:I3917)</f>
        <v>0</v>
      </c>
    </row>
    <row r="3919" ht="21.25" customHeight="1">
      <c r="A3919" s="10">
        <v>45623</v>
      </c>
      <c r="B3919" t="s" s="11">
        <v>5</v>
      </c>
      <c r="C3919" t="s" s="12">
        <v>671</v>
      </c>
      <c r="D3919" s="17"/>
      <c r="E3919" s="17">
        <v>21000</v>
      </c>
      <c r="F3919" s="18"/>
      <c r="G3919" s="18"/>
      <c r="H3919" s="18"/>
      <c r="I3919" s="18"/>
    </row>
    <row r="3920" ht="20.9" customHeight="1">
      <c r="A3920" s="10">
        <v>45623</v>
      </c>
      <c r="B3920" t="s" s="11">
        <v>12</v>
      </c>
      <c r="C3920" t="s" s="12">
        <v>671</v>
      </c>
      <c r="D3920" s="19">
        <v>10000</v>
      </c>
      <c r="E3920" s="19"/>
      <c r="F3920" s="20"/>
      <c r="G3920" s="20"/>
      <c r="H3920" s="20"/>
      <c r="I3920" s="20"/>
    </row>
    <row r="3921" ht="21.25" customHeight="1">
      <c r="A3921" s="10">
        <v>45623</v>
      </c>
      <c r="B3921" t="s" s="11">
        <v>10</v>
      </c>
      <c r="C3921" t="s" s="12">
        <v>671</v>
      </c>
      <c r="D3921" s="13">
        <v>11000</v>
      </c>
      <c r="E3921" s="13"/>
      <c r="F3921" s="14"/>
      <c r="G3921" s="14"/>
      <c r="H3921" s="14"/>
      <c r="I3921" s="14"/>
    </row>
    <row r="3922" ht="20.7" customHeight="1">
      <c r="A3922" s="10">
        <v>45623</v>
      </c>
      <c r="B3922" t="s" s="11">
        <v>8</v>
      </c>
      <c r="C3922" t="s" s="12">
        <v>8</v>
      </c>
      <c r="D3922" s="15" cm="1">
        <f t="array" ref="D3922">SUM(D3919:D3921)</f>
        <v>21000</v>
      </c>
      <c r="E3922" s="15" cm="1">
        <f t="array" ref="E3922">SUM(E3919:E3921)</f>
        <v>21000</v>
      </c>
      <c r="F3922" s="16" cm="1">
        <f t="array" ref="F3922">SUM(F3919:F3921)</f>
        <v>0</v>
      </c>
      <c r="G3922" s="16" cm="1">
        <f t="array" ref="G3922">SUM(G3919:G3921)</f>
        <v>0</v>
      </c>
      <c r="H3922" s="16" cm="1">
        <f t="array" ref="H3922">SUM(H3919:H3921)</f>
        <v>0</v>
      </c>
      <c r="I3922" s="16" cm="1">
        <f t="array" ref="I3922">SUM(I3919:I3921)</f>
        <v>0</v>
      </c>
    </row>
    <row r="3923" ht="20.65" customHeight="1">
      <c r="A3923" s="10">
        <v>45623</v>
      </c>
      <c r="B3923" t="s" s="11">
        <v>5</v>
      </c>
      <c r="C3923" t="s" s="12">
        <v>580</v>
      </c>
      <c r="D3923" s="17"/>
      <c r="E3923" s="17">
        <v>800</v>
      </c>
      <c r="F3923" s="18"/>
      <c r="G3923" s="18"/>
      <c r="H3923" s="18"/>
      <c r="I3923" s="18"/>
    </row>
    <row r="3924" ht="20.65" customHeight="1">
      <c r="A3924" s="10">
        <v>45623</v>
      </c>
      <c r="B3924" t="s" s="11">
        <v>12</v>
      </c>
      <c r="C3924" t="s" s="12">
        <v>580</v>
      </c>
      <c r="D3924" s="13">
        <v>800</v>
      </c>
      <c r="E3924" s="13"/>
      <c r="F3924" s="14"/>
      <c r="G3924" s="14"/>
      <c r="H3924" s="14"/>
      <c r="I3924" s="14"/>
    </row>
    <row r="3925" ht="20.7" customHeight="1">
      <c r="A3925" s="10">
        <v>45623</v>
      </c>
      <c r="B3925" t="s" s="11">
        <v>8</v>
      </c>
      <c r="C3925" t="s" s="12">
        <v>8</v>
      </c>
      <c r="D3925" s="15" cm="1">
        <f t="array" ref="D3925">SUM(D3923:D3924)</f>
        <v>800</v>
      </c>
      <c r="E3925" s="15" cm="1">
        <f t="array" ref="E3925">SUM(E3923:E3924)</f>
        <v>800</v>
      </c>
      <c r="F3925" s="16" cm="1">
        <f t="array" ref="F3925">SUM(F3923:F3924)</f>
        <v>0</v>
      </c>
      <c r="G3925" s="16" cm="1">
        <f t="array" ref="G3925">SUM(G3923:G3924)</f>
        <v>0</v>
      </c>
      <c r="H3925" s="16" cm="1">
        <f t="array" ref="H3925">SUM(H3923:H3924)</f>
        <v>0</v>
      </c>
      <c r="I3925" s="16" cm="1">
        <f t="array" ref="I3925">SUM(I3923:I3924)</f>
        <v>0</v>
      </c>
    </row>
    <row r="3926" ht="20.35" customHeight="1">
      <c r="A3926" s="10">
        <v>45624</v>
      </c>
      <c r="B3926" t="s" s="11">
        <v>5</v>
      </c>
      <c r="C3926" t="s" s="12">
        <v>672</v>
      </c>
      <c r="D3926" s="17"/>
      <c r="E3926" s="17">
        <v>1300</v>
      </c>
      <c r="F3926" s="18"/>
      <c r="G3926" s="18"/>
      <c r="H3926" s="18"/>
      <c r="I3926" s="18"/>
    </row>
    <row r="3927" ht="20.35" customHeight="1">
      <c r="A3927" s="10">
        <v>45624</v>
      </c>
      <c r="B3927" t="s" s="11">
        <v>10</v>
      </c>
      <c r="C3927" t="s" s="12">
        <v>672</v>
      </c>
      <c r="D3927" s="13">
        <v>1300</v>
      </c>
      <c r="E3927" s="13"/>
      <c r="F3927" s="14"/>
      <c r="G3927" s="14"/>
      <c r="H3927" s="14"/>
      <c r="I3927" s="14"/>
    </row>
    <row r="3928" ht="20.7" customHeight="1">
      <c r="A3928" s="10">
        <v>45624</v>
      </c>
      <c r="B3928" t="s" s="11">
        <v>8</v>
      </c>
      <c r="C3928" t="s" s="12">
        <v>8</v>
      </c>
      <c r="D3928" s="15" cm="1">
        <f t="array" ref="D3928">SUM(D3926:D3927)</f>
        <v>1300</v>
      </c>
      <c r="E3928" s="15" cm="1">
        <f t="array" ref="E3928">SUM(E3926:E3927)</f>
        <v>1300</v>
      </c>
      <c r="F3928" s="16" cm="1">
        <f t="array" ref="F3928">SUM(F3926:F3927)</f>
        <v>0</v>
      </c>
      <c r="G3928" s="16" cm="1">
        <f t="array" ref="G3928">SUM(G3926:G3927)</f>
        <v>0</v>
      </c>
      <c r="H3928" s="16" cm="1">
        <f t="array" ref="H3928">SUM(H3926:H3927)</f>
        <v>0</v>
      </c>
      <c r="I3928" s="16" cm="1">
        <f t="array" ref="I3928">SUM(I3926:I3927)</f>
        <v>0</v>
      </c>
    </row>
    <row r="3929" ht="21.25" customHeight="1">
      <c r="A3929" s="10">
        <v>45624</v>
      </c>
      <c r="B3929" t="s" s="11">
        <v>5</v>
      </c>
      <c r="C3929" t="s" s="12">
        <v>673</v>
      </c>
      <c r="D3929" s="17"/>
      <c r="E3929" s="17">
        <v>30000</v>
      </c>
      <c r="F3929" s="18"/>
      <c r="G3929" s="18"/>
      <c r="H3929" s="18"/>
      <c r="I3929" s="18"/>
    </row>
    <row r="3930" ht="20.9" customHeight="1">
      <c r="A3930" s="10">
        <v>45624</v>
      </c>
      <c r="B3930" t="s" s="11">
        <v>12</v>
      </c>
      <c r="C3930" t="s" s="12">
        <v>673</v>
      </c>
      <c r="D3930" s="19">
        <v>15000</v>
      </c>
      <c r="E3930" s="19"/>
      <c r="F3930" s="20"/>
      <c r="G3930" s="20"/>
      <c r="H3930" s="20"/>
      <c r="I3930" s="20"/>
    </row>
    <row r="3931" ht="21.25" customHeight="1">
      <c r="A3931" s="10">
        <v>45624</v>
      </c>
      <c r="B3931" t="s" s="11">
        <v>89</v>
      </c>
      <c r="C3931" t="s" s="12">
        <v>673</v>
      </c>
      <c r="D3931" s="13">
        <v>15000</v>
      </c>
      <c r="E3931" s="13"/>
      <c r="F3931" s="14"/>
      <c r="G3931" s="14"/>
      <c r="H3931" s="14"/>
      <c r="I3931" s="14"/>
    </row>
    <row r="3932" ht="20.7" customHeight="1">
      <c r="A3932" s="10">
        <v>45624</v>
      </c>
      <c r="B3932" t="s" s="11">
        <v>8</v>
      </c>
      <c r="C3932" t="s" s="12">
        <v>8</v>
      </c>
      <c r="D3932" s="15" cm="1">
        <f t="array" ref="D3932">SUM(D3929:D3931)</f>
        <v>30000</v>
      </c>
      <c r="E3932" s="15" cm="1">
        <f t="array" ref="E3932">SUM(E3929:E3931)</f>
        <v>30000</v>
      </c>
      <c r="F3932" s="16" cm="1">
        <f t="array" ref="F3932">SUM(F3929:F3931)</f>
        <v>0</v>
      </c>
      <c r="G3932" s="16" cm="1">
        <f t="array" ref="G3932">SUM(G3929:G3931)</f>
        <v>0</v>
      </c>
      <c r="H3932" s="16" cm="1">
        <f t="array" ref="H3932">SUM(H3929:H3931)</f>
        <v>0</v>
      </c>
      <c r="I3932" s="16" cm="1">
        <f t="array" ref="I3932">SUM(I3929:I3931)</f>
        <v>0</v>
      </c>
    </row>
    <row r="3933" ht="20.35" customHeight="1">
      <c r="A3933" s="10">
        <v>45624</v>
      </c>
      <c r="B3933" t="s" s="11">
        <v>5</v>
      </c>
      <c r="C3933" t="s" s="12">
        <v>674</v>
      </c>
      <c r="D3933" s="17"/>
      <c r="E3933" s="17">
        <v>25300</v>
      </c>
      <c r="F3933" s="18"/>
      <c r="G3933" s="18"/>
      <c r="H3933" s="18"/>
      <c r="I3933" s="18"/>
    </row>
    <row r="3934" ht="20.35" customHeight="1">
      <c r="A3934" s="10">
        <v>45624</v>
      </c>
      <c r="B3934" t="s" s="11">
        <v>10</v>
      </c>
      <c r="C3934" t="s" s="12">
        <v>674</v>
      </c>
      <c r="D3934" s="13">
        <v>25300</v>
      </c>
      <c r="E3934" s="13"/>
      <c r="F3934" s="14"/>
      <c r="G3934" s="14"/>
      <c r="H3934" s="14"/>
      <c r="I3934" s="14"/>
    </row>
    <row r="3935" ht="20.7" customHeight="1">
      <c r="A3935" s="10">
        <v>45624</v>
      </c>
      <c r="B3935" t="s" s="11">
        <v>8</v>
      </c>
      <c r="C3935" t="s" s="12">
        <v>8</v>
      </c>
      <c r="D3935" s="15" cm="1">
        <f t="array" ref="D3935">SUM(D3933:D3934)</f>
        <v>25300</v>
      </c>
      <c r="E3935" s="15" cm="1">
        <f t="array" ref="E3935">SUM(E3933:E3934)</f>
        <v>25300</v>
      </c>
      <c r="F3935" s="16" cm="1">
        <f t="array" ref="F3935">SUM(F3933:F3934)</f>
        <v>0</v>
      </c>
      <c r="G3935" s="16" cm="1">
        <f t="array" ref="G3935">SUM(G3933:G3934)</f>
        <v>0</v>
      </c>
      <c r="H3935" s="16" cm="1">
        <f t="array" ref="H3935">SUM(H3933:H3934)</f>
        <v>0</v>
      </c>
      <c r="I3935" s="16" cm="1">
        <f t="array" ref="I3935">SUM(I3933:I3934)</f>
        <v>0</v>
      </c>
    </row>
    <row r="3936" ht="21.25" customHeight="1">
      <c r="A3936" s="10">
        <v>45624</v>
      </c>
      <c r="B3936" t="s" s="11">
        <v>21</v>
      </c>
      <c r="C3936" t="s" s="12">
        <v>616</v>
      </c>
      <c r="D3936" s="17"/>
      <c r="E3936" s="17">
        <v>2800</v>
      </c>
      <c r="F3936" s="18"/>
      <c r="G3936" s="18"/>
      <c r="H3936" s="18"/>
      <c r="I3936" s="18"/>
    </row>
    <row r="3937" ht="21.25" customHeight="1">
      <c r="A3937" s="10">
        <v>45624</v>
      </c>
      <c r="B3937" t="s" s="11">
        <v>16</v>
      </c>
      <c r="C3937" t="s" s="12">
        <v>616</v>
      </c>
      <c r="D3937" s="13">
        <v>2800</v>
      </c>
      <c r="E3937" s="13"/>
      <c r="F3937" s="14"/>
      <c r="G3937" s="14"/>
      <c r="H3937" s="14"/>
      <c r="I3937" s="14"/>
    </row>
    <row r="3938" ht="20.7" customHeight="1">
      <c r="A3938" s="10">
        <v>45624</v>
      </c>
      <c r="B3938" t="s" s="11">
        <v>8</v>
      </c>
      <c r="C3938" t="s" s="12">
        <v>8</v>
      </c>
      <c r="D3938" s="15" cm="1">
        <f t="array" ref="D3938">SUM(D3936:D3937)</f>
        <v>2800</v>
      </c>
      <c r="E3938" s="15" cm="1">
        <f t="array" ref="E3938">SUM(E3936:E3937)</f>
        <v>2800</v>
      </c>
      <c r="F3938" s="16" cm="1">
        <f t="array" ref="F3938">SUM(F3936:F3937)</f>
        <v>0</v>
      </c>
      <c r="G3938" s="16" cm="1">
        <f t="array" ref="G3938">SUM(G3936:G3937)</f>
        <v>0</v>
      </c>
      <c r="H3938" s="16" cm="1">
        <f t="array" ref="H3938">SUM(H3936:H3937)</f>
        <v>0</v>
      </c>
      <c r="I3938" s="16" cm="1">
        <f t="array" ref="I3938">SUM(I3936:I3937)</f>
        <v>0</v>
      </c>
    </row>
    <row r="3939" ht="21.25" customHeight="1">
      <c r="A3939" s="10">
        <v>45625</v>
      </c>
      <c r="B3939" t="s" s="11">
        <v>441</v>
      </c>
      <c r="C3939" t="s" s="12">
        <v>675</v>
      </c>
      <c r="D3939" s="17"/>
      <c r="E3939" s="17">
        <v>102368</v>
      </c>
      <c r="F3939" s="18"/>
      <c r="G3939" s="18"/>
      <c r="H3939" s="18"/>
      <c r="I3939" s="18"/>
    </row>
    <row r="3940" ht="20.9" customHeight="1">
      <c r="A3940" s="10">
        <v>45625</v>
      </c>
      <c r="B3940" t="s" s="11">
        <v>10</v>
      </c>
      <c r="C3940" t="s" s="12">
        <v>675</v>
      </c>
      <c r="D3940" s="19">
        <v>2580</v>
      </c>
      <c r="E3940" s="19"/>
      <c r="F3940" s="20"/>
      <c r="G3940" s="20"/>
      <c r="H3940" s="20"/>
      <c r="I3940" s="20"/>
    </row>
    <row r="3941" ht="21.25" customHeight="1">
      <c r="A3941" s="10">
        <v>45625</v>
      </c>
      <c r="B3941" t="s" s="11">
        <v>121</v>
      </c>
      <c r="C3941" t="s" s="12">
        <v>675</v>
      </c>
      <c r="D3941" s="13">
        <v>99788</v>
      </c>
      <c r="E3941" s="13"/>
      <c r="F3941" s="14"/>
      <c r="G3941" s="14"/>
      <c r="H3941" s="14"/>
      <c r="I3941" s="14"/>
    </row>
    <row r="3942" ht="20.7" customHeight="1">
      <c r="A3942" s="10">
        <v>45625</v>
      </c>
      <c r="B3942" t="s" s="11">
        <v>8</v>
      </c>
      <c r="C3942" t="s" s="12">
        <v>8</v>
      </c>
      <c r="D3942" s="15" cm="1">
        <f t="array" ref="D3942">SUM(D3939:D3941)</f>
        <v>102368</v>
      </c>
      <c r="E3942" s="15" cm="1">
        <f t="array" ref="E3942">SUM(E3939:E3941)</f>
        <v>102368</v>
      </c>
      <c r="F3942" s="16" cm="1">
        <f t="array" ref="F3942">SUM(F3939:F3941)</f>
        <v>0</v>
      </c>
      <c r="G3942" s="16" cm="1">
        <f t="array" ref="G3942">SUM(G3939:G3941)</f>
        <v>0</v>
      </c>
      <c r="H3942" s="16" cm="1">
        <f t="array" ref="H3942">SUM(H3939:H3941)</f>
        <v>0</v>
      </c>
      <c r="I3942" s="16" cm="1">
        <f t="array" ref="I3942">SUM(I3939:I3941)</f>
        <v>0</v>
      </c>
    </row>
    <row r="3943" ht="20.35" customHeight="1">
      <c r="A3943" s="10">
        <v>45625</v>
      </c>
      <c r="B3943" t="s" s="11">
        <v>121</v>
      </c>
      <c r="C3943" t="s" s="12">
        <v>96</v>
      </c>
      <c r="D3943" s="17"/>
      <c r="E3943" s="17">
        <v>100961</v>
      </c>
      <c r="F3943" s="18"/>
      <c r="G3943" s="18"/>
      <c r="H3943" s="18"/>
      <c r="I3943" s="18"/>
    </row>
    <row r="3944" ht="20.35" customHeight="1">
      <c r="A3944" s="10">
        <v>45625</v>
      </c>
      <c r="B3944" t="s" s="11">
        <v>5</v>
      </c>
      <c r="C3944" t="s" s="12">
        <v>96</v>
      </c>
      <c r="D3944" s="13">
        <v>100961</v>
      </c>
      <c r="E3944" s="13"/>
      <c r="F3944" s="14"/>
      <c r="G3944" s="14"/>
      <c r="H3944" s="14"/>
      <c r="I3944" s="14"/>
    </row>
    <row r="3945" ht="20.7" customHeight="1">
      <c r="A3945" s="10">
        <v>45625</v>
      </c>
      <c r="B3945" t="s" s="11">
        <v>8</v>
      </c>
      <c r="C3945" t="s" s="12">
        <v>8</v>
      </c>
      <c r="D3945" s="15" cm="1">
        <f t="array" ref="D3945">SUM(D3943:D3944)</f>
        <v>100961</v>
      </c>
      <c r="E3945" s="15" cm="1">
        <f t="array" ref="E3945">SUM(E3943:E3944)</f>
        <v>100961</v>
      </c>
      <c r="F3945" s="16" cm="1">
        <f t="array" ref="F3945">SUM(F3943:F3944)</f>
        <v>0</v>
      </c>
      <c r="G3945" s="16" cm="1">
        <f t="array" ref="G3945">SUM(G3943:G3944)</f>
        <v>0</v>
      </c>
      <c r="H3945" s="16" cm="1">
        <f t="array" ref="H3945">SUM(H3943:H3944)</f>
        <v>0</v>
      </c>
      <c r="I3945" s="16" cm="1">
        <f t="array" ref="I3945">SUM(I3943:I3944)</f>
        <v>0</v>
      </c>
    </row>
    <row r="3946" ht="20.35" customHeight="1">
      <c r="A3946" s="10">
        <v>45625</v>
      </c>
      <c r="B3946" t="s" s="11">
        <v>5</v>
      </c>
      <c r="C3946" t="s" s="12">
        <v>676</v>
      </c>
      <c r="D3946" s="17"/>
      <c r="E3946" s="17">
        <v>46000</v>
      </c>
      <c r="F3946" s="18"/>
      <c r="G3946" s="18"/>
      <c r="H3946" s="18"/>
      <c r="I3946" s="18"/>
    </row>
    <row r="3947" ht="20.35" customHeight="1">
      <c r="A3947" s="10">
        <v>45625</v>
      </c>
      <c r="B3947" t="s" s="11">
        <v>10</v>
      </c>
      <c r="C3947" t="s" s="12">
        <v>676</v>
      </c>
      <c r="D3947" s="13">
        <v>46000</v>
      </c>
      <c r="E3947" s="13"/>
      <c r="F3947" s="14"/>
      <c r="G3947" s="14"/>
      <c r="H3947" s="14"/>
      <c r="I3947" s="14"/>
    </row>
    <row r="3948" ht="20.7" customHeight="1">
      <c r="A3948" s="10">
        <v>45625</v>
      </c>
      <c r="B3948" t="s" s="11">
        <v>8</v>
      </c>
      <c r="C3948" t="s" s="12">
        <v>8</v>
      </c>
      <c r="D3948" s="15" cm="1">
        <f t="array" ref="D3948">SUM(D3946:D3947)</f>
        <v>46000</v>
      </c>
      <c r="E3948" s="15" cm="1">
        <f t="array" ref="E3948">SUM(E3946:E3947)</f>
        <v>46000</v>
      </c>
      <c r="F3948" s="16" cm="1">
        <f t="array" ref="F3948">SUM(F3946:F3947)</f>
        <v>0</v>
      </c>
      <c r="G3948" s="16" cm="1">
        <f t="array" ref="G3948">SUM(G3946:G3947)</f>
        <v>0</v>
      </c>
      <c r="H3948" s="16" cm="1">
        <f t="array" ref="H3948">SUM(H3946:H3947)</f>
        <v>0</v>
      </c>
      <c r="I3948" s="16" cm="1">
        <f t="array" ref="I3948">SUM(I3946:I3947)</f>
        <v>0</v>
      </c>
    </row>
    <row r="3949" ht="20.35" customHeight="1">
      <c r="A3949" s="10">
        <v>45625</v>
      </c>
      <c r="B3949" t="s" s="11">
        <v>5</v>
      </c>
      <c r="C3949" t="s" s="12">
        <v>17</v>
      </c>
      <c r="D3949" s="17">
        <v>100</v>
      </c>
      <c r="E3949" s="17"/>
      <c r="F3949" s="18"/>
      <c r="G3949" s="18"/>
      <c r="H3949" s="18"/>
      <c r="I3949" s="18"/>
    </row>
    <row r="3950" ht="20.35" customHeight="1">
      <c r="A3950" s="10">
        <v>45625</v>
      </c>
      <c r="B3950" t="s" s="11">
        <v>18</v>
      </c>
      <c r="C3950" t="s" s="12">
        <v>17</v>
      </c>
      <c r="D3950" s="13"/>
      <c r="E3950" s="13">
        <v>100</v>
      </c>
      <c r="F3950" s="14"/>
      <c r="G3950" s="14"/>
      <c r="H3950" s="14"/>
      <c r="I3950" s="14"/>
    </row>
    <row r="3951" ht="20.7" customHeight="1">
      <c r="A3951" s="10">
        <v>45625</v>
      </c>
      <c r="B3951" t="s" s="11">
        <v>8</v>
      </c>
      <c r="C3951" t="s" s="12">
        <v>8</v>
      </c>
      <c r="D3951" s="15" cm="1">
        <f t="array" ref="D3951">SUM(D3949:D3950)</f>
        <v>100</v>
      </c>
      <c r="E3951" s="15" cm="1">
        <f t="array" ref="E3951">SUM(E3949:E3950)</f>
        <v>100</v>
      </c>
      <c r="F3951" s="16" cm="1">
        <f t="array" ref="F3951">SUM(F3949:F3950)</f>
        <v>0</v>
      </c>
      <c r="G3951" s="16" cm="1">
        <f t="array" ref="G3951">SUM(G3949:G3950)</f>
        <v>0</v>
      </c>
      <c r="H3951" s="16" cm="1">
        <f t="array" ref="H3951">SUM(H3949:H3950)</f>
        <v>0</v>
      </c>
      <c r="I3951" s="16" cm="1">
        <f t="array" ref="I3951">SUM(I3949:I3950)</f>
        <v>0</v>
      </c>
    </row>
    <row r="3952" ht="20.35" customHeight="1">
      <c r="A3952" s="10">
        <v>45625</v>
      </c>
      <c r="B3952" t="s" s="11">
        <v>5</v>
      </c>
      <c r="C3952" t="s" s="12">
        <v>677</v>
      </c>
      <c r="D3952" s="17"/>
      <c r="E3952" s="17">
        <v>5500</v>
      </c>
      <c r="F3952" s="18"/>
      <c r="G3952" s="18"/>
      <c r="H3952" s="18"/>
      <c r="I3952" s="18"/>
    </row>
    <row r="3953" ht="20.35" customHeight="1">
      <c r="A3953" s="10">
        <v>45625</v>
      </c>
      <c r="B3953" t="s" s="11">
        <v>10</v>
      </c>
      <c r="C3953" t="s" s="12">
        <v>677</v>
      </c>
      <c r="D3953" s="13">
        <v>5500</v>
      </c>
      <c r="E3953" s="13"/>
      <c r="F3953" s="14"/>
      <c r="G3953" s="14"/>
      <c r="H3953" s="14"/>
      <c r="I3953" s="14"/>
    </row>
    <row r="3954" ht="20.7" customHeight="1">
      <c r="A3954" s="10">
        <v>45625</v>
      </c>
      <c r="B3954" t="s" s="11">
        <v>8</v>
      </c>
      <c r="C3954" t="s" s="12">
        <v>8</v>
      </c>
      <c r="D3954" s="15" cm="1">
        <f t="array" ref="D3954">SUM(D3952:D3953)</f>
        <v>5500</v>
      </c>
      <c r="E3954" s="15" cm="1">
        <f t="array" ref="E3954">SUM(E3952:E3953)</f>
        <v>5500</v>
      </c>
      <c r="F3954" s="16" cm="1">
        <f t="array" ref="F3954">SUM(F3952:F3953)</f>
        <v>0</v>
      </c>
      <c r="G3954" s="16" cm="1">
        <f t="array" ref="G3954">SUM(G3952:G3953)</f>
        <v>0</v>
      </c>
      <c r="H3954" s="16" cm="1">
        <f t="array" ref="H3954">SUM(H3952:H3953)</f>
        <v>0</v>
      </c>
      <c r="I3954" s="16" cm="1">
        <f t="array" ref="I3954">SUM(I3952:I3953)</f>
        <v>0</v>
      </c>
    </row>
    <row r="3955" ht="20.35" customHeight="1">
      <c r="A3955" s="10">
        <v>45625</v>
      </c>
      <c r="B3955" t="s" s="11">
        <v>91</v>
      </c>
      <c r="C3955" t="s" s="12">
        <v>472</v>
      </c>
      <c r="D3955" s="17"/>
      <c r="E3955" s="17">
        <v>163000</v>
      </c>
      <c r="F3955" s="18"/>
      <c r="G3955" s="18"/>
      <c r="H3955" s="18"/>
      <c r="I3955" s="18"/>
    </row>
    <row r="3956" ht="20.35" customHeight="1">
      <c r="A3956" s="10">
        <v>45625</v>
      </c>
      <c r="B3956" t="s" s="11">
        <v>93</v>
      </c>
      <c r="C3956" t="s" s="12">
        <v>472</v>
      </c>
      <c r="D3956" s="13">
        <v>163000</v>
      </c>
      <c r="E3956" s="13"/>
      <c r="F3956" s="14"/>
      <c r="G3956" s="14"/>
      <c r="H3956" s="14"/>
      <c r="I3956" s="14"/>
    </row>
    <row r="3957" ht="20.7" customHeight="1">
      <c r="A3957" s="10">
        <v>45625</v>
      </c>
      <c r="B3957" t="s" s="11">
        <v>8</v>
      </c>
      <c r="C3957" t="s" s="12">
        <v>8</v>
      </c>
      <c r="D3957" s="15" cm="1">
        <f t="array" ref="D3957">SUM(D3955:D3956)</f>
        <v>163000</v>
      </c>
      <c r="E3957" s="15" cm="1">
        <f t="array" ref="E3957">SUM(E3955:E3956)</f>
        <v>163000</v>
      </c>
      <c r="F3957" s="16" cm="1">
        <f t="array" ref="F3957">SUM(F3955:F3956)</f>
        <v>0</v>
      </c>
      <c r="G3957" s="16" cm="1">
        <f t="array" ref="G3957">SUM(G3955:G3956)</f>
        <v>0</v>
      </c>
      <c r="H3957" s="16" cm="1">
        <f t="array" ref="H3957">SUM(H3955:H3956)</f>
        <v>0</v>
      </c>
      <c r="I3957" s="16" cm="1">
        <f t="array" ref="I3957">SUM(I3955:I3956)</f>
        <v>0</v>
      </c>
    </row>
    <row r="3958" ht="20.35" customHeight="1">
      <c r="A3958" s="10">
        <v>45625</v>
      </c>
      <c r="B3958" t="s" s="11">
        <v>5</v>
      </c>
      <c r="C3958" t="s" s="12">
        <v>678</v>
      </c>
      <c r="D3958" s="17"/>
      <c r="E3958" s="17">
        <v>69800</v>
      </c>
      <c r="F3958" s="18"/>
      <c r="G3958" s="18"/>
      <c r="H3958" s="18"/>
      <c r="I3958" s="18"/>
    </row>
    <row r="3959" ht="20.05" customHeight="1">
      <c r="A3959" s="10">
        <v>45625</v>
      </c>
      <c r="B3959" t="s" s="11">
        <v>12</v>
      </c>
      <c r="C3959" t="s" s="12">
        <v>678</v>
      </c>
      <c r="D3959" s="19">
        <v>34900</v>
      </c>
      <c r="E3959" s="19"/>
      <c r="F3959" s="20"/>
      <c r="G3959" s="20"/>
      <c r="H3959" s="20"/>
      <c r="I3959" s="20"/>
    </row>
    <row r="3960" ht="20.35" customHeight="1">
      <c r="A3960" s="10">
        <v>45625</v>
      </c>
      <c r="B3960" t="s" s="11">
        <v>89</v>
      </c>
      <c r="C3960" t="s" s="12">
        <v>678</v>
      </c>
      <c r="D3960" s="13">
        <v>34900</v>
      </c>
      <c r="E3960" s="13"/>
      <c r="F3960" s="14"/>
      <c r="G3960" s="14"/>
      <c r="H3960" s="14"/>
      <c r="I3960" s="14"/>
    </row>
    <row r="3961" ht="20.7" customHeight="1">
      <c r="A3961" s="10">
        <v>45625</v>
      </c>
      <c r="B3961" t="s" s="11">
        <v>8</v>
      </c>
      <c r="C3961" t="s" s="12">
        <v>8</v>
      </c>
      <c r="D3961" s="15" cm="1">
        <f t="array" ref="D3961">SUM(D3958:D3960)</f>
        <v>69800</v>
      </c>
      <c r="E3961" s="15" cm="1">
        <f t="array" ref="E3961">SUM(E3958:E3960)</f>
        <v>69800</v>
      </c>
      <c r="F3961" s="16" cm="1">
        <f t="array" ref="F3961">SUM(F3958:F3960)</f>
        <v>0</v>
      </c>
      <c r="G3961" s="16" cm="1">
        <f t="array" ref="G3961">SUM(G3958:G3960)</f>
        <v>0</v>
      </c>
      <c r="H3961" s="16" cm="1">
        <f t="array" ref="H3961">SUM(H3958:H3960)</f>
        <v>0</v>
      </c>
      <c r="I3961" s="16" cm="1">
        <f t="array" ref="I3961">SUM(I3958:I3960)</f>
        <v>0</v>
      </c>
    </row>
    <row r="3962" ht="20.35" customHeight="1">
      <c r="A3962" s="10">
        <v>45625</v>
      </c>
      <c r="B3962" t="s" s="11">
        <v>89</v>
      </c>
      <c r="C3962" t="s" s="12">
        <v>678</v>
      </c>
      <c r="D3962" s="17"/>
      <c r="E3962" s="17">
        <v>34900</v>
      </c>
      <c r="F3962" s="18"/>
      <c r="G3962" s="18"/>
      <c r="H3962" s="18"/>
      <c r="I3962" s="18"/>
    </row>
    <row r="3963" ht="20.35" customHeight="1">
      <c r="A3963" s="10">
        <v>45625</v>
      </c>
      <c r="B3963" t="s" s="11">
        <v>107</v>
      </c>
      <c r="C3963" t="s" s="12">
        <v>678</v>
      </c>
      <c r="D3963" s="13">
        <v>34900</v>
      </c>
      <c r="E3963" s="13"/>
      <c r="F3963" s="14"/>
      <c r="G3963" s="14"/>
      <c r="H3963" s="14"/>
      <c r="I3963" s="14"/>
    </row>
    <row r="3964" ht="20.7" customHeight="1">
      <c r="A3964" s="10">
        <v>45625</v>
      </c>
      <c r="B3964" t="s" s="11">
        <v>8</v>
      </c>
      <c r="C3964" t="s" s="12">
        <v>8</v>
      </c>
      <c r="D3964" s="15" cm="1">
        <f t="array" ref="D3964">SUM(D3962:D3963)</f>
        <v>34900</v>
      </c>
      <c r="E3964" s="15" cm="1">
        <f t="array" ref="E3964">SUM(E3962:E3963)</f>
        <v>34900</v>
      </c>
      <c r="F3964" s="16" cm="1">
        <f t="array" ref="F3964">SUM(F3962:F3963)</f>
        <v>0</v>
      </c>
      <c r="G3964" s="16" cm="1">
        <f t="array" ref="G3964">SUM(G3962:G3963)</f>
        <v>0</v>
      </c>
      <c r="H3964" s="16" cm="1">
        <f t="array" ref="H3964">SUM(H3962:H3963)</f>
        <v>0</v>
      </c>
      <c r="I3964" s="16" cm="1">
        <f t="array" ref="I3964">SUM(I3962:I3963)</f>
        <v>0</v>
      </c>
    </row>
    <row r="3965" ht="21.25" customHeight="1">
      <c r="A3965" s="10">
        <v>45625</v>
      </c>
      <c r="B3965" t="s" s="11">
        <v>21</v>
      </c>
      <c r="C3965" t="s" s="12">
        <v>679</v>
      </c>
      <c r="D3965" s="17"/>
      <c r="E3965" s="17">
        <v>4500</v>
      </c>
      <c r="F3965" s="18"/>
      <c r="G3965" s="18"/>
      <c r="H3965" s="18"/>
      <c r="I3965" s="18"/>
    </row>
    <row r="3966" ht="21.25" customHeight="1">
      <c r="A3966" s="10">
        <v>45625</v>
      </c>
      <c r="B3966" t="s" s="11">
        <v>16</v>
      </c>
      <c r="C3966" t="s" s="12">
        <v>679</v>
      </c>
      <c r="D3966" s="13">
        <v>4500</v>
      </c>
      <c r="E3966" s="13"/>
      <c r="F3966" s="14"/>
      <c r="G3966" s="14"/>
      <c r="H3966" s="14"/>
      <c r="I3966" s="14"/>
    </row>
    <row r="3967" ht="20.7" customHeight="1">
      <c r="A3967" s="10">
        <v>45625</v>
      </c>
      <c r="B3967" t="s" s="11">
        <v>8</v>
      </c>
      <c r="C3967" t="s" s="12">
        <v>8</v>
      </c>
      <c r="D3967" s="15" cm="1">
        <f t="array" ref="D3967">SUM(D3965:D3966)</f>
        <v>4500</v>
      </c>
      <c r="E3967" s="15" cm="1">
        <f t="array" ref="E3967">SUM(E3965:E3966)</f>
        <v>4500</v>
      </c>
      <c r="F3967" s="16" cm="1">
        <f t="array" ref="F3967">SUM(F3965:F3966)</f>
        <v>0</v>
      </c>
      <c r="G3967" s="16" cm="1">
        <f t="array" ref="G3967">SUM(G3965:G3966)</f>
        <v>0</v>
      </c>
      <c r="H3967" s="16" cm="1">
        <f t="array" ref="H3967">SUM(H3965:H3966)</f>
        <v>0</v>
      </c>
      <c r="I3967" s="16" cm="1">
        <f t="array" ref="I3967">SUM(I3965:I3966)</f>
        <v>0</v>
      </c>
    </row>
    <row r="3968" ht="20.35" customHeight="1">
      <c r="A3968" s="10">
        <v>45626</v>
      </c>
      <c r="B3968" t="s" s="11">
        <v>93</v>
      </c>
      <c r="C3968" t="s" s="12">
        <v>368</v>
      </c>
      <c r="D3968" s="17">
        <v>100000</v>
      </c>
      <c r="E3968" s="17"/>
      <c r="F3968" s="18"/>
      <c r="G3968" s="18"/>
      <c r="H3968" s="18"/>
      <c r="I3968" s="18"/>
    </row>
    <row r="3969" ht="20.35" customHeight="1">
      <c r="A3969" s="10">
        <v>45626</v>
      </c>
      <c r="B3969" t="s" s="11">
        <v>89</v>
      </c>
      <c r="C3969" t="s" s="12">
        <v>368</v>
      </c>
      <c r="D3969" s="13"/>
      <c r="E3969" s="13">
        <v>100000</v>
      </c>
      <c r="F3969" s="14"/>
      <c r="G3969" s="14"/>
      <c r="H3969" s="14"/>
      <c r="I3969" s="14"/>
    </row>
    <row r="3970" ht="20.7" customHeight="1">
      <c r="A3970" s="10">
        <v>45626</v>
      </c>
      <c r="B3970" t="s" s="11">
        <v>8</v>
      </c>
      <c r="C3970" t="s" s="12">
        <v>8</v>
      </c>
      <c r="D3970" s="15" cm="1">
        <f t="array" ref="D3970">SUM(D3968:D3969)</f>
        <v>100000</v>
      </c>
      <c r="E3970" s="15" cm="1">
        <f t="array" ref="E3970">SUM(E3968:E3969)</f>
        <v>100000</v>
      </c>
      <c r="F3970" s="16" cm="1">
        <f t="array" ref="F3970">SUM(F3968:F3969)</f>
        <v>0</v>
      </c>
      <c r="G3970" s="16" cm="1">
        <f t="array" ref="G3970">SUM(G3968:G3969)</f>
        <v>0</v>
      </c>
      <c r="H3970" s="16" cm="1">
        <f t="array" ref="H3970">SUM(H3968:H3969)</f>
        <v>0</v>
      </c>
      <c r="I3970" s="16" cm="1">
        <f t="array" ref="I3970">SUM(I3968:I3969)</f>
        <v>0</v>
      </c>
    </row>
    <row r="3971" ht="20.35" customHeight="1">
      <c r="A3971" s="10">
        <v>45626</v>
      </c>
      <c r="B3971" t="s" s="11">
        <v>93</v>
      </c>
      <c r="C3971" t="s" s="12">
        <v>680</v>
      </c>
      <c r="D3971" s="17">
        <v>50000</v>
      </c>
      <c r="E3971" s="17"/>
      <c r="F3971" s="18"/>
      <c r="G3971" s="18"/>
      <c r="H3971" s="18"/>
      <c r="I3971" s="18"/>
    </row>
    <row r="3972" ht="20.35" customHeight="1">
      <c r="A3972" s="10">
        <v>45626</v>
      </c>
      <c r="B3972" t="s" s="11">
        <v>91</v>
      </c>
      <c r="C3972" t="s" s="12">
        <v>680</v>
      </c>
      <c r="D3972" s="13"/>
      <c r="E3972" s="13">
        <v>50000</v>
      </c>
      <c r="F3972" s="14"/>
      <c r="G3972" s="14"/>
      <c r="H3972" s="14"/>
      <c r="I3972" s="14"/>
    </row>
    <row r="3973" ht="20.7" customHeight="1">
      <c r="A3973" s="10">
        <v>45626</v>
      </c>
      <c r="B3973" t="s" s="11">
        <v>8</v>
      </c>
      <c r="C3973" t="s" s="12">
        <v>8</v>
      </c>
      <c r="D3973" s="15" cm="1">
        <f t="array" ref="D3973">SUM(D3971:D3972)</f>
        <v>50000</v>
      </c>
      <c r="E3973" s="15" cm="1">
        <f t="array" ref="E3973">SUM(E3971:E3972)</f>
        <v>50000</v>
      </c>
      <c r="F3973" s="16" cm="1">
        <f t="array" ref="F3973">SUM(F3971:F3972)</f>
        <v>0</v>
      </c>
      <c r="G3973" s="16" cm="1">
        <f t="array" ref="G3973">SUM(G3971:G3972)</f>
        <v>0</v>
      </c>
      <c r="H3973" s="16" cm="1">
        <f t="array" ref="H3973">SUM(H3971:H3972)</f>
        <v>0</v>
      </c>
      <c r="I3973" s="16" cm="1">
        <f t="array" ref="I3973">SUM(I3971:I3972)</f>
        <v>0</v>
      </c>
    </row>
    <row r="3974" ht="20.35" customHeight="1">
      <c r="A3974" s="10">
        <v>45626</v>
      </c>
      <c r="B3974" t="s" s="11">
        <v>93</v>
      </c>
      <c r="C3974" t="s" s="12">
        <v>681</v>
      </c>
      <c r="D3974" s="17"/>
      <c r="E3974" s="17">
        <v>50000</v>
      </c>
      <c r="F3974" s="18"/>
      <c r="G3974" s="18"/>
      <c r="H3974" s="18"/>
      <c r="I3974" s="18"/>
    </row>
    <row r="3975" ht="20.35" customHeight="1">
      <c r="A3975" s="10">
        <v>45626</v>
      </c>
      <c r="B3975" t="s" s="11">
        <v>91</v>
      </c>
      <c r="C3975" t="s" s="12">
        <v>681</v>
      </c>
      <c r="D3975" s="13">
        <v>50000</v>
      </c>
      <c r="E3975" s="13"/>
      <c r="F3975" s="14"/>
      <c r="G3975" s="14"/>
      <c r="H3975" s="14"/>
      <c r="I3975" s="14"/>
    </row>
    <row r="3976" ht="20.7" customHeight="1">
      <c r="A3976" s="10">
        <v>45626</v>
      </c>
      <c r="B3976" t="s" s="11">
        <v>8</v>
      </c>
      <c r="C3976" t="s" s="12">
        <v>8</v>
      </c>
      <c r="D3976" s="15" cm="1">
        <f t="array" ref="D3976">SUM(D3974:D3975)</f>
        <v>50000</v>
      </c>
      <c r="E3976" s="15" cm="1">
        <f t="array" ref="E3976">SUM(E3974:E3975)</f>
        <v>50000</v>
      </c>
      <c r="F3976" s="16" cm="1">
        <f t="array" ref="F3976">SUM(F3974:F3975)</f>
        <v>0</v>
      </c>
      <c r="G3976" s="16" cm="1">
        <f t="array" ref="G3976">SUM(G3974:G3975)</f>
        <v>0</v>
      </c>
      <c r="H3976" s="16" cm="1">
        <f t="array" ref="H3976">SUM(H3974:H3975)</f>
        <v>0</v>
      </c>
      <c r="I3976" s="16" cm="1">
        <f t="array" ref="I3976">SUM(I3974:I3975)</f>
        <v>0</v>
      </c>
    </row>
    <row r="3977" ht="20.35" customHeight="1">
      <c r="A3977" s="10">
        <v>45626</v>
      </c>
      <c r="B3977" t="s" s="11">
        <v>93</v>
      </c>
      <c r="C3977" t="s" s="12">
        <v>682</v>
      </c>
      <c r="D3977" s="17">
        <v>50000</v>
      </c>
      <c r="E3977" s="17"/>
      <c r="F3977" s="18"/>
      <c r="G3977" s="18"/>
      <c r="H3977" s="18"/>
      <c r="I3977" s="18"/>
    </row>
    <row r="3978" ht="20.35" customHeight="1">
      <c r="A3978" s="10">
        <v>45626</v>
      </c>
      <c r="B3978" t="s" s="11">
        <v>91</v>
      </c>
      <c r="C3978" t="s" s="12">
        <v>682</v>
      </c>
      <c r="D3978" s="13"/>
      <c r="E3978" s="13">
        <v>50000</v>
      </c>
      <c r="F3978" s="14"/>
      <c r="G3978" s="14"/>
      <c r="H3978" s="14"/>
      <c r="I3978" s="14"/>
    </row>
    <row r="3979" ht="20.7" customHeight="1">
      <c r="A3979" s="10">
        <v>45626</v>
      </c>
      <c r="B3979" t="s" s="11">
        <v>8</v>
      </c>
      <c r="C3979" t="s" s="12">
        <v>8</v>
      </c>
      <c r="D3979" s="15" cm="1">
        <f t="array" ref="D3979">SUM(D3977:D3978)</f>
        <v>50000</v>
      </c>
      <c r="E3979" s="15" cm="1">
        <f t="array" ref="E3979">SUM(E3977:E3978)</f>
        <v>50000</v>
      </c>
      <c r="F3979" s="16" cm="1">
        <f t="array" ref="F3979">SUM(F3977:F3978)</f>
        <v>0</v>
      </c>
      <c r="G3979" s="16" cm="1">
        <f t="array" ref="G3979">SUM(G3977:G3978)</f>
        <v>0</v>
      </c>
      <c r="H3979" s="16" cm="1">
        <f t="array" ref="H3979">SUM(H3977:H3978)</f>
        <v>0</v>
      </c>
      <c r="I3979" s="16" cm="1">
        <f t="array" ref="I3979">SUM(I3977:I3978)</f>
        <v>0</v>
      </c>
    </row>
    <row r="3980" ht="21.25" customHeight="1">
      <c r="A3980" s="10">
        <v>45626</v>
      </c>
      <c r="B3980" t="s" s="11">
        <v>5</v>
      </c>
      <c r="C3980" t="s" s="12">
        <v>683</v>
      </c>
      <c r="D3980" s="17"/>
      <c r="E3980" s="17">
        <v>208000</v>
      </c>
      <c r="F3980" s="18"/>
      <c r="G3980" s="18"/>
      <c r="H3980" s="18"/>
      <c r="I3980" s="18"/>
    </row>
    <row r="3981" ht="21.25" customHeight="1">
      <c r="A3981" s="10">
        <v>45626</v>
      </c>
      <c r="B3981" t="s" s="11">
        <v>10</v>
      </c>
      <c r="C3981" t="s" s="12">
        <v>683</v>
      </c>
      <c r="D3981" s="13">
        <v>208000</v>
      </c>
      <c r="E3981" s="13"/>
      <c r="F3981" s="14"/>
      <c r="G3981" s="14"/>
      <c r="H3981" s="14"/>
      <c r="I3981" s="14"/>
    </row>
    <row r="3982" ht="20.7" customHeight="1">
      <c r="A3982" s="10">
        <v>45626</v>
      </c>
      <c r="B3982" t="s" s="11">
        <v>8</v>
      </c>
      <c r="C3982" t="s" s="12">
        <v>8</v>
      </c>
      <c r="D3982" s="15" cm="1">
        <f t="array" ref="D3982">SUM(D3980:D3981)</f>
        <v>208000</v>
      </c>
      <c r="E3982" s="15" cm="1">
        <f t="array" ref="E3982">SUM(E3980:E3981)</f>
        <v>208000</v>
      </c>
      <c r="F3982" s="16" cm="1">
        <f t="array" ref="F3982">SUM(F3980:F3981)</f>
        <v>0</v>
      </c>
      <c r="G3982" s="16" cm="1">
        <f t="array" ref="G3982">SUM(G3980:G3981)</f>
        <v>0</v>
      </c>
      <c r="H3982" s="16" cm="1">
        <f t="array" ref="H3982">SUM(H3980:H3981)</f>
        <v>0</v>
      </c>
      <c r="I3982" s="16" cm="1">
        <f t="array" ref="I3982">SUM(I3980:I3981)</f>
        <v>0</v>
      </c>
    </row>
    <row r="3983" ht="21.25" customHeight="1">
      <c r="A3983" s="10">
        <v>45626</v>
      </c>
      <c r="B3983" t="s" s="11">
        <v>5</v>
      </c>
      <c r="C3983" t="s" s="12">
        <v>684</v>
      </c>
      <c r="D3983" s="17"/>
      <c r="E3983" s="17">
        <v>58000</v>
      </c>
      <c r="F3983" s="18"/>
      <c r="G3983" s="18"/>
      <c r="H3983" s="18"/>
      <c r="I3983" s="18"/>
    </row>
    <row r="3984" ht="20.9" customHeight="1">
      <c r="A3984" s="10">
        <v>45626</v>
      </c>
      <c r="B3984" t="s" s="11">
        <v>12</v>
      </c>
      <c r="C3984" t="s" s="12">
        <v>684</v>
      </c>
      <c r="D3984" s="19">
        <v>28000</v>
      </c>
      <c r="E3984" s="19"/>
      <c r="F3984" s="20"/>
      <c r="G3984" s="20"/>
      <c r="H3984" s="20"/>
      <c r="I3984" s="20"/>
    </row>
    <row r="3985" ht="21.25" customHeight="1">
      <c r="A3985" s="10">
        <v>45626</v>
      </c>
      <c r="B3985" t="s" s="11">
        <v>10</v>
      </c>
      <c r="C3985" t="s" s="12">
        <v>684</v>
      </c>
      <c r="D3985" s="13">
        <v>30000</v>
      </c>
      <c r="E3985" s="13"/>
      <c r="F3985" s="14"/>
      <c r="G3985" s="14"/>
      <c r="H3985" s="14"/>
      <c r="I3985" s="14"/>
    </row>
    <row r="3986" ht="20.7" customHeight="1">
      <c r="A3986" s="10">
        <v>45626</v>
      </c>
      <c r="B3986" t="s" s="11">
        <v>8</v>
      </c>
      <c r="C3986" t="s" s="12">
        <v>8</v>
      </c>
      <c r="D3986" s="15" cm="1">
        <f t="array" ref="D3986">SUM(D3983:D3985)</f>
        <v>58000</v>
      </c>
      <c r="E3986" s="15" cm="1">
        <f t="array" ref="E3986">SUM(E3983:E3985)</f>
        <v>58000</v>
      </c>
      <c r="F3986" s="16" cm="1">
        <f t="array" ref="F3986">SUM(F3983:F3985)</f>
        <v>0</v>
      </c>
      <c r="G3986" s="16" cm="1">
        <f t="array" ref="G3986">SUM(G3983:G3985)</f>
        <v>0</v>
      </c>
      <c r="H3986" s="16" cm="1">
        <f t="array" ref="H3986">SUM(H3983:H3985)</f>
        <v>0</v>
      </c>
      <c r="I3986" s="16" cm="1">
        <f t="array" ref="I3986">SUM(I3983:I3985)</f>
        <v>0</v>
      </c>
    </row>
    <row r="3987" ht="21.25" customHeight="1">
      <c r="A3987" s="10">
        <v>45626</v>
      </c>
      <c r="B3987" t="s" s="11">
        <v>5</v>
      </c>
      <c r="C3987" t="s" s="12">
        <v>685</v>
      </c>
      <c r="D3987" s="17"/>
      <c r="E3987" s="17">
        <v>14300</v>
      </c>
      <c r="F3987" s="18"/>
      <c r="G3987" s="18"/>
      <c r="H3987" s="18"/>
      <c r="I3987" s="18"/>
    </row>
    <row r="3988" ht="20.9" customHeight="1">
      <c r="A3988" s="10">
        <v>45626</v>
      </c>
      <c r="B3988" t="s" s="11">
        <v>12</v>
      </c>
      <c r="C3988" t="s" s="12">
        <v>685</v>
      </c>
      <c r="D3988" s="19">
        <v>7150</v>
      </c>
      <c r="E3988" s="19"/>
      <c r="F3988" s="20"/>
      <c r="G3988" s="20"/>
      <c r="H3988" s="20"/>
      <c r="I3988" s="20"/>
    </row>
    <row r="3989" ht="21.25" customHeight="1">
      <c r="A3989" s="10">
        <v>45626</v>
      </c>
      <c r="B3989" t="s" s="11">
        <v>10</v>
      </c>
      <c r="C3989" t="s" s="12">
        <v>685</v>
      </c>
      <c r="D3989" s="13">
        <v>7150</v>
      </c>
      <c r="E3989" s="13"/>
      <c r="F3989" s="14"/>
      <c r="G3989" s="14"/>
      <c r="H3989" s="14"/>
      <c r="I3989" s="14"/>
    </row>
    <row r="3990" ht="20.7" customHeight="1">
      <c r="A3990" s="10">
        <v>45626</v>
      </c>
      <c r="B3990" t="s" s="11">
        <v>8</v>
      </c>
      <c r="C3990" t="s" s="12">
        <v>8</v>
      </c>
      <c r="D3990" s="15" cm="1">
        <f t="array" ref="D3990">SUM(D3987:D3989)</f>
        <v>14300</v>
      </c>
      <c r="E3990" s="15" cm="1">
        <f t="array" ref="E3990">SUM(E3987:E3989)</f>
        <v>14300</v>
      </c>
      <c r="F3990" s="16" cm="1">
        <f t="array" ref="F3990">SUM(F3987:F3989)</f>
        <v>0</v>
      </c>
      <c r="G3990" s="16" cm="1">
        <f t="array" ref="G3990">SUM(G3987:G3989)</f>
        <v>0</v>
      </c>
      <c r="H3990" s="16" cm="1">
        <f t="array" ref="H3990">SUM(H3987:H3989)</f>
        <v>0</v>
      </c>
      <c r="I3990" s="16" cm="1">
        <f t="array" ref="I3990">SUM(I3987:I3989)</f>
        <v>0</v>
      </c>
    </row>
    <row r="3991" ht="21.25" customHeight="1">
      <c r="A3991" s="10">
        <v>45626</v>
      </c>
      <c r="B3991" t="s" s="11">
        <v>5</v>
      </c>
      <c r="C3991" t="s" s="12">
        <v>635</v>
      </c>
      <c r="D3991" s="17"/>
      <c r="E3991" s="17">
        <v>5000</v>
      </c>
      <c r="F3991" s="18"/>
      <c r="G3991" s="18"/>
      <c r="H3991" s="18"/>
      <c r="I3991" s="18"/>
    </row>
    <row r="3992" ht="21.25" customHeight="1">
      <c r="A3992" s="10">
        <v>45626</v>
      </c>
      <c r="B3992" t="s" s="11">
        <v>10</v>
      </c>
      <c r="C3992" t="s" s="12">
        <v>635</v>
      </c>
      <c r="D3992" s="13">
        <v>5000</v>
      </c>
      <c r="E3992" s="13"/>
      <c r="F3992" s="14"/>
      <c r="G3992" s="14"/>
      <c r="H3992" s="14"/>
      <c r="I3992" s="14"/>
    </row>
    <row r="3993" ht="20.7" customHeight="1">
      <c r="A3993" s="10">
        <v>45626</v>
      </c>
      <c r="B3993" t="s" s="11">
        <v>8</v>
      </c>
      <c r="C3993" t="s" s="12">
        <v>8</v>
      </c>
      <c r="D3993" s="15" cm="1">
        <f t="array" ref="D3993">SUM(D3991:D3992)</f>
        <v>5000</v>
      </c>
      <c r="E3993" s="15" cm="1">
        <f t="array" ref="E3993">SUM(E3991:E3992)</f>
        <v>5000</v>
      </c>
      <c r="F3993" s="16" cm="1">
        <f t="array" ref="F3993">SUM(F3991:F3992)</f>
        <v>0</v>
      </c>
      <c r="G3993" s="16" cm="1">
        <f t="array" ref="G3993">SUM(G3991:G3992)</f>
        <v>0</v>
      </c>
      <c r="H3993" s="16" cm="1">
        <f t="array" ref="H3993">SUM(H3991:H3992)</f>
        <v>0</v>
      </c>
      <c r="I3993" s="16" cm="1">
        <f t="array" ref="I3993">SUM(I3991:I3992)</f>
        <v>0</v>
      </c>
    </row>
    <row r="3994" ht="20.35" customHeight="1">
      <c r="A3994" s="10">
        <v>45626</v>
      </c>
      <c r="B3994" t="s" s="11">
        <v>5</v>
      </c>
      <c r="C3994" t="s" s="12">
        <v>17</v>
      </c>
      <c r="D3994" s="17">
        <v>100</v>
      </c>
      <c r="E3994" s="17"/>
      <c r="F3994" s="18"/>
      <c r="G3994" s="18"/>
      <c r="H3994" s="18"/>
      <c r="I3994" s="18"/>
    </row>
    <row r="3995" ht="20.35" customHeight="1">
      <c r="A3995" s="10">
        <v>45626</v>
      </c>
      <c r="B3995" t="s" s="11">
        <v>18</v>
      </c>
      <c r="C3995" t="s" s="12">
        <v>17</v>
      </c>
      <c r="D3995" s="13"/>
      <c r="E3995" s="13">
        <v>100</v>
      </c>
      <c r="F3995" s="14"/>
      <c r="G3995" s="14"/>
      <c r="H3995" s="14"/>
      <c r="I3995" s="14"/>
    </row>
    <row r="3996" ht="20.7" customHeight="1">
      <c r="A3996" s="10">
        <v>45626</v>
      </c>
      <c r="B3996" t="s" s="11">
        <v>8</v>
      </c>
      <c r="C3996" t="s" s="12">
        <v>8</v>
      </c>
      <c r="D3996" s="15" cm="1">
        <f t="array" ref="D3996">SUM(D3994:D3995)</f>
        <v>100</v>
      </c>
      <c r="E3996" s="15" cm="1">
        <f t="array" ref="E3996">SUM(E3994:E3995)</f>
        <v>100</v>
      </c>
      <c r="F3996" s="16" cm="1">
        <f t="array" ref="F3996">SUM(F3994:F3995)</f>
        <v>0</v>
      </c>
      <c r="G3996" s="16" cm="1">
        <f t="array" ref="G3996">SUM(G3994:G3995)</f>
        <v>0</v>
      </c>
      <c r="H3996" s="16" cm="1">
        <f t="array" ref="H3996">SUM(H3994:H3995)</f>
        <v>0</v>
      </c>
      <c r="I3996" s="16" cm="1">
        <f t="array" ref="I3996">SUM(I3994:I3995)</f>
        <v>0</v>
      </c>
    </row>
    <row r="3997" ht="20.35" customHeight="1">
      <c r="A3997" s="10">
        <v>45626</v>
      </c>
      <c r="B3997" t="s" s="11">
        <v>5</v>
      </c>
      <c r="C3997" t="s" s="12">
        <v>686</v>
      </c>
      <c r="D3997" s="17"/>
      <c r="E3997" s="17">
        <v>14000</v>
      </c>
      <c r="F3997" s="18"/>
      <c r="G3997" s="18"/>
      <c r="H3997" s="18"/>
      <c r="I3997" s="18"/>
    </row>
    <row r="3998" ht="20.35" customHeight="1">
      <c r="A3998" s="10">
        <v>45626</v>
      </c>
      <c r="B3998" t="s" s="11">
        <v>10</v>
      </c>
      <c r="C3998" t="s" s="12">
        <v>686</v>
      </c>
      <c r="D3998" s="13">
        <v>14000</v>
      </c>
      <c r="E3998" s="13"/>
      <c r="F3998" s="14"/>
      <c r="G3998" s="14"/>
      <c r="H3998" s="14"/>
      <c r="I3998" s="14"/>
    </row>
    <row r="3999" ht="20.7" customHeight="1">
      <c r="A3999" s="10">
        <v>45626</v>
      </c>
      <c r="B3999" t="s" s="11">
        <v>8</v>
      </c>
      <c r="C3999" t="s" s="12">
        <v>8</v>
      </c>
      <c r="D3999" s="15" cm="1">
        <f t="array" ref="D3999">SUM(D3997:D3998)</f>
        <v>14000</v>
      </c>
      <c r="E3999" s="15" cm="1">
        <f t="array" ref="E3999">SUM(E3997:E3998)</f>
        <v>14000</v>
      </c>
      <c r="F3999" s="16" cm="1">
        <f t="array" ref="F3999">SUM(F3997:F3998)</f>
        <v>0</v>
      </c>
      <c r="G3999" s="16" cm="1">
        <f t="array" ref="G3999">SUM(G3997:G3998)</f>
        <v>0</v>
      </c>
      <c r="H3999" s="16" cm="1">
        <f t="array" ref="H3999">SUM(H3997:H3998)</f>
        <v>0</v>
      </c>
      <c r="I3999" s="16" cm="1">
        <f t="array" ref="I3999">SUM(I3997:I3998)</f>
        <v>0</v>
      </c>
    </row>
    <row r="4000" ht="20.35" customHeight="1">
      <c r="A4000" s="10">
        <v>45626</v>
      </c>
      <c r="B4000" t="s" s="11">
        <v>5</v>
      </c>
      <c r="C4000" t="s" s="12">
        <v>17</v>
      </c>
      <c r="D4000" s="17">
        <v>100</v>
      </c>
      <c r="E4000" s="17"/>
      <c r="F4000" s="18"/>
      <c r="G4000" s="18"/>
      <c r="H4000" s="18"/>
      <c r="I4000" s="18"/>
    </row>
    <row r="4001" ht="20.35" customHeight="1">
      <c r="A4001" s="10">
        <v>45626</v>
      </c>
      <c r="B4001" t="s" s="11">
        <v>18</v>
      </c>
      <c r="C4001" t="s" s="12">
        <v>17</v>
      </c>
      <c r="D4001" s="13"/>
      <c r="E4001" s="13">
        <v>100</v>
      </c>
      <c r="F4001" s="14"/>
      <c r="G4001" s="14"/>
      <c r="H4001" s="14"/>
      <c r="I4001" s="14"/>
    </row>
    <row r="4002" ht="20.7" customHeight="1">
      <c r="A4002" s="10">
        <v>45626</v>
      </c>
      <c r="B4002" t="s" s="11">
        <v>8</v>
      </c>
      <c r="C4002" t="s" s="12">
        <v>8</v>
      </c>
      <c r="D4002" s="15" cm="1">
        <f t="array" ref="D4002">SUM(D4000:D4001)</f>
        <v>100</v>
      </c>
      <c r="E4002" s="15" cm="1">
        <f t="array" ref="E4002">SUM(E4000:E4001)</f>
        <v>100</v>
      </c>
      <c r="F4002" s="16" cm="1">
        <f t="array" ref="F4002">SUM(F4000:F4001)</f>
        <v>0</v>
      </c>
      <c r="G4002" s="16" cm="1">
        <f t="array" ref="G4002">SUM(G4000:G4001)</f>
        <v>0</v>
      </c>
      <c r="H4002" s="16" cm="1">
        <f t="array" ref="H4002">SUM(H4000:H4001)</f>
        <v>0</v>
      </c>
      <c r="I4002" s="16" cm="1">
        <f t="array" ref="I4002">SUM(I4000:I4001)</f>
        <v>0</v>
      </c>
    </row>
    <row r="4003" ht="20.35" customHeight="1">
      <c r="A4003" s="10">
        <v>45626</v>
      </c>
      <c r="B4003" t="s" s="11">
        <v>5</v>
      </c>
      <c r="C4003" t="s" s="12">
        <v>17</v>
      </c>
      <c r="D4003" s="17">
        <v>500</v>
      </c>
      <c r="E4003" s="17"/>
      <c r="F4003" s="18"/>
      <c r="G4003" s="18"/>
      <c r="H4003" s="18"/>
      <c r="I4003" s="18"/>
    </row>
    <row r="4004" ht="20.35" customHeight="1">
      <c r="A4004" s="10">
        <v>45626</v>
      </c>
      <c r="B4004" t="s" s="11">
        <v>18</v>
      </c>
      <c r="C4004" t="s" s="12">
        <v>17</v>
      </c>
      <c r="D4004" s="13"/>
      <c r="E4004" s="13">
        <v>500</v>
      </c>
      <c r="F4004" s="14"/>
      <c r="G4004" s="14"/>
      <c r="H4004" s="14"/>
      <c r="I4004" s="14"/>
    </row>
    <row r="4005" ht="20.7" customHeight="1">
      <c r="A4005" s="10">
        <v>45626</v>
      </c>
      <c r="B4005" t="s" s="11">
        <v>8</v>
      </c>
      <c r="C4005" t="s" s="12">
        <v>8</v>
      </c>
      <c r="D4005" s="15" cm="1">
        <f t="array" ref="D4005">SUM(D4003:D4004)</f>
        <v>500</v>
      </c>
      <c r="E4005" s="15" cm="1">
        <f t="array" ref="E4005">SUM(E4003:E4004)</f>
        <v>500</v>
      </c>
      <c r="F4005" s="16" cm="1">
        <f t="array" ref="F4005">SUM(F4003:F4004)</f>
        <v>0</v>
      </c>
      <c r="G4005" s="16" cm="1">
        <f t="array" ref="G4005">SUM(G4003:G4004)</f>
        <v>0</v>
      </c>
      <c r="H4005" s="16" cm="1">
        <f t="array" ref="H4005">SUM(H4003:H4004)</f>
        <v>0</v>
      </c>
      <c r="I4005" s="16" cm="1">
        <f t="array" ref="I4005">SUM(I4003:I4004)</f>
        <v>0</v>
      </c>
    </row>
    <row r="4006" ht="20.35" customHeight="1">
      <c r="A4006" s="10">
        <v>45626</v>
      </c>
      <c r="B4006" t="s" s="11">
        <v>5</v>
      </c>
      <c r="C4006" t="s" s="12">
        <v>687</v>
      </c>
      <c r="D4006" s="17"/>
      <c r="E4006" s="17">
        <v>15000</v>
      </c>
      <c r="F4006" s="18"/>
      <c r="G4006" s="18"/>
      <c r="H4006" s="18"/>
      <c r="I4006" s="18"/>
    </row>
    <row r="4007" ht="20.35" customHeight="1">
      <c r="A4007" s="10">
        <v>45626</v>
      </c>
      <c r="B4007" t="s" s="11">
        <v>89</v>
      </c>
      <c r="C4007" t="s" s="12">
        <v>687</v>
      </c>
      <c r="D4007" s="13">
        <v>15000</v>
      </c>
      <c r="E4007" s="13"/>
      <c r="F4007" s="14"/>
      <c r="G4007" s="14"/>
      <c r="H4007" s="14"/>
      <c r="I4007" s="14"/>
    </row>
    <row r="4008" ht="20.7" customHeight="1">
      <c r="A4008" s="10">
        <v>45626</v>
      </c>
      <c r="B4008" t="s" s="11">
        <v>8</v>
      </c>
      <c r="C4008" t="s" s="12">
        <v>8</v>
      </c>
      <c r="D4008" s="15" cm="1">
        <f t="array" ref="D4008">SUM(D4006:D4007)</f>
        <v>15000</v>
      </c>
      <c r="E4008" s="15" cm="1">
        <f t="array" ref="E4008">SUM(E4006:E4007)</f>
        <v>15000</v>
      </c>
      <c r="F4008" s="16" cm="1">
        <f t="array" ref="F4008">SUM(F4006:F4007)</f>
        <v>0</v>
      </c>
      <c r="G4008" s="16" cm="1">
        <f t="array" ref="G4008">SUM(G4006:G4007)</f>
        <v>0</v>
      </c>
      <c r="H4008" s="16" cm="1">
        <f t="array" ref="H4008">SUM(H4006:H4007)</f>
        <v>0</v>
      </c>
      <c r="I4008" s="16" cm="1">
        <f t="array" ref="I4008">SUM(I4006:I4007)</f>
        <v>0</v>
      </c>
    </row>
    <row r="4009" ht="20.35" customHeight="1">
      <c r="A4009" s="10">
        <v>45626</v>
      </c>
      <c r="B4009" t="s" s="11">
        <v>28</v>
      </c>
      <c r="C4009" t="s" s="12">
        <v>688</v>
      </c>
      <c r="D4009" s="17"/>
      <c r="E4009" s="17">
        <v>14000</v>
      </c>
      <c r="F4009" s="18"/>
      <c r="G4009" s="18"/>
      <c r="H4009" s="18"/>
      <c r="I4009" s="18"/>
    </row>
    <row r="4010" ht="20.35" customHeight="1">
      <c r="A4010" s="10">
        <v>45626</v>
      </c>
      <c r="B4010" t="s" s="11">
        <v>89</v>
      </c>
      <c r="C4010" t="s" s="12">
        <v>688</v>
      </c>
      <c r="D4010" s="13">
        <v>14000</v>
      </c>
      <c r="E4010" s="13"/>
      <c r="F4010" s="14"/>
      <c r="G4010" s="14"/>
      <c r="H4010" s="14"/>
      <c r="I4010" s="14"/>
    </row>
    <row r="4011" ht="20.7" customHeight="1">
      <c r="A4011" s="10">
        <v>45626</v>
      </c>
      <c r="B4011" t="s" s="11">
        <v>8</v>
      </c>
      <c r="C4011" t="s" s="12">
        <v>8</v>
      </c>
      <c r="D4011" s="15" cm="1">
        <f t="array" ref="D4011">SUM(D4009:D4010)</f>
        <v>14000</v>
      </c>
      <c r="E4011" s="15" cm="1">
        <f t="array" ref="E4011">SUM(E4009:E4010)</f>
        <v>14000</v>
      </c>
      <c r="F4011" s="16" cm="1">
        <f t="array" ref="F4011">SUM(F4009:F4010)</f>
        <v>0</v>
      </c>
      <c r="G4011" s="16" cm="1">
        <f t="array" ref="G4011">SUM(G4009:G4010)</f>
        <v>0</v>
      </c>
      <c r="H4011" s="16" cm="1">
        <f t="array" ref="H4011">SUM(H4009:H4010)</f>
        <v>0</v>
      </c>
      <c r="I4011" s="16" cm="1">
        <f t="array" ref="I4011">SUM(I4009:I4010)</f>
        <v>0</v>
      </c>
    </row>
    <row r="4012" ht="21.25" customHeight="1">
      <c r="A4012" s="10">
        <v>45626</v>
      </c>
      <c r="B4012" t="s" s="11">
        <v>21</v>
      </c>
      <c r="C4012" t="s" s="12">
        <v>689</v>
      </c>
      <c r="D4012" s="17"/>
      <c r="E4012" s="17">
        <v>4600</v>
      </c>
      <c r="F4012" s="18"/>
      <c r="G4012" s="18"/>
      <c r="H4012" s="18"/>
      <c r="I4012" s="18"/>
    </row>
    <row r="4013" ht="21.25" customHeight="1">
      <c r="A4013" s="10">
        <v>45626</v>
      </c>
      <c r="B4013" t="s" s="11">
        <v>16</v>
      </c>
      <c r="C4013" t="s" s="12">
        <v>689</v>
      </c>
      <c r="D4013" s="13">
        <v>4600</v>
      </c>
      <c r="E4013" s="13"/>
      <c r="F4013" s="14"/>
      <c r="G4013" s="14"/>
      <c r="H4013" s="14"/>
      <c r="I4013" s="14"/>
    </row>
    <row r="4014" ht="20.7" customHeight="1">
      <c r="A4014" s="10">
        <v>45626</v>
      </c>
      <c r="B4014" t="s" s="11">
        <v>8</v>
      </c>
      <c r="C4014" t="s" s="12">
        <v>8</v>
      </c>
      <c r="D4014" s="15" cm="1">
        <f t="array" ref="D4014">SUM(D4012:D4013)</f>
        <v>4600</v>
      </c>
      <c r="E4014" s="15" cm="1">
        <f t="array" ref="E4014">SUM(E4012:E4013)</f>
        <v>4600</v>
      </c>
      <c r="F4014" s="16" cm="1">
        <f t="array" ref="F4014">SUM(F4012:F4013)</f>
        <v>0</v>
      </c>
      <c r="G4014" s="16" cm="1">
        <f t="array" ref="G4014">SUM(G4012:G4013)</f>
        <v>0</v>
      </c>
      <c r="H4014" s="16" cm="1">
        <f t="array" ref="H4014">SUM(H4012:H4013)</f>
        <v>0</v>
      </c>
      <c r="I4014" s="16" cm="1">
        <f t="array" ref="I4014">SUM(I4012:I4013)</f>
        <v>0</v>
      </c>
    </row>
    <row r="4015" ht="20.35" customHeight="1">
      <c r="A4015" s="10">
        <v>45626</v>
      </c>
      <c r="B4015" t="s" s="11">
        <v>60</v>
      </c>
      <c r="C4015" t="s" s="12">
        <v>690</v>
      </c>
      <c r="D4015" s="17"/>
      <c r="E4015" s="17"/>
      <c r="F4015" s="18">
        <v>0.01</v>
      </c>
      <c r="G4015" s="18"/>
      <c r="H4015" s="18"/>
      <c r="I4015" s="18"/>
    </row>
    <row r="4016" ht="20.35" customHeight="1">
      <c r="A4016" s="10">
        <v>45626</v>
      </c>
      <c r="B4016" t="s" s="11">
        <v>104</v>
      </c>
      <c r="C4016" t="s" s="12">
        <v>690</v>
      </c>
      <c r="D4016" s="13"/>
      <c r="E4016" s="13"/>
      <c r="F4016" s="14"/>
      <c r="G4016" s="14">
        <v>0.01</v>
      </c>
      <c r="H4016" s="14"/>
      <c r="I4016" s="14"/>
    </row>
    <row r="4017" ht="20.7" customHeight="1">
      <c r="A4017" s="10">
        <v>45626</v>
      </c>
      <c r="B4017" t="s" s="11">
        <v>8</v>
      </c>
      <c r="C4017" t="s" s="12">
        <v>8</v>
      </c>
      <c r="D4017" s="15" cm="1">
        <f t="array" ref="D4017">SUM(D4015:D4016)</f>
        <v>0</v>
      </c>
      <c r="E4017" s="15" cm="1">
        <f t="array" ref="E4017">SUM(E4015:E4016)</f>
        <v>0</v>
      </c>
      <c r="F4017" s="16" cm="1">
        <f t="array" ref="F4017">SUM(F4015:F4016)</f>
        <v>0.01</v>
      </c>
      <c r="G4017" s="16" cm="1">
        <f t="array" ref="G4017">SUM(G4015:G4016)</f>
        <v>0.01</v>
      </c>
      <c r="H4017" s="16" cm="1">
        <f t="array" ref="H4017">SUM(H4015:H4016)</f>
        <v>0</v>
      </c>
      <c r="I4017" s="16" cm="1">
        <f t="array" ref="I4017">SUM(I4015:I4016)</f>
        <v>0</v>
      </c>
    </row>
    <row r="4018" ht="21.25" customHeight="1">
      <c r="A4018" s="10">
        <v>45627</v>
      </c>
      <c r="B4018" t="s" s="11">
        <v>97</v>
      </c>
      <c r="C4018" t="s" s="12">
        <v>691</v>
      </c>
      <c r="D4018" s="17"/>
      <c r="E4018" s="17">
        <v>650000</v>
      </c>
      <c r="F4018" s="18"/>
      <c r="G4018" s="18"/>
      <c r="H4018" s="18"/>
      <c r="I4018" s="18"/>
    </row>
    <row r="4019" ht="21.25" customHeight="1">
      <c r="A4019" s="10">
        <v>45627</v>
      </c>
      <c r="B4019" t="s" s="11">
        <v>99</v>
      </c>
      <c r="C4019" t="s" s="12">
        <v>691</v>
      </c>
      <c r="D4019" s="13">
        <v>650000</v>
      </c>
      <c r="E4019" s="13"/>
      <c r="F4019" s="14"/>
      <c r="G4019" s="14"/>
      <c r="H4019" s="14"/>
      <c r="I4019" s="14"/>
    </row>
    <row r="4020" ht="20.7" customHeight="1">
      <c r="A4020" s="10">
        <v>45627</v>
      </c>
      <c r="B4020" t="s" s="11">
        <v>8</v>
      </c>
      <c r="C4020" t="s" s="12">
        <v>8</v>
      </c>
      <c r="D4020" s="15" cm="1">
        <f t="array" ref="D4020">SUM(D4018:D4019)</f>
        <v>650000</v>
      </c>
      <c r="E4020" s="15" cm="1">
        <f t="array" ref="E4020">SUM(E4018:E4019)</f>
        <v>650000</v>
      </c>
      <c r="F4020" s="16" cm="1">
        <f t="array" ref="F4020">SUM(F4018:F4019)</f>
        <v>0</v>
      </c>
      <c r="G4020" s="16" cm="1">
        <f t="array" ref="G4020">SUM(G4018:G4019)</f>
        <v>0</v>
      </c>
      <c r="H4020" s="16" cm="1">
        <f t="array" ref="H4020">SUM(H4018:H4019)</f>
        <v>0</v>
      </c>
      <c r="I4020" s="16" cm="1">
        <f t="array" ref="I4020">SUM(I4018:I4019)</f>
        <v>0</v>
      </c>
    </row>
    <row r="4021" ht="21.25" customHeight="1">
      <c r="A4021" s="10">
        <v>45627</v>
      </c>
      <c r="B4021" t="s" s="11">
        <v>106</v>
      </c>
      <c r="C4021" t="s" s="12">
        <v>692</v>
      </c>
      <c r="D4021" s="17"/>
      <c r="E4021" s="17">
        <v>17500</v>
      </c>
      <c r="F4021" s="18"/>
      <c r="G4021" s="18"/>
      <c r="H4021" s="18"/>
      <c r="I4021" s="18"/>
    </row>
    <row r="4022" ht="21.25" customHeight="1">
      <c r="A4022" s="10">
        <v>45627</v>
      </c>
      <c r="B4022" t="s" s="11">
        <v>10</v>
      </c>
      <c r="C4022" t="s" s="12">
        <v>692</v>
      </c>
      <c r="D4022" s="13">
        <v>17500</v>
      </c>
      <c r="E4022" s="13"/>
      <c r="F4022" s="14"/>
      <c r="G4022" s="14"/>
      <c r="H4022" s="14"/>
      <c r="I4022" s="14"/>
    </row>
    <row r="4023" ht="20.7" customHeight="1">
      <c r="A4023" s="10">
        <v>45627</v>
      </c>
      <c r="B4023" t="s" s="11">
        <v>8</v>
      </c>
      <c r="C4023" t="s" s="12">
        <v>8</v>
      </c>
      <c r="D4023" s="15" cm="1">
        <f t="array" ref="D4023">SUM(D4021:D4022)</f>
        <v>17500</v>
      </c>
      <c r="E4023" s="15" cm="1">
        <f t="array" ref="E4023">SUM(E4021:E4022)</f>
        <v>17500</v>
      </c>
      <c r="F4023" s="16" cm="1">
        <f t="array" ref="F4023">SUM(F4021:F4022)</f>
        <v>0</v>
      </c>
      <c r="G4023" s="16" cm="1">
        <f t="array" ref="G4023">SUM(G4021:G4022)</f>
        <v>0</v>
      </c>
      <c r="H4023" s="16" cm="1">
        <f t="array" ref="H4023">SUM(H4021:H4022)</f>
        <v>0</v>
      </c>
      <c r="I4023" s="16" cm="1">
        <f t="array" ref="I4023">SUM(I4021:I4022)</f>
        <v>0</v>
      </c>
    </row>
    <row r="4024" ht="21.25" customHeight="1">
      <c r="A4024" s="10">
        <v>45627</v>
      </c>
      <c r="B4024" t="s" s="11">
        <v>5</v>
      </c>
      <c r="C4024" t="s" s="12">
        <v>693</v>
      </c>
      <c r="D4024" s="17">
        <v>493</v>
      </c>
      <c r="E4024" s="17"/>
      <c r="F4024" s="18"/>
      <c r="G4024" s="18"/>
      <c r="H4024" s="18"/>
      <c r="I4024" s="18"/>
    </row>
    <row r="4025" ht="21.25" customHeight="1">
      <c r="A4025" s="10">
        <v>45627</v>
      </c>
      <c r="B4025" t="s" s="11">
        <v>7</v>
      </c>
      <c r="C4025" t="s" s="12">
        <v>693</v>
      </c>
      <c r="D4025" s="13"/>
      <c r="E4025" s="13">
        <v>493</v>
      </c>
      <c r="F4025" s="14"/>
      <c r="G4025" s="14"/>
      <c r="H4025" s="14"/>
      <c r="I4025" s="14"/>
    </row>
    <row r="4026" ht="20.7" customHeight="1">
      <c r="A4026" s="10">
        <v>45627</v>
      </c>
      <c r="B4026" t="s" s="11">
        <v>8</v>
      </c>
      <c r="C4026" t="s" s="12">
        <v>8</v>
      </c>
      <c r="D4026" s="15" cm="1">
        <f t="array" ref="D4026">SUM(D4024:D4025)</f>
        <v>493</v>
      </c>
      <c r="E4026" s="15" cm="1">
        <f t="array" ref="E4026">SUM(E4024:E4025)</f>
        <v>493</v>
      </c>
      <c r="F4026" s="16" cm="1">
        <f t="array" ref="F4026">SUM(F4024:F4025)</f>
        <v>0</v>
      </c>
      <c r="G4026" s="16" cm="1">
        <f t="array" ref="G4026">SUM(G4024:G4025)</f>
        <v>0</v>
      </c>
      <c r="H4026" s="16" cm="1">
        <f t="array" ref="H4026">SUM(H4024:H4025)</f>
        <v>0</v>
      </c>
      <c r="I4026" s="16" cm="1">
        <f t="array" ref="I4026">SUM(I4024:I4025)</f>
        <v>0</v>
      </c>
    </row>
    <row r="4027" ht="21.25" customHeight="1">
      <c r="A4027" s="10">
        <v>45627</v>
      </c>
      <c r="B4027" t="s" s="11">
        <v>32</v>
      </c>
      <c r="C4027" t="s" s="12">
        <v>694</v>
      </c>
      <c r="D4027" s="17"/>
      <c r="E4027" s="17">
        <v>233333</v>
      </c>
      <c r="F4027" s="18"/>
      <c r="G4027" s="18"/>
      <c r="H4027" s="18"/>
      <c r="I4027" s="18"/>
    </row>
    <row r="4028" ht="21.25" customHeight="1">
      <c r="A4028" s="10">
        <v>45627</v>
      </c>
      <c r="B4028" t="s" s="11">
        <v>101</v>
      </c>
      <c r="C4028" t="s" s="12">
        <v>694</v>
      </c>
      <c r="D4028" s="13">
        <v>233333</v>
      </c>
      <c r="E4028" s="13"/>
      <c r="F4028" s="14"/>
      <c r="G4028" s="14"/>
      <c r="H4028" s="14"/>
      <c r="I4028" s="14"/>
    </row>
    <row r="4029" ht="20.7" customHeight="1">
      <c r="A4029" s="10">
        <v>45627</v>
      </c>
      <c r="B4029" t="s" s="11">
        <v>8</v>
      </c>
      <c r="C4029" t="s" s="12">
        <v>8</v>
      </c>
      <c r="D4029" s="15" cm="1">
        <f t="array" ref="D4029">SUM(D4027:D4028)</f>
        <v>233333</v>
      </c>
      <c r="E4029" s="15" cm="1">
        <f t="array" ref="E4029">SUM(E4027:E4028)</f>
        <v>233333</v>
      </c>
      <c r="F4029" s="16" cm="1">
        <f t="array" ref="F4029">SUM(F4027:F4028)</f>
        <v>0</v>
      </c>
      <c r="G4029" s="16" cm="1">
        <f t="array" ref="G4029">SUM(G4027:G4028)</f>
        <v>0</v>
      </c>
      <c r="H4029" s="16" cm="1">
        <f t="array" ref="H4029">SUM(H4027:H4028)</f>
        <v>0</v>
      </c>
      <c r="I4029" s="16" cm="1">
        <f t="array" ref="I4029">SUM(I4027:I4028)</f>
        <v>0</v>
      </c>
    </row>
    <row r="4030" ht="20.65" customHeight="1">
      <c r="A4030" s="10">
        <v>45627</v>
      </c>
      <c r="B4030" t="s" s="11">
        <v>21</v>
      </c>
      <c r="C4030" t="s" s="12">
        <v>514</v>
      </c>
      <c r="D4030" s="17"/>
      <c r="E4030" s="17">
        <v>1500</v>
      </c>
      <c r="F4030" s="18"/>
      <c r="G4030" s="18"/>
      <c r="H4030" s="18"/>
      <c r="I4030" s="18"/>
    </row>
    <row r="4031" ht="20.65" customHeight="1">
      <c r="A4031" s="10">
        <v>45627</v>
      </c>
      <c r="B4031" t="s" s="11">
        <v>16</v>
      </c>
      <c r="C4031" t="s" s="12">
        <v>514</v>
      </c>
      <c r="D4031" s="13">
        <v>1500</v>
      </c>
      <c r="E4031" s="13"/>
      <c r="F4031" s="14"/>
      <c r="G4031" s="14"/>
      <c r="H4031" s="14"/>
      <c r="I4031" s="14"/>
    </row>
    <row r="4032" ht="20.7" customHeight="1">
      <c r="A4032" s="10">
        <v>45627</v>
      </c>
      <c r="B4032" t="s" s="11">
        <v>8</v>
      </c>
      <c r="C4032" t="s" s="12">
        <v>8</v>
      </c>
      <c r="D4032" s="15" cm="1">
        <f t="array" ref="D4032">SUM(D4030:D4031)</f>
        <v>1500</v>
      </c>
      <c r="E4032" s="15" cm="1">
        <f t="array" ref="E4032">SUM(E4030:E4031)</f>
        <v>1500</v>
      </c>
      <c r="F4032" s="16" cm="1">
        <f t="array" ref="F4032">SUM(F4030:F4031)</f>
        <v>0</v>
      </c>
      <c r="G4032" s="16" cm="1">
        <f t="array" ref="G4032">SUM(G4030:G4031)</f>
        <v>0</v>
      </c>
      <c r="H4032" s="16" cm="1">
        <f t="array" ref="H4032">SUM(H4030:H4031)</f>
        <v>0</v>
      </c>
      <c r="I4032" s="16" cm="1">
        <f t="array" ref="I4032">SUM(I4030:I4031)</f>
        <v>0</v>
      </c>
    </row>
    <row r="4033" ht="20.35" customHeight="1">
      <c r="A4033" s="10">
        <v>45627</v>
      </c>
      <c r="B4033" t="s" s="11">
        <v>93</v>
      </c>
      <c r="C4033" t="s" s="12">
        <v>356</v>
      </c>
      <c r="D4033" s="17">
        <v>15000</v>
      </c>
      <c r="E4033" s="17"/>
      <c r="F4033" s="18"/>
      <c r="G4033" s="18"/>
      <c r="H4033" s="18"/>
      <c r="I4033" s="18"/>
    </row>
    <row r="4034" ht="20.35" customHeight="1">
      <c r="A4034" s="10">
        <v>45627</v>
      </c>
      <c r="B4034" t="s" s="11">
        <v>89</v>
      </c>
      <c r="C4034" t="s" s="12">
        <v>356</v>
      </c>
      <c r="D4034" s="13"/>
      <c r="E4034" s="13">
        <v>15000</v>
      </c>
      <c r="F4034" s="14"/>
      <c r="G4034" s="14"/>
      <c r="H4034" s="14"/>
      <c r="I4034" s="14"/>
    </row>
    <row r="4035" ht="20.7" customHeight="1">
      <c r="A4035" s="10">
        <v>45627</v>
      </c>
      <c r="B4035" t="s" s="11">
        <v>8</v>
      </c>
      <c r="C4035" t="s" s="12">
        <v>8</v>
      </c>
      <c r="D4035" s="15" cm="1">
        <f t="array" ref="D4035">SUM(D4033:D4034)</f>
        <v>15000</v>
      </c>
      <c r="E4035" s="15" cm="1">
        <f t="array" ref="E4035">SUM(E4033:E4034)</f>
        <v>15000</v>
      </c>
      <c r="F4035" s="16" cm="1">
        <f t="array" ref="F4035">SUM(F4033:F4034)</f>
        <v>0</v>
      </c>
      <c r="G4035" s="16" cm="1">
        <f t="array" ref="G4035">SUM(G4033:G4034)</f>
        <v>0</v>
      </c>
      <c r="H4035" s="16" cm="1">
        <f t="array" ref="H4035">SUM(H4033:H4034)</f>
        <v>0</v>
      </c>
      <c r="I4035" s="16" cm="1">
        <f t="array" ref="I4035">SUM(I4033:I4034)</f>
        <v>0</v>
      </c>
    </row>
    <row r="4036" ht="20.35" customHeight="1">
      <c r="A4036" s="10">
        <v>45627</v>
      </c>
      <c r="B4036" t="s" s="11">
        <v>5</v>
      </c>
      <c r="C4036" t="s" s="12">
        <v>96</v>
      </c>
      <c r="D4036" s="17">
        <v>328000</v>
      </c>
      <c r="E4036" s="17"/>
      <c r="F4036" s="18"/>
      <c r="G4036" s="18"/>
      <c r="H4036" s="18"/>
      <c r="I4036" s="18"/>
    </row>
    <row r="4037" ht="20.35" customHeight="1">
      <c r="A4037" s="10">
        <v>45627</v>
      </c>
      <c r="B4037" t="s" s="11">
        <v>93</v>
      </c>
      <c r="C4037" t="s" s="12">
        <v>96</v>
      </c>
      <c r="D4037" s="13"/>
      <c r="E4037" s="13">
        <v>328000</v>
      </c>
      <c r="F4037" s="14"/>
      <c r="G4037" s="14"/>
      <c r="H4037" s="14"/>
      <c r="I4037" s="14"/>
    </row>
    <row r="4038" ht="20.7" customHeight="1">
      <c r="A4038" s="10">
        <v>45627</v>
      </c>
      <c r="B4038" t="s" s="11">
        <v>8</v>
      </c>
      <c r="C4038" t="s" s="12">
        <v>8</v>
      </c>
      <c r="D4038" s="15" cm="1">
        <f t="array" ref="D4038">SUM(D4036:D4037)</f>
        <v>328000</v>
      </c>
      <c r="E4038" s="15" cm="1">
        <f t="array" ref="E4038">SUM(E4036:E4037)</f>
        <v>328000</v>
      </c>
      <c r="F4038" s="16" cm="1">
        <f t="array" ref="F4038">SUM(F4036:F4037)</f>
        <v>0</v>
      </c>
      <c r="G4038" s="16" cm="1">
        <f t="array" ref="G4038">SUM(G4036:G4037)</f>
        <v>0</v>
      </c>
      <c r="H4038" s="16" cm="1">
        <f t="array" ref="H4038">SUM(H4036:H4037)</f>
        <v>0</v>
      </c>
      <c r="I4038" s="16" cm="1">
        <f t="array" ref="I4038">SUM(I4036:I4037)</f>
        <v>0</v>
      </c>
    </row>
    <row r="4039" ht="20.35" customHeight="1">
      <c r="A4039" s="10">
        <v>45627</v>
      </c>
      <c r="B4039" t="s" s="11">
        <v>5</v>
      </c>
      <c r="C4039" t="s" s="12">
        <v>96</v>
      </c>
      <c r="D4039" s="17">
        <v>34900</v>
      </c>
      <c r="E4039" s="17"/>
      <c r="F4039" s="18"/>
      <c r="G4039" s="18"/>
      <c r="H4039" s="18"/>
      <c r="I4039" s="18"/>
    </row>
    <row r="4040" ht="20.35" customHeight="1">
      <c r="A4040" s="10">
        <v>45627</v>
      </c>
      <c r="B4040" t="s" s="11">
        <v>107</v>
      </c>
      <c r="C4040" t="s" s="12">
        <v>96</v>
      </c>
      <c r="D4040" s="13"/>
      <c r="E4040" s="13">
        <v>34900</v>
      </c>
      <c r="F4040" s="14"/>
      <c r="G4040" s="14"/>
      <c r="H4040" s="14"/>
      <c r="I4040" s="14"/>
    </row>
    <row r="4041" ht="20.7" customHeight="1">
      <c r="A4041" s="10">
        <v>45627</v>
      </c>
      <c r="B4041" t="s" s="11">
        <v>8</v>
      </c>
      <c r="C4041" t="s" s="12">
        <v>8</v>
      </c>
      <c r="D4041" s="15" cm="1">
        <f t="array" ref="D4041">SUM(D4039:D4040)</f>
        <v>34900</v>
      </c>
      <c r="E4041" s="15" cm="1">
        <f t="array" ref="E4041">SUM(E4039:E4040)</f>
        <v>34900</v>
      </c>
      <c r="F4041" s="16" cm="1">
        <f t="array" ref="F4041">SUM(F4039:F4040)</f>
        <v>0</v>
      </c>
      <c r="G4041" s="16" cm="1">
        <f t="array" ref="G4041">SUM(G4039:G4040)</f>
        <v>0</v>
      </c>
      <c r="H4041" s="16" cm="1">
        <f t="array" ref="H4041">SUM(H4039:H4040)</f>
        <v>0</v>
      </c>
      <c r="I4041" s="16" cm="1">
        <f t="array" ref="I4041">SUM(I4039:I4040)</f>
        <v>0</v>
      </c>
    </row>
    <row r="4042" ht="20.35" customHeight="1">
      <c r="A4042" s="10">
        <v>45627</v>
      </c>
      <c r="B4042" t="s" s="11">
        <v>28</v>
      </c>
      <c r="C4042" t="s" s="12">
        <v>96</v>
      </c>
      <c r="D4042" s="17"/>
      <c r="E4042" s="17">
        <v>60000</v>
      </c>
      <c r="F4042" s="18"/>
      <c r="G4042" s="18"/>
      <c r="H4042" s="18"/>
      <c r="I4042" s="18"/>
    </row>
    <row r="4043" ht="20.35" customHeight="1">
      <c r="A4043" s="10">
        <v>45627</v>
      </c>
      <c r="B4043" t="s" s="11">
        <v>5</v>
      </c>
      <c r="C4043" t="s" s="12">
        <v>96</v>
      </c>
      <c r="D4043" s="13">
        <v>60000</v>
      </c>
      <c r="E4043" s="13"/>
      <c r="F4043" s="14"/>
      <c r="G4043" s="14"/>
      <c r="H4043" s="14"/>
      <c r="I4043" s="14"/>
    </row>
    <row r="4044" ht="20.7" customHeight="1">
      <c r="A4044" s="10">
        <v>45627</v>
      </c>
      <c r="B4044" t="s" s="11">
        <v>8</v>
      </c>
      <c r="C4044" t="s" s="12">
        <v>8</v>
      </c>
      <c r="D4044" s="15" cm="1">
        <f t="array" ref="D4044">SUM(D4042:D4043)</f>
        <v>60000</v>
      </c>
      <c r="E4044" s="15" cm="1">
        <f t="array" ref="E4044">SUM(E4042:E4043)</f>
        <v>60000</v>
      </c>
      <c r="F4044" s="16" cm="1">
        <f t="array" ref="F4044">SUM(F4042:F4043)</f>
        <v>0</v>
      </c>
      <c r="G4044" s="16" cm="1">
        <f t="array" ref="G4044">SUM(G4042:G4043)</f>
        <v>0</v>
      </c>
      <c r="H4044" s="16" cm="1">
        <f t="array" ref="H4044">SUM(H4042:H4043)</f>
        <v>0</v>
      </c>
      <c r="I4044" s="16" cm="1">
        <f t="array" ref="I4044">SUM(I4042:I4043)</f>
        <v>0</v>
      </c>
    </row>
    <row r="4045" ht="20.35" customHeight="1">
      <c r="A4045" s="10">
        <v>45627</v>
      </c>
      <c r="B4045" t="s" s="11">
        <v>5</v>
      </c>
      <c r="C4045" t="s" s="12">
        <v>17</v>
      </c>
      <c r="D4045" s="17">
        <v>100</v>
      </c>
      <c r="E4045" s="17"/>
      <c r="F4045" s="18"/>
      <c r="G4045" s="18"/>
      <c r="H4045" s="18"/>
      <c r="I4045" s="18"/>
    </row>
    <row r="4046" ht="20.35" customHeight="1">
      <c r="A4046" s="10">
        <v>45627</v>
      </c>
      <c r="B4046" t="s" s="11">
        <v>18</v>
      </c>
      <c r="C4046" t="s" s="12">
        <v>17</v>
      </c>
      <c r="D4046" s="13"/>
      <c r="E4046" s="13">
        <v>100</v>
      </c>
      <c r="F4046" s="14"/>
      <c r="G4046" s="14"/>
      <c r="H4046" s="14"/>
      <c r="I4046" s="14"/>
    </row>
    <row r="4047" ht="20.7" customHeight="1">
      <c r="A4047" s="10">
        <v>45627</v>
      </c>
      <c r="B4047" t="s" s="11">
        <v>8</v>
      </c>
      <c r="C4047" t="s" s="12">
        <v>8</v>
      </c>
      <c r="D4047" s="15" cm="1">
        <f t="array" ref="D4047">SUM(D4045:D4046)</f>
        <v>100</v>
      </c>
      <c r="E4047" s="15" cm="1">
        <f t="array" ref="E4047">SUM(E4045:E4046)</f>
        <v>100</v>
      </c>
      <c r="F4047" s="16" cm="1">
        <f t="array" ref="F4047">SUM(F4045:F4046)</f>
        <v>0</v>
      </c>
      <c r="G4047" s="16" cm="1">
        <f t="array" ref="G4047">SUM(G4045:G4046)</f>
        <v>0</v>
      </c>
      <c r="H4047" s="16" cm="1">
        <f t="array" ref="H4047">SUM(H4045:H4046)</f>
        <v>0</v>
      </c>
      <c r="I4047" s="16" cm="1">
        <f t="array" ref="I4047">SUM(I4045:I4046)</f>
        <v>0</v>
      </c>
    </row>
    <row r="4048" ht="20.35" customHeight="1">
      <c r="A4048" s="10">
        <v>45627</v>
      </c>
      <c r="B4048" t="s" s="11">
        <v>5</v>
      </c>
      <c r="C4048" t="s" s="12">
        <v>695</v>
      </c>
      <c r="D4048" s="17"/>
      <c r="E4048" s="17">
        <v>9900</v>
      </c>
      <c r="F4048" s="18"/>
      <c r="G4048" s="18"/>
      <c r="H4048" s="18"/>
      <c r="I4048" s="18"/>
    </row>
    <row r="4049" ht="20.35" customHeight="1">
      <c r="A4049" s="10">
        <v>45627</v>
      </c>
      <c r="B4049" t="s" s="11">
        <v>16</v>
      </c>
      <c r="C4049" t="s" s="12">
        <v>695</v>
      </c>
      <c r="D4049" s="13">
        <v>9900</v>
      </c>
      <c r="E4049" s="13"/>
      <c r="F4049" s="14"/>
      <c r="G4049" s="14"/>
      <c r="H4049" s="14"/>
      <c r="I4049" s="14"/>
    </row>
    <row r="4050" ht="20.7" customHeight="1">
      <c r="A4050" s="10">
        <v>45627</v>
      </c>
      <c r="B4050" t="s" s="11">
        <v>8</v>
      </c>
      <c r="C4050" t="s" s="12">
        <v>8</v>
      </c>
      <c r="D4050" s="15" cm="1">
        <f t="array" ref="D4050">SUM(D4048:D4049)</f>
        <v>9900</v>
      </c>
      <c r="E4050" s="15" cm="1">
        <f t="array" ref="E4050">SUM(E4048:E4049)</f>
        <v>9900</v>
      </c>
      <c r="F4050" s="16" cm="1">
        <f t="array" ref="F4050">SUM(F4048:F4049)</f>
        <v>0</v>
      </c>
      <c r="G4050" s="16" cm="1">
        <f t="array" ref="G4050">SUM(G4048:G4049)</f>
        <v>0</v>
      </c>
      <c r="H4050" s="16" cm="1">
        <f t="array" ref="H4050">SUM(H4048:H4049)</f>
        <v>0</v>
      </c>
      <c r="I4050" s="16" cm="1">
        <f t="array" ref="I4050">SUM(I4048:I4049)</f>
        <v>0</v>
      </c>
    </row>
    <row r="4051" ht="20.35" customHeight="1">
      <c r="A4051" s="10">
        <v>45627</v>
      </c>
      <c r="B4051" t="s" s="11">
        <v>5</v>
      </c>
      <c r="C4051" t="s" s="12">
        <v>17</v>
      </c>
      <c r="D4051" s="17">
        <v>100</v>
      </c>
      <c r="E4051" s="17"/>
      <c r="F4051" s="18"/>
      <c r="G4051" s="18"/>
      <c r="H4051" s="18"/>
      <c r="I4051" s="18"/>
    </row>
    <row r="4052" ht="20.35" customHeight="1">
      <c r="A4052" s="10">
        <v>45627</v>
      </c>
      <c r="B4052" t="s" s="11">
        <v>18</v>
      </c>
      <c r="C4052" t="s" s="12">
        <v>17</v>
      </c>
      <c r="D4052" s="13"/>
      <c r="E4052" s="13">
        <v>100</v>
      </c>
      <c r="F4052" s="14"/>
      <c r="G4052" s="14"/>
      <c r="H4052" s="14"/>
      <c r="I4052" s="14"/>
    </row>
    <row r="4053" ht="20.7" customHeight="1">
      <c r="A4053" s="10">
        <v>45627</v>
      </c>
      <c r="B4053" t="s" s="11">
        <v>8</v>
      </c>
      <c r="C4053" t="s" s="12">
        <v>8</v>
      </c>
      <c r="D4053" s="15" cm="1">
        <f t="array" ref="D4053">SUM(D4051:D4052)</f>
        <v>100</v>
      </c>
      <c r="E4053" s="15" cm="1">
        <f t="array" ref="E4053">SUM(E4051:E4052)</f>
        <v>100</v>
      </c>
      <c r="F4053" s="16" cm="1">
        <f t="array" ref="F4053">SUM(F4051:F4052)</f>
        <v>0</v>
      </c>
      <c r="G4053" s="16" cm="1">
        <f t="array" ref="G4053">SUM(G4051:G4052)</f>
        <v>0</v>
      </c>
      <c r="H4053" s="16" cm="1">
        <f t="array" ref="H4053">SUM(H4051:H4052)</f>
        <v>0</v>
      </c>
      <c r="I4053" s="16" cm="1">
        <f t="array" ref="I4053">SUM(I4051:I4052)</f>
        <v>0</v>
      </c>
    </row>
    <row r="4054" ht="20.35" customHeight="1">
      <c r="A4054" s="10">
        <v>45627</v>
      </c>
      <c r="B4054" t="s" s="11">
        <v>107</v>
      </c>
      <c r="C4054" t="s" s="12">
        <v>696</v>
      </c>
      <c r="D4054" s="17">
        <v>29000</v>
      </c>
      <c r="E4054" s="17"/>
      <c r="F4054" s="18"/>
      <c r="G4054" s="18"/>
      <c r="H4054" s="18"/>
      <c r="I4054" s="18"/>
    </row>
    <row r="4055" ht="20.35" customHeight="1">
      <c r="A4055" s="10">
        <v>45627</v>
      </c>
      <c r="B4055" t="s" s="11">
        <v>89</v>
      </c>
      <c r="C4055" t="s" s="12">
        <v>696</v>
      </c>
      <c r="D4055" s="13"/>
      <c r="E4055" s="13">
        <v>29000</v>
      </c>
      <c r="F4055" s="14"/>
      <c r="G4055" s="14"/>
      <c r="H4055" s="14"/>
      <c r="I4055" s="14"/>
    </row>
    <row r="4056" ht="20.7" customHeight="1">
      <c r="A4056" s="10">
        <v>45627</v>
      </c>
      <c r="B4056" t="s" s="11">
        <v>8</v>
      </c>
      <c r="C4056" t="s" s="12">
        <v>8</v>
      </c>
      <c r="D4056" s="15" cm="1">
        <f t="array" ref="D4056">SUM(D4054:D4055)</f>
        <v>29000</v>
      </c>
      <c r="E4056" s="15" cm="1">
        <f t="array" ref="E4056">SUM(E4054:E4055)</f>
        <v>29000</v>
      </c>
      <c r="F4056" s="16" cm="1">
        <f t="array" ref="F4056">SUM(F4054:F4055)</f>
        <v>0</v>
      </c>
      <c r="G4056" s="16" cm="1">
        <f t="array" ref="G4056">SUM(G4054:G4055)</f>
        <v>0</v>
      </c>
      <c r="H4056" s="16" cm="1">
        <f t="array" ref="H4056">SUM(H4054:H4055)</f>
        <v>0</v>
      </c>
      <c r="I4056" s="16" cm="1">
        <f t="array" ref="I4056">SUM(I4054:I4055)</f>
        <v>0</v>
      </c>
    </row>
    <row r="4057" ht="20.35" customHeight="1">
      <c r="A4057" s="10">
        <v>45627</v>
      </c>
      <c r="B4057" t="s" s="11">
        <v>5</v>
      </c>
      <c r="C4057" t="s" s="12">
        <v>96</v>
      </c>
      <c r="D4057" s="17">
        <v>29000</v>
      </c>
      <c r="E4057" s="17"/>
      <c r="F4057" s="18"/>
      <c r="G4057" s="18"/>
      <c r="H4057" s="18"/>
      <c r="I4057" s="18"/>
    </row>
    <row r="4058" ht="20.35" customHeight="1">
      <c r="A4058" s="10">
        <v>45627</v>
      </c>
      <c r="B4058" t="s" s="11">
        <v>107</v>
      </c>
      <c r="C4058" t="s" s="12">
        <v>96</v>
      </c>
      <c r="D4058" s="13"/>
      <c r="E4058" s="13">
        <v>29000</v>
      </c>
      <c r="F4058" s="14"/>
      <c r="G4058" s="14"/>
      <c r="H4058" s="14"/>
      <c r="I4058" s="14"/>
    </row>
    <row r="4059" ht="20.7" customHeight="1">
      <c r="A4059" s="10">
        <v>45627</v>
      </c>
      <c r="B4059" t="s" s="11">
        <v>8</v>
      </c>
      <c r="C4059" t="s" s="12">
        <v>8</v>
      </c>
      <c r="D4059" s="15" cm="1">
        <f t="array" ref="D4059">SUM(D4057:D4058)</f>
        <v>29000</v>
      </c>
      <c r="E4059" s="15" cm="1">
        <f t="array" ref="E4059">SUM(E4057:E4058)</f>
        <v>29000</v>
      </c>
      <c r="F4059" s="16" cm="1">
        <f t="array" ref="F4059">SUM(F4057:F4058)</f>
        <v>0</v>
      </c>
      <c r="G4059" s="16" cm="1">
        <f t="array" ref="G4059">SUM(G4057:G4058)</f>
        <v>0</v>
      </c>
      <c r="H4059" s="16" cm="1">
        <f t="array" ref="H4059">SUM(H4057:H4058)</f>
        <v>0</v>
      </c>
      <c r="I4059" s="16" cm="1">
        <f t="array" ref="I4059">SUM(I4057:I4058)</f>
        <v>0</v>
      </c>
    </row>
    <row r="4060" ht="21.25" customHeight="1">
      <c r="A4060" s="10">
        <v>45627</v>
      </c>
      <c r="B4060" t="s" s="11">
        <v>5</v>
      </c>
      <c r="C4060" t="s" s="12">
        <v>697</v>
      </c>
      <c r="D4060" s="17"/>
      <c r="E4060" s="17">
        <v>636000</v>
      </c>
      <c r="F4060" s="18"/>
      <c r="G4060" s="18"/>
      <c r="H4060" s="18"/>
      <c r="I4060" s="18"/>
    </row>
    <row r="4061" ht="20.9" customHeight="1">
      <c r="A4061" s="10">
        <v>45627</v>
      </c>
      <c r="B4061" t="s" s="11">
        <v>10</v>
      </c>
      <c r="C4061" t="s" s="12">
        <v>697</v>
      </c>
      <c r="D4061" s="19">
        <v>318000</v>
      </c>
      <c r="E4061" s="19"/>
      <c r="F4061" s="20"/>
      <c r="G4061" s="20"/>
      <c r="H4061" s="20"/>
      <c r="I4061" s="20"/>
    </row>
    <row r="4062" ht="21.25" customHeight="1">
      <c r="A4062" s="10">
        <v>45627</v>
      </c>
      <c r="B4062" t="s" s="11">
        <v>12</v>
      </c>
      <c r="C4062" t="s" s="12">
        <v>697</v>
      </c>
      <c r="D4062" s="13">
        <v>318000</v>
      </c>
      <c r="E4062" s="13"/>
      <c r="F4062" s="14"/>
      <c r="G4062" s="14"/>
      <c r="H4062" s="14"/>
      <c r="I4062" s="14"/>
    </row>
    <row r="4063" ht="20.7" customHeight="1">
      <c r="A4063" s="10">
        <v>45627</v>
      </c>
      <c r="B4063" t="s" s="11">
        <v>8</v>
      </c>
      <c r="C4063" t="s" s="12">
        <v>8</v>
      </c>
      <c r="D4063" s="15" cm="1">
        <f t="array" ref="D4063">SUM(D4060:D4062)</f>
        <v>636000</v>
      </c>
      <c r="E4063" s="15" cm="1">
        <f t="array" ref="E4063">SUM(E4060:E4062)</f>
        <v>636000</v>
      </c>
      <c r="F4063" s="16" cm="1">
        <f t="array" ref="F4063">SUM(F4060:F4062)</f>
        <v>0</v>
      </c>
      <c r="G4063" s="16" cm="1">
        <f t="array" ref="G4063">SUM(G4060:G4062)</f>
        <v>0</v>
      </c>
      <c r="H4063" s="16" cm="1">
        <f t="array" ref="H4063">SUM(H4060:H4062)</f>
        <v>0</v>
      </c>
      <c r="I4063" s="16" cm="1">
        <f t="array" ref="I4063">SUM(I4060:I4062)</f>
        <v>0</v>
      </c>
    </row>
    <row r="4064" ht="20.35" customHeight="1">
      <c r="A4064" s="10">
        <v>45628</v>
      </c>
      <c r="B4064" t="s" s="11">
        <v>5</v>
      </c>
      <c r="C4064" t="s" s="12">
        <v>17</v>
      </c>
      <c r="D4064" s="17">
        <v>100</v>
      </c>
      <c r="E4064" s="17"/>
      <c r="F4064" s="18"/>
      <c r="G4064" s="18"/>
      <c r="H4064" s="18"/>
      <c r="I4064" s="18"/>
    </row>
    <row r="4065" ht="20.35" customHeight="1">
      <c r="A4065" s="10">
        <v>45628</v>
      </c>
      <c r="B4065" t="s" s="11">
        <v>18</v>
      </c>
      <c r="C4065" t="s" s="12">
        <v>17</v>
      </c>
      <c r="D4065" s="13"/>
      <c r="E4065" s="13">
        <v>100</v>
      </c>
      <c r="F4065" s="14"/>
      <c r="G4065" s="14"/>
      <c r="H4065" s="14"/>
      <c r="I4065" s="14"/>
    </row>
    <row r="4066" ht="20.7" customHeight="1">
      <c r="A4066" s="10">
        <v>45628</v>
      </c>
      <c r="B4066" t="s" s="11">
        <v>8</v>
      </c>
      <c r="C4066" t="s" s="12">
        <v>8</v>
      </c>
      <c r="D4066" s="15" cm="1">
        <f t="array" ref="D4066">SUM(D4064:D4065)</f>
        <v>100</v>
      </c>
      <c r="E4066" s="15" cm="1">
        <f t="array" ref="E4066">SUM(E4064:E4065)</f>
        <v>100</v>
      </c>
      <c r="F4066" s="16" cm="1">
        <f t="array" ref="F4066">SUM(F4064:F4065)</f>
        <v>0</v>
      </c>
      <c r="G4066" s="16" cm="1">
        <f t="array" ref="G4066">SUM(G4064:G4065)</f>
        <v>0</v>
      </c>
      <c r="H4066" s="16" cm="1">
        <f t="array" ref="H4066">SUM(H4064:H4065)</f>
        <v>0</v>
      </c>
      <c r="I4066" s="16" cm="1">
        <f t="array" ref="I4066">SUM(I4064:I4065)</f>
        <v>0</v>
      </c>
    </row>
    <row r="4067" ht="20.65" customHeight="1">
      <c r="A4067" s="10">
        <v>45628</v>
      </c>
      <c r="B4067" t="s" s="11">
        <v>79</v>
      </c>
      <c r="C4067" t="s" s="12">
        <v>143</v>
      </c>
      <c r="D4067" s="17">
        <v>4</v>
      </c>
      <c r="E4067" s="17"/>
      <c r="F4067" s="18"/>
      <c r="G4067" s="18"/>
      <c r="H4067" s="18"/>
      <c r="I4067" s="18"/>
    </row>
    <row r="4068" ht="20.65" customHeight="1">
      <c r="A4068" s="10">
        <v>45628</v>
      </c>
      <c r="B4068" t="s" s="11">
        <v>91</v>
      </c>
      <c r="C4068" t="s" s="12">
        <v>143</v>
      </c>
      <c r="D4068" s="13"/>
      <c r="E4068" s="13">
        <v>4</v>
      </c>
      <c r="F4068" s="14"/>
      <c r="G4068" s="14"/>
      <c r="H4068" s="14"/>
      <c r="I4068" s="14"/>
    </row>
    <row r="4069" ht="20.7" customHeight="1">
      <c r="A4069" s="10">
        <v>45628</v>
      </c>
      <c r="B4069" t="s" s="11">
        <v>8</v>
      </c>
      <c r="C4069" t="s" s="12">
        <v>8</v>
      </c>
      <c r="D4069" s="15" cm="1">
        <f t="array" ref="D4069">SUM(D4067:D4068)</f>
        <v>4</v>
      </c>
      <c r="E4069" s="15" cm="1">
        <f t="array" ref="E4069">SUM(E4067:E4068)</f>
        <v>4</v>
      </c>
      <c r="F4069" s="16" cm="1">
        <f t="array" ref="F4069">SUM(F4067:F4068)</f>
        <v>0</v>
      </c>
      <c r="G4069" s="16" cm="1">
        <f t="array" ref="G4069">SUM(G4067:G4068)</f>
        <v>0</v>
      </c>
      <c r="H4069" s="16" cm="1">
        <f t="array" ref="H4069">SUM(H4067:H4068)</f>
        <v>0</v>
      </c>
      <c r="I4069" s="16" cm="1">
        <f t="array" ref="I4069">SUM(I4067:I4068)</f>
        <v>0</v>
      </c>
    </row>
    <row r="4070" ht="20.35" customHeight="1">
      <c r="A4070" s="10">
        <v>45628</v>
      </c>
      <c r="B4070" t="s" s="11">
        <v>5</v>
      </c>
      <c r="C4070" t="s" s="12">
        <v>468</v>
      </c>
      <c r="D4070" s="17"/>
      <c r="E4070" s="17">
        <v>12400</v>
      </c>
      <c r="F4070" s="18"/>
      <c r="G4070" s="18"/>
      <c r="H4070" s="18"/>
      <c r="I4070" s="18"/>
    </row>
    <row r="4071" ht="20.35" customHeight="1">
      <c r="A4071" s="10">
        <v>45628</v>
      </c>
      <c r="B4071" t="s" s="11">
        <v>12</v>
      </c>
      <c r="C4071" t="s" s="12">
        <v>468</v>
      </c>
      <c r="D4071" s="13">
        <v>12400</v>
      </c>
      <c r="E4071" s="13"/>
      <c r="F4071" s="14"/>
      <c r="G4071" s="14"/>
      <c r="H4071" s="14"/>
      <c r="I4071" s="14"/>
    </row>
    <row r="4072" ht="20.7" customHeight="1">
      <c r="A4072" s="10">
        <v>45628</v>
      </c>
      <c r="B4072" t="s" s="11">
        <v>8</v>
      </c>
      <c r="C4072" t="s" s="12">
        <v>8</v>
      </c>
      <c r="D4072" s="15" cm="1">
        <f t="array" ref="D4072">SUM(D4070:D4071)</f>
        <v>12400</v>
      </c>
      <c r="E4072" s="15" cm="1">
        <f t="array" ref="E4072">SUM(E4070:E4071)</f>
        <v>12400</v>
      </c>
      <c r="F4072" s="16" cm="1">
        <f t="array" ref="F4072">SUM(F4070:F4071)</f>
        <v>0</v>
      </c>
      <c r="G4072" s="16" cm="1">
        <f t="array" ref="G4072">SUM(G4070:G4071)</f>
        <v>0</v>
      </c>
      <c r="H4072" s="16" cm="1">
        <f t="array" ref="H4072">SUM(H4070:H4071)</f>
        <v>0</v>
      </c>
      <c r="I4072" s="16" cm="1">
        <f t="array" ref="I4072">SUM(I4070:I4071)</f>
        <v>0</v>
      </c>
    </row>
    <row r="4073" ht="20.35" customHeight="1">
      <c r="A4073" s="10">
        <v>45629</v>
      </c>
      <c r="B4073" t="s" s="11">
        <v>5</v>
      </c>
      <c r="C4073" t="s" s="12">
        <v>604</v>
      </c>
      <c r="D4073" s="17"/>
      <c r="E4073" s="17">
        <v>10000</v>
      </c>
      <c r="F4073" s="18"/>
      <c r="G4073" s="18"/>
      <c r="H4073" s="18"/>
      <c r="I4073" s="18"/>
    </row>
    <row r="4074" ht="20.35" customHeight="1">
      <c r="A4074" s="10">
        <v>45629</v>
      </c>
      <c r="B4074" t="s" s="11">
        <v>93</v>
      </c>
      <c r="C4074" t="s" s="12">
        <v>604</v>
      </c>
      <c r="D4074" s="13">
        <v>10000</v>
      </c>
      <c r="E4074" s="13"/>
      <c r="F4074" s="14"/>
      <c r="G4074" s="14"/>
      <c r="H4074" s="14"/>
      <c r="I4074" s="14"/>
    </row>
    <row r="4075" ht="20.7" customHeight="1">
      <c r="A4075" s="10">
        <v>45629</v>
      </c>
      <c r="B4075" t="s" s="11">
        <v>8</v>
      </c>
      <c r="C4075" t="s" s="12">
        <v>8</v>
      </c>
      <c r="D4075" s="15" cm="1">
        <f t="array" ref="D4075">SUM(D4073:D4074)</f>
        <v>10000</v>
      </c>
      <c r="E4075" s="15" cm="1">
        <f t="array" ref="E4075">SUM(E4073:E4074)</f>
        <v>10000</v>
      </c>
      <c r="F4075" s="16" cm="1">
        <f t="array" ref="F4075">SUM(F4073:F4074)</f>
        <v>0</v>
      </c>
      <c r="G4075" s="16" cm="1">
        <f t="array" ref="G4075">SUM(G4073:G4074)</f>
        <v>0</v>
      </c>
      <c r="H4075" s="16" cm="1">
        <f t="array" ref="H4075">SUM(H4073:H4074)</f>
        <v>0</v>
      </c>
      <c r="I4075" s="16" cm="1">
        <f t="array" ref="I4075">SUM(I4073:I4074)</f>
        <v>0</v>
      </c>
    </row>
    <row r="4076" ht="20.35" customHeight="1">
      <c r="A4076" s="10">
        <v>45629</v>
      </c>
      <c r="B4076" t="s" s="11">
        <v>93</v>
      </c>
      <c r="C4076" t="s" s="12">
        <v>13</v>
      </c>
      <c r="D4076" s="17"/>
      <c r="E4076" s="17">
        <v>8900</v>
      </c>
      <c r="F4076" s="18"/>
      <c r="G4076" s="18"/>
      <c r="H4076" s="18"/>
      <c r="I4076" s="18"/>
    </row>
    <row r="4077" ht="20.35" customHeight="1">
      <c r="A4077" s="10">
        <v>45629</v>
      </c>
      <c r="B4077" t="s" s="11">
        <v>10</v>
      </c>
      <c r="C4077" t="s" s="12">
        <v>13</v>
      </c>
      <c r="D4077" s="13">
        <v>8900</v>
      </c>
      <c r="E4077" s="13"/>
      <c r="F4077" s="14"/>
      <c r="G4077" s="14"/>
      <c r="H4077" s="14"/>
      <c r="I4077" s="14"/>
    </row>
    <row r="4078" ht="20.7" customHeight="1">
      <c r="A4078" s="10">
        <v>45629</v>
      </c>
      <c r="B4078" t="s" s="11">
        <v>8</v>
      </c>
      <c r="C4078" t="s" s="12">
        <v>8</v>
      </c>
      <c r="D4078" s="15" cm="1">
        <f t="array" ref="D4078">SUM(D4076:D4077)</f>
        <v>8900</v>
      </c>
      <c r="E4078" s="15" cm="1">
        <f t="array" ref="E4078">SUM(E4076:E4077)</f>
        <v>8900</v>
      </c>
      <c r="F4078" s="16" cm="1">
        <f t="array" ref="F4078">SUM(F4076:F4077)</f>
        <v>0</v>
      </c>
      <c r="G4078" s="16" cm="1">
        <f t="array" ref="G4078">SUM(G4076:G4077)</f>
        <v>0</v>
      </c>
      <c r="H4078" s="16" cm="1">
        <f t="array" ref="H4078">SUM(H4076:H4077)</f>
        <v>0</v>
      </c>
      <c r="I4078" s="16" cm="1">
        <f t="array" ref="I4078">SUM(I4076:I4077)</f>
        <v>0</v>
      </c>
    </row>
    <row r="4079" ht="21.25" customHeight="1">
      <c r="A4079" s="10">
        <v>45629</v>
      </c>
      <c r="B4079" t="s" s="11">
        <v>441</v>
      </c>
      <c r="C4079" t="s" s="12">
        <v>698</v>
      </c>
      <c r="D4079" s="17"/>
      <c r="E4079" s="17">
        <v>91235</v>
      </c>
      <c r="F4079" s="18"/>
      <c r="G4079" s="18"/>
      <c r="H4079" s="18"/>
      <c r="I4079" s="18"/>
    </row>
    <row r="4080" ht="20.9" customHeight="1">
      <c r="A4080" s="10">
        <v>45629</v>
      </c>
      <c r="B4080" t="s" s="11">
        <v>84</v>
      </c>
      <c r="C4080" t="s" s="12">
        <v>698</v>
      </c>
      <c r="D4080" s="19">
        <v>137</v>
      </c>
      <c r="E4080" s="19"/>
      <c r="F4080" s="20"/>
      <c r="G4080" s="20"/>
      <c r="H4080" s="20"/>
      <c r="I4080" s="20"/>
    </row>
    <row r="4081" ht="21.25" customHeight="1">
      <c r="A4081" s="10">
        <v>45629</v>
      </c>
      <c r="B4081" t="s" s="11">
        <v>121</v>
      </c>
      <c r="C4081" t="s" s="12">
        <v>698</v>
      </c>
      <c r="D4081" s="13">
        <v>91098</v>
      </c>
      <c r="E4081" s="13"/>
      <c r="F4081" s="14"/>
      <c r="G4081" s="14"/>
      <c r="H4081" s="14"/>
      <c r="I4081" s="14"/>
    </row>
    <row r="4082" ht="20.7" customHeight="1">
      <c r="A4082" s="10">
        <v>45629</v>
      </c>
      <c r="B4082" t="s" s="11">
        <v>8</v>
      </c>
      <c r="C4082" t="s" s="12">
        <v>8</v>
      </c>
      <c r="D4082" s="15" cm="1">
        <f t="array" ref="D4082">SUM(D4079:D4081)</f>
        <v>91235</v>
      </c>
      <c r="E4082" s="15" cm="1">
        <f t="array" ref="E4082">SUM(E4079:E4081)</f>
        <v>91235</v>
      </c>
      <c r="F4082" s="16" cm="1">
        <f t="array" ref="F4082">SUM(F4079:F4081)</f>
        <v>0</v>
      </c>
      <c r="G4082" s="16" cm="1">
        <f t="array" ref="G4082">SUM(G4079:G4081)</f>
        <v>0</v>
      </c>
      <c r="H4082" s="16" cm="1">
        <f t="array" ref="H4082">SUM(H4079:H4081)</f>
        <v>0</v>
      </c>
      <c r="I4082" s="16" cm="1">
        <f t="array" ref="I4082">SUM(I4079:I4081)</f>
        <v>0</v>
      </c>
    </row>
    <row r="4083" ht="20.35" customHeight="1">
      <c r="A4083" s="10">
        <v>45629</v>
      </c>
      <c r="B4083" t="s" s="11">
        <v>5</v>
      </c>
      <c r="C4083" t="s" s="12">
        <v>96</v>
      </c>
      <c r="D4083" s="17">
        <v>91098</v>
      </c>
      <c r="E4083" s="17"/>
      <c r="F4083" s="18"/>
      <c r="G4083" s="18"/>
      <c r="H4083" s="18"/>
      <c r="I4083" s="18"/>
    </row>
    <row r="4084" ht="20.35" customHeight="1">
      <c r="A4084" s="10">
        <v>45629</v>
      </c>
      <c r="B4084" t="s" s="11">
        <v>121</v>
      </c>
      <c r="C4084" t="s" s="12">
        <v>96</v>
      </c>
      <c r="D4084" s="13"/>
      <c r="E4084" s="13">
        <v>91098</v>
      </c>
      <c r="F4084" s="14"/>
      <c r="G4084" s="14"/>
      <c r="H4084" s="14"/>
      <c r="I4084" s="14"/>
    </row>
    <row r="4085" ht="20.7" customHeight="1">
      <c r="A4085" s="10">
        <v>45629</v>
      </c>
      <c r="B4085" t="s" s="11">
        <v>8</v>
      </c>
      <c r="C4085" t="s" s="12">
        <v>8</v>
      </c>
      <c r="D4085" s="15" cm="1">
        <f t="array" ref="D4085">SUM(D4083:D4084)</f>
        <v>91098</v>
      </c>
      <c r="E4085" s="15" cm="1">
        <f t="array" ref="E4085">SUM(E4083:E4084)</f>
        <v>91098</v>
      </c>
      <c r="F4085" s="16" cm="1">
        <f t="array" ref="F4085">SUM(F4083:F4084)</f>
        <v>0</v>
      </c>
      <c r="G4085" s="16" cm="1">
        <f t="array" ref="G4085">SUM(G4083:G4084)</f>
        <v>0</v>
      </c>
      <c r="H4085" s="16" cm="1">
        <f t="array" ref="H4085">SUM(H4083:H4084)</f>
        <v>0</v>
      </c>
      <c r="I4085" s="16" cm="1">
        <f t="array" ref="I4085">SUM(I4083:I4084)</f>
        <v>0</v>
      </c>
    </row>
    <row r="4086" ht="20.35" customHeight="1">
      <c r="A4086" s="10">
        <v>45629</v>
      </c>
      <c r="B4086" t="s" s="11">
        <v>21</v>
      </c>
      <c r="C4086" t="s" s="12">
        <v>699</v>
      </c>
      <c r="D4086" s="17"/>
      <c r="E4086" s="17">
        <v>18500</v>
      </c>
      <c r="F4086" s="18"/>
      <c r="G4086" s="18"/>
      <c r="H4086" s="18"/>
      <c r="I4086" s="18"/>
    </row>
    <row r="4087" ht="20.35" customHeight="1">
      <c r="A4087" s="10">
        <v>45629</v>
      </c>
      <c r="B4087" t="s" s="11">
        <v>12</v>
      </c>
      <c r="C4087" t="s" s="12">
        <v>699</v>
      </c>
      <c r="D4087" s="13">
        <v>18500</v>
      </c>
      <c r="E4087" s="13"/>
      <c r="F4087" s="14"/>
      <c r="G4087" s="14"/>
      <c r="H4087" s="14"/>
      <c r="I4087" s="14"/>
    </row>
    <row r="4088" ht="20.7" customHeight="1">
      <c r="A4088" s="10">
        <v>45629</v>
      </c>
      <c r="B4088" t="s" s="11">
        <v>8</v>
      </c>
      <c r="C4088" t="s" s="12">
        <v>8</v>
      </c>
      <c r="D4088" s="15" cm="1">
        <f t="array" ref="D4088">SUM(D4086:D4087)</f>
        <v>18500</v>
      </c>
      <c r="E4088" s="15" cm="1">
        <f t="array" ref="E4088">SUM(E4086:E4087)</f>
        <v>18500</v>
      </c>
      <c r="F4088" s="16" cm="1">
        <f t="array" ref="F4088">SUM(F4086:F4087)</f>
        <v>0</v>
      </c>
      <c r="G4088" s="16" cm="1">
        <f t="array" ref="G4088">SUM(G4086:G4087)</f>
        <v>0</v>
      </c>
      <c r="H4088" s="16" cm="1">
        <f t="array" ref="H4088">SUM(H4086:H4087)</f>
        <v>0</v>
      </c>
      <c r="I4088" s="16" cm="1">
        <f t="array" ref="I4088">SUM(I4086:I4087)</f>
        <v>0</v>
      </c>
    </row>
    <row r="4089" ht="20.35" customHeight="1">
      <c r="A4089" s="10">
        <v>45629</v>
      </c>
      <c r="B4089" t="s" s="11">
        <v>21</v>
      </c>
      <c r="C4089" t="s" s="12">
        <v>699</v>
      </c>
      <c r="D4089" s="17">
        <v>18500</v>
      </c>
      <c r="E4089" s="17"/>
      <c r="F4089" s="18"/>
      <c r="G4089" s="18"/>
      <c r="H4089" s="18"/>
      <c r="I4089" s="18"/>
    </row>
    <row r="4090" ht="20.35" customHeight="1">
      <c r="A4090" s="10">
        <v>45629</v>
      </c>
      <c r="B4090" t="s" s="11">
        <v>5</v>
      </c>
      <c r="C4090" t="s" s="12">
        <v>699</v>
      </c>
      <c r="D4090" s="13"/>
      <c r="E4090" s="13">
        <v>18500</v>
      </c>
      <c r="F4090" s="14"/>
      <c r="G4090" s="14"/>
      <c r="H4090" s="14"/>
      <c r="I4090" s="14"/>
    </row>
    <row r="4091" ht="20.7" customHeight="1">
      <c r="A4091" s="10">
        <v>45629</v>
      </c>
      <c r="B4091" t="s" s="11">
        <v>8</v>
      </c>
      <c r="C4091" t="s" s="12">
        <v>8</v>
      </c>
      <c r="D4091" s="15" cm="1">
        <f t="array" ref="D4091">SUM(D4089:D4090)</f>
        <v>18500</v>
      </c>
      <c r="E4091" s="15" cm="1">
        <f t="array" ref="E4091">SUM(E4089:E4090)</f>
        <v>18500</v>
      </c>
      <c r="F4091" s="16" cm="1">
        <f t="array" ref="F4091">SUM(F4089:F4090)</f>
        <v>0</v>
      </c>
      <c r="G4091" s="16" cm="1">
        <f t="array" ref="G4091">SUM(G4089:G4090)</f>
        <v>0</v>
      </c>
      <c r="H4091" s="16" cm="1">
        <f t="array" ref="H4091">SUM(H4089:H4090)</f>
        <v>0</v>
      </c>
      <c r="I4091" s="16" cm="1">
        <f t="array" ref="I4091">SUM(I4089:I4090)</f>
        <v>0</v>
      </c>
    </row>
    <row r="4092" ht="21.25" customHeight="1">
      <c r="A4092" s="10">
        <v>45630</v>
      </c>
      <c r="B4092" t="s" s="11">
        <v>21</v>
      </c>
      <c r="C4092" t="s" s="12">
        <v>700</v>
      </c>
      <c r="D4092" s="17">
        <v>51500</v>
      </c>
      <c r="E4092" s="17"/>
      <c r="F4092" s="18"/>
      <c r="G4092" s="18"/>
      <c r="H4092" s="18"/>
      <c r="I4092" s="18"/>
    </row>
    <row r="4093" ht="21.25" customHeight="1">
      <c r="A4093" s="10">
        <v>45630</v>
      </c>
      <c r="B4093" t="s" s="11">
        <v>5</v>
      </c>
      <c r="C4093" t="s" s="12">
        <v>700</v>
      </c>
      <c r="D4093" s="21"/>
      <c r="E4093" s="13">
        <v>51500</v>
      </c>
      <c r="F4093" s="14"/>
      <c r="G4093" s="14"/>
      <c r="H4093" s="14"/>
      <c r="I4093" s="14"/>
    </row>
    <row r="4094" ht="20.7" customHeight="1">
      <c r="A4094" s="10">
        <v>45630</v>
      </c>
      <c r="B4094" t="s" s="11">
        <v>8</v>
      </c>
      <c r="C4094" t="s" s="12">
        <v>8</v>
      </c>
      <c r="D4094" s="15" cm="1">
        <f t="array" ref="D4094">SUM(D4092:D4093)</f>
        <v>51500</v>
      </c>
      <c r="E4094" s="15" cm="1">
        <f t="array" ref="E4094">SUM(E4092:E4093)</f>
        <v>51500</v>
      </c>
      <c r="F4094" s="16" cm="1">
        <f t="array" ref="F4094">SUM(F4092:F4093)</f>
        <v>0</v>
      </c>
      <c r="G4094" s="16" cm="1">
        <f t="array" ref="G4094">SUM(G4092:G4093)</f>
        <v>0</v>
      </c>
      <c r="H4094" s="16" cm="1">
        <f t="array" ref="H4094">SUM(H4092:H4093)</f>
        <v>0</v>
      </c>
      <c r="I4094" s="16" cm="1">
        <f t="array" ref="I4094">SUM(I4092:I4093)</f>
        <v>0</v>
      </c>
    </row>
    <row r="4095" ht="20.35" customHeight="1">
      <c r="A4095" s="10">
        <v>45630</v>
      </c>
      <c r="B4095" t="s" s="11">
        <v>5</v>
      </c>
      <c r="C4095" t="s" s="12">
        <v>701</v>
      </c>
      <c r="D4095" s="17">
        <v>400</v>
      </c>
      <c r="E4095" s="17"/>
      <c r="F4095" s="18"/>
      <c r="G4095" s="18"/>
      <c r="H4095" s="18"/>
      <c r="I4095" s="18"/>
    </row>
    <row r="4096" ht="20.35" customHeight="1">
      <c r="A4096" s="10">
        <v>45630</v>
      </c>
      <c r="B4096" t="s" s="11">
        <v>91</v>
      </c>
      <c r="C4096" t="s" s="12">
        <v>701</v>
      </c>
      <c r="D4096" s="13"/>
      <c r="E4096" s="13">
        <v>400</v>
      </c>
      <c r="F4096" s="14"/>
      <c r="G4096" s="14"/>
      <c r="H4096" s="14"/>
      <c r="I4096" s="14"/>
    </row>
    <row r="4097" ht="20.7" customHeight="1">
      <c r="A4097" s="10">
        <v>45630</v>
      </c>
      <c r="B4097" t="s" s="11">
        <v>8</v>
      </c>
      <c r="C4097" t="s" s="12">
        <v>8</v>
      </c>
      <c r="D4097" s="15" cm="1">
        <f t="array" ref="D4097">SUM(D4095:D4096)</f>
        <v>400</v>
      </c>
      <c r="E4097" s="15" cm="1">
        <f t="array" ref="E4097">SUM(E4095:E4096)</f>
        <v>400</v>
      </c>
      <c r="F4097" s="16" cm="1">
        <f t="array" ref="F4097">SUM(F4095:F4096)</f>
        <v>0</v>
      </c>
      <c r="G4097" s="16" cm="1">
        <f t="array" ref="G4097">SUM(G4095:G4096)</f>
        <v>0</v>
      </c>
      <c r="H4097" s="16" cm="1">
        <f t="array" ref="H4097">SUM(H4095:H4096)</f>
        <v>0</v>
      </c>
      <c r="I4097" s="16" cm="1">
        <f t="array" ref="I4097">SUM(I4095:I4096)</f>
        <v>0</v>
      </c>
    </row>
    <row r="4098" ht="21.25" customHeight="1">
      <c r="A4098" s="10">
        <v>45630</v>
      </c>
      <c r="B4098" t="s" s="11">
        <v>21</v>
      </c>
      <c r="C4098" t="s" s="12">
        <v>702</v>
      </c>
      <c r="D4098" s="17"/>
      <c r="E4098" s="17">
        <v>3000</v>
      </c>
      <c r="F4098" s="18"/>
      <c r="G4098" s="18"/>
      <c r="H4098" s="18"/>
      <c r="I4098" s="18"/>
    </row>
    <row r="4099" ht="21.25" customHeight="1">
      <c r="A4099" s="10">
        <v>45630</v>
      </c>
      <c r="B4099" t="s" s="11">
        <v>16</v>
      </c>
      <c r="C4099" t="s" s="12">
        <v>702</v>
      </c>
      <c r="D4099" s="13">
        <v>3000</v>
      </c>
      <c r="E4099" s="13"/>
      <c r="F4099" s="14"/>
      <c r="G4099" s="14"/>
      <c r="H4099" s="14"/>
      <c r="I4099" s="14"/>
    </row>
    <row r="4100" ht="20.7" customHeight="1">
      <c r="A4100" s="10">
        <v>45630</v>
      </c>
      <c r="B4100" t="s" s="11">
        <v>8</v>
      </c>
      <c r="C4100" t="s" s="12">
        <v>8</v>
      </c>
      <c r="D4100" s="15" cm="1">
        <f t="array" ref="D4100">SUM(D4098:D4099)</f>
        <v>3000</v>
      </c>
      <c r="E4100" s="15" cm="1">
        <f t="array" ref="E4100">SUM(E4098:E4099)</f>
        <v>3000</v>
      </c>
      <c r="F4100" s="16" cm="1">
        <f t="array" ref="F4100">SUM(F4098:F4099)</f>
        <v>0</v>
      </c>
      <c r="G4100" s="16" cm="1">
        <f t="array" ref="G4100">SUM(G4098:G4099)</f>
        <v>0</v>
      </c>
      <c r="H4100" s="16" cm="1">
        <f t="array" ref="H4100">SUM(H4098:H4099)</f>
        <v>0</v>
      </c>
      <c r="I4100" s="16" cm="1">
        <f t="array" ref="I4100">SUM(I4098:I4099)</f>
        <v>0</v>
      </c>
    </row>
    <row r="4101" ht="20.35" customHeight="1">
      <c r="A4101" s="10">
        <v>45630</v>
      </c>
      <c r="B4101" t="s" s="11">
        <v>21</v>
      </c>
      <c r="C4101" t="s" s="12">
        <v>703</v>
      </c>
      <c r="D4101" s="17"/>
      <c r="E4101" s="17">
        <v>22800</v>
      </c>
      <c r="F4101" s="18"/>
      <c r="G4101" s="18"/>
      <c r="H4101" s="18"/>
      <c r="I4101" s="18"/>
    </row>
    <row r="4102" ht="20.35" customHeight="1">
      <c r="A4102" s="10">
        <v>45630</v>
      </c>
      <c r="B4102" t="s" s="11">
        <v>12</v>
      </c>
      <c r="C4102" t="s" s="12">
        <v>703</v>
      </c>
      <c r="D4102" s="13">
        <v>22800</v>
      </c>
      <c r="E4102" s="13"/>
      <c r="F4102" s="14"/>
      <c r="G4102" s="14"/>
      <c r="H4102" s="14"/>
      <c r="I4102" s="14"/>
    </row>
    <row r="4103" ht="20.7" customHeight="1">
      <c r="A4103" s="10">
        <v>45630</v>
      </c>
      <c r="B4103" t="s" s="11">
        <v>8</v>
      </c>
      <c r="C4103" t="s" s="12">
        <v>8</v>
      </c>
      <c r="D4103" s="15" cm="1">
        <f t="array" ref="D4103">SUM(D4101:D4102)</f>
        <v>22800</v>
      </c>
      <c r="E4103" s="15" cm="1">
        <f t="array" ref="E4103">SUM(E4101:E4102)</f>
        <v>22800</v>
      </c>
      <c r="F4103" s="16" cm="1">
        <f t="array" ref="F4103">SUM(F4101:F4102)</f>
        <v>0</v>
      </c>
      <c r="G4103" s="16" cm="1">
        <f t="array" ref="G4103">SUM(G4101:G4102)</f>
        <v>0</v>
      </c>
      <c r="H4103" s="16" cm="1">
        <f t="array" ref="H4103">SUM(H4101:H4102)</f>
        <v>0</v>
      </c>
      <c r="I4103" s="16" cm="1">
        <f t="array" ref="I4103">SUM(I4101:I4102)</f>
        <v>0</v>
      </c>
    </row>
    <row r="4104" ht="20.35" customHeight="1">
      <c r="A4104" s="10">
        <v>45630</v>
      </c>
      <c r="B4104" t="s" s="11">
        <v>5</v>
      </c>
      <c r="C4104" t="s" s="12">
        <v>604</v>
      </c>
      <c r="D4104" s="17"/>
      <c r="E4104" s="17">
        <v>21700</v>
      </c>
      <c r="F4104" s="18"/>
      <c r="G4104" s="18"/>
      <c r="H4104" s="18"/>
      <c r="I4104" s="18"/>
    </row>
    <row r="4105" ht="20.35" customHeight="1">
      <c r="A4105" s="10">
        <v>45630</v>
      </c>
      <c r="B4105" t="s" s="11">
        <v>93</v>
      </c>
      <c r="C4105" t="s" s="12">
        <v>604</v>
      </c>
      <c r="D4105" s="13">
        <v>21700</v>
      </c>
      <c r="E4105" s="13"/>
      <c r="F4105" s="14"/>
      <c r="G4105" s="14"/>
      <c r="H4105" s="14"/>
      <c r="I4105" s="14"/>
    </row>
    <row r="4106" ht="20.7" customHeight="1">
      <c r="A4106" s="10">
        <v>45630</v>
      </c>
      <c r="B4106" t="s" s="11">
        <v>8</v>
      </c>
      <c r="C4106" t="s" s="12">
        <v>8</v>
      </c>
      <c r="D4106" s="15" cm="1">
        <f t="array" ref="D4106">SUM(D4104:D4105)</f>
        <v>21700</v>
      </c>
      <c r="E4106" s="15" cm="1">
        <f t="array" ref="E4106">SUM(E4104:E4105)</f>
        <v>21700</v>
      </c>
      <c r="F4106" s="16" cm="1">
        <f t="array" ref="F4106">SUM(F4104:F4105)</f>
        <v>0</v>
      </c>
      <c r="G4106" s="16" cm="1">
        <f t="array" ref="G4106">SUM(G4104:G4105)</f>
        <v>0</v>
      </c>
      <c r="H4106" s="16" cm="1">
        <f t="array" ref="H4106">SUM(H4104:H4105)</f>
        <v>0</v>
      </c>
      <c r="I4106" s="16" cm="1">
        <f t="array" ref="I4106">SUM(I4104:I4105)</f>
        <v>0</v>
      </c>
    </row>
    <row r="4107" ht="20.35" customHeight="1">
      <c r="A4107" s="10">
        <v>45630</v>
      </c>
      <c r="B4107" t="s" s="11">
        <v>21</v>
      </c>
      <c r="C4107" t="s" s="12">
        <v>703</v>
      </c>
      <c r="D4107" s="17">
        <v>22800</v>
      </c>
      <c r="E4107" s="17"/>
      <c r="F4107" s="18"/>
      <c r="G4107" s="18"/>
      <c r="H4107" s="18"/>
      <c r="I4107" s="18"/>
    </row>
    <row r="4108" ht="20.35" customHeight="1">
      <c r="A4108" s="10">
        <v>45630</v>
      </c>
      <c r="B4108" t="s" s="11">
        <v>93</v>
      </c>
      <c r="C4108" t="s" s="12">
        <v>703</v>
      </c>
      <c r="D4108" s="13"/>
      <c r="E4108" s="13">
        <v>22800</v>
      </c>
      <c r="F4108" s="14"/>
      <c r="G4108" s="14"/>
      <c r="H4108" s="14"/>
      <c r="I4108" s="14"/>
    </row>
    <row r="4109" ht="20.7" customHeight="1">
      <c r="A4109" s="10">
        <v>45630</v>
      </c>
      <c r="B4109" t="s" s="11">
        <v>8</v>
      </c>
      <c r="C4109" t="s" s="12">
        <v>8</v>
      </c>
      <c r="D4109" s="15" cm="1">
        <f t="array" ref="D4109">SUM(D4107:D4108)</f>
        <v>22800</v>
      </c>
      <c r="E4109" s="15" cm="1">
        <f t="array" ref="E4109">SUM(E4107:E4108)</f>
        <v>22800</v>
      </c>
      <c r="F4109" s="16" cm="1">
        <f t="array" ref="F4109">SUM(F4107:F4108)</f>
        <v>0</v>
      </c>
      <c r="G4109" s="16" cm="1">
        <f t="array" ref="G4109">SUM(G4107:G4108)</f>
        <v>0</v>
      </c>
      <c r="H4109" s="16" cm="1">
        <f t="array" ref="H4109">SUM(H4107:H4108)</f>
        <v>0</v>
      </c>
      <c r="I4109" s="16" cm="1">
        <f t="array" ref="I4109">SUM(I4107:I4108)</f>
        <v>0</v>
      </c>
    </row>
    <row r="4110" ht="21.25" customHeight="1">
      <c r="A4110" s="10">
        <v>45630</v>
      </c>
      <c r="B4110" t="s" s="11">
        <v>12</v>
      </c>
      <c r="C4110" t="s" s="12">
        <v>704</v>
      </c>
      <c r="D4110" s="17">
        <v>3000</v>
      </c>
      <c r="E4110" s="17"/>
      <c r="F4110" s="18"/>
      <c r="G4110" s="18"/>
      <c r="H4110" s="18"/>
      <c r="I4110" s="18"/>
    </row>
    <row r="4111" ht="21.25" customHeight="1">
      <c r="A4111" s="10">
        <v>45630</v>
      </c>
      <c r="B4111" t="s" s="11">
        <v>93</v>
      </c>
      <c r="C4111" t="s" s="12">
        <v>704</v>
      </c>
      <c r="D4111" s="13"/>
      <c r="E4111" s="13">
        <v>3000</v>
      </c>
      <c r="F4111" s="14"/>
      <c r="G4111" s="14"/>
      <c r="H4111" s="14"/>
      <c r="I4111" s="14"/>
    </row>
    <row r="4112" ht="20.7" customHeight="1">
      <c r="A4112" s="10">
        <v>45630</v>
      </c>
      <c r="B4112" t="s" s="11">
        <v>8</v>
      </c>
      <c r="C4112" t="s" s="12">
        <v>8</v>
      </c>
      <c r="D4112" s="15" cm="1">
        <f t="array" ref="D4112">SUM(D4110:D4111)</f>
        <v>3000</v>
      </c>
      <c r="E4112" s="15" cm="1">
        <f t="array" ref="E4112">SUM(E4110:E4111)</f>
        <v>3000</v>
      </c>
      <c r="F4112" s="16" cm="1">
        <f t="array" ref="F4112">SUM(F4110:F4111)</f>
        <v>0</v>
      </c>
      <c r="G4112" s="16" cm="1">
        <f t="array" ref="G4112">SUM(G4110:G4111)</f>
        <v>0</v>
      </c>
      <c r="H4112" s="16" cm="1">
        <f t="array" ref="H4112">SUM(H4110:H4111)</f>
        <v>0</v>
      </c>
      <c r="I4112" s="16" cm="1">
        <f t="array" ref="I4112">SUM(I4110:I4111)</f>
        <v>0</v>
      </c>
    </row>
    <row r="4113" ht="20.35" customHeight="1">
      <c r="A4113" s="10">
        <v>45630</v>
      </c>
      <c r="B4113" t="s" s="11">
        <v>5</v>
      </c>
      <c r="C4113" t="s" s="12">
        <v>604</v>
      </c>
      <c r="D4113" s="17"/>
      <c r="E4113" s="17">
        <v>10000</v>
      </c>
      <c r="F4113" s="18"/>
      <c r="G4113" s="18"/>
      <c r="H4113" s="18"/>
      <c r="I4113" s="18"/>
    </row>
    <row r="4114" ht="20.35" customHeight="1">
      <c r="A4114" s="10">
        <v>45630</v>
      </c>
      <c r="B4114" t="s" s="11">
        <v>93</v>
      </c>
      <c r="C4114" t="s" s="12">
        <v>604</v>
      </c>
      <c r="D4114" s="13">
        <v>10000</v>
      </c>
      <c r="E4114" s="13"/>
      <c r="F4114" s="14"/>
      <c r="G4114" s="14"/>
      <c r="H4114" s="14"/>
      <c r="I4114" s="14"/>
    </row>
    <row r="4115" ht="20.7" customHeight="1">
      <c r="A4115" s="10">
        <v>45630</v>
      </c>
      <c r="B4115" t="s" s="11">
        <v>8</v>
      </c>
      <c r="C4115" t="s" s="12">
        <v>8</v>
      </c>
      <c r="D4115" s="15" cm="1">
        <f t="array" ref="D4115">SUM(D4113:D4114)</f>
        <v>10000</v>
      </c>
      <c r="E4115" s="15" cm="1">
        <f t="array" ref="E4115">SUM(E4113:E4114)</f>
        <v>10000</v>
      </c>
      <c r="F4115" s="16" cm="1">
        <f t="array" ref="F4115">SUM(F4113:F4114)</f>
        <v>0</v>
      </c>
      <c r="G4115" s="16" cm="1">
        <f t="array" ref="G4115">SUM(G4113:G4114)</f>
        <v>0</v>
      </c>
      <c r="H4115" s="16" cm="1">
        <f t="array" ref="H4115">SUM(H4113:H4114)</f>
        <v>0</v>
      </c>
      <c r="I4115" s="16" cm="1">
        <f t="array" ref="I4115">SUM(I4113:I4114)</f>
        <v>0</v>
      </c>
    </row>
    <row r="4116" ht="20.35" customHeight="1">
      <c r="A4116" s="10">
        <v>45631</v>
      </c>
      <c r="B4116" t="s" s="11">
        <v>5</v>
      </c>
      <c r="C4116" t="s" s="12">
        <v>475</v>
      </c>
      <c r="D4116" s="17"/>
      <c r="E4116" s="17">
        <v>14110</v>
      </c>
      <c r="F4116" s="18"/>
      <c r="G4116" s="18"/>
      <c r="H4116" s="18"/>
      <c r="I4116" s="18"/>
    </row>
    <row r="4117" ht="20.35" customHeight="1">
      <c r="A4117" s="10">
        <v>45631</v>
      </c>
      <c r="B4117" t="s" s="11">
        <v>12</v>
      </c>
      <c r="C4117" t="s" s="12">
        <v>475</v>
      </c>
      <c r="D4117" s="13">
        <v>14110</v>
      </c>
      <c r="E4117" s="13"/>
      <c r="F4117" s="14"/>
      <c r="G4117" s="14"/>
      <c r="H4117" s="14"/>
      <c r="I4117" s="14"/>
    </row>
    <row r="4118" ht="20.7" customHeight="1">
      <c r="A4118" s="10">
        <v>45631</v>
      </c>
      <c r="B4118" t="s" s="11">
        <v>8</v>
      </c>
      <c r="C4118" t="s" s="12">
        <v>8</v>
      </c>
      <c r="D4118" s="15" cm="1">
        <f t="array" ref="D4118">SUM(D4116:D4117)</f>
        <v>14110</v>
      </c>
      <c r="E4118" s="15" cm="1">
        <f t="array" ref="E4118">SUM(E4116:E4117)</f>
        <v>14110</v>
      </c>
      <c r="F4118" s="16" cm="1">
        <f t="array" ref="F4118">SUM(F4116:F4117)</f>
        <v>0</v>
      </c>
      <c r="G4118" s="16" cm="1">
        <f t="array" ref="G4118">SUM(G4116:G4117)</f>
        <v>0</v>
      </c>
      <c r="H4118" s="16" cm="1">
        <f t="array" ref="H4118">SUM(H4116:H4117)</f>
        <v>0</v>
      </c>
      <c r="I4118" s="16" cm="1">
        <f t="array" ref="I4118">SUM(I4116:I4117)</f>
        <v>0</v>
      </c>
    </row>
    <row r="4119" ht="20.35" customHeight="1">
      <c r="A4119" s="10">
        <v>45631</v>
      </c>
      <c r="B4119" t="s" s="11">
        <v>5</v>
      </c>
      <c r="C4119" t="s" s="12">
        <v>17</v>
      </c>
      <c r="D4119" s="17">
        <v>100</v>
      </c>
      <c r="E4119" s="17"/>
      <c r="F4119" s="18"/>
      <c r="G4119" s="18"/>
      <c r="H4119" s="18"/>
      <c r="I4119" s="18"/>
    </row>
    <row r="4120" ht="20.35" customHeight="1">
      <c r="A4120" s="10">
        <v>45631</v>
      </c>
      <c r="B4120" t="s" s="11">
        <v>18</v>
      </c>
      <c r="C4120" t="s" s="12">
        <v>17</v>
      </c>
      <c r="D4120" s="13"/>
      <c r="E4120" s="13">
        <v>100</v>
      </c>
      <c r="F4120" s="14"/>
      <c r="G4120" s="14"/>
      <c r="H4120" s="14"/>
      <c r="I4120" s="14"/>
    </row>
    <row r="4121" ht="20.7" customHeight="1">
      <c r="A4121" s="10">
        <v>45631</v>
      </c>
      <c r="B4121" t="s" s="11">
        <v>8</v>
      </c>
      <c r="C4121" t="s" s="12">
        <v>8</v>
      </c>
      <c r="D4121" s="15" cm="1">
        <f t="array" ref="D4121">SUM(D4119:D4120)</f>
        <v>100</v>
      </c>
      <c r="E4121" s="15" cm="1">
        <f t="array" ref="E4121">SUM(E4119:E4120)</f>
        <v>100</v>
      </c>
      <c r="F4121" s="16" cm="1">
        <f t="array" ref="F4121">SUM(F4119:F4120)</f>
        <v>0</v>
      </c>
      <c r="G4121" s="16" cm="1">
        <f t="array" ref="G4121">SUM(G4119:G4120)</f>
        <v>0</v>
      </c>
      <c r="H4121" s="16" cm="1">
        <f t="array" ref="H4121">SUM(H4119:H4120)</f>
        <v>0</v>
      </c>
      <c r="I4121" s="16" cm="1">
        <f t="array" ref="I4121">SUM(I4119:I4120)</f>
        <v>0</v>
      </c>
    </row>
    <row r="4122" ht="20.35" customHeight="1">
      <c r="A4122" s="10">
        <v>45631</v>
      </c>
      <c r="B4122" t="s" s="11">
        <v>89</v>
      </c>
      <c r="C4122" t="s" s="12">
        <v>20</v>
      </c>
      <c r="D4122" s="17"/>
      <c r="E4122" s="17">
        <v>20000</v>
      </c>
      <c r="F4122" s="18"/>
      <c r="G4122" s="18"/>
      <c r="H4122" s="18"/>
      <c r="I4122" s="18"/>
    </row>
    <row r="4123" ht="20.35" customHeight="1">
      <c r="A4123" s="10">
        <v>45631</v>
      </c>
      <c r="B4123" t="s" s="11">
        <v>93</v>
      </c>
      <c r="C4123" t="s" s="12">
        <v>20</v>
      </c>
      <c r="D4123" s="13">
        <v>20000</v>
      </c>
      <c r="E4123" s="13"/>
      <c r="F4123" s="14"/>
      <c r="G4123" s="14"/>
      <c r="H4123" s="14"/>
      <c r="I4123" s="14"/>
    </row>
    <row r="4124" ht="20.7" customHeight="1">
      <c r="A4124" s="10">
        <v>45631</v>
      </c>
      <c r="B4124" t="s" s="11">
        <v>8</v>
      </c>
      <c r="C4124" t="s" s="12">
        <v>8</v>
      </c>
      <c r="D4124" s="15" cm="1">
        <f t="array" ref="D4124">SUM(D4122:D4123)</f>
        <v>20000</v>
      </c>
      <c r="E4124" s="15" cm="1">
        <f t="array" ref="E4124">SUM(E4122:E4123)</f>
        <v>20000</v>
      </c>
      <c r="F4124" s="16" cm="1">
        <f t="array" ref="F4124">SUM(F4122:F4123)</f>
        <v>0</v>
      </c>
      <c r="G4124" s="16" cm="1">
        <f t="array" ref="G4124">SUM(G4122:G4123)</f>
        <v>0</v>
      </c>
      <c r="H4124" s="16" cm="1">
        <f t="array" ref="H4124">SUM(H4122:H4123)</f>
        <v>0</v>
      </c>
      <c r="I4124" s="16" cm="1">
        <f t="array" ref="I4124">SUM(I4122:I4123)</f>
        <v>0</v>
      </c>
    </row>
    <row r="4125" ht="21.25" customHeight="1">
      <c r="A4125" s="10">
        <v>45631</v>
      </c>
      <c r="B4125" t="s" s="11">
        <v>21</v>
      </c>
      <c r="C4125" t="s" s="12">
        <v>705</v>
      </c>
      <c r="D4125" s="17"/>
      <c r="E4125" s="17">
        <v>3000</v>
      </c>
      <c r="F4125" s="18"/>
      <c r="G4125" s="18"/>
      <c r="H4125" s="18"/>
      <c r="I4125" s="18"/>
    </row>
    <row r="4126" ht="21.25" customHeight="1">
      <c r="A4126" s="10">
        <v>45631</v>
      </c>
      <c r="B4126" t="s" s="11">
        <v>16</v>
      </c>
      <c r="C4126" t="s" s="12">
        <v>705</v>
      </c>
      <c r="D4126" s="13">
        <v>3000</v>
      </c>
      <c r="E4126" s="13"/>
      <c r="F4126" s="14"/>
      <c r="G4126" s="14"/>
      <c r="H4126" s="14"/>
      <c r="I4126" s="14"/>
    </row>
    <row r="4127" ht="20.7" customHeight="1">
      <c r="A4127" s="10">
        <v>45631</v>
      </c>
      <c r="B4127" t="s" s="11">
        <v>8</v>
      </c>
      <c r="C4127" t="s" s="12">
        <v>8</v>
      </c>
      <c r="D4127" s="15" cm="1">
        <f t="array" ref="D4127">SUM(D4125:D4126)</f>
        <v>3000</v>
      </c>
      <c r="E4127" s="15" cm="1">
        <f t="array" ref="E4127">SUM(E4125:E4126)</f>
        <v>3000</v>
      </c>
      <c r="F4127" s="16" cm="1">
        <f t="array" ref="F4127">SUM(F4125:F4126)</f>
        <v>0</v>
      </c>
      <c r="G4127" s="16" cm="1">
        <f t="array" ref="G4127">SUM(G4125:G4126)</f>
        <v>0</v>
      </c>
      <c r="H4127" s="16" cm="1">
        <f t="array" ref="H4127">SUM(H4125:H4126)</f>
        <v>0</v>
      </c>
      <c r="I4127" s="16" cm="1">
        <f t="array" ref="I4127">SUM(I4125:I4126)</f>
        <v>0</v>
      </c>
    </row>
    <row r="4128" ht="21.25" customHeight="1">
      <c r="A4128" s="10">
        <v>45631</v>
      </c>
      <c r="B4128" t="s" s="11">
        <v>21</v>
      </c>
      <c r="C4128" t="s" s="12">
        <v>706</v>
      </c>
      <c r="D4128" s="17"/>
      <c r="E4128" s="17">
        <v>2800</v>
      </c>
      <c r="F4128" s="18"/>
      <c r="G4128" s="18"/>
      <c r="H4128" s="18"/>
      <c r="I4128" s="18"/>
    </row>
    <row r="4129" ht="21.25" customHeight="1">
      <c r="A4129" s="10">
        <v>45631</v>
      </c>
      <c r="B4129" t="s" s="11">
        <v>16</v>
      </c>
      <c r="C4129" t="s" s="12">
        <v>706</v>
      </c>
      <c r="D4129" s="13">
        <v>2800</v>
      </c>
      <c r="E4129" s="13"/>
      <c r="F4129" s="14"/>
      <c r="G4129" s="14"/>
      <c r="H4129" s="14"/>
      <c r="I4129" s="14"/>
    </row>
    <row r="4130" ht="20.7" customHeight="1">
      <c r="A4130" s="10">
        <v>45631</v>
      </c>
      <c r="B4130" t="s" s="11">
        <v>8</v>
      </c>
      <c r="C4130" t="s" s="12">
        <v>8</v>
      </c>
      <c r="D4130" s="15" cm="1">
        <f t="array" ref="D4130">SUM(D4128:D4129)</f>
        <v>2800</v>
      </c>
      <c r="E4130" s="15" cm="1">
        <f t="array" ref="E4130">SUM(E4128:E4129)</f>
        <v>2800</v>
      </c>
      <c r="F4130" s="16" cm="1">
        <f t="array" ref="F4130">SUM(F4128:F4129)</f>
        <v>0</v>
      </c>
      <c r="G4130" s="16" cm="1">
        <f t="array" ref="G4130">SUM(G4128:G4129)</f>
        <v>0</v>
      </c>
      <c r="H4130" s="16" cm="1">
        <f t="array" ref="H4130">SUM(H4128:H4129)</f>
        <v>0</v>
      </c>
      <c r="I4130" s="16" cm="1">
        <f t="array" ref="I4130">SUM(I4128:I4129)</f>
        <v>0</v>
      </c>
    </row>
    <row r="4131" ht="21.25" customHeight="1">
      <c r="A4131" s="10">
        <v>45631</v>
      </c>
      <c r="B4131" t="s" s="11">
        <v>81</v>
      </c>
      <c r="C4131" t="s" s="12">
        <v>707</v>
      </c>
      <c r="D4131" s="17">
        <v>39412</v>
      </c>
      <c r="E4131" s="17"/>
      <c r="F4131" s="18"/>
      <c r="G4131" s="18"/>
      <c r="H4131" s="18"/>
      <c r="I4131" s="18"/>
    </row>
    <row r="4132" ht="20.9" customHeight="1">
      <c r="A4132" s="10">
        <v>45631</v>
      </c>
      <c r="B4132" t="s" s="11">
        <v>10</v>
      </c>
      <c r="C4132" t="s" s="12">
        <v>707</v>
      </c>
      <c r="D4132" s="19" cm="1">
        <f t="array" ref="D4132">49920-39462</f>
        <v>10458</v>
      </c>
      <c r="E4132" s="19"/>
      <c r="F4132" s="20"/>
      <c r="G4132" s="20"/>
      <c r="H4132" s="20"/>
      <c r="I4132" s="20"/>
    </row>
    <row r="4133" ht="20.9" customHeight="1">
      <c r="A4133" s="10">
        <v>45631</v>
      </c>
      <c r="B4133" t="s" s="11">
        <v>84</v>
      </c>
      <c r="C4133" t="s" s="12">
        <v>707</v>
      </c>
      <c r="D4133" s="19">
        <v>50</v>
      </c>
      <c r="E4133" s="19"/>
      <c r="F4133" s="20"/>
      <c r="G4133" s="20"/>
      <c r="H4133" s="20"/>
      <c r="I4133" s="20"/>
    </row>
    <row r="4134" ht="21.25" customHeight="1">
      <c r="A4134" s="10">
        <v>45631</v>
      </c>
      <c r="B4134" t="s" s="11">
        <v>85</v>
      </c>
      <c r="C4134" t="s" s="12">
        <v>707</v>
      </c>
      <c r="D4134" s="13"/>
      <c r="E4134" s="13">
        <v>49920</v>
      </c>
      <c r="F4134" s="14"/>
      <c r="G4134" s="14"/>
      <c r="H4134" s="14"/>
      <c r="I4134" s="14"/>
    </row>
    <row r="4135" ht="20.7" customHeight="1">
      <c r="A4135" s="10">
        <v>45631</v>
      </c>
      <c r="B4135" t="s" s="11">
        <v>8</v>
      </c>
      <c r="C4135" t="s" s="12">
        <v>8</v>
      </c>
      <c r="D4135" s="15" cm="1">
        <f t="array" ref="D4135">SUM(D4131:D4134)</f>
        <v>49920</v>
      </c>
      <c r="E4135" s="15" cm="1">
        <f t="array" ref="E4135">SUM(E4131:E4134)</f>
        <v>49920</v>
      </c>
      <c r="F4135" s="16" cm="1">
        <f t="array" ref="F4135">SUM(F4131:F4134)</f>
        <v>0</v>
      </c>
      <c r="G4135" s="16" cm="1">
        <f t="array" ref="G4135">SUM(G4131:G4134)</f>
        <v>0</v>
      </c>
      <c r="H4135" s="16" cm="1">
        <f t="array" ref="H4135">SUM(H4131:H4134)</f>
        <v>0</v>
      </c>
      <c r="I4135" s="16" cm="1">
        <f t="array" ref="I4135">SUM(I4131:I4134)</f>
        <v>0</v>
      </c>
    </row>
    <row r="4136" ht="21.25" customHeight="1">
      <c r="A4136" s="10">
        <v>45631</v>
      </c>
      <c r="B4136" t="s" s="11">
        <v>81</v>
      </c>
      <c r="C4136" t="s" s="12">
        <v>708</v>
      </c>
      <c r="D4136" s="17">
        <v>53704</v>
      </c>
      <c r="E4136" s="17"/>
      <c r="F4136" s="18"/>
      <c r="G4136" s="18"/>
      <c r="H4136" s="18"/>
      <c r="I4136" s="18"/>
    </row>
    <row r="4137" ht="20.9" customHeight="1">
      <c r="A4137" s="10">
        <v>45631</v>
      </c>
      <c r="B4137" t="s" s="11">
        <v>10</v>
      </c>
      <c r="C4137" t="s" s="12">
        <v>708</v>
      </c>
      <c r="D4137" s="19">
        <v>4100</v>
      </c>
      <c r="E4137" s="19"/>
      <c r="F4137" s="20"/>
      <c r="G4137" s="20"/>
      <c r="H4137" s="20"/>
      <c r="I4137" s="20"/>
    </row>
    <row r="4138" ht="20.9" customHeight="1">
      <c r="A4138" s="10">
        <v>45631</v>
      </c>
      <c r="B4138" t="s" s="11">
        <v>84</v>
      </c>
      <c r="C4138" t="s" s="12">
        <v>708</v>
      </c>
      <c r="D4138" s="19">
        <v>196</v>
      </c>
      <c r="E4138" s="19"/>
      <c r="F4138" s="20"/>
      <c r="G4138" s="20"/>
      <c r="H4138" s="20"/>
      <c r="I4138" s="20"/>
    </row>
    <row r="4139" ht="21.25" customHeight="1">
      <c r="A4139" s="10">
        <v>45631</v>
      </c>
      <c r="B4139" t="s" s="11">
        <v>85</v>
      </c>
      <c r="C4139" t="s" s="12">
        <v>708</v>
      </c>
      <c r="D4139" s="13"/>
      <c r="E4139" s="13">
        <v>58000</v>
      </c>
      <c r="F4139" s="14"/>
      <c r="G4139" s="14"/>
      <c r="H4139" s="14"/>
      <c r="I4139" s="14"/>
    </row>
    <row r="4140" ht="20.7" customHeight="1">
      <c r="A4140" s="10">
        <v>45631</v>
      </c>
      <c r="B4140" t="s" s="11">
        <v>8</v>
      </c>
      <c r="C4140" t="s" s="12">
        <v>8</v>
      </c>
      <c r="D4140" s="15" cm="1">
        <f t="array" ref="D4140">SUM(D4136:D4139)</f>
        <v>58000</v>
      </c>
      <c r="E4140" s="15" cm="1">
        <f t="array" ref="E4140">SUM(E4136:E4139)</f>
        <v>58000</v>
      </c>
      <c r="F4140" s="16" cm="1">
        <f t="array" ref="F4140">SUM(F4136:F4139)</f>
        <v>0</v>
      </c>
      <c r="G4140" s="16" cm="1">
        <f t="array" ref="G4140">SUM(G4136:G4139)</f>
        <v>0</v>
      </c>
      <c r="H4140" s="16" cm="1">
        <f t="array" ref="H4140">SUM(H4136:H4139)</f>
        <v>0</v>
      </c>
      <c r="I4140" s="16" cm="1">
        <f t="array" ref="I4140">SUM(I4136:I4139)</f>
        <v>0</v>
      </c>
    </row>
    <row r="4141" ht="21.25" customHeight="1">
      <c r="A4141" s="10">
        <v>45631</v>
      </c>
      <c r="B4141" t="s" s="11">
        <v>81</v>
      </c>
      <c r="C4141" t="s" s="12">
        <v>709</v>
      </c>
      <c r="D4141" s="17">
        <v>48397</v>
      </c>
      <c r="E4141" s="17"/>
      <c r="F4141" s="18"/>
      <c r="G4141" s="18"/>
      <c r="H4141" s="18"/>
      <c r="I4141" s="18"/>
    </row>
    <row r="4142" ht="20.9" customHeight="1">
      <c r="A4142" s="10">
        <v>45631</v>
      </c>
      <c r="B4142" t="s" s="11">
        <v>91</v>
      </c>
      <c r="C4142" t="s" s="12">
        <v>709</v>
      </c>
      <c r="D4142" s="19"/>
      <c r="E4142" s="19" cm="1">
        <f t="array" ref="E4142">48467-40998</f>
        <v>7469</v>
      </c>
      <c r="F4142" s="20"/>
      <c r="G4142" s="20"/>
      <c r="H4142" s="20"/>
      <c r="I4142" s="20"/>
    </row>
    <row r="4143" ht="20.9" customHeight="1">
      <c r="A4143" s="10">
        <v>45631</v>
      </c>
      <c r="B4143" t="s" s="11">
        <v>84</v>
      </c>
      <c r="C4143" t="s" s="12">
        <v>709</v>
      </c>
      <c r="D4143" s="19">
        <v>70</v>
      </c>
      <c r="E4143" s="19"/>
      <c r="F4143" s="20"/>
      <c r="G4143" s="20"/>
      <c r="H4143" s="20"/>
      <c r="I4143" s="20"/>
    </row>
    <row r="4144" ht="21.25" customHeight="1">
      <c r="A4144" s="10">
        <v>45631</v>
      </c>
      <c r="B4144" t="s" s="11">
        <v>85</v>
      </c>
      <c r="C4144" t="s" s="12">
        <v>709</v>
      </c>
      <c r="D4144" s="13"/>
      <c r="E4144" s="13">
        <v>40998</v>
      </c>
      <c r="F4144" s="14"/>
      <c r="G4144" s="14"/>
      <c r="H4144" s="14"/>
      <c r="I4144" s="14"/>
    </row>
    <row r="4145" ht="20.7" customHeight="1">
      <c r="A4145" s="10">
        <v>45631</v>
      </c>
      <c r="B4145" t="s" s="11">
        <v>8</v>
      </c>
      <c r="C4145" t="s" s="12">
        <v>8</v>
      </c>
      <c r="D4145" s="15" cm="1">
        <f t="array" ref="D4145">SUM(D4141:D4144)</f>
        <v>48467</v>
      </c>
      <c r="E4145" s="15" cm="1">
        <f t="array" ref="E4145">SUM(E4141:E4144)</f>
        <v>48467</v>
      </c>
      <c r="F4145" s="16" cm="1">
        <f t="array" ref="F4145">SUM(F4141:F4144)</f>
        <v>0</v>
      </c>
      <c r="G4145" s="16" cm="1">
        <f t="array" ref="G4145">SUM(G4141:G4144)</f>
        <v>0</v>
      </c>
      <c r="H4145" s="16" cm="1">
        <f t="array" ref="H4145">SUM(H4141:H4144)</f>
        <v>0</v>
      </c>
      <c r="I4145" s="16" cm="1">
        <f t="array" ref="I4145">SUM(I4141:I4144)</f>
        <v>0</v>
      </c>
    </row>
    <row r="4146" ht="20.35" customHeight="1">
      <c r="A4146" s="10">
        <v>45632</v>
      </c>
      <c r="B4146" t="s" s="11">
        <v>93</v>
      </c>
      <c r="C4146" t="s" s="12">
        <v>96</v>
      </c>
      <c r="D4146" s="17"/>
      <c r="E4146" s="17">
        <v>27000</v>
      </c>
      <c r="F4146" s="18"/>
      <c r="G4146" s="18"/>
      <c r="H4146" s="18"/>
      <c r="I4146" s="18"/>
    </row>
    <row r="4147" ht="20.35" customHeight="1">
      <c r="A4147" s="10">
        <v>45632</v>
      </c>
      <c r="B4147" t="s" s="11">
        <v>5</v>
      </c>
      <c r="C4147" t="s" s="12">
        <v>96</v>
      </c>
      <c r="D4147" s="13">
        <v>27000</v>
      </c>
      <c r="E4147" s="13"/>
      <c r="F4147" s="14"/>
      <c r="G4147" s="14"/>
      <c r="H4147" s="14"/>
      <c r="I4147" s="14"/>
    </row>
    <row r="4148" ht="20.7" customHeight="1">
      <c r="A4148" s="10">
        <v>45632</v>
      </c>
      <c r="B4148" t="s" s="11">
        <v>8</v>
      </c>
      <c r="C4148" t="s" s="12">
        <v>8</v>
      </c>
      <c r="D4148" s="15" cm="1">
        <f t="array" ref="D4148">SUM(D4146:D4147)</f>
        <v>27000</v>
      </c>
      <c r="E4148" s="15" cm="1">
        <f t="array" ref="E4148">SUM(E4146:E4147)</f>
        <v>27000</v>
      </c>
      <c r="F4148" s="16" cm="1">
        <f t="array" ref="F4148">SUM(F4146:F4147)</f>
        <v>0</v>
      </c>
      <c r="G4148" s="16" cm="1">
        <f t="array" ref="G4148">SUM(G4146:G4147)</f>
        <v>0</v>
      </c>
      <c r="H4148" s="16" cm="1">
        <f t="array" ref="H4148">SUM(H4146:H4147)</f>
        <v>0</v>
      </c>
      <c r="I4148" s="16" cm="1">
        <f t="array" ref="I4148">SUM(I4146:I4147)</f>
        <v>0</v>
      </c>
    </row>
    <row r="4149" ht="20.35" customHeight="1">
      <c r="A4149" s="10">
        <v>45632</v>
      </c>
      <c r="B4149" t="s" s="11">
        <v>10</v>
      </c>
      <c r="C4149" t="s" s="12">
        <v>710</v>
      </c>
      <c r="D4149" s="17">
        <v>14666</v>
      </c>
      <c r="E4149" s="17"/>
      <c r="F4149" s="18"/>
      <c r="G4149" s="18"/>
      <c r="H4149" s="18"/>
      <c r="I4149" s="18"/>
    </row>
    <row r="4150" ht="20.35" customHeight="1">
      <c r="A4150" s="10">
        <v>45632</v>
      </c>
      <c r="B4150" t="s" s="11">
        <v>5</v>
      </c>
      <c r="C4150" t="s" s="12">
        <v>710</v>
      </c>
      <c r="D4150" s="13"/>
      <c r="E4150" s="13">
        <v>14666</v>
      </c>
      <c r="F4150" s="14"/>
      <c r="G4150" s="14"/>
      <c r="H4150" s="14"/>
      <c r="I4150" s="14"/>
    </row>
    <row r="4151" ht="20.7" customHeight="1">
      <c r="A4151" s="10">
        <v>45632</v>
      </c>
      <c r="B4151" t="s" s="11">
        <v>8</v>
      </c>
      <c r="C4151" t="s" s="12">
        <v>8</v>
      </c>
      <c r="D4151" s="15" cm="1">
        <f t="array" ref="D4151">SUM(D4149:D4150)</f>
        <v>14666</v>
      </c>
      <c r="E4151" s="15" cm="1">
        <f t="array" ref="E4151">SUM(E4149:E4150)</f>
        <v>14666</v>
      </c>
      <c r="F4151" s="16" cm="1">
        <f t="array" ref="F4151">SUM(F4149:F4150)</f>
        <v>0</v>
      </c>
      <c r="G4151" s="16" cm="1">
        <f t="array" ref="G4151">SUM(G4149:G4150)</f>
        <v>0</v>
      </c>
      <c r="H4151" s="16" cm="1">
        <f t="array" ref="H4151">SUM(H4149:H4150)</f>
        <v>0</v>
      </c>
      <c r="I4151" s="16" cm="1">
        <f t="array" ref="I4151">SUM(I4149:I4150)</f>
        <v>0</v>
      </c>
    </row>
    <row r="4152" ht="20.35" customHeight="1">
      <c r="A4152" s="10">
        <v>45632</v>
      </c>
      <c r="B4152" t="s" s="11">
        <v>5</v>
      </c>
      <c r="C4152" t="s" s="12">
        <v>17</v>
      </c>
      <c r="D4152" s="17">
        <v>100</v>
      </c>
      <c r="E4152" s="17"/>
      <c r="F4152" s="18"/>
      <c r="G4152" s="18"/>
      <c r="H4152" s="18"/>
      <c r="I4152" s="18"/>
    </row>
    <row r="4153" ht="20.35" customHeight="1">
      <c r="A4153" s="10">
        <v>45632</v>
      </c>
      <c r="B4153" t="s" s="11">
        <v>18</v>
      </c>
      <c r="C4153" t="s" s="12">
        <v>17</v>
      </c>
      <c r="D4153" s="13"/>
      <c r="E4153" s="13">
        <v>100</v>
      </c>
      <c r="F4153" s="14"/>
      <c r="G4153" s="14"/>
      <c r="H4153" s="14"/>
      <c r="I4153" s="14"/>
    </row>
    <row r="4154" ht="20.7" customHeight="1">
      <c r="A4154" s="10">
        <v>45632</v>
      </c>
      <c r="B4154" t="s" s="11">
        <v>8</v>
      </c>
      <c r="C4154" t="s" s="12">
        <v>8</v>
      </c>
      <c r="D4154" s="15" cm="1">
        <f t="array" ref="D4154">SUM(D4152:D4153)</f>
        <v>100</v>
      </c>
      <c r="E4154" s="15" cm="1">
        <f t="array" ref="E4154">SUM(E4152:E4153)</f>
        <v>100</v>
      </c>
      <c r="F4154" s="16" cm="1">
        <f t="array" ref="F4154">SUM(F4152:F4153)</f>
        <v>0</v>
      </c>
      <c r="G4154" s="16" cm="1">
        <f t="array" ref="G4154">SUM(G4152:G4153)</f>
        <v>0</v>
      </c>
      <c r="H4154" s="16" cm="1">
        <f t="array" ref="H4154">SUM(H4152:H4153)</f>
        <v>0</v>
      </c>
      <c r="I4154" s="16" cm="1">
        <f t="array" ref="I4154">SUM(I4152:I4153)</f>
        <v>0</v>
      </c>
    </row>
    <row r="4155" ht="21.25" customHeight="1">
      <c r="A4155" s="10">
        <v>45632</v>
      </c>
      <c r="B4155" t="s" s="11">
        <v>5</v>
      </c>
      <c r="C4155" t="s" s="12">
        <v>253</v>
      </c>
      <c r="D4155" s="17"/>
      <c r="E4155" s="17">
        <v>7890</v>
      </c>
      <c r="F4155" s="18"/>
      <c r="G4155" s="18"/>
      <c r="H4155" s="18"/>
      <c r="I4155" s="18"/>
    </row>
    <row r="4156" ht="21.25" customHeight="1">
      <c r="A4156" s="10">
        <v>45632</v>
      </c>
      <c r="B4156" t="s" s="11">
        <v>10</v>
      </c>
      <c r="C4156" t="s" s="12">
        <v>253</v>
      </c>
      <c r="D4156" s="13">
        <v>7890</v>
      </c>
      <c r="E4156" s="13"/>
      <c r="F4156" s="14"/>
      <c r="G4156" s="14"/>
      <c r="H4156" s="14"/>
      <c r="I4156" s="14"/>
    </row>
    <row r="4157" ht="20.7" customHeight="1">
      <c r="A4157" s="10">
        <v>45632</v>
      </c>
      <c r="B4157" t="s" s="11">
        <v>8</v>
      </c>
      <c r="C4157" t="s" s="12">
        <v>8</v>
      </c>
      <c r="D4157" s="15" cm="1">
        <f t="array" ref="D4157">SUM(D4155:D4156)</f>
        <v>7890</v>
      </c>
      <c r="E4157" s="15" cm="1">
        <f t="array" ref="E4157">SUM(E4155:E4156)</f>
        <v>7890</v>
      </c>
      <c r="F4157" s="16" cm="1">
        <f t="array" ref="F4157">SUM(F4155:F4156)</f>
        <v>0</v>
      </c>
      <c r="G4157" s="16" cm="1">
        <f t="array" ref="G4157">SUM(G4155:G4156)</f>
        <v>0</v>
      </c>
      <c r="H4157" s="16" cm="1">
        <f t="array" ref="H4157">SUM(H4155:H4156)</f>
        <v>0</v>
      </c>
      <c r="I4157" s="16" cm="1">
        <f t="array" ref="I4157">SUM(I4155:I4156)</f>
        <v>0</v>
      </c>
    </row>
    <row r="4158" ht="21.25" customHeight="1">
      <c r="A4158" s="10">
        <v>45632</v>
      </c>
      <c r="B4158" t="s" s="11">
        <v>12</v>
      </c>
      <c r="C4158" t="s" s="12">
        <v>711</v>
      </c>
      <c r="D4158" s="17">
        <v>3000</v>
      </c>
      <c r="E4158" s="17"/>
      <c r="F4158" s="18"/>
      <c r="G4158" s="18"/>
      <c r="H4158" s="18"/>
      <c r="I4158" s="18"/>
    </row>
    <row r="4159" ht="21.25" customHeight="1">
      <c r="A4159" s="10">
        <v>45632</v>
      </c>
      <c r="B4159" t="s" s="11">
        <v>93</v>
      </c>
      <c r="C4159" t="s" s="12">
        <v>711</v>
      </c>
      <c r="D4159" s="13"/>
      <c r="E4159" s="13">
        <v>3000</v>
      </c>
      <c r="F4159" s="14"/>
      <c r="G4159" s="14"/>
      <c r="H4159" s="14"/>
      <c r="I4159" s="14"/>
    </row>
    <row r="4160" ht="20.7" customHeight="1">
      <c r="A4160" s="10">
        <v>45632</v>
      </c>
      <c r="B4160" t="s" s="11">
        <v>8</v>
      </c>
      <c r="C4160" t="s" s="12">
        <v>8</v>
      </c>
      <c r="D4160" s="15" cm="1">
        <f t="array" ref="D4160">SUM(D4158:D4159)</f>
        <v>3000</v>
      </c>
      <c r="E4160" s="15" cm="1">
        <f t="array" ref="E4160">SUM(E4158:E4159)</f>
        <v>3000</v>
      </c>
      <c r="F4160" s="16" cm="1">
        <f t="array" ref="F4160">SUM(F4158:F4159)</f>
        <v>0</v>
      </c>
      <c r="G4160" s="16" cm="1">
        <f t="array" ref="G4160">SUM(G4158:G4159)</f>
        <v>0</v>
      </c>
      <c r="H4160" s="16" cm="1">
        <f t="array" ref="H4160">SUM(H4158:H4159)</f>
        <v>0</v>
      </c>
      <c r="I4160" s="16" cm="1">
        <f t="array" ref="I4160">SUM(I4158:I4159)</f>
        <v>0</v>
      </c>
    </row>
    <row r="4161" ht="20.35" customHeight="1">
      <c r="A4161" s="10">
        <v>45632</v>
      </c>
      <c r="B4161" t="s" s="11">
        <v>5</v>
      </c>
      <c r="C4161" t="s" s="12">
        <v>604</v>
      </c>
      <c r="D4161" s="17"/>
      <c r="E4161" s="17">
        <v>10000</v>
      </c>
      <c r="F4161" s="18"/>
      <c r="G4161" s="18"/>
      <c r="H4161" s="18"/>
      <c r="I4161" s="18"/>
    </row>
    <row r="4162" ht="20.35" customHeight="1">
      <c r="A4162" s="10">
        <v>45632</v>
      </c>
      <c r="B4162" t="s" s="11">
        <v>93</v>
      </c>
      <c r="C4162" t="s" s="12">
        <v>604</v>
      </c>
      <c r="D4162" s="13">
        <v>10000</v>
      </c>
      <c r="E4162" s="13"/>
      <c r="F4162" s="14"/>
      <c r="G4162" s="14"/>
      <c r="H4162" s="14"/>
      <c r="I4162" s="14"/>
    </row>
    <row r="4163" ht="20.7" customHeight="1">
      <c r="A4163" s="10">
        <v>45632</v>
      </c>
      <c r="B4163" t="s" s="11">
        <v>8</v>
      </c>
      <c r="C4163" t="s" s="12">
        <v>8</v>
      </c>
      <c r="D4163" s="15" cm="1">
        <f t="array" ref="D4163">SUM(D4161:D4162)</f>
        <v>10000</v>
      </c>
      <c r="E4163" s="15" cm="1">
        <f t="array" ref="E4163">SUM(E4161:E4162)</f>
        <v>10000</v>
      </c>
      <c r="F4163" s="16" cm="1">
        <f t="array" ref="F4163">SUM(F4161:F4162)</f>
        <v>0</v>
      </c>
      <c r="G4163" s="16" cm="1">
        <f t="array" ref="G4163">SUM(G4161:G4162)</f>
        <v>0</v>
      </c>
      <c r="H4163" s="16" cm="1">
        <f t="array" ref="H4163">SUM(H4161:H4162)</f>
        <v>0</v>
      </c>
      <c r="I4163" s="16" cm="1">
        <f t="array" ref="I4163">SUM(I4161:I4162)</f>
        <v>0</v>
      </c>
    </row>
    <row r="4164" ht="20.35" customHeight="1">
      <c r="A4164" s="10">
        <v>45633</v>
      </c>
      <c r="B4164" t="s" s="11">
        <v>93</v>
      </c>
      <c r="C4164" t="s" s="12">
        <v>96</v>
      </c>
      <c r="D4164" s="17"/>
      <c r="E4164" s="17">
        <v>7000</v>
      </c>
      <c r="F4164" s="18"/>
      <c r="G4164" s="18"/>
      <c r="H4164" s="18"/>
      <c r="I4164" s="18"/>
    </row>
    <row r="4165" ht="20.35" customHeight="1">
      <c r="A4165" s="10">
        <v>45633</v>
      </c>
      <c r="B4165" t="s" s="11">
        <v>5</v>
      </c>
      <c r="C4165" t="s" s="12">
        <v>96</v>
      </c>
      <c r="D4165" s="13">
        <v>7000</v>
      </c>
      <c r="E4165" s="13"/>
      <c r="F4165" s="14"/>
      <c r="G4165" s="14"/>
      <c r="H4165" s="14"/>
      <c r="I4165" s="14"/>
    </row>
    <row r="4166" ht="20.7" customHeight="1">
      <c r="A4166" s="10">
        <v>45633</v>
      </c>
      <c r="B4166" t="s" s="11">
        <v>8</v>
      </c>
      <c r="C4166" t="s" s="12">
        <v>8</v>
      </c>
      <c r="D4166" s="15" cm="1">
        <f t="array" ref="D4166">SUM(D4164:D4165)</f>
        <v>7000</v>
      </c>
      <c r="E4166" s="15" cm="1">
        <f t="array" ref="E4166">SUM(E4164:E4165)</f>
        <v>7000</v>
      </c>
      <c r="F4166" s="16" cm="1">
        <f t="array" ref="F4166">SUM(F4164:F4165)</f>
        <v>0</v>
      </c>
      <c r="G4166" s="16" cm="1">
        <f t="array" ref="G4166">SUM(G4164:G4165)</f>
        <v>0</v>
      </c>
      <c r="H4166" s="16" cm="1">
        <f t="array" ref="H4166">SUM(H4164:H4165)</f>
        <v>0</v>
      </c>
      <c r="I4166" s="16" cm="1">
        <f t="array" ref="I4166">SUM(I4164:I4165)</f>
        <v>0</v>
      </c>
    </row>
    <row r="4167" ht="20.35" customHeight="1">
      <c r="A4167" s="10">
        <v>45633</v>
      </c>
      <c r="B4167" t="s" s="11">
        <v>5</v>
      </c>
      <c r="C4167" t="s" s="12">
        <v>17</v>
      </c>
      <c r="D4167" s="17">
        <v>100</v>
      </c>
      <c r="E4167" s="17"/>
      <c r="F4167" s="18"/>
      <c r="G4167" s="18"/>
      <c r="H4167" s="18"/>
      <c r="I4167" s="18"/>
    </row>
    <row r="4168" ht="20.35" customHeight="1">
      <c r="A4168" s="10">
        <v>45633</v>
      </c>
      <c r="B4168" t="s" s="11">
        <v>18</v>
      </c>
      <c r="C4168" t="s" s="12">
        <v>17</v>
      </c>
      <c r="D4168" s="13"/>
      <c r="E4168" s="13">
        <v>100</v>
      </c>
      <c r="F4168" s="14"/>
      <c r="G4168" s="14"/>
      <c r="H4168" s="14"/>
      <c r="I4168" s="14"/>
    </row>
    <row r="4169" ht="20.7" customHeight="1">
      <c r="A4169" s="10">
        <v>45633</v>
      </c>
      <c r="B4169" t="s" s="11">
        <v>8</v>
      </c>
      <c r="C4169" t="s" s="12">
        <v>8</v>
      </c>
      <c r="D4169" s="15" cm="1">
        <f t="array" ref="D4169">SUM(D4167:D4168)</f>
        <v>100</v>
      </c>
      <c r="E4169" s="15" cm="1">
        <f t="array" ref="E4169">SUM(E4167:E4168)</f>
        <v>100</v>
      </c>
      <c r="F4169" s="16" cm="1">
        <f t="array" ref="F4169">SUM(F4167:F4168)</f>
        <v>0</v>
      </c>
      <c r="G4169" s="16" cm="1">
        <f t="array" ref="G4169">SUM(G4167:G4168)</f>
        <v>0</v>
      </c>
      <c r="H4169" s="16" cm="1">
        <f t="array" ref="H4169">SUM(H4167:H4168)</f>
        <v>0</v>
      </c>
      <c r="I4169" s="16" cm="1">
        <f t="array" ref="I4169">SUM(I4167:I4168)</f>
        <v>0</v>
      </c>
    </row>
    <row r="4170" ht="20.35" customHeight="1">
      <c r="A4170" s="10">
        <v>45633</v>
      </c>
      <c r="B4170" t="s" s="11">
        <v>12</v>
      </c>
      <c r="C4170" t="s" s="12">
        <v>53</v>
      </c>
      <c r="D4170" s="17">
        <v>5200</v>
      </c>
      <c r="E4170" s="17"/>
      <c r="F4170" s="18"/>
      <c r="G4170" s="18"/>
      <c r="H4170" s="18"/>
      <c r="I4170" s="18"/>
    </row>
    <row r="4171" ht="20.35" customHeight="1">
      <c r="A4171" s="10">
        <v>45633</v>
      </c>
      <c r="B4171" t="s" s="11">
        <v>5</v>
      </c>
      <c r="C4171" t="s" s="12">
        <v>53</v>
      </c>
      <c r="D4171" s="13"/>
      <c r="E4171" s="13">
        <v>5200</v>
      </c>
      <c r="F4171" s="14"/>
      <c r="G4171" s="14"/>
      <c r="H4171" s="14"/>
      <c r="I4171" s="14"/>
    </row>
    <row r="4172" ht="20.7" customHeight="1">
      <c r="A4172" s="10">
        <v>45633</v>
      </c>
      <c r="B4172" t="s" s="11">
        <v>8</v>
      </c>
      <c r="C4172" t="s" s="12">
        <v>8</v>
      </c>
      <c r="D4172" s="15" cm="1">
        <f t="array" ref="D4172">SUM(D4170:D4171)</f>
        <v>5200</v>
      </c>
      <c r="E4172" s="15" cm="1">
        <f t="array" ref="E4172">SUM(E4170:E4171)</f>
        <v>5200</v>
      </c>
      <c r="F4172" s="16" cm="1">
        <f t="array" ref="F4172">SUM(F4170:F4171)</f>
        <v>0</v>
      </c>
      <c r="G4172" s="16" cm="1">
        <f t="array" ref="G4172">SUM(G4170:G4171)</f>
        <v>0</v>
      </c>
      <c r="H4172" s="16" cm="1">
        <f t="array" ref="H4172">SUM(H4170:H4171)</f>
        <v>0</v>
      </c>
      <c r="I4172" s="16" cm="1">
        <f t="array" ref="I4172">SUM(I4170:I4171)</f>
        <v>0</v>
      </c>
    </row>
    <row r="4173" ht="20.35" customHeight="1">
      <c r="A4173" s="10">
        <v>45634</v>
      </c>
      <c r="B4173" t="s" s="11">
        <v>79</v>
      </c>
      <c r="C4173" t="s" s="12">
        <v>604</v>
      </c>
      <c r="D4173" s="17"/>
      <c r="E4173" s="17">
        <v>517</v>
      </c>
      <c r="F4173" s="18"/>
      <c r="G4173" s="18"/>
      <c r="H4173" s="18"/>
      <c r="I4173" s="18"/>
    </row>
    <row r="4174" ht="20.35" customHeight="1">
      <c r="A4174" s="10">
        <v>45634</v>
      </c>
      <c r="B4174" t="s" s="11">
        <v>93</v>
      </c>
      <c r="C4174" t="s" s="12">
        <v>604</v>
      </c>
      <c r="D4174" s="13">
        <v>517</v>
      </c>
      <c r="E4174" s="13"/>
      <c r="F4174" s="14"/>
      <c r="G4174" s="14"/>
      <c r="H4174" s="14"/>
      <c r="I4174" s="14"/>
    </row>
    <row r="4175" ht="20.7" customHeight="1">
      <c r="A4175" s="10">
        <v>45634</v>
      </c>
      <c r="B4175" t="s" s="11">
        <v>8</v>
      </c>
      <c r="C4175" t="s" s="12">
        <v>8</v>
      </c>
      <c r="D4175" s="15" cm="1">
        <f t="array" ref="D4175">SUM(D4173:D4174)</f>
        <v>517</v>
      </c>
      <c r="E4175" s="15" cm="1">
        <f t="array" ref="E4175">SUM(E4173:E4174)</f>
        <v>517</v>
      </c>
      <c r="F4175" s="16" cm="1">
        <f t="array" ref="F4175">SUM(F4173:F4174)</f>
        <v>0</v>
      </c>
      <c r="G4175" s="16" cm="1">
        <f t="array" ref="G4175">SUM(G4173:G4174)</f>
        <v>0</v>
      </c>
      <c r="H4175" s="16" cm="1">
        <f t="array" ref="H4175">SUM(H4173:H4174)</f>
        <v>0</v>
      </c>
      <c r="I4175" s="16" cm="1">
        <f t="array" ref="I4175">SUM(I4173:I4174)</f>
        <v>0</v>
      </c>
    </row>
    <row r="4176" ht="20.35" customHeight="1">
      <c r="A4176" s="10">
        <v>45634</v>
      </c>
      <c r="B4176" t="s" s="11">
        <v>93</v>
      </c>
      <c r="C4176" t="s" s="12">
        <v>96</v>
      </c>
      <c r="D4176" s="17"/>
      <c r="E4176" s="17">
        <v>517</v>
      </c>
      <c r="F4176" s="18"/>
      <c r="G4176" s="18"/>
      <c r="H4176" s="18"/>
      <c r="I4176" s="18"/>
    </row>
    <row r="4177" ht="20.35" customHeight="1">
      <c r="A4177" s="10">
        <v>45634</v>
      </c>
      <c r="B4177" t="s" s="11">
        <v>5</v>
      </c>
      <c r="C4177" t="s" s="12">
        <v>96</v>
      </c>
      <c r="D4177" s="13">
        <v>517</v>
      </c>
      <c r="E4177" s="13"/>
      <c r="F4177" s="14"/>
      <c r="G4177" s="14"/>
      <c r="H4177" s="14"/>
      <c r="I4177" s="14"/>
    </row>
    <row r="4178" ht="20.7" customHeight="1">
      <c r="A4178" s="10">
        <v>45634</v>
      </c>
      <c r="B4178" t="s" s="11">
        <v>8</v>
      </c>
      <c r="C4178" t="s" s="12">
        <v>8</v>
      </c>
      <c r="D4178" s="15" cm="1">
        <f t="array" ref="D4178">SUM(D4176:D4177)</f>
        <v>517</v>
      </c>
      <c r="E4178" s="15" cm="1">
        <f t="array" ref="E4178">SUM(E4176:E4177)</f>
        <v>517</v>
      </c>
      <c r="F4178" s="16" cm="1">
        <f t="array" ref="F4178">SUM(F4176:F4177)</f>
        <v>0</v>
      </c>
      <c r="G4178" s="16" cm="1">
        <f t="array" ref="G4178">SUM(G4176:G4177)</f>
        <v>0</v>
      </c>
      <c r="H4178" s="16" cm="1">
        <f t="array" ref="H4178">SUM(H4176:H4177)</f>
        <v>0</v>
      </c>
      <c r="I4178" s="16" cm="1">
        <f t="array" ref="I4178">SUM(I4176:I4177)</f>
        <v>0</v>
      </c>
    </row>
    <row r="4179" ht="20.65" customHeight="1">
      <c r="A4179" s="10">
        <v>45634</v>
      </c>
      <c r="B4179" t="s" s="11">
        <v>12</v>
      </c>
      <c r="C4179" t="s" s="12">
        <v>168</v>
      </c>
      <c r="D4179" s="17">
        <v>3100</v>
      </c>
      <c r="E4179" s="17"/>
      <c r="F4179" s="18"/>
      <c r="G4179" s="18"/>
      <c r="H4179" s="18"/>
      <c r="I4179" s="18"/>
    </row>
    <row r="4180" ht="20.65" customHeight="1">
      <c r="A4180" s="10">
        <v>45634</v>
      </c>
      <c r="B4180" t="s" s="11">
        <v>5</v>
      </c>
      <c r="C4180" t="s" s="12">
        <v>168</v>
      </c>
      <c r="D4180" s="13"/>
      <c r="E4180" s="13">
        <v>3100</v>
      </c>
      <c r="F4180" s="14"/>
      <c r="G4180" s="14"/>
      <c r="H4180" s="14"/>
      <c r="I4180" s="14"/>
    </row>
    <row r="4181" ht="20.7" customHeight="1">
      <c r="A4181" s="10">
        <v>45634</v>
      </c>
      <c r="B4181" t="s" s="11">
        <v>8</v>
      </c>
      <c r="C4181" t="s" s="12">
        <v>8</v>
      </c>
      <c r="D4181" s="15" cm="1">
        <f t="array" ref="D4181">SUM(D4179:D4180)</f>
        <v>3100</v>
      </c>
      <c r="E4181" s="15" cm="1">
        <f t="array" ref="E4181">SUM(E4179:E4180)</f>
        <v>3100</v>
      </c>
      <c r="F4181" s="16" cm="1">
        <f t="array" ref="F4181">SUM(F4179:F4180)</f>
        <v>0</v>
      </c>
      <c r="G4181" s="16" cm="1">
        <f t="array" ref="G4181">SUM(G4179:G4180)</f>
        <v>0</v>
      </c>
      <c r="H4181" s="16" cm="1">
        <f t="array" ref="H4181">SUM(H4179:H4180)</f>
        <v>0</v>
      </c>
      <c r="I4181" s="16" cm="1">
        <f t="array" ref="I4181">SUM(I4179:I4180)</f>
        <v>0</v>
      </c>
    </row>
    <row r="4182" ht="21.25" customHeight="1">
      <c r="A4182" s="10">
        <v>45635</v>
      </c>
      <c r="B4182" t="s" s="11">
        <v>81</v>
      </c>
      <c r="C4182" t="s" s="12">
        <v>707</v>
      </c>
      <c r="D4182" s="17"/>
      <c r="E4182" s="17">
        <v>39412</v>
      </c>
      <c r="F4182" s="18"/>
      <c r="G4182" s="18"/>
      <c r="H4182" s="18"/>
      <c r="I4182" s="18"/>
    </row>
    <row r="4183" ht="21.25" customHeight="1">
      <c r="A4183" s="10">
        <v>45635</v>
      </c>
      <c r="B4183" t="s" s="11">
        <v>79</v>
      </c>
      <c r="C4183" t="s" s="12">
        <v>707</v>
      </c>
      <c r="D4183" s="13">
        <v>39412</v>
      </c>
      <c r="E4183" s="13"/>
      <c r="F4183" s="14"/>
      <c r="G4183" s="14"/>
      <c r="H4183" s="14"/>
      <c r="I4183" s="14"/>
    </row>
    <row r="4184" ht="20.7" customHeight="1">
      <c r="A4184" s="10">
        <v>45635</v>
      </c>
      <c r="B4184" t="s" s="11">
        <v>8</v>
      </c>
      <c r="C4184" t="s" s="12">
        <v>8</v>
      </c>
      <c r="D4184" s="15" cm="1">
        <f t="array" ref="D4184">SUM(D4182:D4183)</f>
        <v>39412</v>
      </c>
      <c r="E4184" s="15" cm="1">
        <f t="array" ref="E4184">SUM(E4182:E4183)</f>
        <v>39412</v>
      </c>
      <c r="F4184" s="16" cm="1">
        <f t="array" ref="F4184">SUM(F4182:F4183)</f>
        <v>0</v>
      </c>
      <c r="G4184" s="16" cm="1">
        <f t="array" ref="G4184">SUM(G4182:G4183)</f>
        <v>0</v>
      </c>
      <c r="H4184" s="16" cm="1">
        <f t="array" ref="H4184">SUM(H4182:H4183)</f>
        <v>0</v>
      </c>
      <c r="I4184" s="16" cm="1">
        <f t="array" ref="I4184">SUM(I4182:I4183)</f>
        <v>0</v>
      </c>
    </row>
    <row r="4185" ht="21.25" customHeight="1">
      <c r="A4185" s="10">
        <v>45635</v>
      </c>
      <c r="B4185" t="s" s="11">
        <v>81</v>
      </c>
      <c r="C4185" t="s" s="12">
        <v>708</v>
      </c>
      <c r="D4185" s="17"/>
      <c r="E4185" s="17">
        <v>53704</v>
      </c>
      <c r="F4185" s="18"/>
      <c r="G4185" s="18"/>
      <c r="H4185" s="18"/>
      <c r="I4185" s="18"/>
    </row>
    <row r="4186" ht="21.25" customHeight="1">
      <c r="A4186" s="10">
        <v>45635</v>
      </c>
      <c r="B4186" t="s" s="11">
        <v>79</v>
      </c>
      <c r="C4186" t="s" s="12">
        <v>708</v>
      </c>
      <c r="D4186" s="13">
        <v>53704</v>
      </c>
      <c r="E4186" s="13"/>
      <c r="F4186" s="14"/>
      <c r="G4186" s="14"/>
      <c r="H4186" s="14"/>
      <c r="I4186" s="14"/>
    </row>
    <row r="4187" ht="20.7" customHeight="1">
      <c r="A4187" s="10">
        <v>45635</v>
      </c>
      <c r="B4187" t="s" s="11">
        <v>8</v>
      </c>
      <c r="C4187" t="s" s="12">
        <v>8</v>
      </c>
      <c r="D4187" s="15" cm="1">
        <f t="array" ref="D4187">SUM(D4185:D4186)</f>
        <v>53704</v>
      </c>
      <c r="E4187" s="15" cm="1">
        <f t="array" ref="E4187">SUM(E4185:E4186)</f>
        <v>53704</v>
      </c>
      <c r="F4187" s="16" cm="1">
        <f t="array" ref="F4187">SUM(F4185:F4186)</f>
        <v>0</v>
      </c>
      <c r="G4187" s="16" cm="1">
        <f t="array" ref="G4187">SUM(G4185:G4186)</f>
        <v>0</v>
      </c>
      <c r="H4187" s="16" cm="1">
        <f t="array" ref="H4187">SUM(H4185:H4186)</f>
        <v>0</v>
      </c>
      <c r="I4187" s="16" cm="1">
        <f t="array" ref="I4187">SUM(I4185:I4186)</f>
        <v>0</v>
      </c>
    </row>
    <row r="4188" ht="21.25" customHeight="1">
      <c r="A4188" s="10">
        <v>45635</v>
      </c>
      <c r="B4188" t="s" s="11">
        <v>81</v>
      </c>
      <c r="C4188" t="s" s="12">
        <v>709</v>
      </c>
      <c r="D4188" s="17"/>
      <c r="E4188" s="17">
        <v>48397</v>
      </c>
      <c r="F4188" s="18"/>
      <c r="G4188" s="18"/>
      <c r="H4188" s="18"/>
      <c r="I4188" s="18"/>
    </row>
    <row r="4189" ht="21.25" customHeight="1">
      <c r="A4189" s="10">
        <v>45635</v>
      </c>
      <c r="B4189" t="s" s="11">
        <v>79</v>
      </c>
      <c r="C4189" t="s" s="12">
        <v>709</v>
      </c>
      <c r="D4189" s="13">
        <v>48397</v>
      </c>
      <c r="E4189" s="13"/>
      <c r="F4189" s="14"/>
      <c r="G4189" s="14"/>
      <c r="H4189" s="14"/>
      <c r="I4189" s="14"/>
    </row>
    <row r="4190" ht="20.7" customHeight="1">
      <c r="A4190" s="10">
        <v>45635</v>
      </c>
      <c r="B4190" t="s" s="11">
        <v>8</v>
      </c>
      <c r="C4190" t="s" s="12">
        <v>8</v>
      </c>
      <c r="D4190" s="15" cm="1">
        <f t="array" ref="D4190">SUM(D4188:D4189)</f>
        <v>48397</v>
      </c>
      <c r="E4190" s="15" cm="1">
        <f t="array" ref="E4190">SUM(E4188:E4189)</f>
        <v>48397</v>
      </c>
      <c r="F4190" s="16" cm="1">
        <f t="array" ref="F4190">SUM(F4188:F4189)</f>
        <v>0</v>
      </c>
      <c r="G4190" s="16" cm="1">
        <f t="array" ref="G4190">SUM(G4188:G4189)</f>
        <v>0</v>
      </c>
      <c r="H4190" s="16" cm="1">
        <f t="array" ref="H4190">SUM(H4188:H4189)</f>
        <v>0</v>
      </c>
      <c r="I4190" s="16" cm="1">
        <f t="array" ref="I4190">SUM(I4188:I4189)</f>
        <v>0</v>
      </c>
    </row>
    <row r="4191" ht="20.35" customHeight="1">
      <c r="A4191" s="10">
        <v>45635</v>
      </c>
      <c r="B4191" t="s" s="11">
        <v>79</v>
      </c>
      <c r="C4191" t="s" s="12">
        <v>96</v>
      </c>
      <c r="D4191" s="17"/>
      <c r="E4191" s="17">
        <v>141513</v>
      </c>
      <c r="F4191" s="18"/>
      <c r="G4191" s="18"/>
      <c r="H4191" s="18"/>
      <c r="I4191" s="18"/>
    </row>
    <row r="4192" ht="20.35" customHeight="1">
      <c r="A4192" s="10">
        <v>45635</v>
      </c>
      <c r="B4192" t="s" s="11">
        <v>5</v>
      </c>
      <c r="C4192" t="s" s="12">
        <v>96</v>
      </c>
      <c r="D4192" s="13">
        <v>141513</v>
      </c>
      <c r="E4192" s="13"/>
      <c r="F4192" s="14"/>
      <c r="G4192" s="14"/>
      <c r="H4192" s="14"/>
      <c r="I4192" s="14"/>
    </row>
    <row r="4193" ht="20.7" customHeight="1">
      <c r="A4193" s="10">
        <v>45635</v>
      </c>
      <c r="B4193" t="s" s="11">
        <v>8</v>
      </c>
      <c r="C4193" t="s" s="12">
        <v>8</v>
      </c>
      <c r="D4193" s="15" cm="1">
        <f t="array" ref="D4193">SUM(D4191:D4192)</f>
        <v>141513</v>
      </c>
      <c r="E4193" s="15" cm="1">
        <f t="array" ref="E4193">SUM(E4191:E4192)</f>
        <v>141513</v>
      </c>
      <c r="F4193" s="16" cm="1">
        <f t="array" ref="F4193">SUM(F4191:F4192)</f>
        <v>0</v>
      </c>
      <c r="G4193" s="16" cm="1">
        <f t="array" ref="G4193">SUM(G4191:G4192)</f>
        <v>0</v>
      </c>
      <c r="H4193" s="16" cm="1">
        <f t="array" ref="H4193">SUM(H4191:H4192)</f>
        <v>0</v>
      </c>
      <c r="I4193" s="16" cm="1">
        <f t="array" ref="I4193">SUM(I4191:I4192)</f>
        <v>0</v>
      </c>
    </row>
    <row r="4194" ht="20.35" customHeight="1">
      <c r="A4194" s="10">
        <v>45635</v>
      </c>
      <c r="B4194" t="s" s="11">
        <v>12</v>
      </c>
      <c r="C4194" t="s" s="12">
        <v>712</v>
      </c>
      <c r="D4194" s="17">
        <v>21965</v>
      </c>
      <c r="E4194" s="17"/>
      <c r="F4194" s="18"/>
      <c r="G4194" s="18"/>
      <c r="H4194" s="18"/>
      <c r="I4194" s="18"/>
    </row>
    <row r="4195" ht="20.35" customHeight="1">
      <c r="A4195" s="10">
        <v>45635</v>
      </c>
      <c r="B4195" t="s" s="11">
        <v>5</v>
      </c>
      <c r="C4195" t="s" s="12">
        <v>712</v>
      </c>
      <c r="D4195" s="13"/>
      <c r="E4195" s="13">
        <v>21965</v>
      </c>
      <c r="F4195" s="14"/>
      <c r="G4195" s="14"/>
      <c r="H4195" s="14"/>
      <c r="I4195" s="14"/>
    </row>
    <row r="4196" ht="20.7" customHeight="1">
      <c r="A4196" s="10">
        <v>45635</v>
      </c>
      <c r="B4196" t="s" s="11">
        <v>8</v>
      </c>
      <c r="C4196" t="s" s="12">
        <v>8</v>
      </c>
      <c r="D4196" s="15" cm="1">
        <f t="array" ref="D4196">SUM(D4194:D4195)</f>
        <v>21965</v>
      </c>
      <c r="E4196" s="15" cm="1">
        <f t="array" ref="E4196">SUM(E4194:E4195)</f>
        <v>21965</v>
      </c>
      <c r="F4196" s="16" cm="1">
        <f t="array" ref="F4196">SUM(F4194:F4195)</f>
        <v>0</v>
      </c>
      <c r="G4196" s="16" cm="1">
        <f t="array" ref="G4196">SUM(G4194:G4195)</f>
        <v>0</v>
      </c>
      <c r="H4196" s="16" cm="1">
        <f t="array" ref="H4196">SUM(H4194:H4195)</f>
        <v>0</v>
      </c>
      <c r="I4196" s="16" cm="1">
        <f t="array" ref="I4196">SUM(I4194:I4195)</f>
        <v>0</v>
      </c>
    </row>
    <row r="4197" ht="21.25" customHeight="1">
      <c r="A4197" s="10">
        <v>45635</v>
      </c>
      <c r="B4197" t="s" s="11">
        <v>86</v>
      </c>
      <c r="C4197" t="s" s="12">
        <v>713</v>
      </c>
      <c r="D4197" s="17">
        <v>25900</v>
      </c>
      <c r="E4197" s="17"/>
      <c r="F4197" s="18"/>
      <c r="G4197" s="18"/>
      <c r="H4197" s="18"/>
      <c r="I4197" s="18"/>
    </row>
    <row r="4198" ht="21.25" customHeight="1">
      <c r="A4198" s="10">
        <v>45635</v>
      </c>
      <c r="B4198" t="s" s="11">
        <v>5</v>
      </c>
      <c r="C4198" t="s" s="12">
        <v>713</v>
      </c>
      <c r="D4198" s="13"/>
      <c r="E4198" s="13">
        <v>25900</v>
      </c>
      <c r="F4198" s="14"/>
      <c r="G4198" s="14"/>
      <c r="H4198" s="14"/>
      <c r="I4198" s="14"/>
    </row>
    <row r="4199" ht="20.7" customHeight="1">
      <c r="A4199" s="10">
        <v>45635</v>
      </c>
      <c r="B4199" t="s" s="11">
        <v>8</v>
      </c>
      <c r="C4199" t="s" s="12">
        <v>8</v>
      </c>
      <c r="D4199" s="15" cm="1">
        <f t="array" ref="D4199">SUM(D4197:D4198)</f>
        <v>25900</v>
      </c>
      <c r="E4199" s="15" cm="1">
        <f t="array" ref="E4199">SUM(E4197:E4198)</f>
        <v>25900</v>
      </c>
      <c r="F4199" s="16" cm="1">
        <f t="array" ref="F4199">SUM(F4197:F4198)</f>
        <v>0</v>
      </c>
      <c r="G4199" s="16" cm="1">
        <f t="array" ref="G4199">SUM(G4197:G4198)</f>
        <v>0</v>
      </c>
      <c r="H4199" s="16" cm="1">
        <f t="array" ref="H4199">SUM(H4197:H4198)</f>
        <v>0</v>
      </c>
      <c r="I4199" s="16" cm="1">
        <f t="array" ref="I4199">SUM(I4197:I4198)</f>
        <v>0</v>
      </c>
    </row>
    <row r="4200" ht="20.65" customHeight="1">
      <c r="A4200" s="10">
        <v>45635</v>
      </c>
      <c r="B4200" t="s" s="11">
        <v>86</v>
      </c>
      <c r="C4200" t="s" s="12">
        <v>714</v>
      </c>
      <c r="D4200" s="17">
        <v>6500</v>
      </c>
      <c r="E4200" s="17"/>
      <c r="F4200" s="18"/>
      <c r="G4200" s="18"/>
      <c r="H4200" s="18"/>
      <c r="I4200" s="18"/>
    </row>
    <row r="4201" ht="20.65" customHeight="1">
      <c r="A4201" s="10">
        <v>45635</v>
      </c>
      <c r="B4201" t="s" s="11">
        <v>5</v>
      </c>
      <c r="C4201" t="s" s="12">
        <v>714</v>
      </c>
      <c r="D4201" s="13"/>
      <c r="E4201" s="13">
        <v>6500</v>
      </c>
      <c r="F4201" s="14"/>
      <c r="G4201" s="14"/>
      <c r="H4201" s="14"/>
      <c r="I4201" s="14"/>
    </row>
    <row r="4202" ht="20.7" customHeight="1">
      <c r="A4202" s="10">
        <v>45635</v>
      </c>
      <c r="B4202" t="s" s="11">
        <v>8</v>
      </c>
      <c r="C4202" t="s" s="12">
        <v>8</v>
      </c>
      <c r="D4202" s="15" cm="1">
        <f t="array" ref="D4202">SUM(D4200:D4201)</f>
        <v>6500</v>
      </c>
      <c r="E4202" s="15" cm="1">
        <f t="array" ref="E4202">SUM(E4200:E4201)</f>
        <v>6500</v>
      </c>
      <c r="F4202" s="16" cm="1">
        <f t="array" ref="F4202">SUM(F4200:F4201)</f>
        <v>0</v>
      </c>
      <c r="G4202" s="16" cm="1">
        <f t="array" ref="G4202">SUM(G4200:G4201)</f>
        <v>0</v>
      </c>
      <c r="H4202" s="16" cm="1">
        <f t="array" ref="H4202">SUM(H4200:H4201)</f>
        <v>0</v>
      </c>
      <c r="I4202" s="16" cm="1">
        <f t="array" ref="I4202">SUM(I4200:I4201)</f>
        <v>0</v>
      </c>
    </row>
    <row r="4203" ht="21.25" customHeight="1">
      <c r="A4203" s="10">
        <v>45635</v>
      </c>
      <c r="B4203" t="s" s="11">
        <v>12</v>
      </c>
      <c r="C4203" t="s" s="12">
        <v>715</v>
      </c>
      <c r="D4203" s="17">
        <v>23600</v>
      </c>
      <c r="E4203" s="17"/>
      <c r="F4203" s="18"/>
      <c r="G4203" s="18"/>
      <c r="H4203" s="18"/>
      <c r="I4203" s="18"/>
    </row>
    <row r="4204" ht="21.25" customHeight="1">
      <c r="A4204" s="10">
        <v>45635</v>
      </c>
      <c r="B4204" t="s" s="11">
        <v>5</v>
      </c>
      <c r="C4204" t="s" s="12">
        <v>715</v>
      </c>
      <c r="D4204" s="13"/>
      <c r="E4204" s="13">
        <v>23600</v>
      </c>
      <c r="F4204" s="14"/>
      <c r="G4204" s="14"/>
      <c r="H4204" s="14"/>
      <c r="I4204" s="14"/>
    </row>
    <row r="4205" ht="20.7" customHeight="1">
      <c r="A4205" s="10">
        <v>45635</v>
      </c>
      <c r="B4205" t="s" s="11">
        <v>8</v>
      </c>
      <c r="C4205" t="s" s="12">
        <v>8</v>
      </c>
      <c r="D4205" s="15" cm="1">
        <f t="array" ref="D4205">SUM(D4203:D4204)</f>
        <v>23600</v>
      </c>
      <c r="E4205" s="15" cm="1">
        <f t="array" ref="E4205">SUM(E4203:E4204)</f>
        <v>23600</v>
      </c>
      <c r="F4205" s="16" cm="1">
        <f t="array" ref="F4205">SUM(F4203:F4204)</f>
        <v>0</v>
      </c>
      <c r="G4205" s="16" cm="1">
        <f t="array" ref="G4205">SUM(G4203:G4204)</f>
        <v>0</v>
      </c>
      <c r="H4205" s="16" cm="1">
        <f t="array" ref="H4205">SUM(H4203:H4204)</f>
        <v>0</v>
      </c>
      <c r="I4205" s="16" cm="1">
        <f t="array" ref="I4205">SUM(I4203:I4204)</f>
        <v>0</v>
      </c>
    </row>
    <row r="4206" ht="20.35" customHeight="1">
      <c r="A4206" s="10">
        <v>45635</v>
      </c>
      <c r="B4206" t="s" s="11">
        <v>12</v>
      </c>
      <c r="C4206" t="s" s="12">
        <v>169</v>
      </c>
      <c r="D4206" s="17">
        <v>4000</v>
      </c>
      <c r="E4206" s="17"/>
      <c r="F4206" s="18"/>
      <c r="G4206" s="18"/>
      <c r="H4206" s="18"/>
      <c r="I4206" s="18"/>
    </row>
    <row r="4207" ht="20.35" customHeight="1">
      <c r="A4207" s="10">
        <v>45635</v>
      </c>
      <c r="B4207" t="s" s="11">
        <v>5</v>
      </c>
      <c r="C4207" t="s" s="12">
        <v>169</v>
      </c>
      <c r="D4207" s="13"/>
      <c r="E4207" s="13">
        <v>4000</v>
      </c>
      <c r="F4207" s="14"/>
      <c r="G4207" s="14"/>
      <c r="H4207" s="14"/>
      <c r="I4207" s="14"/>
    </row>
    <row r="4208" ht="20.7" customHeight="1">
      <c r="A4208" s="10">
        <v>45635</v>
      </c>
      <c r="B4208" t="s" s="11">
        <v>8</v>
      </c>
      <c r="C4208" t="s" s="12">
        <v>8</v>
      </c>
      <c r="D4208" s="15" cm="1">
        <f t="array" ref="D4208">SUM(D4206:D4207)</f>
        <v>4000</v>
      </c>
      <c r="E4208" s="15" cm="1">
        <f t="array" ref="E4208">SUM(E4206:E4207)</f>
        <v>4000</v>
      </c>
      <c r="F4208" s="16" cm="1">
        <f t="array" ref="F4208">SUM(F4206:F4207)</f>
        <v>0</v>
      </c>
      <c r="G4208" s="16" cm="1">
        <f t="array" ref="G4208">SUM(G4206:G4207)</f>
        <v>0</v>
      </c>
      <c r="H4208" s="16" cm="1">
        <f t="array" ref="H4208">SUM(H4206:H4207)</f>
        <v>0</v>
      </c>
      <c r="I4208" s="16" cm="1">
        <f t="array" ref="I4208">SUM(I4206:I4207)</f>
        <v>0</v>
      </c>
    </row>
    <row r="4209" ht="21.25" customHeight="1">
      <c r="A4209" s="10">
        <v>45636</v>
      </c>
      <c r="B4209" t="s" s="11">
        <v>12</v>
      </c>
      <c r="C4209" t="s" s="12">
        <v>716</v>
      </c>
      <c r="D4209" s="17">
        <v>14500</v>
      </c>
      <c r="E4209" s="17"/>
      <c r="F4209" s="18"/>
      <c r="G4209" s="18"/>
      <c r="H4209" s="18"/>
      <c r="I4209" s="18"/>
    </row>
    <row r="4210" ht="20.9" customHeight="1">
      <c r="A4210" s="10">
        <v>45636</v>
      </c>
      <c r="B4210" t="s" s="11">
        <v>10</v>
      </c>
      <c r="C4210" t="s" s="12">
        <v>716</v>
      </c>
      <c r="D4210" s="19">
        <v>10500</v>
      </c>
      <c r="E4210" s="19"/>
      <c r="F4210" s="20"/>
      <c r="G4210" s="20"/>
      <c r="H4210" s="20"/>
      <c r="I4210" s="20"/>
    </row>
    <row r="4211" ht="21.25" customHeight="1">
      <c r="A4211" s="10">
        <v>45636</v>
      </c>
      <c r="B4211" t="s" s="11">
        <v>5</v>
      </c>
      <c r="C4211" t="s" s="12">
        <v>716</v>
      </c>
      <c r="D4211" s="13"/>
      <c r="E4211" s="13">
        <v>25000</v>
      </c>
      <c r="F4211" s="14"/>
      <c r="G4211" s="14"/>
      <c r="H4211" s="14"/>
      <c r="I4211" s="14"/>
    </row>
    <row r="4212" ht="20.7" customHeight="1">
      <c r="A4212" s="10">
        <v>45636</v>
      </c>
      <c r="B4212" t="s" s="11">
        <v>8</v>
      </c>
      <c r="C4212" t="s" s="12">
        <v>8</v>
      </c>
      <c r="D4212" s="15" cm="1">
        <f t="array" ref="D4212">SUM(D4209:D4211)</f>
        <v>25000</v>
      </c>
      <c r="E4212" s="15" cm="1">
        <f t="array" ref="E4212">SUM(E4209:E4211)</f>
        <v>25000</v>
      </c>
      <c r="F4212" s="16" cm="1">
        <f t="array" ref="F4212">SUM(F4209:F4211)</f>
        <v>0</v>
      </c>
      <c r="G4212" s="16" cm="1">
        <f t="array" ref="G4212">SUM(G4209:G4211)</f>
        <v>0</v>
      </c>
      <c r="H4212" s="16" cm="1">
        <f t="array" ref="H4212">SUM(H4209:H4211)</f>
        <v>0</v>
      </c>
      <c r="I4212" s="16" cm="1">
        <f t="array" ref="I4212">SUM(I4209:I4211)</f>
        <v>0</v>
      </c>
    </row>
    <row r="4213" ht="20.35" customHeight="1">
      <c r="A4213" s="10">
        <v>45636</v>
      </c>
      <c r="B4213" t="s" s="11">
        <v>21</v>
      </c>
      <c r="C4213" t="s" s="12">
        <v>717</v>
      </c>
      <c r="D4213" s="17"/>
      <c r="E4213" s="17">
        <v>350000</v>
      </c>
      <c r="F4213" s="18"/>
      <c r="G4213" s="18"/>
      <c r="H4213" s="18"/>
      <c r="I4213" s="18"/>
    </row>
    <row r="4214" ht="20.35" customHeight="1">
      <c r="A4214" s="10">
        <v>45636</v>
      </c>
      <c r="B4214" t="s" s="11">
        <v>107</v>
      </c>
      <c r="C4214" t="s" s="12">
        <v>717</v>
      </c>
      <c r="D4214" s="13">
        <v>350000</v>
      </c>
      <c r="E4214" s="13"/>
      <c r="F4214" s="14"/>
      <c r="G4214" s="14"/>
      <c r="H4214" s="14"/>
      <c r="I4214" s="14"/>
    </row>
    <row r="4215" ht="20.7" customHeight="1">
      <c r="A4215" s="10">
        <v>45636</v>
      </c>
      <c r="B4215" t="s" s="11">
        <v>8</v>
      </c>
      <c r="C4215" t="s" s="12">
        <v>8</v>
      </c>
      <c r="D4215" s="15" cm="1">
        <f t="array" ref="D4215">SUM(D4213:D4214)</f>
        <v>350000</v>
      </c>
      <c r="E4215" s="15" cm="1">
        <f t="array" ref="E4215">SUM(E4213:E4214)</f>
        <v>350000</v>
      </c>
      <c r="F4215" s="16" cm="1">
        <f t="array" ref="F4215">SUM(F4213:F4214)</f>
        <v>0</v>
      </c>
      <c r="G4215" s="16" cm="1">
        <f t="array" ref="G4215">SUM(G4213:G4214)</f>
        <v>0</v>
      </c>
      <c r="H4215" s="16" cm="1">
        <f t="array" ref="H4215">SUM(H4213:H4214)</f>
        <v>0</v>
      </c>
      <c r="I4215" s="16" cm="1">
        <f t="array" ref="I4215">SUM(I4213:I4214)</f>
        <v>0</v>
      </c>
    </row>
    <row r="4216" ht="21.25" customHeight="1">
      <c r="A4216" s="10">
        <v>45636</v>
      </c>
      <c r="B4216" t="s" s="11">
        <v>12</v>
      </c>
      <c r="C4216" t="s" s="12">
        <v>523</v>
      </c>
      <c r="D4216" s="17">
        <v>17200</v>
      </c>
      <c r="E4216" s="17"/>
      <c r="F4216" s="18"/>
      <c r="G4216" s="18"/>
      <c r="H4216" s="18"/>
      <c r="I4216" s="18"/>
    </row>
    <row r="4217" ht="20.9" customHeight="1">
      <c r="A4217" s="10">
        <v>45636</v>
      </c>
      <c r="B4217" t="s" s="11">
        <v>10</v>
      </c>
      <c r="C4217" t="s" s="12">
        <v>523</v>
      </c>
      <c r="D4217" s="19">
        <v>17200</v>
      </c>
      <c r="E4217" s="19"/>
      <c r="F4217" s="20"/>
      <c r="G4217" s="20"/>
      <c r="H4217" s="20"/>
      <c r="I4217" s="20"/>
    </row>
    <row r="4218" ht="21.25" customHeight="1">
      <c r="A4218" s="10">
        <v>45636</v>
      </c>
      <c r="B4218" t="s" s="11">
        <v>5</v>
      </c>
      <c r="C4218" t="s" s="12">
        <v>523</v>
      </c>
      <c r="D4218" s="13"/>
      <c r="E4218" s="13">
        <v>34400</v>
      </c>
      <c r="F4218" s="14"/>
      <c r="G4218" s="14"/>
      <c r="H4218" s="14"/>
      <c r="I4218" s="14"/>
    </row>
    <row r="4219" ht="20.7" customHeight="1">
      <c r="A4219" s="10">
        <v>45636</v>
      </c>
      <c r="B4219" t="s" s="11">
        <v>8</v>
      </c>
      <c r="C4219" t="s" s="12">
        <v>8</v>
      </c>
      <c r="D4219" s="15" cm="1">
        <f t="array" ref="D4219">SUM(D4216:D4218)</f>
        <v>34400</v>
      </c>
      <c r="E4219" s="15" cm="1">
        <f t="array" ref="E4219">SUM(E4216:E4218)</f>
        <v>34400</v>
      </c>
      <c r="F4219" s="16" cm="1">
        <f t="array" ref="F4219">SUM(F4216:F4218)</f>
        <v>0</v>
      </c>
      <c r="G4219" s="16" cm="1">
        <f t="array" ref="G4219">SUM(G4216:G4218)</f>
        <v>0</v>
      </c>
      <c r="H4219" s="16" cm="1">
        <f t="array" ref="H4219">SUM(H4216:H4218)</f>
        <v>0</v>
      </c>
      <c r="I4219" s="16" cm="1">
        <f t="array" ref="I4219">SUM(I4216:I4218)</f>
        <v>0</v>
      </c>
    </row>
    <row r="4220" ht="20.35" customHeight="1">
      <c r="A4220" s="10">
        <v>45637</v>
      </c>
      <c r="B4220" t="s" s="11">
        <v>107</v>
      </c>
      <c r="C4220" t="s" s="12">
        <v>96</v>
      </c>
      <c r="D4220" s="17"/>
      <c r="E4220" s="17">
        <v>25000</v>
      </c>
      <c r="F4220" s="18"/>
      <c r="G4220" s="18"/>
      <c r="H4220" s="18"/>
      <c r="I4220" s="18"/>
    </row>
    <row r="4221" ht="20.35" customHeight="1">
      <c r="A4221" s="10">
        <v>45637</v>
      </c>
      <c r="B4221" t="s" s="11">
        <v>5</v>
      </c>
      <c r="C4221" t="s" s="12">
        <v>96</v>
      </c>
      <c r="D4221" s="13">
        <v>25000</v>
      </c>
      <c r="E4221" s="13"/>
      <c r="F4221" s="14"/>
      <c r="G4221" s="14"/>
      <c r="H4221" s="14"/>
      <c r="I4221" s="14"/>
    </row>
    <row r="4222" ht="20.7" customHeight="1">
      <c r="A4222" s="10">
        <v>45637</v>
      </c>
      <c r="B4222" t="s" s="11">
        <v>8</v>
      </c>
      <c r="C4222" t="s" s="12">
        <v>8</v>
      </c>
      <c r="D4222" s="15" cm="1">
        <f t="array" ref="D4222">SUM(D4220:D4221)</f>
        <v>25000</v>
      </c>
      <c r="E4222" s="15" cm="1">
        <f t="array" ref="E4222">SUM(E4220:E4221)</f>
        <v>25000</v>
      </c>
      <c r="F4222" s="16" cm="1">
        <f t="array" ref="F4222">SUM(F4220:F4221)</f>
        <v>0</v>
      </c>
      <c r="G4222" s="16" cm="1">
        <f t="array" ref="G4222">SUM(G4220:G4221)</f>
        <v>0</v>
      </c>
      <c r="H4222" s="16" cm="1">
        <f t="array" ref="H4222">SUM(H4220:H4221)</f>
        <v>0</v>
      </c>
      <c r="I4222" s="16" cm="1">
        <f t="array" ref="I4222">SUM(I4220:I4221)</f>
        <v>0</v>
      </c>
    </row>
    <row r="4223" ht="20.35" customHeight="1">
      <c r="A4223" s="10">
        <v>45637</v>
      </c>
      <c r="B4223" t="s" s="11">
        <v>107</v>
      </c>
      <c r="C4223" t="s" s="12">
        <v>96</v>
      </c>
      <c r="D4223" s="17"/>
      <c r="E4223" s="17">
        <v>5000</v>
      </c>
      <c r="F4223" s="18"/>
      <c r="G4223" s="18"/>
      <c r="H4223" s="18"/>
      <c r="I4223" s="18"/>
    </row>
    <row r="4224" ht="20.35" customHeight="1">
      <c r="A4224" s="10">
        <v>45637</v>
      </c>
      <c r="B4224" t="s" s="11">
        <v>5</v>
      </c>
      <c r="C4224" t="s" s="12">
        <v>96</v>
      </c>
      <c r="D4224" s="13">
        <v>5000</v>
      </c>
      <c r="E4224" s="13"/>
      <c r="F4224" s="14"/>
      <c r="G4224" s="14"/>
      <c r="H4224" s="14"/>
      <c r="I4224" s="14"/>
    </row>
    <row r="4225" ht="20.7" customHeight="1">
      <c r="A4225" s="10">
        <v>45637</v>
      </c>
      <c r="B4225" t="s" s="11">
        <v>8</v>
      </c>
      <c r="C4225" t="s" s="12">
        <v>8</v>
      </c>
      <c r="D4225" s="15" cm="1">
        <f t="array" ref="D4225">SUM(D4223:D4224)</f>
        <v>5000</v>
      </c>
      <c r="E4225" s="15" cm="1">
        <f t="array" ref="E4225">SUM(E4223:E4224)</f>
        <v>5000</v>
      </c>
      <c r="F4225" s="16" cm="1">
        <f t="array" ref="F4225">SUM(F4223:F4224)</f>
        <v>0</v>
      </c>
      <c r="G4225" s="16" cm="1">
        <f t="array" ref="G4225">SUM(G4223:G4224)</f>
        <v>0</v>
      </c>
      <c r="H4225" s="16" cm="1">
        <f t="array" ref="H4225">SUM(H4223:H4224)</f>
        <v>0</v>
      </c>
      <c r="I4225" s="16" cm="1">
        <f t="array" ref="I4225">SUM(I4223:I4224)</f>
        <v>0</v>
      </c>
    </row>
    <row r="4226" ht="21.25" customHeight="1">
      <c r="A4226" s="10">
        <v>45637</v>
      </c>
      <c r="B4226" t="s" s="11">
        <v>12</v>
      </c>
      <c r="C4226" t="s" s="12">
        <v>715</v>
      </c>
      <c r="D4226" s="17">
        <v>26800</v>
      </c>
      <c r="E4226" s="17"/>
      <c r="F4226" s="18"/>
      <c r="G4226" s="18"/>
      <c r="H4226" s="18"/>
      <c r="I4226" s="18"/>
    </row>
    <row r="4227" ht="21.25" customHeight="1">
      <c r="A4227" s="10">
        <v>45637</v>
      </c>
      <c r="B4227" t="s" s="11">
        <v>5</v>
      </c>
      <c r="C4227" t="s" s="12">
        <v>715</v>
      </c>
      <c r="D4227" s="13"/>
      <c r="E4227" s="13">
        <v>26800</v>
      </c>
      <c r="F4227" s="14"/>
      <c r="G4227" s="14"/>
      <c r="H4227" s="14"/>
      <c r="I4227" s="14"/>
    </row>
    <row r="4228" ht="20.7" customHeight="1">
      <c r="A4228" s="10">
        <v>45637</v>
      </c>
      <c r="B4228" t="s" s="11">
        <v>8</v>
      </c>
      <c r="C4228" t="s" s="12">
        <v>8</v>
      </c>
      <c r="D4228" s="15" cm="1">
        <f t="array" ref="D4228">SUM(D4226:D4227)</f>
        <v>26800</v>
      </c>
      <c r="E4228" s="15" cm="1">
        <f t="array" ref="E4228">SUM(E4226:E4227)</f>
        <v>26800</v>
      </c>
      <c r="F4228" s="16" cm="1">
        <f t="array" ref="F4228">SUM(F4226:F4227)</f>
        <v>0</v>
      </c>
      <c r="G4228" s="16" cm="1">
        <f t="array" ref="G4228">SUM(G4226:G4227)</f>
        <v>0</v>
      </c>
      <c r="H4228" s="16" cm="1">
        <f t="array" ref="H4228">SUM(H4226:H4227)</f>
        <v>0</v>
      </c>
      <c r="I4228" s="16" cm="1">
        <f t="array" ref="I4228">SUM(I4226:I4227)</f>
        <v>0</v>
      </c>
    </row>
    <row r="4229" ht="20.35" customHeight="1">
      <c r="A4229" s="10">
        <v>45638</v>
      </c>
      <c r="B4229" t="s" s="11">
        <v>107</v>
      </c>
      <c r="C4229" t="s" s="12">
        <v>96</v>
      </c>
      <c r="D4229" s="17"/>
      <c r="E4229" s="17">
        <v>11000</v>
      </c>
      <c r="F4229" s="18"/>
      <c r="G4229" s="18"/>
      <c r="H4229" s="18"/>
      <c r="I4229" s="18"/>
    </row>
    <row r="4230" ht="20.35" customHeight="1">
      <c r="A4230" s="10">
        <v>45638</v>
      </c>
      <c r="B4230" t="s" s="11">
        <v>5</v>
      </c>
      <c r="C4230" t="s" s="12">
        <v>96</v>
      </c>
      <c r="D4230" s="13">
        <v>11000</v>
      </c>
      <c r="E4230" s="13"/>
      <c r="F4230" s="14"/>
      <c r="G4230" s="14"/>
      <c r="H4230" s="14"/>
      <c r="I4230" s="14"/>
    </row>
    <row r="4231" ht="20.7" customHeight="1">
      <c r="A4231" s="10">
        <v>45638</v>
      </c>
      <c r="B4231" t="s" s="11">
        <v>8</v>
      </c>
      <c r="C4231" t="s" s="12">
        <v>8</v>
      </c>
      <c r="D4231" s="15" cm="1">
        <f t="array" ref="D4231">SUM(D4229:D4230)</f>
        <v>11000</v>
      </c>
      <c r="E4231" s="15" cm="1">
        <f t="array" ref="E4231">SUM(E4229:E4230)</f>
        <v>11000</v>
      </c>
      <c r="F4231" s="16" cm="1">
        <f t="array" ref="F4231">SUM(F4229:F4230)</f>
        <v>0</v>
      </c>
      <c r="G4231" s="16" cm="1">
        <f t="array" ref="G4231">SUM(G4229:G4230)</f>
        <v>0</v>
      </c>
      <c r="H4231" s="16" cm="1">
        <f t="array" ref="H4231">SUM(H4229:H4230)</f>
        <v>0</v>
      </c>
      <c r="I4231" s="16" cm="1">
        <f t="array" ref="I4231">SUM(I4229:I4230)</f>
        <v>0</v>
      </c>
    </row>
    <row r="4232" ht="20.35" customHeight="1">
      <c r="A4232" s="10">
        <v>45638</v>
      </c>
      <c r="B4232" t="s" s="11">
        <v>10</v>
      </c>
      <c r="C4232" t="s" s="12">
        <v>8</v>
      </c>
      <c r="D4232" s="17">
        <v>14280</v>
      </c>
      <c r="E4232" s="17"/>
      <c r="F4232" s="18"/>
      <c r="G4232" s="18"/>
      <c r="H4232" s="18"/>
      <c r="I4232" s="18"/>
    </row>
    <row r="4233" ht="21.25" customHeight="1">
      <c r="A4233" s="10">
        <v>45638</v>
      </c>
      <c r="B4233" t="s" s="11">
        <v>5</v>
      </c>
      <c r="C4233" t="s" s="12">
        <v>718</v>
      </c>
      <c r="D4233" s="13"/>
      <c r="E4233" s="13">
        <v>14280</v>
      </c>
      <c r="F4233" s="14"/>
      <c r="G4233" s="14"/>
      <c r="H4233" s="14"/>
      <c r="I4233" s="14"/>
    </row>
    <row r="4234" ht="20.7" customHeight="1">
      <c r="A4234" s="10">
        <v>45638</v>
      </c>
      <c r="B4234" t="s" s="11">
        <v>8</v>
      </c>
      <c r="C4234" t="s" s="12">
        <v>8</v>
      </c>
      <c r="D4234" s="15" cm="1">
        <f t="array" ref="D4234">SUM(D4232:D4233)</f>
        <v>14280</v>
      </c>
      <c r="E4234" s="15" cm="1">
        <f t="array" ref="E4234">SUM(E4232:E4233)</f>
        <v>14280</v>
      </c>
      <c r="F4234" s="16" cm="1">
        <f t="array" ref="F4234">SUM(F4232:F4233)</f>
        <v>0</v>
      </c>
      <c r="G4234" s="16" cm="1">
        <f t="array" ref="G4234">SUM(G4232:G4233)</f>
        <v>0</v>
      </c>
      <c r="H4234" s="16" cm="1">
        <f t="array" ref="H4234">SUM(H4232:H4233)</f>
        <v>0</v>
      </c>
      <c r="I4234" s="16" cm="1">
        <f t="array" ref="I4234">SUM(I4232:I4233)</f>
        <v>0</v>
      </c>
    </row>
    <row r="4235" ht="20.35" customHeight="1">
      <c r="A4235" s="10">
        <v>45638</v>
      </c>
      <c r="B4235" t="s" s="11">
        <v>107</v>
      </c>
      <c r="C4235" t="s" s="12">
        <v>96</v>
      </c>
      <c r="D4235" s="17"/>
      <c r="E4235" s="17">
        <v>25000</v>
      </c>
      <c r="F4235" s="18"/>
      <c r="G4235" s="18"/>
      <c r="H4235" s="18"/>
      <c r="I4235" s="18"/>
    </row>
    <row r="4236" ht="20.35" customHeight="1">
      <c r="A4236" s="10">
        <v>45638</v>
      </c>
      <c r="B4236" t="s" s="11">
        <v>5</v>
      </c>
      <c r="C4236" t="s" s="12">
        <v>96</v>
      </c>
      <c r="D4236" s="13">
        <v>25000</v>
      </c>
      <c r="E4236" s="13"/>
      <c r="F4236" s="14"/>
      <c r="G4236" s="14"/>
      <c r="H4236" s="14"/>
      <c r="I4236" s="14"/>
    </row>
    <row r="4237" ht="20.7" customHeight="1">
      <c r="A4237" s="10">
        <v>45638</v>
      </c>
      <c r="B4237" t="s" s="11">
        <v>8</v>
      </c>
      <c r="C4237" t="s" s="12">
        <v>8</v>
      </c>
      <c r="D4237" s="15" cm="1">
        <f t="array" ref="D4237">SUM(D4235:D4236)</f>
        <v>25000</v>
      </c>
      <c r="E4237" s="15" cm="1">
        <f t="array" ref="E4237">SUM(E4235:E4236)</f>
        <v>25000</v>
      </c>
      <c r="F4237" s="16" cm="1">
        <f t="array" ref="F4237">SUM(F4235:F4236)</f>
        <v>0</v>
      </c>
      <c r="G4237" s="16" cm="1">
        <f t="array" ref="G4237">SUM(G4235:G4236)</f>
        <v>0</v>
      </c>
      <c r="H4237" s="16" cm="1">
        <f t="array" ref="H4237">SUM(H4235:H4236)</f>
        <v>0</v>
      </c>
      <c r="I4237" s="16" cm="1">
        <f t="array" ref="I4237">SUM(I4235:I4236)</f>
        <v>0</v>
      </c>
    </row>
    <row r="4238" ht="20.35" customHeight="1">
      <c r="A4238" s="10">
        <v>45638</v>
      </c>
      <c r="B4238" t="s" s="11">
        <v>107</v>
      </c>
      <c r="C4238" t="s" s="12">
        <v>96</v>
      </c>
      <c r="D4238" s="17"/>
      <c r="E4238" s="17">
        <v>5000</v>
      </c>
      <c r="F4238" s="18"/>
      <c r="G4238" s="18"/>
      <c r="H4238" s="18"/>
      <c r="I4238" s="18"/>
    </row>
    <row r="4239" ht="20.35" customHeight="1">
      <c r="A4239" s="10">
        <v>45638</v>
      </c>
      <c r="B4239" t="s" s="11">
        <v>5</v>
      </c>
      <c r="C4239" t="s" s="12">
        <v>96</v>
      </c>
      <c r="D4239" s="13">
        <v>5000</v>
      </c>
      <c r="E4239" s="13"/>
      <c r="F4239" s="14"/>
      <c r="G4239" s="14"/>
      <c r="H4239" s="14"/>
      <c r="I4239" s="14"/>
    </row>
    <row r="4240" ht="20.7" customHeight="1">
      <c r="A4240" s="10">
        <v>45638</v>
      </c>
      <c r="B4240" t="s" s="11">
        <v>8</v>
      </c>
      <c r="C4240" t="s" s="12">
        <v>8</v>
      </c>
      <c r="D4240" s="15" cm="1">
        <f t="array" ref="D4240">SUM(D4238:D4239)</f>
        <v>5000</v>
      </c>
      <c r="E4240" s="15" cm="1">
        <f t="array" ref="E4240">SUM(E4238:E4239)</f>
        <v>5000</v>
      </c>
      <c r="F4240" s="16" cm="1">
        <f t="array" ref="F4240">SUM(F4238:F4239)</f>
        <v>0</v>
      </c>
      <c r="G4240" s="16" cm="1">
        <f t="array" ref="G4240">SUM(G4238:G4239)</f>
        <v>0</v>
      </c>
      <c r="H4240" s="16" cm="1">
        <f t="array" ref="H4240">SUM(H4238:H4239)</f>
        <v>0</v>
      </c>
      <c r="I4240" s="16" cm="1">
        <f t="array" ref="I4240">SUM(I4238:I4239)</f>
        <v>0</v>
      </c>
    </row>
    <row r="4241" ht="20.35" customHeight="1">
      <c r="A4241" s="10">
        <v>45638</v>
      </c>
      <c r="B4241" t="s" s="11">
        <v>10</v>
      </c>
      <c r="C4241" t="s" s="12">
        <v>8</v>
      </c>
      <c r="D4241" s="17">
        <v>27700</v>
      </c>
      <c r="E4241" s="17"/>
      <c r="F4241" s="18"/>
      <c r="G4241" s="18"/>
      <c r="H4241" s="18"/>
      <c r="I4241" s="18"/>
    </row>
    <row r="4242" ht="21.25" customHeight="1">
      <c r="A4242" s="10">
        <v>45638</v>
      </c>
      <c r="B4242" t="s" s="11">
        <v>5</v>
      </c>
      <c r="C4242" t="s" s="12">
        <v>719</v>
      </c>
      <c r="D4242" s="13"/>
      <c r="E4242" s="13">
        <v>27700</v>
      </c>
      <c r="F4242" s="14"/>
      <c r="G4242" s="14"/>
      <c r="H4242" s="14"/>
      <c r="I4242" s="14"/>
    </row>
    <row r="4243" ht="20.7" customHeight="1">
      <c r="A4243" s="10">
        <v>45638</v>
      </c>
      <c r="B4243" t="s" s="11">
        <v>8</v>
      </c>
      <c r="C4243" t="s" s="12">
        <v>8</v>
      </c>
      <c r="D4243" s="15" cm="1">
        <f t="array" ref="D4243">SUM(D4241:D4242)</f>
        <v>27700</v>
      </c>
      <c r="E4243" s="15" cm="1">
        <f t="array" ref="E4243">SUM(E4241:E4242)</f>
        <v>27700</v>
      </c>
      <c r="F4243" s="16" cm="1">
        <f t="array" ref="F4243">SUM(F4241:F4242)</f>
        <v>0</v>
      </c>
      <c r="G4243" s="16" cm="1">
        <f t="array" ref="G4243">SUM(G4241:G4242)</f>
        <v>0</v>
      </c>
      <c r="H4243" s="16" cm="1">
        <f t="array" ref="H4243">SUM(H4241:H4242)</f>
        <v>0</v>
      </c>
      <c r="I4243" s="16" cm="1">
        <f t="array" ref="I4243">SUM(I4241:I4242)</f>
        <v>0</v>
      </c>
    </row>
    <row r="4244" ht="20.35" customHeight="1">
      <c r="A4244" s="10">
        <v>45638</v>
      </c>
      <c r="B4244" t="s" s="11">
        <v>107</v>
      </c>
      <c r="C4244" t="s" s="12">
        <v>96</v>
      </c>
      <c r="D4244" s="17"/>
      <c r="E4244" s="17">
        <v>20000</v>
      </c>
      <c r="F4244" s="18"/>
      <c r="G4244" s="18"/>
      <c r="H4244" s="18"/>
      <c r="I4244" s="18"/>
    </row>
    <row r="4245" ht="20.35" customHeight="1">
      <c r="A4245" s="10">
        <v>45638</v>
      </c>
      <c r="B4245" t="s" s="11">
        <v>5</v>
      </c>
      <c r="C4245" t="s" s="12">
        <v>96</v>
      </c>
      <c r="D4245" s="13">
        <v>20000</v>
      </c>
      <c r="E4245" s="13"/>
      <c r="F4245" s="14"/>
      <c r="G4245" s="14"/>
      <c r="H4245" s="14"/>
      <c r="I4245" s="14"/>
    </row>
    <row r="4246" ht="20.7" customHeight="1">
      <c r="A4246" s="10">
        <v>45638</v>
      </c>
      <c r="B4246" t="s" s="11">
        <v>8</v>
      </c>
      <c r="C4246" t="s" s="12">
        <v>8</v>
      </c>
      <c r="D4246" s="15" cm="1">
        <f t="array" ref="D4246">SUM(D4244:D4245)</f>
        <v>20000</v>
      </c>
      <c r="E4246" s="15" cm="1">
        <f t="array" ref="E4246">SUM(E4244:E4245)</f>
        <v>20000</v>
      </c>
      <c r="F4246" s="16" cm="1">
        <f t="array" ref="F4246">SUM(F4244:F4245)</f>
        <v>0</v>
      </c>
      <c r="G4246" s="16" cm="1">
        <f t="array" ref="G4246">SUM(G4244:G4245)</f>
        <v>0</v>
      </c>
      <c r="H4246" s="16" cm="1">
        <f t="array" ref="H4246">SUM(H4244:H4245)</f>
        <v>0</v>
      </c>
      <c r="I4246" s="16" cm="1">
        <f t="array" ref="I4246">SUM(I4244:I4245)</f>
        <v>0</v>
      </c>
    </row>
    <row r="4247" ht="20.35" customHeight="1">
      <c r="A4247" s="10">
        <v>45638</v>
      </c>
      <c r="B4247" t="s" s="11">
        <v>12</v>
      </c>
      <c r="C4247" t="s" s="12">
        <v>169</v>
      </c>
      <c r="D4247" s="17">
        <v>13200</v>
      </c>
      <c r="E4247" s="17"/>
      <c r="F4247" s="18"/>
      <c r="G4247" s="18"/>
      <c r="H4247" s="18"/>
      <c r="I4247" s="18"/>
    </row>
    <row r="4248" ht="20.35" customHeight="1">
      <c r="A4248" s="10">
        <v>45638</v>
      </c>
      <c r="B4248" t="s" s="11">
        <v>5</v>
      </c>
      <c r="C4248" t="s" s="12">
        <v>169</v>
      </c>
      <c r="D4248" s="13"/>
      <c r="E4248" s="13">
        <v>13200</v>
      </c>
      <c r="F4248" s="14"/>
      <c r="G4248" s="14"/>
      <c r="H4248" s="14"/>
      <c r="I4248" s="14"/>
    </row>
    <row r="4249" ht="20.7" customHeight="1">
      <c r="A4249" s="10">
        <v>45638</v>
      </c>
      <c r="B4249" t="s" s="11">
        <v>8</v>
      </c>
      <c r="C4249" t="s" s="12">
        <v>8</v>
      </c>
      <c r="D4249" s="15" cm="1">
        <f t="array" ref="D4249">SUM(D4247:D4248)</f>
        <v>13200</v>
      </c>
      <c r="E4249" s="15" cm="1">
        <f t="array" ref="E4249">SUM(E4247:E4248)</f>
        <v>13200</v>
      </c>
      <c r="F4249" s="16" cm="1">
        <f t="array" ref="F4249">SUM(F4247:F4248)</f>
        <v>0</v>
      </c>
      <c r="G4249" s="16" cm="1">
        <f t="array" ref="G4249">SUM(G4247:G4248)</f>
        <v>0</v>
      </c>
      <c r="H4249" s="16" cm="1">
        <f t="array" ref="H4249">SUM(H4247:H4248)</f>
        <v>0</v>
      </c>
      <c r="I4249" s="16" cm="1">
        <f t="array" ref="I4249">SUM(I4247:I4248)</f>
        <v>0</v>
      </c>
    </row>
    <row r="4250" ht="21.25" customHeight="1">
      <c r="A4250" s="10">
        <v>45638</v>
      </c>
      <c r="B4250" t="s" s="11">
        <v>21</v>
      </c>
      <c r="C4250" t="s" s="12">
        <v>706</v>
      </c>
      <c r="D4250" s="17"/>
      <c r="E4250" s="17">
        <v>2800</v>
      </c>
      <c r="F4250" s="18"/>
      <c r="G4250" s="18"/>
      <c r="H4250" s="18"/>
      <c r="I4250" s="18"/>
    </row>
    <row r="4251" ht="21.25" customHeight="1">
      <c r="A4251" s="10">
        <v>45638</v>
      </c>
      <c r="B4251" t="s" s="11">
        <v>16</v>
      </c>
      <c r="C4251" t="s" s="12">
        <v>706</v>
      </c>
      <c r="D4251" s="13">
        <v>2800</v>
      </c>
      <c r="E4251" s="13"/>
      <c r="F4251" s="14"/>
      <c r="G4251" s="14"/>
      <c r="H4251" s="14"/>
      <c r="I4251" s="14"/>
    </row>
    <row r="4252" ht="20.7" customHeight="1">
      <c r="A4252" s="10">
        <v>45638</v>
      </c>
      <c r="B4252" t="s" s="11">
        <v>8</v>
      </c>
      <c r="C4252" t="s" s="12">
        <v>8</v>
      </c>
      <c r="D4252" s="15" cm="1">
        <f t="array" ref="D4252">SUM(D4250:D4251)</f>
        <v>2800</v>
      </c>
      <c r="E4252" s="15" cm="1">
        <f t="array" ref="E4252">SUM(E4250:E4251)</f>
        <v>2800</v>
      </c>
      <c r="F4252" s="16" cm="1">
        <f t="array" ref="F4252">SUM(F4250:F4251)</f>
        <v>0</v>
      </c>
      <c r="G4252" s="16" cm="1">
        <f t="array" ref="G4252">SUM(G4250:G4251)</f>
        <v>0</v>
      </c>
      <c r="H4252" s="16" cm="1">
        <f t="array" ref="H4252">SUM(H4250:H4251)</f>
        <v>0</v>
      </c>
      <c r="I4252" s="16" cm="1">
        <f t="array" ref="I4252">SUM(I4250:I4251)</f>
        <v>0</v>
      </c>
    </row>
    <row r="4253" ht="20.65" customHeight="1">
      <c r="A4253" s="10">
        <v>45639</v>
      </c>
      <c r="B4253" t="s" s="11">
        <v>91</v>
      </c>
      <c r="C4253" t="s" s="12">
        <v>720</v>
      </c>
      <c r="D4253" s="17"/>
      <c r="E4253" s="17">
        <v>1</v>
      </c>
      <c r="F4253" s="18"/>
      <c r="G4253" s="18"/>
      <c r="H4253" s="18"/>
      <c r="I4253" s="18"/>
    </row>
    <row r="4254" ht="20.65" customHeight="1">
      <c r="A4254" s="10">
        <v>45639</v>
      </c>
      <c r="B4254" t="s" s="11">
        <v>107</v>
      </c>
      <c r="C4254" t="s" s="12">
        <v>720</v>
      </c>
      <c r="D4254" s="13">
        <v>1</v>
      </c>
      <c r="E4254" s="13"/>
      <c r="F4254" s="14"/>
      <c r="G4254" s="14"/>
      <c r="H4254" s="14"/>
      <c r="I4254" s="14"/>
    </row>
    <row r="4255" ht="20.7" customHeight="1">
      <c r="A4255" s="10">
        <v>45639</v>
      </c>
      <c r="B4255" t="s" s="11">
        <v>8</v>
      </c>
      <c r="C4255" t="s" s="12">
        <v>8</v>
      </c>
      <c r="D4255" s="15" cm="1">
        <f t="array" ref="D4255">SUM(D4253:D4254)</f>
        <v>1</v>
      </c>
      <c r="E4255" s="15" cm="1">
        <f t="array" ref="E4255">SUM(E4253:E4254)</f>
        <v>1</v>
      </c>
      <c r="F4255" s="16" cm="1">
        <f t="array" ref="F4255">SUM(F4253:F4254)</f>
        <v>0</v>
      </c>
      <c r="G4255" s="16" cm="1">
        <f t="array" ref="G4255">SUM(G4253:G4254)</f>
        <v>0</v>
      </c>
      <c r="H4255" s="16" cm="1">
        <f t="array" ref="H4255">SUM(H4253:H4254)</f>
        <v>0</v>
      </c>
      <c r="I4255" s="16" cm="1">
        <f t="array" ref="I4255">SUM(I4253:I4254)</f>
        <v>0</v>
      </c>
    </row>
    <row r="4256" ht="20.65" customHeight="1">
      <c r="A4256" s="10">
        <v>45639</v>
      </c>
      <c r="B4256" t="s" s="11">
        <v>12</v>
      </c>
      <c r="C4256" t="s" s="12">
        <v>721</v>
      </c>
      <c r="D4256" s="17">
        <v>24400</v>
      </c>
      <c r="E4256" s="17"/>
      <c r="F4256" s="18"/>
      <c r="G4256" s="18"/>
      <c r="H4256" s="18"/>
      <c r="I4256" s="18"/>
    </row>
    <row r="4257" ht="20.65" customHeight="1">
      <c r="A4257" s="10">
        <v>45639</v>
      </c>
      <c r="B4257" t="s" s="11">
        <v>107</v>
      </c>
      <c r="C4257" t="s" s="12">
        <v>721</v>
      </c>
      <c r="D4257" s="13"/>
      <c r="E4257" s="13">
        <v>24400</v>
      </c>
      <c r="F4257" s="14"/>
      <c r="G4257" s="14"/>
      <c r="H4257" s="14"/>
      <c r="I4257" s="14"/>
    </row>
    <row r="4258" ht="20.7" customHeight="1">
      <c r="A4258" s="10">
        <v>45639</v>
      </c>
      <c r="B4258" t="s" s="11">
        <v>8</v>
      </c>
      <c r="C4258" t="s" s="12">
        <v>8</v>
      </c>
      <c r="D4258" s="15" cm="1">
        <f t="array" ref="D4258">SUM(D4256:D4257)</f>
        <v>24400</v>
      </c>
      <c r="E4258" s="15" cm="1">
        <f t="array" ref="E4258">SUM(E4256:E4257)</f>
        <v>24400</v>
      </c>
      <c r="F4258" s="16" cm="1">
        <f t="array" ref="F4258">SUM(F4256:F4257)</f>
        <v>0</v>
      </c>
      <c r="G4258" s="16" cm="1">
        <f t="array" ref="G4258">SUM(G4256:G4257)</f>
        <v>0</v>
      </c>
      <c r="H4258" s="16" cm="1">
        <f t="array" ref="H4258">SUM(H4256:H4257)</f>
        <v>0</v>
      </c>
      <c r="I4258" s="16" cm="1">
        <f t="array" ref="I4258">SUM(I4256:I4257)</f>
        <v>0</v>
      </c>
    </row>
    <row r="4259" ht="20.35" customHeight="1">
      <c r="A4259" s="10">
        <v>45639</v>
      </c>
      <c r="B4259" t="s" s="11">
        <v>107</v>
      </c>
      <c r="C4259" t="s" s="12">
        <v>96</v>
      </c>
      <c r="D4259" s="17"/>
      <c r="E4259" s="17">
        <v>10000</v>
      </c>
      <c r="F4259" s="18"/>
      <c r="G4259" s="18"/>
      <c r="H4259" s="18"/>
      <c r="I4259" s="18"/>
    </row>
    <row r="4260" ht="20.35" customHeight="1">
      <c r="A4260" s="10">
        <v>45639</v>
      </c>
      <c r="B4260" t="s" s="11">
        <v>5</v>
      </c>
      <c r="C4260" t="s" s="12">
        <v>96</v>
      </c>
      <c r="D4260" s="13">
        <v>10000</v>
      </c>
      <c r="E4260" s="13"/>
      <c r="F4260" s="14"/>
      <c r="G4260" s="14"/>
      <c r="H4260" s="14"/>
      <c r="I4260" s="14"/>
    </row>
    <row r="4261" ht="20.7" customHeight="1">
      <c r="A4261" s="10">
        <v>45639</v>
      </c>
      <c r="B4261" t="s" s="11">
        <v>8</v>
      </c>
      <c r="C4261" t="s" s="12">
        <v>8</v>
      </c>
      <c r="D4261" s="15" cm="1">
        <f t="array" ref="D4261">SUM(D4259:D4260)</f>
        <v>10000</v>
      </c>
      <c r="E4261" s="15" cm="1">
        <f t="array" ref="E4261">SUM(E4259:E4260)</f>
        <v>10000</v>
      </c>
      <c r="F4261" s="16" cm="1">
        <f t="array" ref="F4261">SUM(F4259:F4260)</f>
        <v>0</v>
      </c>
      <c r="G4261" s="16" cm="1">
        <f t="array" ref="G4261">SUM(G4259:G4260)</f>
        <v>0</v>
      </c>
      <c r="H4261" s="16" cm="1">
        <f t="array" ref="H4261">SUM(H4259:H4260)</f>
        <v>0</v>
      </c>
      <c r="I4261" s="16" cm="1">
        <f t="array" ref="I4261">SUM(I4259:I4260)</f>
        <v>0</v>
      </c>
    </row>
    <row r="4262" ht="20.65" customHeight="1">
      <c r="A4262" s="10">
        <v>45639</v>
      </c>
      <c r="B4262" t="s" s="11">
        <v>12</v>
      </c>
      <c r="C4262" t="s" s="12">
        <v>279</v>
      </c>
      <c r="D4262" s="17">
        <v>4500</v>
      </c>
      <c r="E4262" s="17"/>
      <c r="F4262" s="18"/>
      <c r="G4262" s="18"/>
      <c r="H4262" s="18"/>
      <c r="I4262" s="18"/>
    </row>
    <row r="4263" ht="20.65" customHeight="1">
      <c r="A4263" s="10">
        <v>45639</v>
      </c>
      <c r="B4263" t="s" s="11">
        <v>5</v>
      </c>
      <c r="C4263" t="s" s="12">
        <v>279</v>
      </c>
      <c r="D4263" s="13"/>
      <c r="E4263" s="13">
        <v>4500</v>
      </c>
      <c r="F4263" s="14"/>
      <c r="G4263" s="14"/>
      <c r="H4263" s="14"/>
      <c r="I4263" s="14"/>
    </row>
    <row r="4264" ht="20.7" customHeight="1">
      <c r="A4264" s="10">
        <v>45639</v>
      </c>
      <c r="B4264" t="s" s="11">
        <v>8</v>
      </c>
      <c r="C4264" t="s" s="12">
        <v>8</v>
      </c>
      <c r="D4264" s="15" cm="1">
        <f t="array" ref="D4264">SUM(D4262:D4263)</f>
        <v>4500</v>
      </c>
      <c r="E4264" s="15" cm="1">
        <f t="array" ref="E4264">SUM(E4262:E4263)</f>
        <v>4500</v>
      </c>
      <c r="F4264" s="16" cm="1">
        <f t="array" ref="F4264">SUM(F4262:F4263)</f>
        <v>0</v>
      </c>
      <c r="G4264" s="16" cm="1">
        <f t="array" ref="G4264">SUM(G4262:G4263)</f>
        <v>0</v>
      </c>
      <c r="H4264" s="16" cm="1">
        <f t="array" ref="H4264">SUM(H4262:H4263)</f>
        <v>0</v>
      </c>
      <c r="I4264" s="16" cm="1">
        <f t="array" ref="I4264">SUM(I4262:I4263)</f>
        <v>0</v>
      </c>
    </row>
    <row r="4265" ht="20.35" customHeight="1">
      <c r="A4265" s="10">
        <v>45639</v>
      </c>
      <c r="B4265" t="s" s="11">
        <v>5</v>
      </c>
      <c r="C4265" t="s" s="12">
        <v>17</v>
      </c>
      <c r="D4265" s="17">
        <v>100</v>
      </c>
      <c r="E4265" s="17"/>
      <c r="F4265" s="18"/>
      <c r="G4265" s="18"/>
      <c r="H4265" s="18"/>
      <c r="I4265" s="18"/>
    </row>
    <row r="4266" ht="20.35" customHeight="1">
      <c r="A4266" s="10">
        <v>45639</v>
      </c>
      <c r="B4266" t="s" s="11">
        <v>18</v>
      </c>
      <c r="C4266" t="s" s="12">
        <v>17</v>
      </c>
      <c r="D4266" s="13"/>
      <c r="E4266" s="13">
        <v>100</v>
      </c>
      <c r="F4266" s="14"/>
      <c r="G4266" s="14"/>
      <c r="H4266" s="14"/>
      <c r="I4266" s="14"/>
    </row>
    <row r="4267" ht="20.7" customHeight="1">
      <c r="A4267" s="10">
        <v>45639</v>
      </c>
      <c r="B4267" t="s" s="11">
        <v>8</v>
      </c>
      <c r="C4267" t="s" s="12">
        <v>8</v>
      </c>
      <c r="D4267" s="15" cm="1">
        <f t="array" ref="D4267">SUM(D4265:D4266)</f>
        <v>100</v>
      </c>
      <c r="E4267" s="15" cm="1">
        <f t="array" ref="E4267">SUM(E4265:E4266)</f>
        <v>100</v>
      </c>
      <c r="F4267" s="16" cm="1">
        <f t="array" ref="F4267">SUM(F4265:F4266)</f>
        <v>0</v>
      </c>
      <c r="G4267" s="16" cm="1">
        <f t="array" ref="G4267">SUM(G4265:G4266)</f>
        <v>0</v>
      </c>
      <c r="H4267" s="16" cm="1">
        <f t="array" ref="H4267">SUM(H4265:H4266)</f>
        <v>0</v>
      </c>
      <c r="I4267" s="16" cm="1">
        <f t="array" ref="I4267">SUM(I4265:I4266)</f>
        <v>0</v>
      </c>
    </row>
    <row r="4268" ht="20.65" customHeight="1">
      <c r="A4268" s="10">
        <v>45639</v>
      </c>
      <c r="B4268" t="s" s="11">
        <v>12</v>
      </c>
      <c r="C4268" t="s" s="12">
        <v>722</v>
      </c>
      <c r="D4268" s="17">
        <v>3500</v>
      </c>
      <c r="E4268" s="17"/>
      <c r="F4268" s="18"/>
      <c r="G4268" s="18"/>
      <c r="H4268" s="18"/>
      <c r="I4268" s="18"/>
    </row>
    <row r="4269" ht="20.65" customHeight="1">
      <c r="A4269" s="10">
        <v>45639</v>
      </c>
      <c r="B4269" t="s" s="11">
        <v>5</v>
      </c>
      <c r="C4269" t="s" s="12">
        <v>722</v>
      </c>
      <c r="D4269" s="13"/>
      <c r="E4269" s="13">
        <v>3500</v>
      </c>
      <c r="F4269" s="14"/>
      <c r="G4269" s="14"/>
      <c r="H4269" s="14"/>
      <c r="I4269" s="14"/>
    </row>
    <row r="4270" ht="20.7" customHeight="1">
      <c r="A4270" s="10">
        <v>45639</v>
      </c>
      <c r="B4270" t="s" s="11">
        <v>8</v>
      </c>
      <c r="C4270" t="s" s="12">
        <v>8</v>
      </c>
      <c r="D4270" s="15" cm="1">
        <f t="array" ref="D4270">SUM(D4268:D4269)</f>
        <v>3500</v>
      </c>
      <c r="E4270" s="15" cm="1">
        <f t="array" ref="E4270">SUM(E4268:E4269)</f>
        <v>3500</v>
      </c>
      <c r="F4270" s="16" cm="1">
        <f t="array" ref="F4270">SUM(F4268:F4269)</f>
        <v>0</v>
      </c>
      <c r="G4270" s="16" cm="1">
        <f t="array" ref="G4270">SUM(G4268:G4269)</f>
        <v>0</v>
      </c>
      <c r="H4270" s="16" cm="1">
        <f t="array" ref="H4270">SUM(H4268:H4269)</f>
        <v>0</v>
      </c>
      <c r="I4270" s="16" cm="1">
        <f t="array" ref="I4270">SUM(I4268:I4269)</f>
        <v>0</v>
      </c>
    </row>
    <row r="4271" ht="20.35" customHeight="1">
      <c r="A4271" s="10">
        <v>45639</v>
      </c>
      <c r="B4271" t="s" s="11">
        <v>5</v>
      </c>
      <c r="C4271" t="s" s="12">
        <v>17</v>
      </c>
      <c r="D4271" s="17">
        <v>100</v>
      </c>
      <c r="E4271" s="17"/>
      <c r="F4271" s="18"/>
      <c r="G4271" s="18"/>
      <c r="H4271" s="18"/>
      <c r="I4271" s="18"/>
    </row>
    <row r="4272" ht="20.35" customHeight="1">
      <c r="A4272" s="10">
        <v>45639</v>
      </c>
      <c r="B4272" t="s" s="11">
        <v>18</v>
      </c>
      <c r="C4272" t="s" s="12">
        <v>17</v>
      </c>
      <c r="D4272" s="13"/>
      <c r="E4272" s="13">
        <v>100</v>
      </c>
      <c r="F4272" s="14"/>
      <c r="G4272" s="14"/>
      <c r="H4272" s="14"/>
      <c r="I4272" s="14"/>
    </row>
    <row r="4273" ht="20.7" customHeight="1">
      <c r="A4273" s="10">
        <v>45639</v>
      </c>
      <c r="B4273" t="s" s="11">
        <v>8</v>
      </c>
      <c r="C4273" t="s" s="12">
        <v>8</v>
      </c>
      <c r="D4273" s="15" cm="1">
        <f t="array" ref="D4273">SUM(D4271:D4272)</f>
        <v>100</v>
      </c>
      <c r="E4273" s="15" cm="1">
        <f t="array" ref="E4273">SUM(E4271:E4272)</f>
        <v>100</v>
      </c>
      <c r="F4273" s="16" cm="1">
        <f t="array" ref="F4273">SUM(F4271:F4272)</f>
        <v>0</v>
      </c>
      <c r="G4273" s="16" cm="1">
        <f t="array" ref="G4273">SUM(G4271:G4272)</f>
        <v>0</v>
      </c>
      <c r="H4273" s="16" cm="1">
        <f t="array" ref="H4273">SUM(H4271:H4272)</f>
        <v>0</v>
      </c>
      <c r="I4273" s="16" cm="1">
        <f t="array" ref="I4273">SUM(I4271:I4272)</f>
        <v>0</v>
      </c>
    </row>
    <row r="4274" ht="20.35" customHeight="1">
      <c r="A4274" s="10">
        <v>45639</v>
      </c>
      <c r="B4274" t="s" s="11">
        <v>12</v>
      </c>
      <c r="C4274" t="s" s="12">
        <v>169</v>
      </c>
      <c r="D4274" s="17">
        <v>4600</v>
      </c>
      <c r="E4274" s="17"/>
      <c r="F4274" s="18"/>
      <c r="G4274" s="18"/>
      <c r="H4274" s="18"/>
      <c r="I4274" s="18"/>
    </row>
    <row r="4275" ht="20.35" customHeight="1">
      <c r="A4275" s="10">
        <v>45639</v>
      </c>
      <c r="B4275" t="s" s="11">
        <v>5</v>
      </c>
      <c r="C4275" t="s" s="12">
        <v>169</v>
      </c>
      <c r="D4275" s="13"/>
      <c r="E4275" s="13">
        <v>4600</v>
      </c>
      <c r="F4275" s="14"/>
      <c r="G4275" s="14"/>
      <c r="H4275" s="14"/>
      <c r="I4275" s="14"/>
    </row>
    <row r="4276" ht="20.7" customHeight="1">
      <c r="A4276" s="10">
        <v>45639</v>
      </c>
      <c r="B4276" t="s" s="11">
        <v>8</v>
      </c>
      <c r="C4276" t="s" s="12">
        <v>8</v>
      </c>
      <c r="D4276" s="15" cm="1">
        <f t="array" ref="D4276">SUM(D4274:D4275)</f>
        <v>4600</v>
      </c>
      <c r="E4276" s="15" cm="1">
        <f t="array" ref="E4276">SUM(E4274:E4275)</f>
        <v>4600</v>
      </c>
      <c r="F4276" s="16" cm="1">
        <f t="array" ref="F4276">SUM(F4274:F4275)</f>
        <v>0</v>
      </c>
      <c r="G4276" s="16" cm="1">
        <f t="array" ref="G4276">SUM(G4274:G4275)</f>
        <v>0</v>
      </c>
      <c r="H4276" s="16" cm="1">
        <f t="array" ref="H4276">SUM(H4274:H4275)</f>
        <v>0</v>
      </c>
      <c r="I4276" s="16" cm="1">
        <f t="array" ref="I4276">SUM(I4274:I4275)</f>
        <v>0</v>
      </c>
    </row>
    <row r="4277" ht="20.35" customHeight="1">
      <c r="A4277" s="10">
        <v>45640</v>
      </c>
      <c r="B4277" t="s" s="11">
        <v>107</v>
      </c>
      <c r="C4277" t="s" s="12">
        <v>96</v>
      </c>
      <c r="D4277" s="17"/>
      <c r="E4277" s="17">
        <v>20000</v>
      </c>
      <c r="F4277" s="18"/>
      <c r="G4277" s="18"/>
      <c r="H4277" s="18"/>
      <c r="I4277" s="18"/>
    </row>
    <row r="4278" ht="20.35" customHeight="1">
      <c r="A4278" s="10">
        <v>45640</v>
      </c>
      <c r="B4278" t="s" s="11">
        <v>5</v>
      </c>
      <c r="C4278" t="s" s="12">
        <v>96</v>
      </c>
      <c r="D4278" s="13">
        <v>20000</v>
      </c>
      <c r="E4278" s="13"/>
      <c r="F4278" s="14"/>
      <c r="G4278" s="14"/>
      <c r="H4278" s="14"/>
      <c r="I4278" s="14"/>
    </row>
    <row r="4279" ht="20.7" customHeight="1">
      <c r="A4279" s="10">
        <v>45640</v>
      </c>
      <c r="B4279" t="s" s="11">
        <v>8</v>
      </c>
      <c r="C4279" t="s" s="12">
        <v>8</v>
      </c>
      <c r="D4279" s="15" cm="1">
        <f t="array" ref="D4279">SUM(D4277:D4278)</f>
        <v>20000</v>
      </c>
      <c r="E4279" s="15" cm="1">
        <f t="array" ref="E4279">SUM(E4277:E4278)</f>
        <v>20000</v>
      </c>
      <c r="F4279" s="16" cm="1">
        <f t="array" ref="F4279">SUM(F4277:F4278)</f>
        <v>0</v>
      </c>
      <c r="G4279" s="16" cm="1">
        <f t="array" ref="G4279">SUM(G4277:G4278)</f>
        <v>0</v>
      </c>
      <c r="H4279" s="16" cm="1">
        <f t="array" ref="H4279">SUM(H4277:H4278)</f>
        <v>0</v>
      </c>
      <c r="I4279" s="16" cm="1">
        <f t="array" ref="I4279">SUM(I4277:I4278)</f>
        <v>0</v>
      </c>
    </row>
    <row r="4280" ht="20.35" customHeight="1">
      <c r="A4280" s="10">
        <v>45640</v>
      </c>
      <c r="B4280" t="s" s="11">
        <v>12</v>
      </c>
      <c r="C4280" t="s" s="12">
        <v>468</v>
      </c>
      <c r="D4280" s="17">
        <v>17900</v>
      </c>
      <c r="E4280" s="17"/>
      <c r="F4280" s="18"/>
      <c r="G4280" s="18"/>
      <c r="H4280" s="18"/>
      <c r="I4280" s="18"/>
    </row>
    <row r="4281" ht="20.35" customHeight="1">
      <c r="A4281" s="10">
        <v>45640</v>
      </c>
      <c r="B4281" t="s" s="11">
        <v>5</v>
      </c>
      <c r="C4281" t="s" s="12">
        <v>468</v>
      </c>
      <c r="D4281" s="13"/>
      <c r="E4281" s="13">
        <v>17900</v>
      </c>
      <c r="F4281" s="14"/>
      <c r="G4281" s="14"/>
      <c r="H4281" s="14"/>
      <c r="I4281" s="14"/>
    </row>
    <row r="4282" ht="20.7" customHeight="1">
      <c r="A4282" s="10">
        <v>45640</v>
      </c>
      <c r="B4282" t="s" s="11">
        <v>8</v>
      </c>
      <c r="C4282" t="s" s="12">
        <v>8</v>
      </c>
      <c r="D4282" s="15" cm="1">
        <f t="array" ref="D4282">SUM(D4280:D4281)</f>
        <v>17900</v>
      </c>
      <c r="E4282" s="15" cm="1">
        <f t="array" ref="E4282">SUM(E4280:E4281)</f>
        <v>17900</v>
      </c>
      <c r="F4282" s="16" cm="1">
        <f t="array" ref="F4282">SUM(F4280:F4281)</f>
        <v>0</v>
      </c>
      <c r="G4282" s="16" cm="1">
        <f t="array" ref="G4282">SUM(G4280:G4281)</f>
        <v>0</v>
      </c>
      <c r="H4282" s="16" cm="1">
        <f t="array" ref="H4282">SUM(H4280:H4281)</f>
        <v>0</v>
      </c>
      <c r="I4282" s="16" cm="1">
        <f t="array" ref="I4282">SUM(I4280:I4281)</f>
        <v>0</v>
      </c>
    </row>
    <row r="4283" ht="21.25" customHeight="1">
      <c r="A4283" s="10">
        <v>45640</v>
      </c>
      <c r="B4283" t="s" s="11">
        <v>21</v>
      </c>
      <c r="C4283" t="s" s="12">
        <v>723</v>
      </c>
      <c r="D4283" s="17"/>
      <c r="E4283" s="17">
        <v>2800</v>
      </c>
      <c r="F4283" s="18"/>
      <c r="G4283" s="18"/>
      <c r="H4283" s="18"/>
      <c r="I4283" s="18"/>
    </row>
    <row r="4284" ht="21.25" customHeight="1">
      <c r="A4284" s="10">
        <v>45640</v>
      </c>
      <c r="B4284" t="s" s="11">
        <v>16</v>
      </c>
      <c r="C4284" t="s" s="12">
        <v>723</v>
      </c>
      <c r="D4284" s="13">
        <v>2800</v>
      </c>
      <c r="E4284" s="13"/>
      <c r="F4284" s="14"/>
      <c r="G4284" s="14"/>
      <c r="H4284" s="14"/>
      <c r="I4284" s="14"/>
    </row>
    <row r="4285" ht="20.7" customHeight="1">
      <c r="A4285" s="10">
        <v>45640</v>
      </c>
      <c r="B4285" t="s" s="11">
        <v>8</v>
      </c>
      <c r="C4285" t="s" s="12">
        <v>8</v>
      </c>
      <c r="D4285" s="15" cm="1">
        <f t="array" ref="D4285">SUM(D4283:D4284)</f>
        <v>2800</v>
      </c>
      <c r="E4285" s="15" cm="1">
        <f t="array" ref="E4285">SUM(E4283:E4284)</f>
        <v>2800</v>
      </c>
      <c r="F4285" s="16" cm="1">
        <f t="array" ref="F4285">SUM(F4283:F4284)</f>
        <v>0</v>
      </c>
      <c r="G4285" s="16" cm="1">
        <f t="array" ref="G4285">SUM(G4283:G4284)</f>
        <v>0</v>
      </c>
      <c r="H4285" s="16" cm="1">
        <f t="array" ref="H4285">SUM(H4283:H4284)</f>
        <v>0</v>
      </c>
      <c r="I4285" s="16" cm="1">
        <f t="array" ref="I4285">SUM(I4283:I4284)</f>
        <v>0</v>
      </c>
    </row>
    <row r="4286" ht="20.35" customHeight="1">
      <c r="A4286" s="10">
        <v>45641</v>
      </c>
      <c r="B4286" t="s" s="11">
        <v>107</v>
      </c>
      <c r="C4286" t="s" s="12">
        <v>96</v>
      </c>
      <c r="D4286" s="17"/>
      <c r="E4286" s="17">
        <v>15000</v>
      </c>
      <c r="F4286" s="18"/>
      <c r="G4286" s="18"/>
      <c r="H4286" s="18"/>
      <c r="I4286" s="18"/>
    </row>
    <row r="4287" ht="20.35" customHeight="1">
      <c r="A4287" s="10">
        <v>45641</v>
      </c>
      <c r="B4287" t="s" s="11">
        <v>5</v>
      </c>
      <c r="C4287" t="s" s="12">
        <v>96</v>
      </c>
      <c r="D4287" s="13">
        <v>15000</v>
      </c>
      <c r="E4287" s="13"/>
      <c r="F4287" s="14"/>
      <c r="G4287" s="14"/>
      <c r="H4287" s="14"/>
      <c r="I4287" s="14"/>
    </row>
    <row r="4288" ht="20.7" customHeight="1">
      <c r="A4288" s="10">
        <v>45641</v>
      </c>
      <c r="B4288" t="s" s="11">
        <v>8</v>
      </c>
      <c r="C4288" t="s" s="12">
        <v>8</v>
      </c>
      <c r="D4288" s="15" cm="1">
        <f t="array" ref="D4288">SUM(D4286:D4287)</f>
        <v>15000</v>
      </c>
      <c r="E4288" s="15" cm="1">
        <f t="array" ref="E4288">SUM(E4286:E4287)</f>
        <v>15000</v>
      </c>
      <c r="F4288" s="16" cm="1">
        <f t="array" ref="F4288">SUM(F4286:F4287)</f>
        <v>0</v>
      </c>
      <c r="G4288" s="16" cm="1">
        <f t="array" ref="G4288">SUM(G4286:G4287)</f>
        <v>0</v>
      </c>
      <c r="H4288" s="16" cm="1">
        <f t="array" ref="H4288">SUM(H4286:H4287)</f>
        <v>0</v>
      </c>
      <c r="I4288" s="16" cm="1">
        <f t="array" ref="I4288">SUM(I4286:I4287)</f>
        <v>0</v>
      </c>
    </row>
    <row r="4289" ht="21.25" customHeight="1">
      <c r="A4289" s="10">
        <v>45641</v>
      </c>
      <c r="B4289" t="s" s="11">
        <v>12</v>
      </c>
      <c r="C4289" t="s" s="12">
        <v>724</v>
      </c>
      <c r="D4289" s="17">
        <v>20900</v>
      </c>
      <c r="E4289" s="17"/>
      <c r="F4289" s="18"/>
      <c r="G4289" s="18"/>
      <c r="H4289" s="18"/>
      <c r="I4289" s="18"/>
    </row>
    <row r="4290" ht="21.25" customHeight="1">
      <c r="A4290" s="10">
        <v>45641</v>
      </c>
      <c r="B4290" t="s" s="11">
        <v>5</v>
      </c>
      <c r="C4290" t="s" s="12">
        <v>724</v>
      </c>
      <c r="D4290" s="13"/>
      <c r="E4290" s="13">
        <v>20900</v>
      </c>
      <c r="F4290" s="14"/>
      <c r="G4290" s="14"/>
      <c r="H4290" s="14"/>
      <c r="I4290" s="14"/>
    </row>
    <row r="4291" ht="20.7" customHeight="1">
      <c r="A4291" s="10">
        <v>45641</v>
      </c>
      <c r="B4291" t="s" s="11">
        <v>8</v>
      </c>
      <c r="C4291" t="s" s="12">
        <v>8</v>
      </c>
      <c r="D4291" s="15" cm="1">
        <f t="array" ref="D4291">SUM(D4289:D4290)</f>
        <v>20900</v>
      </c>
      <c r="E4291" s="15" cm="1">
        <f t="array" ref="E4291">SUM(E4289:E4290)</f>
        <v>20900</v>
      </c>
      <c r="F4291" s="16" cm="1">
        <f t="array" ref="F4291">SUM(F4289:F4290)</f>
        <v>0</v>
      </c>
      <c r="G4291" s="16" cm="1">
        <f t="array" ref="G4291">SUM(G4289:G4290)</f>
        <v>0</v>
      </c>
      <c r="H4291" s="16" cm="1">
        <f t="array" ref="H4291">SUM(H4289:H4290)</f>
        <v>0</v>
      </c>
      <c r="I4291" s="16" cm="1">
        <f t="array" ref="I4291">SUM(I4289:I4290)</f>
        <v>0</v>
      </c>
    </row>
    <row r="4292" ht="20.35" customHeight="1">
      <c r="A4292" s="10">
        <v>45641</v>
      </c>
      <c r="B4292" t="s" s="11">
        <v>107</v>
      </c>
      <c r="C4292" t="s" s="12">
        <v>96</v>
      </c>
      <c r="D4292" s="17"/>
      <c r="E4292" s="17">
        <v>25000</v>
      </c>
      <c r="F4292" s="18"/>
      <c r="G4292" s="18"/>
      <c r="H4292" s="18"/>
      <c r="I4292" s="18"/>
    </row>
    <row r="4293" ht="20.35" customHeight="1">
      <c r="A4293" s="10">
        <v>45641</v>
      </c>
      <c r="B4293" t="s" s="11">
        <v>5</v>
      </c>
      <c r="C4293" t="s" s="12">
        <v>96</v>
      </c>
      <c r="D4293" s="13">
        <v>25000</v>
      </c>
      <c r="E4293" s="13"/>
      <c r="F4293" s="14"/>
      <c r="G4293" s="14"/>
      <c r="H4293" s="14"/>
      <c r="I4293" s="14"/>
    </row>
    <row r="4294" ht="20.7" customHeight="1">
      <c r="A4294" s="10">
        <v>45641</v>
      </c>
      <c r="B4294" t="s" s="11">
        <v>8</v>
      </c>
      <c r="C4294" t="s" s="12">
        <v>8</v>
      </c>
      <c r="D4294" s="15" cm="1">
        <f t="array" ref="D4294">SUM(D4292:D4293)</f>
        <v>25000</v>
      </c>
      <c r="E4294" s="15" cm="1">
        <f t="array" ref="E4294">SUM(E4292:E4293)</f>
        <v>25000</v>
      </c>
      <c r="F4294" s="16" cm="1">
        <f t="array" ref="F4294">SUM(F4292:F4293)</f>
        <v>0</v>
      </c>
      <c r="G4294" s="16" cm="1">
        <f t="array" ref="G4294">SUM(G4292:G4293)</f>
        <v>0</v>
      </c>
      <c r="H4294" s="16" cm="1">
        <f t="array" ref="H4294">SUM(H4292:H4293)</f>
        <v>0</v>
      </c>
      <c r="I4294" s="16" cm="1">
        <f t="array" ref="I4294">SUM(I4292:I4293)</f>
        <v>0</v>
      </c>
    </row>
    <row r="4295" ht="20.35" customHeight="1">
      <c r="A4295" s="10">
        <v>45641</v>
      </c>
      <c r="B4295" t="s" s="11">
        <v>5</v>
      </c>
      <c r="C4295" t="s" s="12">
        <v>17</v>
      </c>
      <c r="D4295" s="17">
        <v>100</v>
      </c>
      <c r="E4295" s="17"/>
      <c r="F4295" s="18"/>
      <c r="G4295" s="18"/>
      <c r="H4295" s="18"/>
      <c r="I4295" s="18"/>
    </row>
    <row r="4296" ht="20.35" customHeight="1">
      <c r="A4296" s="10">
        <v>45641</v>
      </c>
      <c r="B4296" t="s" s="11">
        <v>18</v>
      </c>
      <c r="C4296" t="s" s="12">
        <v>17</v>
      </c>
      <c r="D4296" s="13"/>
      <c r="E4296" s="13">
        <v>100</v>
      </c>
      <c r="F4296" s="14"/>
      <c r="G4296" s="14"/>
      <c r="H4296" s="14"/>
      <c r="I4296" s="14"/>
    </row>
    <row r="4297" ht="20.7" customHeight="1">
      <c r="A4297" s="10">
        <v>45641</v>
      </c>
      <c r="B4297" t="s" s="11">
        <v>8</v>
      </c>
      <c r="C4297" t="s" s="12">
        <v>8</v>
      </c>
      <c r="D4297" s="15" cm="1">
        <f t="array" ref="D4297">SUM(D4295:D4296)</f>
        <v>100</v>
      </c>
      <c r="E4297" s="15" cm="1">
        <f t="array" ref="E4297">SUM(E4295:E4296)</f>
        <v>100</v>
      </c>
      <c r="F4297" s="16" cm="1">
        <f t="array" ref="F4297">SUM(F4295:F4296)</f>
        <v>0</v>
      </c>
      <c r="G4297" s="16" cm="1">
        <f t="array" ref="G4297">SUM(G4295:G4296)</f>
        <v>0</v>
      </c>
      <c r="H4297" s="16" cm="1">
        <f t="array" ref="H4297">SUM(H4295:H4296)</f>
        <v>0</v>
      </c>
      <c r="I4297" s="16" cm="1">
        <f t="array" ref="I4297">SUM(I4295:I4296)</f>
        <v>0</v>
      </c>
    </row>
    <row r="4298" ht="20.65" customHeight="1">
      <c r="A4298" s="10">
        <v>45641</v>
      </c>
      <c r="B4298" t="s" s="11">
        <v>12</v>
      </c>
      <c r="C4298" t="s" s="12">
        <v>168</v>
      </c>
      <c r="D4298" s="17">
        <v>6200</v>
      </c>
      <c r="E4298" s="17"/>
      <c r="F4298" s="18"/>
      <c r="G4298" s="18"/>
      <c r="H4298" s="18"/>
      <c r="I4298" s="18"/>
    </row>
    <row r="4299" ht="20.65" customHeight="1">
      <c r="A4299" s="10">
        <v>45641</v>
      </c>
      <c r="B4299" t="s" s="11">
        <v>5</v>
      </c>
      <c r="C4299" t="s" s="12">
        <v>168</v>
      </c>
      <c r="D4299" s="13"/>
      <c r="E4299" s="13">
        <v>6200</v>
      </c>
      <c r="F4299" s="14"/>
      <c r="G4299" s="14"/>
      <c r="H4299" s="14"/>
      <c r="I4299" s="14"/>
    </row>
    <row r="4300" ht="20.7" customHeight="1">
      <c r="A4300" s="10">
        <v>45641</v>
      </c>
      <c r="B4300" t="s" s="11">
        <v>8</v>
      </c>
      <c r="C4300" t="s" s="12">
        <v>8</v>
      </c>
      <c r="D4300" s="15" cm="1">
        <f t="array" ref="D4300">SUM(D4298:D4299)</f>
        <v>6200</v>
      </c>
      <c r="E4300" s="15" cm="1">
        <f t="array" ref="E4300">SUM(E4298:E4299)</f>
        <v>6200</v>
      </c>
      <c r="F4300" s="16" cm="1">
        <f t="array" ref="F4300">SUM(F4298:F4299)</f>
        <v>0</v>
      </c>
      <c r="G4300" s="16" cm="1">
        <f t="array" ref="G4300">SUM(G4298:G4299)</f>
        <v>0</v>
      </c>
      <c r="H4300" s="16" cm="1">
        <f t="array" ref="H4300">SUM(H4298:H4299)</f>
        <v>0</v>
      </c>
      <c r="I4300" s="16" cm="1">
        <f t="array" ref="I4300">SUM(I4298:I4299)</f>
        <v>0</v>
      </c>
    </row>
    <row r="4301" ht="20.65" customHeight="1">
      <c r="A4301" s="10">
        <v>45641</v>
      </c>
      <c r="B4301" t="s" s="11">
        <v>12</v>
      </c>
      <c r="C4301" t="s" s="12">
        <v>721</v>
      </c>
      <c r="D4301" s="17">
        <v>37000</v>
      </c>
      <c r="E4301" s="17"/>
      <c r="F4301" s="18"/>
      <c r="G4301" s="18"/>
      <c r="H4301" s="18"/>
      <c r="I4301" s="18"/>
    </row>
    <row r="4302" ht="20.65" customHeight="1">
      <c r="A4302" s="10">
        <v>45641</v>
      </c>
      <c r="B4302" t="s" s="11">
        <v>107</v>
      </c>
      <c r="C4302" t="s" s="12">
        <v>721</v>
      </c>
      <c r="D4302" s="13"/>
      <c r="E4302" s="13">
        <v>37000</v>
      </c>
      <c r="F4302" s="14"/>
      <c r="G4302" s="14"/>
      <c r="H4302" s="14"/>
      <c r="I4302" s="14"/>
    </row>
    <row r="4303" ht="20.7" customHeight="1">
      <c r="A4303" s="10">
        <v>45641</v>
      </c>
      <c r="B4303" t="s" s="11">
        <v>8</v>
      </c>
      <c r="C4303" t="s" s="12">
        <v>8</v>
      </c>
      <c r="D4303" s="15" cm="1">
        <f t="array" ref="D4303">SUM(D4301:D4302)</f>
        <v>37000</v>
      </c>
      <c r="E4303" s="15" cm="1">
        <f t="array" ref="E4303">SUM(E4301:E4302)</f>
        <v>37000</v>
      </c>
      <c r="F4303" s="16" cm="1">
        <f t="array" ref="F4303">SUM(F4301:F4302)</f>
        <v>0</v>
      </c>
      <c r="G4303" s="16" cm="1">
        <f t="array" ref="G4303">SUM(G4301:G4302)</f>
        <v>0</v>
      </c>
      <c r="H4303" s="16" cm="1">
        <f t="array" ref="H4303">SUM(H4301:H4302)</f>
        <v>0</v>
      </c>
      <c r="I4303" s="16" cm="1">
        <f t="array" ref="I4303">SUM(I4301:I4302)</f>
        <v>0</v>
      </c>
    </row>
    <row r="4304" ht="21.25" customHeight="1">
      <c r="A4304" s="10">
        <v>45641</v>
      </c>
      <c r="B4304" t="s" s="11">
        <v>21</v>
      </c>
      <c r="C4304" t="s" s="12">
        <v>705</v>
      </c>
      <c r="D4304" s="17"/>
      <c r="E4304" s="17">
        <v>3000</v>
      </c>
      <c r="F4304" s="18"/>
      <c r="G4304" s="18"/>
      <c r="H4304" s="18"/>
      <c r="I4304" s="18"/>
    </row>
    <row r="4305" ht="21.25" customHeight="1">
      <c r="A4305" s="10">
        <v>45641</v>
      </c>
      <c r="B4305" t="s" s="11">
        <v>16</v>
      </c>
      <c r="C4305" t="s" s="12">
        <v>705</v>
      </c>
      <c r="D4305" s="13">
        <v>3000</v>
      </c>
      <c r="E4305" s="13"/>
      <c r="F4305" s="14"/>
      <c r="G4305" s="14"/>
      <c r="H4305" s="14"/>
      <c r="I4305" s="14"/>
    </row>
    <row r="4306" ht="20.7" customHeight="1">
      <c r="A4306" s="10">
        <v>45641</v>
      </c>
      <c r="B4306" t="s" s="11">
        <v>8</v>
      </c>
      <c r="C4306" t="s" s="12">
        <v>8</v>
      </c>
      <c r="D4306" s="15" cm="1">
        <f t="array" ref="D4306">SUM(D4304:D4305)</f>
        <v>3000</v>
      </c>
      <c r="E4306" s="15" cm="1">
        <f t="array" ref="E4306">SUM(E4304:E4305)</f>
        <v>3000</v>
      </c>
      <c r="F4306" s="16" cm="1">
        <f t="array" ref="F4306">SUM(F4304:F4305)</f>
        <v>0</v>
      </c>
      <c r="G4306" s="16" cm="1">
        <f t="array" ref="G4306">SUM(G4304:G4305)</f>
        <v>0</v>
      </c>
      <c r="H4306" s="16" cm="1">
        <f t="array" ref="H4306">SUM(H4304:H4305)</f>
        <v>0</v>
      </c>
      <c r="I4306" s="16" cm="1">
        <f t="array" ref="I4306">SUM(I4304:I4305)</f>
        <v>0</v>
      </c>
    </row>
    <row r="4307" ht="20.35" customHeight="1">
      <c r="A4307" s="10">
        <v>45642</v>
      </c>
      <c r="B4307" t="s" s="11">
        <v>107</v>
      </c>
      <c r="C4307" t="s" s="12">
        <v>96</v>
      </c>
      <c r="D4307" s="17"/>
      <c r="E4307" s="17">
        <v>20000</v>
      </c>
      <c r="F4307" s="18"/>
      <c r="G4307" s="18"/>
      <c r="H4307" s="18"/>
      <c r="I4307" s="18"/>
    </row>
    <row r="4308" ht="20.35" customHeight="1">
      <c r="A4308" s="10">
        <v>45642</v>
      </c>
      <c r="B4308" t="s" s="11">
        <v>5</v>
      </c>
      <c r="C4308" t="s" s="12">
        <v>96</v>
      </c>
      <c r="D4308" s="13">
        <v>20000</v>
      </c>
      <c r="E4308" s="13"/>
      <c r="F4308" s="14"/>
      <c r="G4308" s="14"/>
      <c r="H4308" s="14"/>
      <c r="I4308" s="14"/>
    </row>
    <row r="4309" ht="20.7" customHeight="1">
      <c r="A4309" s="10">
        <v>45642</v>
      </c>
      <c r="B4309" t="s" s="11">
        <v>8</v>
      </c>
      <c r="C4309" t="s" s="12">
        <v>8</v>
      </c>
      <c r="D4309" s="15" cm="1">
        <f t="array" ref="D4309">SUM(D4307:D4308)</f>
        <v>20000</v>
      </c>
      <c r="E4309" s="15" cm="1">
        <f t="array" ref="E4309">SUM(E4307:E4308)</f>
        <v>20000</v>
      </c>
      <c r="F4309" s="16" cm="1">
        <f t="array" ref="F4309">SUM(F4307:F4308)</f>
        <v>0</v>
      </c>
      <c r="G4309" s="16" cm="1">
        <f t="array" ref="G4309">SUM(G4307:G4308)</f>
        <v>0</v>
      </c>
      <c r="H4309" s="16" cm="1">
        <f t="array" ref="H4309">SUM(H4307:H4308)</f>
        <v>0</v>
      </c>
      <c r="I4309" s="16" cm="1">
        <f t="array" ref="I4309">SUM(I4307:I4308)</f>
        <v>0</v>
      </c>
    </row>
    <row r="4310" ht="21.25" customHeight="1">
      <c r="A4310" s="10">
        <v>45642</v>
      </c>
      <c r="B4310" t="s" s="11">
        <v>86</v>
      </c>
      <c r="C4310" t="s" s="12">
        <v>713</v>
      </c>
      <c r="D4310" s="17">
        <v>21500</v>
      </c>
      <c r="E4310" s="17"/>
      <c r="F4310" s="18"/>
      <c r="G4310" s="18"/>
      <c r="H4310" s="18"/>
      <c r="I4310" s="18"/>
    </row>
    <row r="4311" ht="21.25" customHeight="1">
      <c r="A4311" s="10">
        <v>45642</v>
      </c>
      <c r="B4311" t="s" s="11">
        <v>5</v>
      </c>
      <c r="C4311" t="s" s="12">
        <v>713</v>
      </c>
      <c r="D4311" s="13"/>
      <c r="E4311" s="13">
        <v>21500</v>
      </c>
      <c r="F4311" s="14"/>
      <c r="G4311" s="14"/>
      <c r="H4311" s="14"/>
      <c r="I4311" s="14"/>
    </row>
    <row r="4312" ht="20.7" customHeight="1">
      <c r="A4312" s="10">
        <v>45642</v>
      </c>
      <c r="B4312" t="s" s="11">
        <v>8</v>
      </c>
      <c r="C4312" t="s" s="12">
        <v>8</v>
      </c>
      <c r="D4312" s="15" cm="1">
        <f t="array" ref="D4312">SUM(D4310:D4311)</f>
        <v>21500</v>
      </c>
      <c r="E4312" s="15" cm="1">
        <f t="array" ref="E4312">SUM(E4310:E4311)</f>
        <v>21500</v>
      </c>
      <c r="F4312" s="16" cm="1">
        <f t="array" ref="F4312">SUM(F4310:F4311)</f>
        <v>0</v>
      </c>
      <c r="G4312" s="16" cm="1">
        <f t="array" ref="G4312">SUM(G4310:G4311)</f>
        <v>0</v>
      </c>
      <c r="H4312" s="16" cm="1">
        <f t="array" ref="H4312">SUM(H4310:H4311)</f>
        <v>0</v>
      </c>
      <c r="I4312" s="16" cm="1">
        <f t="array" ref="I4312">SUM(I4310:I4311)</f>
        <v>0</v>
      </c>
    </row>
    <row r="4313" ht="20.35" customHeight="1">
      <c r="A4313" s="10">
        <v>45642</v>
      </c>
      <c r="B4313" t="s" s="11">
        <v>93</v>
      </c>
      <c r="C4313" t="s" s="12">
        <v>604</v>
      </c>
      <c r="D4313" s="17">
        <v>15000</v>
      </c>
      <c r="E4313" s="17"/>
      <c r="F4313" s="18"/>
      <c r="G4313" s="18"/>
      <c r="H4313" s="18"/>
      <c r="I4313" s="18"/>
    </row>
    <row r="4314" ht="20.35" customHeight="1">
      <c r="A4314" s="10">
        <v>45642</v>
      </c>
      <c r="B4314" t="s" s="11">
        <v>5</v>
      </c>
      <c r="C4314" t="s" s="12">
        <v>604</v>
      </c>
      <c r="D4314" s="13"/>
      <c r="E4314" s="13">
        <v>15000</v>
      </c>
      <c r="F4314" s="14"/>
      <c r="G4314" s="14"/>
      <c r="H4314" s="14"/>
      <c r="I4314" s="14"/>
    </row>
    <row r="4315" ht="20.7" customHeight="1">
      <c r="A4315" s="10">
        <v>45642</v>
      </c>
      <c r="B4315" t="s" s="11">
        <v>8</v>
      </c>
      <c r="C4315" t="s" s="12">
        <v>8</v>
      </c>
      <c r="D4315" s="15" cm="1">
        <f t="array" ref="D4315">SUM(D4313:D4314)</f>
        <v>15000</v>
      </c>
      <c r="E4315" s="15" cm="1">
        <f t="array" ref="E4315">SUM(E4313:E4314)</f>
        <v>15000</v>
      </c>
      <c r="F4315" s="16" cm="1">
        <f t="array" ref="F4315">SUM(F4313:F4314)</f>
        <v>0</v>
      </c>
      <c r="G4315" s="16" cm="1">
        <f t="array" ref="G4315">SUM(G4313:G4314)</f>
        <v>0</v>
      </c>
      <c r="H4315" s="16" cm="1">
        <f t="array" ref="H4315">SUM(H4313:H4314)</f>
        <v>0</v>
      </c>
      <c r="I4315" s="16" cm="1">
        <f t="array" ref="I4315">SUM(I4313:I4314)</f>
        <v>0</v>
      </c>
    </row>
    <row r="4316" ht="20.35" customHeight="1">
      <c r="A4316" s="10">
        <v>45642</v>
      </c>
      <c r="B4316" t="s" s="11">
        <v>5</v>
      </c>
      <c r="C4316" t="s" s="12">
        <v>17</v>
      </c>
      <c r="D4316" s="17">
        <v>100</v>
      </c>
      <c r="E4316" s="17"/>
      <c r="F4316" s="18"/>
      <c r="G4316" s="18"/>
      <c r="H4316" s="18"/>
      <c r="I4316" s="18"/>
    </row>
    <row r="4317" ht="20.35" customHeight="1">
      <c r="A4317" s="10">
        <v>45642</v>
      </c>
      <c r="B4317" t="s" s="11">
        <v>18</v>
      </c>
      <c r="C4317" t="s" s="12">
        <v>17</v>
      </c>
      <c r="D4317" s="13"/>
      <c r="E4317" s="13">
        <v>100</v>
      </c>
      <c r="F4317" s="14"/>
      <c r="G4317" s="14"/>
      <c r="H4317" s="14"/>
      <c r="I4317" s="14"/>
    </row>
    <row r="4318" ht="20.7" customHeight="1">
      <c r="A4318" s="10">
        <v>45642</v>
      </c>
      <c r="B4318" t="s" s="11">
        <v>8</v>
      </c>
      <c r="C4318" t="s" s="12">
        <v>8</v>
      </c>
      <c r="D4318" s="15" cm="1">
        <f t="array" ref="D4318">SUM(D4316:D4317)</f>
        <v>100</v>
      </c>
      <c r="E4318" s="15" cm="1">
        <f t="array" ref="E4318">SUM(E4316:E4317)</f>
        <v>100</v>
      </c>
      <c r="F4318" s="16" cm="1">
        <f t="array" ref="F4318">SUM(F4316:F4317)</f>
        <v>0</v>
      </c>
      <c r="G4318" s="16" cm="1">
        <f t="array" ref="G4318">SUM(G4316:G4317)</f>
        <v>0</v>
      </c>
      <c r="H4318" s="16" cm="1">
        <f t="array" ref="H4318">SUM(H4316:H4317)</f>
        <v>0</v>
      </c>
      <c r="I4318" s="16" cm="1">
        <f t="array" ref="I4318">SUM(I4316:I4317)</f>
        <v>0</v>
      </c>
    </row>
    <row r="4319" ht="20.35" customHeight="1">
      <c r="A4319" s="10">
        <v>45642</v>
      </c>
      <c r="B4319" t="s" s="11">
        <v>107</v>
      </c>
      <c r="C4319" t="s" s="12">
        <v>96</v>
      </c>
      <c r="D4319" s="17"/>
      <c r="E4319" s="17">
        <v>37000</v>
      </c>
      <c r="F4319" s="18"/>
      <c r="G4319" s="18"/>
      <c r="H4319" s="18"/>
      <c r="I4319" s="18"/>
    </row>
    <row r="4320" ht="20.35" customHeight="1">
      <c r="A4320" s="10">
        <v>45642</v>
      </c>
      <c r="B4320" t="s" s="11">
        <v>5</v>
      </c>
      <c r="C4320" t="s" s="12">
        <v>96</v>
      </c>
      <c r="D4320" s="13">
        <v>37000</v>
      </c>
      <c r="E4320" s="13"/>
      <c r="F4320" s="14"/>
      <c r="G4320" s="14"/>
      <c r="H4320" s="14"/>
      <c r="I4320" s="14"/>
    </row>
    <row r="4321" ht="20.7" customHeight="1">
      <c r="A4321" s="10">
        <v>45642</v>
      </c>
      <c r="B4321" t="s" s="11">
        <v>8</v>
      </c>
      <c r="C4321" t="s" s="12">
        <v>8</v>
      </c>
      <c r="D4321" s="15" cm="1">
        <f t="array" ref="D4321">SUM(D4319:D4320)</f>
        <v>37000</v>
      </c>
      <c r="E4321" s="15" cm="1">
        <f t="array" ref="E4321">SUM(E4319:E4320)</f>
        <v>37000</v>
      </c>
      <c r="F4321" s="16" cm="1">
        <f t="array" ref="F4321">SUM(F4319:F4320)</f>
        <v>0</v>
      </c>
      <c r="G4321" s="16" cm="1">
        <f t="array" ref="G4321">SUM(G4319:G4320)</f>
        <v>0</v>
      </c>
      <c r="H4321" s="16" cm="1">
        <f t="array" ref="H4321">SUM(H4319:H4320)</f>
        <v>0</v>
      </c>
      <c r="I4321" s="16" cm="1">
        <f t="array" ref="I4321">SUM(I4319:I4320)</f>
        <v>0</v>
      </c>
    </row>
    <row r="4322" ht="21.25" customHeight="1">
      <c r="A4322" s="10">
        <v>45642</v>
      </c>
      <c r="B4322" t="s" s="11">
        <v>12</v>
      </c>
      <c r="C4322" t="s" s="12">
        <v>715</v>
      </c>
      <c r="D4322" s="17">
        <v>37000</v>
      </c>
      <c r="E4322" s="17"/>
      <c r="F4322" s="18"/>
      <c r="G4322" s="18"/>
      <c r="H4322" s="18"/>
      <c r="I4322" s="18"/>
    </row>
    <row r="4323" ht="21.25" customHeight="1">
      <c r="A4323" s="10">
        <v>45642</v>
      </c>
      <c r="B4323" t="s" s="11">
        <v>5</v>
      </c>
      <c r="C4323" t="s" s="12">
        <v>715</v>
      </c>
      <c r="D4323" s="13"/>
      <c r="E4323" s="13">
        <v>37000</v>
      </c>
      <c r="F4323" s="14"/>
      <c r="G4323" s="14"/>
      <c r="H4323" s="14"/>
      <c r="I4323" s="14"/>
    </row>
    <row r="4324" ht="20.7" customHeight="1">
      <c r="A4324" s="10">
        <v>45642</v>
      </c>
      <c r="B4324" t="s" s="11">
        <v>8</v>
      </c>
      <c r="C4324" t="s" s="12">
        <v>8</v>
      </c>
      <c r="D4324" s="15" cm="1">
        <f t="array" ref="D4324">SUM(D4322:D4323)</f>
        <v>37000</v>
      </c>
      <c r="E4324" s="15" cm="1">
        <f t="array" ref="E4324">SUM(E4322:E4323)</f>
        <v>37000</v>
      </c>
      <c r="F4324" s="16" cm="1">
        <f t="array" ref="F4324">SUM(F4322:F4323)</f>
        <v>0</v>
      </c>
      <c r="G4324" s="16" cm="1">
        <f t="array" ref="G4324">SUM(G4322:G4323)</f>
        <v>0</v>
      </c>
      <c r="H4324" s="16" cm="1">
        <f t="array" ref="H4324">SUM(H4322:H4323)</f>
        <v>0</v>
      </c>
      <c r="I4324" s="16" cm="1">
        <f t="array" ref="I4324">SUM(I4322:I4323)</f>
        <v>0</v>
      </c>
    </row>
    <row r="4325" ht="20.35" customHeight="1">
      <c r="A4325" s="10">
        <v>45643</v>
      </c>
      <c r="B4325" t="s" s="11">
        <v>107</v>
      </c>
      <c r="C4325" t="s" s="12">
        <v>96</v>
      </c>
      <c r="D4325" s="17"/>
      <c r="E4325" s="17">
        <v>10000</v>
      </c>
      <c r="F4325" s="18"/>
      <c r="G4325" s="18"/>
      <c r="H4325" s="18"/>
      <c r="I4325" s="18"/>
    </row>
    <row r="4326" ht="20.35" customHeight="1">
      <c r="A4326" s="10">
        <v>45643</v>
      </c>
      <c r="B4326" t="s" s="11">
        <v>5</v>
      </c>
      <c r="C4326" t="s" s="12">
        <v>96</v>
      </c>
      <c r="D4326" s="13">
        <v>10000</v>
      </c>
      <c r="E4326" s="13"/>
      <c r="F4326" s="14"/>
      <c r="G4326" s="14"/>
      <c r="H4326" s="14"/>
      <c r="I4326" s="14"/>
    </row>
    <row r="4327" ht="20.7" customHeight="1">
      <c r="A4327" s="10">
        <v>45643</v>
      </c>
      <c r="B4327" t="s" s="11">
        <v>8</v>
      </c>
      <c r="C4327" t="s" s="12">
        <v>8</v>
      </c>
      <c r="D4327" s="15" cm="1">
        <f t="array" ref="D4327">SUM(D4325:D4326)</f>
        <v>10000</v>
      </c>
      <c r="E4327" s="15" cm="1">
        <f t="array" ref="E4327">SUM(E4325:E4326)</f>
        <v>10000</v>
      </c>
      <c r="F4327" s="16" cm="1">
        <f t="array" ref="F4327">SUM(F4325:F4326)</f>
        <v>0</v>
      </c>
      <c r="G4327" s="16" cm="1">
        <f t="array" ref="G4327">SUM(G4325:G4326)</f>
        <v>0</v>
      </c>
      <c r="H4327" s="16" cm="1">
        <f t="array" ref="H4327">SUM(H4325:H4326)</f>
        <v>0</v>
      </c>
      <c r="I4327" s="16" cm="1">
        <f t="array" ref="I4327">SUM(I4325:I4326)</f>
        <v>0</v>
      </c>
    </row>
    <row r="4328" ht="20.35" customHeight="1">
      <c r="A4328" s="10">
        <v>45643</v>
      </c>
      <c r="B4328" t="s" s="11">
        <v>12</v>
      </c>
      <c r="C4328" t="s" s="12">
        <v>468</v>
      </c>
      <c r="D4328" s="17">
        <v>6800</v>
      </c>
      <c r="E4328" s="17"/>
      <c r="F4328" s="18"/>
      <c r="G4328" s="18"/>
      <c r="H4328" s="18"/>
      <c r="I4328" s="18"/>
    </row>
    <row r="4329" ht="20.35" customHeight="1">
      <c r="A4329" s="10">
        <v>45643</v>
      </c>
      <c r="B4329" t="s" s="11">
        <v>5</v>
      </c>
      <c r="C4329" t="s" s="12">
        <v>468</v>
      </c>
      <c r="D4329" s="13"/>
      <c r="E4329" s="13">
        <v>6800</v>
      </c>
      <c r="F4329" s="14"/>
      <c r="G4329" s="14"/>
      <c r="H4329" s="14"/>
      <c r="I4329" s="14"/>
    </row>
    <row r="4330" ht="20.7" customHeight="1">
      <c r="A4330" s="10">
        <v>45643</v>
      </c>
      <c r="B4330" t="s" s="11">
        <v>8</v>
      </c>
      <c r="C4330" t="s" s="12">
        <v>8</v>
      </c>
      <c r="D4330" s="15" cm="1">
        <f t="array" ref="D4330">SUM(D4328:D4329)</f>
        <v>6800</v>
      </c>
      <c r="E4330" s="15" cm="1">
        <f t="array" ref="E4330">SUM(E4328:E4329)</f>
        <v>6800</v>
      </c>
      <c r="F4330" s="16" cm="1">
        <f t="array" ref="F4330">SUM(F4328:F4329)</f>
        <v>0</v>
      </c>
      <c r="G4330" s="16" cm="1">
        <f t="array" ref="G4330">SUM(G4328:G4329)</f>
        <v>0</v>
      </c>
      <c r="H4330" s="16" cm="1">
        <f t="array" ref="H4330">SUM(H4328:H4329)</f>
        <v>0</v>
      </c>
      <c r="I4330" s="16" cm="1">
        <f t="array" ref="I4330">SUM(I4328:I4329)</f>
        <v>0</v>
      </c>
    </row>
    <row r="4331" ht="21.25" customHeight="1">
      <c r="A4331" s="10">
        <v>45643</v>
      </c>
      <c r="B4331" t="s" s="11">
        <v>10</v>
      </c>
      <c r="C4331" t="s" s="12">
        <v>725</v>
      </c>
      <c r="D4331" s="17">
        <v>300</v>
      </c>
      <c r="E4331" s="17"/>
      <c r="F4331" s="18"/>
      <c r="G4331" s="18"/>
      <c r="H4331" s="18"/>
      <c r="I4331" s="18"/>
    </row>
    <row r="4332" ht="21.25" customHeight="1">
      <c r="A4332" s="10">
        <v>45643</v>
      </c>
      <c r="B4332" t="s" s="11">
        <v>5</v>
      </c>
      <c r="C4332" t="s" s="12">
        <v>725</v>
      </c>
      <c r="D4332" s="13"/>
      <c r="E4332" s="13">
        <v>300</v>
      </c>
      <c r="F4332" s="14"/>
      <c r="G4332" s="14"/>
      <c r="H4332" s="14"/>
      <c r="I4332" s="14"/>
    </row>
    <row r="4333" ht="20.7" customHeight="1">
      <c r="A4333" s="10">
        <v>45643</v>
      </c>
      <c r="B4333" t="s" s="11">
        <v>8</v>
      </c>
      <c r="C4333" t="s" s="12">
        <v>8</v>
      </c>
      <c r="D4333" s="15" cm="1">
        <f t="array" ref="D4333">SUM(D4331:D4332)</f>
        <v>300</v>
      </c>
      <c r="E4333" s="15" cm="1">
        <f t="array" ref="E4333">SUM(E4331:E4332)</f>
        <v>300</v>
      </c>
      <c r="F4333" s="16" cm="1">
        <f t="array" ref="F4333">SUM(F4331:F4332)</f>
        <v>0</v>
      </c>
      <c r="G4333" s="16" cm="1">
        <f t="array" ref="G4333">SUM(G4331:G4332)</f>
        <v>0</v>
      </c>
      <c r="H4333" s="16" cm="1">
        <f t="array" ref="H4333">SUM(H4331:H4332)</f>
        <v>0</v>
      </c>
      <c r="I4333" s="16" cm="1">
        <f t="array" ref="I4333">SUM(I4331:I4332)</f>
        <v>0</v>
      </c>
    </row>
    <row r="4334" ht="20.35" customHeight="1">
      <c r="A4334" s="10">
        <v>45643</v>
      </c>
      <c r="B4334" t="s" s="11">
        <v>12</v>
      </c>
      <c r="C4334" t="s" s="12">
        <v>169</v>
      </c>
      <c r="D4334" s="17">
        <v>5600</v>
      </c>
      <c r="E4334" s="17"/>
      <c r="F4334" s="18"/>
      <c r="G4334" s="18"/>
      <c r="H4334" s="18"/>
      <c r="I4334" s="18"/>
    </row>
    <row r="4335" ht="20.35" customHeight="1">
      <c r="A4335" s="10">
        <v>45643</v>
      </c>
      <c r="B4335" t="s" s="11">
        <v>5</v>
      </c>
      <c r="C4335" t="s" s="12">
        <v>169</v>
      </c>
      <c r="D4335" s="13"/>
      <c r="E4335" s="13">
        <v>5600</v>
      </c>
      <c r="F4335" s="14"/>
      <c r="G4335" s="14"/>
      <c r="H4335" s="14"/>
      <c r="I4335" s="14"/>
    </row>
    <row r="4336" ht="20.7" customHeight="1">
      <c r="A4336" s="10">
        <v>45643</v>
      </c>
      <c r="B4336" t="s" s="11">
        <v>8</v>
      </c>
      <c r="C4336" t="s" s="12">
        <v>8</v>
      </c>
      <c r="D4336" s="15" cm="1">
        <f t="array" ref="D4336">SUM(D4334:D4335)</f>
        <v>5600</v>
      </c>
      <c r="E4336" s="15" cm="1">
        <f t="array" ref="E4336">SUM(E4334:E4335)</f>
        <v>5600</v>
      </c>
      <c r="F4336" s="16" cm="1">
        <f t="array" ref="F4336">SUM(F4334:F4335)</f>
        <v>0</v>
      </c>
      <c r="G4336" s="16" cm="1">
        <f t="array" ref="G4336">SUM(G4334:G4335)</f>
        <v>0</v>
      </c>
      <c r="H4336" s="16" cm="1">
        <f t="array" ref="H4336">SUM(H4334:H4335)</f>
        <v>0</v>
      </c>
      <c r="I4336" s="16" cm="1">
        <f t="array" ref="I4336">SUM(I4334:I4335)</f>
        <v>0</v>
      </c>
    </row>
    <row r="4337" ht="21.25" customHeight="1">
      <c r="A4337" s="10">
        <v>45643</v>
      </c>
      <c r="B4337" t="s" s="11">
        <v>10</v>
      </c>
      <c r="C4337" t="s" s="12">
        <v>726</v>
      </c>
      <c r="D4337" s="17">
        <v>20000</v>
      </c>
      <c r="E4337" s="17"/>
      <c r="F4337" s="18"/>
      <c r="G4337" s="18"/>
      <c r="H4337" s="18"/>
      <c r="I4337" s="18"/>
    </row>
    <row r="4338" ht="21.25" customHeight="1">
      <c r="A4338" s="10">
        <v>45643</v>
      </c>
      <c r="B4338" t="s" s="11">
        <v>107</v>
      </c>
      <c r="C4338" t="s" s="12">
        <v>726</v>
      </c>
      <c r="D4338" s="13"/>
      <c r="E4338" s="13">
        <v>20000</v>
      </c>
      <c r="F4338" s="14"/>
      <c r="G4338" s="14"/>
      <c r="H4338" s="14"/>
      <c r="I4338" s="14"/>
    </row>
    <row r="4339" ht="20.7" customHeight="1">
      <c r="A4339" s="10">
        <v>45643</v>
      </c>
      <c r="B4339" t="s" s="11">
        <v>8</v>
      </c>
      <c r="C4339" t="s" s="12">
        <v>8</v>
      </c>
      <c r="D4339" s="15" cm="1">
        <f t="array" ref="D4339">SUM(D4337:D4338)</f>
        <v>20000</v>
      </c>
      <c r="E4339" s="15" cm="1">
        <f t="array" ref="E4339">SUM(E4337:E4338)</f>
        <v>20000</v>
      </c>
      <c r="F4339" s="16" cm="1">
        <f t="array" ref="F4339">SUM(F4337:F4338)</f>
        <v>0</v>
      </c>
      <c r="G4339" s="16" cm="1">
        <f t="array" ref="G4339">SUM(G4337:G4338)</f>
        <v>0</v>
      </c>
      <c r="H4339" s="16" cm="1">
        <f t="array" ref="H4339">SUM(H4337:H4338)</f>
        <v>0</v>
      </c>
      <c r="I4339" s="16" cm="1">
        <f t="array" ref="I4339">SUM(I4337:I4338)</f>
        <v>0</v>
      </c>
    </row>
    <row r="4340" ht="20.35" customHeight="1">
      <c r="A4340" s="10">
        <v>45644</v>
      </c>
      <c r="B4340" t="s" s="11">
        <v>107</v>
      </c>
      <c r="C4340" t="s" s="12">
        <v>96</v>
      </c>
      <c r="D4340" s="17"/>
      <c r="E4340" s="17">
        <v>27000</v>
      </c>
      <c r="F4340" s="18"/>
      <c r="G4340" s="18"/>
      <c r="H4340" s="18"/>
      <c r="I4340" s="18"/>
    </row>
    <row r="4341" ht="20.35" customHeight="1">
      <c r="A4341" s="10">
        <v>45644</v>
      </c>
      <c r="B4341" t="s" s="11">
        <v>5</v>
      </c>
      <c r="C4341" t="s" s="12">
        <v>96</v>
      </c>
      <c r="D4341" s="13">
        <v>27000</v>
      </c>
      <c r="E4341" s="13"/>
      <c r="F4341" s="14"/>
      <c r="G4341" s="14"/>
      <c r="H4341" s="14"/>
      <c r="I4341" s="14"/>
    </row>
    <row r="4342" ht="20.7" customHeight="1">
      <c r="A4342" s="10">
        <v>45644</v>
      </c>
      <c r="B4342" t="s" s="11">
        <v>8</v>
      </c>
      <c r="C4342" t="s" s="12">
        <v>8</v>
      </c>
      <c r="D4342" s="15" cm="1">
        <f t="array" ref="D4342">SUM(D4340:D4341)</f>
        <v>27000</v>
      </c>
      <c r="E4342" s="15" cm="1">
        <f t="array" ref="E4342">SUM(E4340:E4341)</f>
        <v>27000</v>
      </c>
      <c r="F4342" s="16" cm="1">
        <f t="array" ref="F4342">SUM(F4340:F4341)</f>
        <v>0</v>
      </c>
      <c r="G4342" s="16" cm="1">
        <f t="array" ref="G4342">SUM(G4340:G4341)</f>
        <v>0</v>
      </c>
      <c r="H4342" s="16" cm="1">
        <f t="array" ref="H4342">SUM(H4340:H4341)</f>
        <v>0</v>
      </c>
      <c r="I4342" s="16" cm="1">
        <f t="array" ref="I4342">SUM(I4340:I4341)</f>
        <v>0</v>
      </c>
    </row>
    <row r="4343" ht="20.65" customHeight="1">
      <c r="A4343" s="10">
        <v>45644</v>
      </c>
      <c r="B4343" t="s" s="11">
        <v>21</v>
      </c>
      <c r="C4343" t="s" s="12">
        <v>70</v>
      </c>
      <c r="D4343" s="17"/>
      <c r="E4343" s="17">
        <v>50000</v>
      </c>
      <c r="F4343" s="18"/>
      <c r="G4343" s="18"/>
      <c r="H4343" s="18"/>
      <c r="I4343" s="18"/>
    </row>
    <row r="4344" ht="20.65" customHeight="1">
      <c r="A4344" s="10">
        <v>45644</v>
      </c>
      <c r="B4344" t="s" s="11">
        <v>93</v>
      </c>
      <c r="C4344" t="s" s="12">
        <v>70</v>
      </c>
      <c r="D4344" s="13">
        <v>50000</v>
      </c>
      <c r="E4344" s="13"/>
      <c r="F4344" s="14"/>
      <c r="G4344" s="14"/>
      <c r="H4344" s="14"/>
      <c r="I4344" s="14"/>
    </row>
    <row r="4345" ht="20.7" customHeight="1">
      <c r="A4345" s="10">
        <v>45644</v>
      </c>
      <c r="B4345" t="s" s="11">
        <v>8</v>
      </c>
      <c r="C4345" t="s" s="12">
        <v>8</v>
      </c>
      <c r="D4345" s="15" cm="1">
        <f t="array" ref="D4345">SUM(D4343:D4344)</f>
        <v>50000</v>
      </c>
      <c r="E4345" s="15" cm="1">
        <f t="array" ref="E4345">SUM(E4343:E4344)</f>
        <v>50000</v>
      </c>
      <c r="F4345" s="16" cm="1">
        <f t="array" ref="F4345">SUM(F4343:F4344)</f>
        <v>0</v>
      </c>
      <c r="G4345" s="16" cm="1">
        <f t="array" ref="G4345">SUM(G4343:G4344)</f>
        <v>0</v>
      </c>
      <c r="H4345" s="16" cm="1">
        <f t="array" ref="H4345">SUM(H4343:H4344)</f>
        <v>0</v>
      </c>
      <c r="I4345" s="16" cm="1">
        <f t="array" ref="I4345">SUM(I4343:I4344)</f>
        <v>0</v>
      </c>
    </row>
    <row r="4346" ht="20.35" customHeight="1">
      <c r="A4346" s="10">
        <v>45644</v>
      </c>
      <c r="B4346" t="s" s="11">
        <v>93</v>
      </c>
      <c r="C4346" t="s" s="12">
        <v>96</v>
      </c>
      <c r="D4346" s="17"/>
      <c r="E4346" s="17">
        <v>50000</v>
      </c>
      <c r="F4346" s="18"/>
      <c r="G4346" s="18"/>
      <c r="H4346" s="18"/>
      <c r="I4346" s="18"/>
    </row>
    <row r="4347" ht="20.35" customHeight="1">
      <c r="A4347" s="10">
        <v>45644</v>
      </c>
      <c r="B4347" t="s" s="11">
        <v>5</v>
      </c>
      <c r="C4347" t="s" s="12">
        <v>96</v>
      </c>
      <c r="D4347" s="13">
        <v>50000</v>
      </c>
      <c r="E4347" s="13"/>
      <c r="F4347" s="14"/>
      <c r="G4347" s="14"/>
      <c r="H4347" s="14"/>
      <c r="I4347" s="14"/>
    </row>
    <row r="4348" ht="20.7" customHeight="1">
      <c r="A4348" s="10">
        <v>45644</v>
      </c>
      <c r="B4348" t="s" s="11">
        <v>8</v>
      </c>
      <c r="C4348" t="s" s="12">
        <v>8</v>
      </c>
      <c r="D4348" s="15" cm="1">
        <f t="array" ref="D4348">SUM(D4346:D4347)</f>
        <v>50000</v>
      </c>
      <c r="E4348" s="15" cm="1">
        <f t="array" ref="E4348">SUM(E4346:E4347)</f>
        <v>50000</v>
      </c>
      <c r="F4348" s="16" cm="1">
        <f t="array" ref="F4348">SUM(F4346:F4347)</f>
        <v>0</v>
      </c>
      <c r="G4348" s="16" cm="1">
        <f t="array" ref="G4348">SUM(G4346:G4347)</f>
        <v>0</v>
      </c>
      <c r="H4348" s="16" cm="1">
        <f t="array" ref="H4348">SUM(H4346:H4347)</f>
        <v>0</v>
      </c>
      <c r="I4348" s="16" cm="1">
        <f t="array" ref="I4348">SUM(I4346:I4347)</f>
        <v>0</v>
      </c>
    </row>
    <row r="4349" ht="21.25" customHeight="1">
      <c r="A4349" s="10">
        <v>45644</v>
      </c>
      <c r="B4349" t="s" s="11">
        <v>12</v>
      </c>
      <c r="C4349" t="s" s="12">
        <v>727</v>
      </c>
      <c r="D4349" s="17">
        <v>11000</v>
      </c>
      <c r="E4349" s="17"/>
      <c r="F4349" s="18"/>
      <c r="G4349" s="18"/>
      <c r="H4349" s="18"/>
      <c r="I4349" s="18"/>
    </row>
    <row r="4350" ht="20.9" customHeight="1">
      <c r="A4350" s="10">
        <v>45644</v>
      </c>
      <c r="B4350" t="s" s="11">
        <v>10</v>
      </c>
      <c r="C4350" t="s" s="12">
        <v>727</v>
      </c>
      <c r="D4350" s="19">
        <v>11000</v>
      </c>
      <c r="E4350" s="19"/>
      <c r="F4350" s="20"/>
      <c r="G4350" s="20"/>
      <c r="H4350" s="20"/>
      <c r="I4350" s="20"/>
    </row>
    <row r="4351" ht="21.25" customHeight="1">
      <c r="A4351" s="10">
        <v>45644</v>
      </c>
      <c r="B4351" t="s" s="11">
        <v>5</v>
      </c>
      <c r="C4351" t="s" s="12">
        <v>727</v>
      </c>
      <c r="D4351" s="13"/>
      <c r="E4351" s="13">
        <v>22000</v>
      </c>
      <c r="F4351" s="14"/>
      <c r="G4351" s="14"/>
      <c r="H4351" s="14"/>
      <c r="I4351" s="14"/>
    </row>
    <row r="4352" ht="20.7" customHeight="1">
      <c r="A4352" s="10">
        <v>45644</v>
      </c>
      <c r="B4352" t="s" s="11">
        <v>8</v>
      </c>
      <c r="C4352" t="s" s="12">
        <v>8</v>
      </c>
      <c r="D4352" s="15" cm="1">
        <f t="array" ref="D4352">SUM(D4349:D4351)</f>
        <v>22000</v>
      </c>
      <c r="E4352" s="15" cm="1">
        <f t="array" ref="E4352">SUM(E4349:E4351)</f>
        <v>22000</v>
      </c>
      <c r="F4352" s="16" cm="1">
        <f t="array" ref="F4352">SUM(F4349:F4351)</f>
        <v>0</v>
      </c>
      <c r="G4352" s="16" cm="1">
        <f t="array" ref="G4352">SUM(G4349:G4351)</f>
        <v>0</v>
      </c>
      <c r="H4352" s="16" cm="1">
        <f t="array" ref="H4352">SUM(H4349:H4351)</f>
        <v>0</v>
      </c>
      <c r="I4352" s="16" cm="1">
        <f t="array" ref="I4352">SUM(I4349:I4351)</f>
        <v>0</v>
      </c>
    </row>
    <row r="4353" ht="20.35" customHeight="1">
      <c r="A4353" s="10">
        <v>45644</v>
      </c>
      <c r="B4353" t="s" s="11">
        <v>107</v>
      </c>
      <c r="C4353" t="s" s="12">
        <v>96</v>
      </c>
      <c r="D4353" s="17"/>
      <c r="E4353" s="17">
        <v>13601</v>
      </c>
      <c r="F4353" s="18"/>
      <c r="G4353" s="18"/>
      <c r="H4353" s="18"/>
      <c r="I4353" s="18"/>
    </row>
    <row r="4354" ht="20.35" customHeight="1">
      <c r="A4354" s="10">
        <v>45644</v>
      </c>
      <c r="B4354" t="s" s="11">
        <v>5</v>
      </c>
      <c r="C4354" t="s" s="12">
        <v>96</v>
      </c>
      <c r="D4354" s="13">
        <v>13601</v>
      </c>
      <c r="E4354" s="13"/>
      <c r="F4354" s="14"/>
      <c r="G4354" s="14"/>
      <c r="H4354" s="14"/>
      <c r="I4354" s="14"/>
    </row>
    <row r="4355" ht="20.7" customHeight="1">
      <c r="A4355" s="10">
        <v>45644</v>
      </c>
      <c r="B4355" t="s" s="11">
        <v>8</v>
      </c>
      <c r="C4355" t="s" s="12">
        <v>8</v>
      </c>
      <c r="D4355" s="15" cm="1">
        <f t="array" ref="D4355">SUM(D4353:D4354)</f>
        <v>13601</v>
      </c>
      <c r="E4355" s="15" cm="1">
        <f t="array" ref="E4355">SUM(E4353:E4354)</f>
        <v>13601</v>
      </c>
      <c r="F4355" s="16" cm="1">
        <f t="array" ref="F4355">SUM(F4353:F4354)</f>
        <v>0</v>
      </c>
      <c r="G4355" s="16" cm="1">
        <f t="array" ref="G4355">SUM(G4353:G4354)</f>
        <v>0</v>
      </c>
      <c r="H4355" s="16" cm="1">
        <f t="array" ref="H4355">SUM(H4353:H4354)</f>
        <v>0</v>
      </c>
      <c r="I4355" s="16" cm="1">
        <f t="array" ref="I4355">SUM(I4353:I4354)</f>
        <v>0</v>
      </c>
    </row>
    <row r="4356" ht="21.25" customHeight="1">
      <c r="A4356" s="10">
        <v>45644</v>
      </c>
      <c r="B4356" t="s" s="11">
        <v>12</v>
      </c>
      <c r="C4356" t="s" s="12">
        <v>728</v>
      </c>
      <c r="D4356" s="17">
        <v>25500</v>
      </c>
      <c r="E4356" s="17"/>
      <c r="F4356" s="18"/>
      <c r="G4356" s="18"/>
      <c r="H4356" s="18"/>
      <c r="I4356" s="18"/>
    </row>
    <row r="4357" ht="20.9" customHeight="1">
      <c r="A4357" s="10">
        <v>45644</v>
      </c>
      <c r="B4357" t="s" s="11">
        <v>10</v>
      </c>
      <c r="C4357" t="s" s="12">
        <v>728</v>
      </c>
      <c r="D4357" s="19">
        <v>25500</v>
      </c>
      <c r="E4357" s="19"/>
      <c r="F4357" s="20"/>
      <c r="G4357" s="20"/>
      <c r="H4357" s="20"/>
      <c r="I4357" s="20"/>
    </row>
    <row r="4358" ht="21.25" customHeight="1">
      <c r="A4358" s="10">
        <v>45644</v>
      </c>
      <c r="B4358" t="s" s="11">
        <v>5</v>
      </c>
      <c r="C4358" t="s" s="12">
        <v>728</v>
      </c>
      <c r="D4358" s="13"/>
      <c r="E4358" s="13">
        <v>51000</v>
      </c>
      <c r="F4358" s="14"/>
      <c r="G4358" s="14"/>
      <c r="H4358" s="14"/>
      <c r="I4358" s="14"/>
    </row>
    <row r="4359" ht="20.7" customHeight="1">
      <c r="A4359" s="10">
        <v>45644</v>
      </c>
      <c r="B4359" t="s" s="11">
        <v>8</v>
      </c>
      <c r="C4359" t="s" s="12">
        <v>8</v>
      </c>
      <c r="D4359" s="15" cm="1">
        <f t="array" ref="D4359">SUM(D4356:D4358)</f>
        <v>51000</v>
      </c>
      <c r="E4359" s="15" cm="1">
        <f t="array" ref="E4359">SUM(E4356:E4358)</f>
        <v>51000</v>
      </c>
      <c r="F4359" s="16" cm="1">
        <f t="array" ref="F4359">SUM(F4356:F4358)</f>
        <v>0</v>
      </c>
      <c r="G4359" s="16" cm="1">
        <f t="array" ref="G4359">SUM(G4356:G4358)</f>
        <v>0</v>
      </c>
      <c r="H4359" s="16" cm="1">
        <f t="array" ref="H4359">SUM(H4356:H4358)</f>
        <v>0</v>
      </c>
      <c r="I4359" s="16" cm="1">
        <f t="array" ref="I4359">SUM(I4356:I4358)</f>
        <v>0</v>
      </c>
    </row>
    <row r="4360" ht="20.35" customHeight="1">
      <c r="A4360" s="10">
        <v>45644</v>
      </c>
      <c r="B4360" t="s" s="11">
        <v>5</v>
      </c>
      <c r="C4360" t="s" s="12">
        <v>17</v>
      </c>
      <c r="D4360" s="17">
        <v>100</v>
      </c>
      <c r="E4360" s="17"/>
      <c r="F4360" s="18"/>
      <c r="G4360" s="18"/>
      <c r="H4360" s="18"/>
      <c r="I4360" s="18"/>
    </row>
    <row r="4361" ht="20.35" customHeight="1">
      <c r="A4361" s="10">
        <v>45644</v>
      </c>
      <c r="B4361" t="s" s="11">
        <v>18</v>
      </c>
      <c r="C4361" t="s" s="12">
        <v>17</v>
      </c>
      <c r="D4361" s="13"/>
      <c r="E4361" s="13">
        <v>100</v>
      </c>
      <c r="F4361" s="14"/>
      <c r="G4361" s="14"/>
      <c r="H4361" s="14"/>
      <c r="I4361" s="14"/>
    </row>
    <row r="4362" ht="20.7" customHeight="1">
      <c r="A4362" s="10">
        <v>45644</v>
      </c>
      <c r="B4362" t="s" s="11">
        <v>8</v>
      </c>
      <c r="C4362" t="s" s="12">
        <v>8</v>
      </c>
      <c r="D4362" s="15" cm="1">
        <f t="array" ref="D4362">SUM(D4360:D4361)</f>
        <v>100</v>
      </c>
      <c r="E4362" s="15" cm="1">
        <f t="array" ref="E4362">SUM(E4360:E4361)</f>
        <v>100</v>
      </c>
      <c r="F4362" s="16" cm="1">
        <f t="array" ref="F4362">SUM(F4360:F4361)</f>
        <v>0</v>
      </c>
      <c r="G4362" s="16" cm="1">
        <f t="array" ref="G4362">SUM(G4360:G4361)</f>
        <v>0</v>
      </c>
      <c r="H4362" s="16" cm="1">
        <f t="array" ref="H4362">SUM(H4360:H4361)</f>
        <v>0</v>
      </c>
      <c r="I4362" s="16" cm="1">
        <f t="array" ref="I4362">SUM(I4360:I4361)</f>
        <v>0</v>
      </c>
    </row>
    <row r="4363" ht="20.35" customHeight="1">
      <c r="A4363" s="10">
        <v>45644</v>
      </c>
      <c r="B4363" t="s" s="11">
        <v>12</v>
      </c>
      <c r="C4363" t="s" s="12">
        <v>169</v>
      </c>
      <c r="D4363" s="17">
        <v>9900</v>
      </c>
      <c r="E4363" s="17"/>
      <c r="F4363" s="18"/>
      <c r="G4363" s="18"/>
      <c r="H4363" s="18"/>
      <c r="I4363" s="18"/>
    </row>
    <row r="4364" ht="20.35" customHeight="1">
      <c r="A4364" s="10">
        <v>45644</v>
      </c>
      <c r="B4364" t="s" s="11">
        <v>5</v>
      </c>
      <c r="C4364" t="s" s="12">
        <v>169</v>
      </c>
      <c r="D4364" s="13"/>
      <c r="E4364" s="13">
        <v>9900</v>
      </c>
      <c r="F4364" s="14"/>
      <c r="G4364" s="14"/>
      <c r="H4364" s="14"/>
      <c r="I4364" s="14"/>
    </row>
    <row r="4365" ht="20.7" customHeight="1">
      <c r="A4365" s="10">
        <v>45644</v>
      </c>
      <c r="B4365" t="s" s="11">
        <v>8</v>
      </c>
      <c r="C4365" t="s" s="12">
        <v>8</v>
      </c>
      <c r="D4365" s="15" cm="1">
        <f t="array" ref="D4365">SUM(D4363:D4364)</f>
        <v>9900</v>
      </c>
      <c r="E4365" s="15" cm="1">
        <f t="array" ref="E4365">SUM(E4363:E4364)</f>
        <v>9900</v>
      </c>
      <c r="F4365" s="16" cm="1">
        <f t="array" ref="F4365">SUM(F4363:F4364)</f>
        <v>0</v>
      </c>
      <c r="G4365" s="16" cm="1">
        <f t="array" ref="G4365">SUM(G4363:G4364)</f>
        <v>0</v>
      </c>
      <c r="H4365" s="16" cm="1">
        <f t="array" ref="H4365">SUM(H4363:H4364)</f>
        <v>0</v>
      </c>
      <c r="I4365" s="16" cm="1">
        <f t="array" ref="I4365">SUM(I4363:I4364)</f>
        <v>0</v>
      </c>
    </row>
    <row r="4366" ht="21.25" customHeight="1">
      <c r="A4366" s="10">
        <v>45644</v>
      </c>
      <c r="B4366" t="s" s="11">
        <v>21</v>
      </c>
      <c r="C4366" t="s" s="12">
        <v>729</v>
      </c>
      <c r="D4366" s="17"/>
      <c r="E4366" s="17">
        <v>3700</v>
      </c>
      <c r="F4366" s="18"/>
      <c r="G4366" s="18"/>
      <c r="H4366" s="18"/>
      <c r="I4366" s="18"/>
    </row>
    <row r="4367" ht="21.25" customHeight="1">
      <c r="A4367" s="10">
        <v>45644</v>
      </c>
      <c r="B4367" t="s" s="11">
        <v>16</v>
      </c>
      <c r="C4367" t="s" s="12">
        <v>729</v>
      </c>
      <c r="D4367" s="13">
        <v>3700</v>
      </c>
      <c r="E4367" s="13"/>
      <c r="F4367" s="14"/>
      <c r="G4367" s="14"/>
      <c r="H4367" s="14"/>
      <c r="I4367" s="14"/>
    </row>
    <row r="4368" ht="20.7" customHeight="1">
      <c r="A4368" s="10">
        <v>45644</v>
      </c>
      <c r="B4368" t="s" s="11">
        <v>8</v>
      </c>
      <c r="C4368" t="s" s="12">
        <v>8</v>
      </c>
      <c r="D4368" s="15" cm="1">
        <f t="array" ref="D4368">SUM(D4366:D4367)</f>
        <v>3700</v>
      </c>
      <c r="E4368" s="15" cm="1">
        <f t="array" ref="E4368">SUM(E4366:E4367)</f>
        <v>3700</v>
      </c>
      <c r="F4368" s="16" cm="1">
        <f t="array" ref="F4368">SUM(F4366:F4367)</f>
        <v>0</v>
      </c>
      <c r="G4368" s="16" cm="1">
        <f t="array" ref="G4368">SUM(G4366:G4367)</f>
        <v>0</v>
      </c>
      <c r="H4368" s="16" cm="1">
        <f t="array" ref="H4368">SUM(H4366:H4367)</f>
        <v>0</v>
      </c>
      <c r="I4368" s="16" cm="1">
        <f t="array" ref="I4368">SUM(I4366:I4367)</f>
        <v>0</v>
      </c>
    </row>
    <row r="4369" ht="20.35" customHeight="1">
      <c r="A4369" s="10">
        <v>45645</v>
      </c>
      <c r="B4369" t="s" s="11">
        <v>21</v>
      </c>
      <c r="C4369" t="s" s="12">
        <v>36</v>
      </c>
      <c r="D4369" s="17"/>
      <c r="E4369" s="17">
        <v>50000</v>
      </c>
      <c r="F4369" s="18"/>
      <c r="G4369" s="18"/>
      <c r="H4369" s="18"/>
      <c r="I4369" s="18"/>
    </row>
    <row r="4370" ht="20.35" customHeight="1">
      <c r="A4370" s="10">
        <v>45645</v>
      </c>
      <c r="B4370" t="s" s="11">
        <v>107</v>
      </c>
      <c r="C4370" t="s" s="12">
        <v>36</v>
      </c>
      <c r="D4370" s="13">
        <v>50000</v>
      </c>
      <c r="E4370" s="13"/>
      <c r="F4370" s="14"/>
      <c r="G4370" s="14"/>
      <c r="H4370" s="14"/>
      <c r="I4370" s="14"/>
    </row>
    <row r="4371" ht="20.7" customHeight="1">
      <c r="A4371" s="10">
        <v>45645</v>
      </c>
      <c r="B4371" t="s" s="11">
        <v>8</v>
      </c>
      <c r="C4371" t="s" s="12">
        <v>8</v>
      </c>
      <c r="D4371" s="15" cm="1">
        <f t="array" ref="D4371">SUM(D4369:D4370)</f>
        <v>50000</v>
      </c>
      <c r="E4371" s="15" cm="1">
        <f t="array" ref="E4371">SUM(E4369:E4370)</f>
        <v>50000</v>
      </c>
      <c r="F4371" s="16" cm="1">
        <f t="array" ref="F4371">SUM(F4369:F4370)</f>
        <v>0</v>
      </c>
      <c r="G4371" s="16" cm="1">
        <f t="array" ref="G4371">SUM(G4369:G4370)</f>
        <v>0</v>
      </c>
      <c r="H4371" s="16" cm="1">
        <f t="array" ref="H4371">SUM(H4369:H4370)</f>
        <v>0</v>
      </c>
      <c r="I4371" s="16" cm="1">
        <f t="array" ref="I4371">SUM(I4369:I4370)</f>
        <v>0</v>
      </c>
    </row>
    <row r="4372" ht="20.35" customHeight="1">
      <c r="A4372" s="10">
        <v>45645</v>
      </c>
      <c r="B4372" t="s" s="11">
        <v>107</v>
      </c>
      <c r="C4372" t="s" s="12">
        <v>96</v>
      </c>
      <c r="D4372" s="17"/>
      <c r="E4372" s="17">
        <v>5000</v>
      </c>
      <c r="F4372" s="18"/>
      <c r="G4372" s="18"/>
      <c r="H4372" s="18"/>
      <c r="I4372" s="18"/>
    </row>
    <row r="4373" ht="20.35" customHeight="1">
      <c r="A4373" s="10">
        <v>45645</v>
      </c>
      <c r="B4373" t="s" s="11">
        <v>5</v>
      </c>
      <c r="C4373" t="s" s="12">
        <v>96</v>
      </c>
      <c r="D4373" s="13">
        <v>5000</v>
      </c>
      <c r="E4373" s="13"/>
      <c r="F4373" s="14"/>
      <c r="G4373" s="14"/>
      <c r="H4373" s="14"/>
      <c r="I4373" s="14"/>
    </row>
    <row r="4374" ht="20.7" customHeight="1">
      <c r="A4374" s="10">
        <v>45645</v>
      </c>
      <c r="B4374" t="s" s="11">
        <v>8</v>
      </c>
      <c r="C4374" t="s" s="12">
        <v>8</v>
      </c>
      <c r="D4374" s="15" cm="1">
        <f t="array" ref="D4374">SUM(D4372:D4373)</f>
        <v>5000</v>
      </c>
      <c r="E4374" s="15" cm="1">
        <f t="array" ref="E4374">SUM(E4372:E4373)</f>
        <v>5000</v>
      </c>
      <c r="F4374" s="16" cm="1">
        <f t="array" ref="F4374">SUM(F4372:F4373)</f>
        <v>0</v>
      </c>
      <c r="G4374" s="16" cm="1">
        <f t="array" ref="G4374">SUM(G4372:G4373)</f>
        <v>0</v>
      </c>
      <c r="H4374" s="16" cm="1">
        <f t="array" ref="H4374">SUM(H4372:H4373)</f>
        <v>0</v>
      </c>
      <c r="I4374" s="16" cm="1">
        <f t="array" ref="I4374">SUM(I4372:I4373)</f>
        <v>0</v>
      </c>
    </row>
    <row r="4375" ht="21.25" customHeight="1">
      <c r="A4375" s="10">
        <v>45645</v>
      </c>
      <c r="B4375" t="s" s="11">
        <v>10</v>
      </c>
      <c r="C4375" t="s" s="12">
        <v>726</v>
      </c>
      <c r="D4375" s="17">
        <v>5000</v>
      </c>
      <c r="E4375" s="17"/>
      <c r="F4375" s="18"/>
      <c r="G4375" s="18"/>
      <c r="H4375" s="18"/>
      <c r="I4375" s="18"/>
    </row>
    <row r="4376" ht="21.25" customHeight="1">
      <c r="A4376" s="10">
        <v>45645</v>
      </c>
      <c r="B4376" t="s" s="11">
        <v>5</v>
      </c>
      <c r="C4376" t="s" s="12">
        <v>726</v>
      </c>
      <c r="D4376" s="13"/>
      <c r="E4376" s="13">
        <v>5000</v>
      </c>
      <c r="F4376" s="14"/>
      <c r="G4376" s="14"/>
      <c r="H4376" s="14"/>
      <c r="I4376" s="14"/>
    </row>
    <row r="4377" ht="20.7" customHeight="1">
      <c r="A4377" s="10">
        <v>45645</v>
      </c>
      <c r="B4377" t="s" s="11">
        <v>8</v>
      </c>
      <c r="C4377" t="s" s="12">
        <v>8</v>
      </c>
      <c r="D4377" s="15" cm="1">
        <f t="array" ref="D4377">SUM(D4375:D4376)</f>
        <v>5000</v>
      </c>
      <c r="E4377" s="15" cm="1">
        <f t="array" ref="E4377">SUM(E4375:E4376)</f>
        <v>5000</v>
      </c>
      <c r="F4377" s="16" cm="1">
        <f t="array" ref="F4377">SUM(F4375:F4376)</f>
        <v>0</v>
      </c>
      <c r="G4377" s="16" cm="1">
        <f t="array" ref="G4377">SUM(G4375:G4376)</f>
        <v>0</v>
      </c>
      <c r="H4377" s="16" cm="1">
        <f t="array" ref="H4377">SUM(H4375:H4376)</f>
        <v>0</v>
      </c>
      <c r="I4377" s="16" cm="1">
        <f t="array" ref="I4377">SUM(I4375:I4376)</f>
        <v>0</v>
      </c>
    </row>
    <row r="4378" ht="20.35" customHeight="1">
      <c r="A4378" s="10">
        <v>45645</v>
      </c>
      <c r="B4378" t="s" s="11">
        <v>12</v>
      </c>
      <c r="C4378" t="s" s="12">
        <v>53</v>
      </c>
      <c r="D4378" s="17">
        <v>5197</v>
      </c>
      <c r="E4378" s="17"/>
      <c r="F4378" s="18"/>
      <c r="G4378" s="18"/>
      <c r="H4378" s="18"/>
      <c r="I4378" s="18"/>
    </row>
    <row r="4379" ht="20.35" customHeight="1">
      <c r="A4379" s="10">
        <v>45645</v>
      </c>
      <c r="B4379" t="s" s="11">
        <v>93</v>
      </c>
      <c r="C4379" t="s" s="12">
        <v>53</v>
      </c>
      <c r="D4379" s="13"/>
      <c r="E4379" s="13">
        <v>5197</v>
      </c>
      <c r="F4379" s="14"/>
      <c r="G4379" s="14"/>
      <c r="H4379" s="14"/>
      <c r="I4379" s="14"/>
    </row>
    <row r="4380" ht="20.7" customHeight="1">
      <c r="A4380" s="10">
        <v>45645</v>
      </c>
      <c r="B4380" t="s" s="11">
        <v>8</v>
      </c>
      <c r="C4380" t="s" s="12">
        <v>8</v>
      </c>
      <c r="D4380" s="15" cm="1">
        <f t="array" ref="D4380">SUM(D4378:D4379)</f>
        <v>5197</v>
      </c>
      <c r="E4380" s="15" cm="1">
        <f t="array" ref="E4380">SUM(E4378:E4379)</f>
        <v>5197</v>
      </c>
      <c r="F4380" s="16" cm="1">
        <f t="array" ref="F4380">SUM(F4378:F4379)</f>
        <v>0</v>
      </c>
      <c r="G4380" s="16" cm="1">
        <f t="array" ref="G4380">SUM(G4378:G4379)</f>
        <v>0</v>
      </c>
      <c r="H4380" s="16" cm="1">
        <f t="array" ref="H4380">SUM(H4378:H4379)</f>
        <v>0</v>
      </c>
      <c r="I4380" s="16" cm="1">
        <f t="array" ref="I4380">SUM(I4378:I4379)</f>
        <v>0</v>
      </c>
    </row>
    <row r="4381" ht="20.35" customHeight="1">
      <c r="A4381" s="10">
        <v>45645</v>
      </c>
      <c r="B4381" t="s" s="11">
        <v>5</v>
      </c>
      <c r="C4381" t="s" s="12">
        <v>604</v>
      </c>
      <c r="D4381" s="17"/>
      <c r="E4381" s="17">
        <v>10000</v>
      </c>
      <c r="F4381" s="18"/>
      <c r="G4381" s="18"/>
      <c r="H4381" s="18"/>
      <c r="I4381" s="18"/>
    </row>
    <row r="4382" ht="20.35" customHeight="1">
      <c r="A4382" s="10">
        <v>45645</v>
      </c>
      <c r="B4382" t="s" s="11">
        <v>93</v>
      </c>
      <c r="C4382" t="s" s="12">
        <v>604</v>
      </c>
      <c r="D4382" s="13">
        <v>10000</v>
      </c>
      <c r="E4382" s="13"/>
      <c r="F4382" s="14"/>
      <c r="G4382" s="14"/>
      <c r="H4382" s="14"/>
      <c r="I4382" s="14"/>
    </row>
    <row r="4383" ht="20.7" customHeight="1">
      <c r="A4383" s="10">
        <v>45645</v>
      </c>
      <c r="B4383" t="s" s="11">
        <v>8</v>
      </c>
      <c r="C4383" t="s" s="12">
        <v>8</v>
      </c>
      <c r="D4383" s="15" cm="1">
        <f t="array" ref="D4383">SUM(D4381:D4382)</f>
        <v>10000</v>
      </c>
      <c r="E4383" s="15" cm="1">
        <f t="array" ref="E4383">SUM(E4381:E4382)</f>
        <v>10000</v>
      </c>
      <c r="F4383" s="16" cm="1">
        <f t="array" ref="F4383">SUM(F4381:F4382)</f>
        <v>0</v>
      </c>
      <c r="G4383" s="16" cm="1">
        <f t="array" ref="G4383">SUM(G4381:G4382)</f>
        <v>0</v>
      </c>
      <c r="H4383" s="16" cm="1">
        <f t="array" ref="H4383">SUM(H4381:H4382)</f>
        <v>0</v>
      </c>
      <c r="I4383" s="16" cm="1">
        <f t="array" ref="I4383">SUM(I4381:I4382)</f>
        <v>0</v>
      </c>
    </row>
    <row r="4384" ht="20.35" customHeight="1">
      <c r="A4384" s="10">
        <v>45645</v>
      </c>
      <c r="B4384" t="s" s="11">
        <v>39</v>
      </c>
      <c r="C4384" t="s" s="12">
        <v>730</v>
      </c>
      <c r="D4384" s="17"/>
      <c r="E4384" s="17"/>
      <c r="F4384" s="18"/>
      <c r="G4384" s="18">
        <v>800</v>
      </c>
      <c r="H4384" s="18"/>
      <c r="I4384" s="18"/>
    </row>
    <row r="4385" ht="20.05" customHeight="1">
      <c r="A4385" s="10">
        <v>45645</v>
      </c>
      <c r="B4385" t="s" s="11">
        <v>44</v>
      </c>
      <c r="C4385" t="s" s="12">
        <v>730</v>
      </c>
      <c r="D4385" s="19"/>
      <c r="E4385" s="19"/>
      <c r="F4385" s="20">
        <v>14.03</v>
      </c>
      <c r="G4385" s="20"/>
      <c r="H4385" s="20"/>
      <c r="I4385" s="20"/>
    </row>
    <row r="4386" ht="20.05" customHeight="1">
      <c r="A4386" s="10">
        <v>45645</v>
      </c>
      <c r="B4386" t="s" s="11">
        <v>43</v>
      </c>
      <c r="C4386" t="s" s="12">
        <v>730</v>
      </c>
      <c r="D4386" s="19"/>
      <c r="E4386" s="19"/>
      <c r="F4386" s="20">
        <v>785.97</v>
      </c>
      <c r="G4386" s="20"/>
      <c r="H4386" s="20"/>
      <c r="I4386" s="20"/>
    </row>
    <row r="4387" ht="20.05" customHeight="1">
      <c r="A4387" s="10">
        <v>45645</v>
      </c>
      <c r="B4387" t="s" s="11">
        <v>5</v>
      </c>
      <c r="C4387" t="s" s="12">
        <v>730</v>
      </c>
      <c r="D4387" s="19">
        <v>253058</v>
      </c>
      <c r="E4387" s="19"/>
      <c r="F4387" s="20"/>
      <c r="G4387" s="20"/>
      <c r="H4387" s="20"/>
      <c r="I4387" s="20"/>
    </row>
    <row r="4388" ht="20.35" customHeight="1">
      <c r="A4388" s="10">
        <v>45645</v>
      </c>
      <c r="B4388" t="s" s="11">
        <v>46</v>
      </c>
      <c r="C4388" t="s" s="12">
        <v>730</v>
      </c>
      <c r="D4388" s="13"/>
      <c r="E4388" s="13">
        <v>253058</v>
      </c>
      <c r="F4388" s="14"/>
      <c r="G4388" s="14"/>
      <c r="H4388" s="14"/>
      <c r="I4388" s="14"/>
    </row>
    <row r="4389" ht="20.7" customHeight="1">
      <c r="A4389" s="10">
        <v>45645</v>
      </c>
      <c r="B4389" t="s" s="11">
        <v>8</v>
      </c>
      <c r="C4389" t="s" s="12">
        <v>8</v>
      </c>
      <c r="D4389" s="15" cm="1">
        <f t="array" ref="D4389">SUM(D4384:D4388)</f>
        <v>253058</v>
      </c>
      <c r="E4389" s="15" cm="1">
        <f t="array" ref="E4389">SUM(E4384:E4388)</f>
        <v>253058</v>
      </c>
      <c r="F4389" s="16" cm="1">
        <f t="array" ref="F4389">SUM(F4384:F4388)</f>
        <v>800</v>
      </c>
      <c r="G4389" s="16" cm="1">
        <f t="array" ref="G4389">SUM(G4384:G4388)</f>
        <v>800</v>
      </c>
      <c r="H4389" s="16" cm="1">
        <f t="array" ref="H4389">SUM(H4384:H4388)</f>
        <v>0</v>
      </c>
      <c r="I4389" s="16" cm="1">
        <f t="array" ref="I4389">SUM(I4384:I4388)</f>
        <v>0</v>
      </c>
    </row>
    <row r="4390" ht="20.35" customHeight="1">
      <c r="A4390" s="10">
        <v>45645</v>
      </c>
      <c r="B4390" t="s" s="11">
        <v>39</v>
      </c>
      <c r="C4390" t="s" s="12">
        <v>40</v>
      </c>
      <c r="D4390" s="17"/>
      <c r="E4390" s="17"/>
      <c r="F4390" s="18">
        <v>800</v>
      </c>
      <c r="G4390" s="18"/>
      <c r="H4390" s="18"/>
      <c r="I4390" s="18"/>
    </row>
    <row r="4391" ht="20.35" customHeight="1">
      <c r="A4391" s="10">
        <v>45645</v>
      </c>
      <c r="B4391" t="s" s="11">
        <v>41</v>
      </c>
      <c r="C4391" t="s" s="12">
        <v>40</v>
      </c>
      <c r="D4391" s="13"/>
      <c r="E4391" s="13"/>
      <c r="F4391" s="14"/>
      <c r="G4391" s="14">
        <v>800</v>
      </c>
      <c r="H4391" s="14"/>
      <c r="I4391" s="14"/>
    </row>
    <row r="4392" ht="20.7" customHeight="1">
      <c r="A4392" s="10">
        <v>45645</v>
      </c>
      <c r="B4392" t="s" s="11">
        <v>8</v>
      </c>
      <c r="C4392" t="s" s="12">
        <v>8</v>
      </c>
      <c r="D4392" s="15" cm="1">
        <f t="array" ref="D4392">SUM(D4390:D4391)</f>
        <v>0</v>
      </c>
      <c r="E4392" s="15" cm="1">
        <f t="array" ref="E4392">SUM(E4390:E4391)</f>
        <v>0</v>
      </c>
      <c r="F4392" s="16" cm="1">
        <f t="array" ref="F4392">SUM(F4390:F4391)</f>
        <v>800</v>
      </c>
      <c r="G4392" s="16" cm="1">
        <f t="array" ref="G4392">SUM(G4390:G4391)</f>
        <v>800</v>
      </c>
      <c r="H4392" s="16" cm="1">
        <f t="array" ref="H4392">SUM(H4390:H4391)</f>
        <v>0</v>
      </c>
      <c r="I4392" s="16" cm="1">
        <f t="array" ref="I4392">SUM(I4390:I4391)</f>
        <v>0</v>
      </c>
    </row>
    <row r="4393" ht="21.25" customHeight="1">
      <c r="A4393" s="10">
        <v>45645</v>
      </c>
      <c r="B4393" t="s" s="11">
        <v>21</v>
      </c>
      <c r="C4393" t="s" s="12">
        <v>706</v>
      </c>
      <c r="D4393" s="17"/>
      <c r="E4393" s="17">
        <v>2800</v>
      </c>
      <c r="F4393" s="18"/>
      <c r="G4393" s="18"/>
      <c r="H4393" s="18"/>
      <c r="I4393" s="18"/>
    </row>
    <row r="4394" ht="21.25" customHeight="1">
      <c r="A4394" s="10">
        <v>45645</v>
      </c>
      <c r="B4394" t="s" s="11">
        <v>16</v>
      </c>
      <c r="C4394" t="s" s="12">
        <v>706</v>
      </c>
      <c r="D4394" s="13">
        <v>2800</v>
      </c>
      <c r="E4394" s="13"/>
      <c r="F4394" s="14"/>
      <c r="G4394" s="14"/>
      <c r="H4394" s="14"/>
      <c r="I4394" s="14"/>
    </row>
    <row r="4395" ht="20.7" customHeight="1">
      <c r="A4395" s="10">
        <v>45645</v>
      </c>
      <c r="B4395" t="s" s="11">
        <v>8</v>
      </c>
      <c r="C4395" t="s" s="12">
        <v>8</v>
      </c>
      <c r="D4395" s="15" cm="1">
        <f t="array" ref="D4395">SUM(D4393:D4394)</f>
        <v>2800</v>
      </c>
      <c r="E4395" s="15" cm="1">
        <f t="array" ref="E4395">SUM(E4393:E4394)</f>
        <v>2800</v>
      </c>
      <c r="F4395" s="16" cm="1">
        <f t="array" ref="F4395">SUM(F4393:F4394)</f>
        <v>0</v>
      </c>
      <c r="G4395" s="16" cm="1">
        <f t="array" ref="G4395">SUM(G4393:G4394)</f>
        <v>0</v>
      </c>
      <c r="H4395" s="16" cm="1">
        <f t="array" ref="H4395">SUM(H4393:H4394)</f>
        <v>0</v>
      </c>
      <c r="I4395" s="16" cm="1">
        <f t="array" ref="I4395">SUM(I4393:I4394)</f>
        <v>0</v>
      </c>
    </row>
    <row r="4396" ht="21.25" customHeight="1">
      <c r="A4396" s="10">
        <v>45646</v>
      </c>
      <c r="B4396" t="s" s="11">
        <v>10</v>
      </c>
      <c r="C4396" t="s" s="12">
        <v>731</v>
      </c>
      <c r="D4396" s="17">
        <v>180</v>
      </c>
      <c r="E4396" s="17"/>
      <c r="F4396" s="18"/>
      <c r="G4396" s="18"/>
      <c r="H4396" s="18"/>
      <c r="I4396" s="18"/>
    </row>
    <row r="4397" ht="21.25" customHeight="1">
      <c r="A4397" s="10">
        <v>45646</v>
      </c>
      <c r="B4397" t="s" s="11">
        <v>5</v>
      </c>
      <c r="C4397" t="s" s="12">
        <v>731</v>
      </c>
      <c r="D4397" s="13"/>
      <c r="E4397" s="13">
        <v>180</v>
      </c>
      <c r="F4397" s="14"/>
      <c r="G4397" s="14"/>
      <c r="H4397" s="14"/>
      <c r="I4397" s="14"/>
    </row>
    <row r="4398" ht="20.7" customHeight="1">
      <c r="A4398" s="10">
        <v>45646</v>
      </c>
      <c r="B4398" t="s" s="11">
        <v>8</v>
      </c>
      <c r="C4398" t="s" s="12">
        <v>8</v>
      </c>
      <c r="D4398" s="15" cm="1">
        <f t="array" ref="D4398">SUM(D4396:D4397)</f>
        <v>180</v>
      </c>
      <c r="E4398" s="15" cm="1">
        <f t="array" ref="E4398">SUM(E4396:E4397)</f>
        <v>180</v>
      </c>
      <c r="F4398" s="16" cm="1">
        <f t="array" ref="F4398">SUM(F4396:F4397)</f>
        <v>0</v>
      </c>
      <c r="G4398" s="16" cm="1">
        <f t="array" ref="G4398">SUM(G4396:G4397)</f>
        <v>0</v>
      </c>
      <c r="H4398" s="16" cm="1">
        <f t="array" ref="H4398">SUM(H4396:H4397)</f>
        <v>0</v>
      </c>
      <c r="I4398" s="16" cm="1">
        <f t="array" ref="I4398">SUM(I4396:I4397)</f>
        <v>0</v>
      </c>
    </row>
    <row r="4399" ht="20.35" customHeight="1">
      <c r="A4399" s="10">
        <v>45646</v>
      </c>
      <c r="B4399" t="s" s="11">
        <v>12</v>
      </c>
      <c r="C4399" t="s" s="12">
        <v>53</v>
      </c>
      <c r="D4399" s="17">
        <v>4000</v>
      </c>
      <c r="E4399" s="17"/>
      <c r="F4399" s="18"/>
      <c r="G4399" s="18"/>
      <c r="H4399" s="18"/>
      <c r="I4399" s="18"/>
    </row>
    <row r="4400" ht="20.35" customHeight="1">
      <c r="A4400" s="10">
        <v>45646</v>
      </c>
      <c r="B4400" t="s" s="11">
        <v>5</v>
      </c>
      <c r="C4400" t="s" s="12">
        <v>53</v>
      </c>
      <c r="D4400" s="13"/>
      <c r="E4400" s="13">
        <v>4000</v>
      </c>
      <c r="F4400" s="14"/>
      <c r="G4400" s="14"/>
      <c r="H4400" s="14"/>
      <c r="I4400" s="14"/>
    </row>
    <row r="4401" ht="20.7" customHeight="1">
      <c r="A4401" s="10">
        <v>45646</v>
      </c>
      <c r="B4401" t="s" s="11">
        <v>8</v>
      </c>
      <c r="C4401" t="s" s="12">
        <v>8</v>
      </c>
      <c r="D4401" s="15" cm="1">
        <f t="array" ref="D4401">SUM(D4399:D4400)</f>
        <v>4000</v>
      </c>
      <c r="E4401" s="15" cm="1">
        <f t="array" ref="E4401">SUM(E4399:E4400)</f>
        <v>4000</v>
      </c>
      <c r="F4401" s="16" cm="1">
        <f t="array" ref="F4401">SUM(F4399:F4400)</f>
        <v>0</v>
      </c>
      <c r="G4401" s="16" cm="1">
        <f t="array" ref="G4401">SUM(G4399:G4400)</f>
        <v>0</v>
      </c>
      <c r="H4401" s="16" cm="1">
        <f t="array" ref="H4401">SUM(H4399:H4400)</f>
        <v>0</v>
      </c>
      <c r="I4401" s="16" cm="1">
        <f t="array" ref="I4401">SUM(I4399:I4400)</f>
        <v>0</v>
      </c>
    </row>
    <row r="4402" ht="20.35" customHeight="1">
      <c r="A4402" s="10">
        <v>45646</v>
      </c>
      <c r="B4402" t="s" s="11">
        <v>5</v>
      </c>
      <c r="C4402" t="s" s="12">
        <v>17</v>
      </c>
      <c r="D4402" s="17">
        <v>100</v>
      </c>
      <c r="E4402" s="17"/>
      <c r="F4402" s="18"/>
      <c r="G4402" s="18"/>
      <c r="H4402" s="18"/>
      <c r="I4402" s="18"/>
    </row>
    <row r="4403" ht="20.35" customHeight="1">
      <c r="A4403" s="10">
        <v>45646</v>
      </c>
      <c r="B4403" t="s" s="11">
        <v>18</v>
      </c>
      <c r="C4403" t="s" s="12">
        <v>17</v>
      </c>
      <c r="D4403" s="13"/>
      <c r="E4403" s="13">
        <v>100</v>
      </c>
      <c r="F4403" s="14"/>
      <c r="G4403" s="14"/>
      <c r="H4403" s="14"/>
      <c r="I4403" s="14"/>
    </row>
    <row r="4404" ht="20.7" customHeight="1">
      <c r="A4404" s="10">
        <v>45646</v>
      </c>
      <c r="B4404" t="s" s="11">
        <v>8</v>
      </c>
      <c r="C4404" t="s" s="12">
        <v>8</v>
      </c>
      <c r="D4404" s="15" cm="1">
        <f t="array" ref="D4404">SUM(D4402:D4403)</f>
        <v>100</v>
      </c>
      <c r="E4404" s="15" cm="1">
        <f t="array" ref="E4404">SUM(E4402:E4403)</f>
        <v>100</v>
      </c>
      <c r="F4404" s="16" cm="1">
        <f t="array" ref="F4404">SUM(F4402:F4403)</f>
        <v>0</v>
      </c>
      <c r="G4404" s="16" cm="1">
        <f t="array" ref="G4404">SUM(G4402:G4403)</f>
        <v>0</v>
      </c>
      <c r="H4404" s="16" cm="1">
        <f t="array" ref="H4404">SUM(H4402:H4403)</f>
        <v>0</v>
      </c>
      <c r="I4404" s="16" cm="1">
        <f t="array" ref="I4404">SUM(I4402:I4403)</f>
        <v>0</v>
      </c>
    </row>
    <row r="4405" ht="20.35" customHeight="1">
      <c r="A4405" s="10">
        <v>45646</v>
      </c>
      <c r="B4405" t="s" s="11">
        <v>93</v>
      </c>
      <c r="C4405" t="s" s="12">
        <v>54</v>
      </c>
      <c r="D4405" s="17"/>
      <c r="E4405" s="17">
        <v>3300</v>
      </c>
      <c r="F4405" s="18"/>
      <c r="G4405" s="18"/>
      <c r="H4405" s="18"/>
      <c r="I4405" s="18"/>
    </row>
    <row r="4406" ht="20.35" customHeight="1">
      <c r="A4406" s="10">
        <v>45646</v>
      </c>
      <c r="B4406" t="s" s="11">
        <v>10</v>
      </c>
      <c r="C4406" t="s" s="12">
        <v>54</v>
      </c>
      <c r="D4406" s="13">
        <v>3300</v>
      </c>
      <c r="E4406" s="13"/>
      <c r="F4406" s="14"/>
      <c r="G4406" s="14"/>
      <c r="H4406" s="14"/>
      <c r="I4406" s="14"/>
    </row>
    <row r="4407" ht="20.7" customHeight="1">
      <c r="A4407" s="10">
        <v>45646</v>
      </c>
      <c r="B4407" t="s" s="11">
        <v>8</v>
      </c>
      <c r="C4407" t="s" s="12">
        <v>8</v>
      </c>
      <c r="D4407" s="15" cm="1">
        <f t="array" ref="D4407">SUM(D4405:D4406)</f>
        <v>3300</v>
      </c>
      <c r="E4407" s="15" cm="1">
        <f t="array" ref="E4407">SUM(E4405:E4406)</f>
        <v>3300</v>
      </c>
      <c r="F4407" s="16" cm="1">
        <f t="array" ref="F4407">SUM(F4405:F4406)</f>
        <v>0</v>
      </c>
      <c r="G4407" s="16" cm="1">
        <f t="array" ref="G4407">SUM(G4405:G4406)</f>
        <v>0</v>
      </c>
      <c r="H4407" s="16" cm="1">
        <f t="array" ref="H4407">SUM(H4405:H4406)</f>
        <v>0</v>
      </c>
      <c r="I4407" s="16" cm="1">
        <f t="array" ref="I4407">SUM(I4405:I4406)</f>
        <v>0</v>
      </c>
    </row>
    <row r="4408" ht="20.35" customHeight="1">
      <c r="A4408" s="10">
        <v>45646</v>
      </c>
      <c r="B4408" t="s" s="11">
        <v>5</v>
      </c>
      <c r="C4408" t="s" s="12">
        <v>17</v>
      </c>
      <c r="D4408" s="17">
        <v>100</v>
      </c>
      <c r="E4408" s="17"/>
      <c r="F4408" s="18"/>
      <c r="G4408" s="18"/>
      <c r="H4408" s="18"/>
      <c r="I4408" s="18"/>
    </row>
    <row r="4409" ht="20.35" customHeight="1">
      <c r="A4409" s="10">
        <v>45646</v>
      </c>
      <c r="B4409" t="s" s="11">
        <v>18</v>
      </c>
      <c r="C4409" t="s" s="12">
        <v>17</v>
      </c>
      <c r="D4409" s="13"/>
      <c r="E4409" s="13">
        <v>100</v>
      </c>
      <c r="F4409" s="14"/>
      <c r="G4409" s="14"/>
      <c r="H4409" s="14"/>
      <c r="I4409" s="14"/>
    </row>
    <row r="4410" ht="20.7" customHeight="1">
      <c r="A4410" s="10">
        <v>45646</v>
      </c>
      <c r="B4410" t="s" s="11">
        <v>8</v>
      </c>
      <c r="C4410" t="s" s="12">
        <v>8</v>
      </c>
      <c r="D4410" s="15" cm="1">
        <f t="array" ref="D4410">SUM(D4408:D4409)</f>
        <v>100</v>
      </c>
      <c r="E4410" s="15" cm="1">
        <f t="array" ref="E4410">SUM(E4408:E4409)</f>
        <v>100</v>
      </c>
      <c r="F4410" s="16" cm="1">
        <f t="array" ref="F4410">SUM(F4408:F4409)</f>
        <v>0</v>
      </c>
      <c r="G4410" s="16" cm="1">
        <f t="array" ref="G4410">SUM(G4408:G4409)</f>
        <v>0</v>
      </c>
      <c r="H4410" s="16" cm="1">
        <f t="array" ref="H4410">SUM(H4408:H4409)</f>
        <v>0</v>
      </c>
      <c r="I4410" s="16" cm="1">
        <f t="array" ref="I4410">SUM(I4408:I4409)</f>
        <v>0</v>
      </c>
    </row>
    <row r="4411" ht="21.25" customHeight="1">
      <c r="A4411" s="10">
        <v>45646</v>
      </c>
      <c r="B4411" t="s" s="11">
        <v>12</v>
      </c>
      <c r="C4411" t="s" s="12">
        <v>732</v>
      </c>
      <c r="D4411" s="17">
        <v>5500</v>
      </c>
      <c r="E4411" s="17"/>
      <c r="F4411" s="18"/>
      <c r="G4411" s="18"/>
      <c r="H4411" s="18"/>
      <c r="I4411" s="18"/>
    </row>
    <row r="4412" ht="21.25" customHeight="1">
      <c r="A4412" s="10">
        <v>45646</v>
      </c>
      <c r="B4412" t="s" s="11">
        <v>5</v>
      </c>
      <c r="C4412" t="s" s="12">
        <v>732</v>
      </c>
      <c r="D4412" s="13"/>
      <c r="E4412" s="13">
        <v>5500</v>
      </c>
      <c r="F4412" s="14"/>
      <c r="G4412" s="14"/>
      <c r="H4412" s="14"/>
      <c r="I4412" s="14"/>
    </row>
    <row r="4413" ht="20.7" customHeight="1">
      <c r="A4413" s="10">
        <v>45646</v>
      </c>
      <c r="B4413" t="s" s="11">
        <v>8</v>
      </c>
      <c r="C4413" t="s" s="12">
        <v>8</v>
      </c>
      <c r="D4413" s="15" cm="1">
        <f t="array" ref="D4413">SUM(D4411:D4412)</f>
        <v>5500</v>
      </c>
      <c r="E4413" s="15" cm="1">
        <f t="array" ref="E4413">SUM(E4411:E4412)</f>
        <v>5500</v>
      </c>
      <c r="F4413" s="16" cm="1">
        <f t="array" ref="F4413">SUM(F4411:F4412)</f>
        <v>0</v>
      </c>
      <c r="G4413" s="16" cm="1">
        <f t="array" ref="G4413">SUM(G4411:G4412)</f>
        <v>0</v>
      </c>
      <c r="H4413" s="16" cm="1">
        <f t="array" ref="H4413">SUM(H4411:H4412)</f>
        <v>0</v>
      </c>
      <c r="I4413" s="16" cm="1">
        <f t="array" ref="I4413">SUM(I4411:I4412)</f>
        <v>0</v>
      </c>
    </row>
    <row r="4414" ht="20.35" customHeight="1">
      <c r="A4414" s="10">
        <v>45646</v>
      </c>
      <c r="B4414" t="s" s="11">
        <v>5</v>
      </c>
      <c r="C4414" t="s" s="12">
        <v>17</v>
      </c>
      <c r="D4414" s="17">
        <v>100</v>
      </c>
      <c r="E4414" s="17"/>
      <c r="F4414" s="18"/>
      <c r="G4414" s="18"/>
      <c r="H4414" s="18"/>
      <c r="I4414" s="18"/>
    </row>
    <row r="4415" ht="20.35" customHeight="1">
      <c r="A4415" s="10">
        <v>45646</v>
      </c>
      <c r="B4415" t="s" s="11">
        <v>18</v>
      </c>
      <c r="C4415" t="s" s="12">
        <v>17</v>
      </c>
      <c r="D4415" s="13"/>
      <c r="E4415" s="13">
        <v>100</v>
      </c>
      <c r="F4415" s="14"/>
      <c r="G4415" s="14"/>
      <c r="H4415" s="14"/>
      <c r="I4415" s="14"/>
    </row>
    <row r="4416" ht="20.7" customHeight="1">
      <c r="A4416" s="10">
        <v>45646</v>
      </c>
      <c r="B4416" t="s" s="11">
        <v>8</v>
      </c>
      <c r="C4416" t="s" s="12">
        <v>8</v>
      </c>
      <c r="D4416" s="15" cm="1">
        <f t="array" ref="D4416">SUM(D4414:D4415)</f>
        <v>100</v>
      </c>
      <c r="E4416" s="15" cm="1">
        <f t="array" ref="E4416">SUM(E4414:E4415)</f>
        <v>100</v>
      </c>
      <c r="F4416" s="16" cm="1">
        <f t="array" ref="F4416">SUM(F4414:F4415)</f>
        <v>0</v>
      </c>
      <c r="G4416" s="16" cm="1">
        <f t="array" ref="G4416">SUM(G4414:G4415)</f>
        <v>0</v>
      </c>
      <c r="H4416" s="16" cm="1">
        <f t="array" ref="H4416">SUM(H4414:H4415)</f>
        <v>0</v>
      </c>
      <c r="I4416" s="16" cm="1">
        <f t="array" ref="I4416">SUM(I4414:I4415)</f>
        <v>0</v>
      </c>
    </row>
    <row r="4417" ht="21.25" customHeight="1">
      <c r="A4417" s="10">
        <v>45646</v>
      </c>
      <c r="B4417" t="s" s="11">
        <v>21</v>
      </c>
      <c r="C4417" t="s" s="12">
        <v>733</v>
      </c>
      <c r="D4417" s="17"/>
      <c r="E4417" s="17">
        <v>4500</v>
      </c>
      <c r="F4417" s="18"/>
      <c r="G4417" s="18"/>
      <c r="H4417" s="18"/>
      <c r="I4417" s="18"/>
    </row>
    <row r="4418" ht="21.25" customHeight="1">
      <c r="A4418" s="10">
        <v>45646</v>
      </c>
      <c r="B4418" t="s" s="11">
        <v>16</v>
      </c>
      <c r="C4418" t="s" s="12">
        <v>733</v>
      </c>
      <c r="D4418" s="13">
        <v>4500</v>
      </c>
      <c r="E4418" s="13"/>
      <c r="F4418" s="14"/>
      <c r="G4418" s="14"/>
      <c r="H4418" s="14"/>
      <c r="I4418" s="14"/>
    </row>
    <row r="4419" ht="20.7" customHeight="1">
      <c r="A4419" s="10">
        <v>45646</v>
      </c>
      <c r="B4419" t="s" s="11">
        <v>8</v>
      </c>
      <c r="C4419" t="s" s="12">
        <v>8</v>
      </c>
      <c r="D4419" s="15" cm="1">
        <f t="array" ref="D4419">SUM(D4417:D4418)</f>
        <v>4500</v>
      </c>
      <c r="E4419" s="15" cm="1">
        <f t="array" ref="E4419">SUM(E4417:E4418)</f>
        <v>4500</v>
      </c>
      <c r="F4419" s="16" cm="1">
        <f t="array" ref="F4419">SUM(F4417:F4418)</f>
        <v>0</v>
      </c>
      <c r="G4419" s="16" cm="1">
        <f t="array" ref="G4419">SUM(G4417:G4418)</f>
        <v>0</v>
      </c>
      <c r="H4419" s="16" cm="1">
        <f t="array" ref="H4419">SUM(H4417:H4418)</f>
        <v>0</v>
      </c>
      <c r="I4419" s="16" cm="1">
        <f t="array" ref="I4419">SUM(I4417:I4418)</f>
        <v>0</v>
      </c>
    </row>
    <row r="4420" ht="20.65" customHeight="1">
      <c r="A4420" s="10">
        <v>45647</v>
      </c>
      <c r="B4420" t="s" s="11">
        <v>107</v>
      </c>
      <c r="C4420" t="s" s="12">
        <v>734</v>
      </c>
      <c r="D4420" s="17">
        <v>47</v>
      </c>
      <c r="E4420" s="17"/>
      <c r="F4420" s="18"/>
      <c r="G4420" s="18"/>
      <c r="H4420" s="18"/>
      <c r="I4420" s="18"/>
    </row>
    <row r="4421" ht="20.65" customHeight="1">
      <c r="A4421" s="10">
        <v>45647</v>
      </c>
      <c r="B4421" t="s" s="11">
        <v>7</v>
      </c>
      <c r="C4421" t="s" s="12">
        <v>734</v>
      </c>
      <c r="D4421" s="13"/>
      <c r="E4421" s="13">
        <v>47</v>
      </c>
      <c r="F4421" s="14"/>
      <c r="G4421" s="14"/>
      <c r="H4421" s="14"/>
      <c r="I4421" s="14"/>
    </row>
    <row r="4422" ht="20.7" customHeight="1">
      <c r="A4422" s="10">
        <v>45647</v>
      </c>
      <c r="B4422" t="s" s="11">
        <v>8</v>
      </c>
      <c r="C4422" t="s" s="12">
        <v>8</v>
      </c>
      <c r="D4422" s="15" cm="1">
        <f t="array" ref="D4422">SUM(D4420:D4421)</f>
        <v>47</v>
      </c>
      <c r="E4422" s="15" cm="1">
        <f t="array" ref="E4422">SUM(E4420:E4421)</f>
        <v>47</v>
      </c>
      <c r="F4422" s="16" cm="1">
        <f t="array" ref="F4422">SUM(F4420:F4421)</f>
        <v>0</v>
      </c>
      <c r="G4422" s="16" cm="1">
        <f t="array" ref="G4422">SUM(G4420:G4421)</f>
        <v>0</v>
      </c>
      <c r="H4422" s="16" cm="1">
        <f t="array" ref="H4422">SUM(H4420:H4421)</f>
        <v>0</v>
      </c>
      <c r="I4422" s="16" cm="1">
        <f t="array" ref="I4422">SUM(I4420:I4421)</f>
        <v>0</v>
      </c>
    </row>
    <row r="4423" ht="20.35" customHeight="1">
      <c r="A4423" s="10">
        <v>45647</v>
      </c>
      <c r="B4423" t="s" s="11">
        <v>12</v>
      </c>
      <c r="C4423" t="s" s="12">
        <v>53</v>
      </c>
      <c r="D4423" s="17">
        <v>12400</v>
      </c>
      <c r="E4423" s="17"/>
      <c r="F4423" s="18"/>
      <c r="G4423" s="18"/>
      <c r="H4423" s="18"/>
      <c r="I4423" s="18"/>
    </row>
    <row r="4424" ht="20.35" customHeight="1">
      <c r="A4424" s="10">
        <v>45647</v>
      </c>
      <c r="B4424" t="s" s="11">
        <v>5</v>
      </c>
      <c r="C4424" t="s" s="12">
        <v>53</v>
      </c>
      <c r="D4424" s="13"/>
      <c r="E4424" s="13">
        <v>12400</v>
      </c>
      <c r="F4424" s="14"/>
      <c r="G4424" s="14"/>
      <c r="H4424" s="14"/>
      <c r="I4424" s="14"/>
    </row>
    <row r="4425" ht="20.7" customHeight="1">
      <c r="A4425" s="10">
        <v>45647</v>
      </c>
      <c r="B4425" t="s" s="11">
        <v>8</v>
      </c>
      <c r="C4425" t="s" s="12">
        <v>8</v>
      </c>
      <c r="D4425" s="15" cm="1">
        <f t="array" ref="D4425">SUM(D4423:D4424)</f>
        <v>12400</v>
      </c>
      <c r="E4425" s="15" cm="1">
        <f t="array" ref="E4425">SUM(E4423:E4424)</f>
        <v>12400</v>
      </c>
      <c r="F4425" s="16" cm="1">
        <f t="array" ref="F4425">SUM(F4423:F4424)</f>
        <v>0</v>
      </c>
      <c r="G4425" s="16" cm="1">
        <f t="array" ref="G4425">SUM(G4423:G4424)</f>
        <v>0</v>
      </c>
      <c r="H4425" s="16" cm="1">
        <f t="array" ref="H4425">SUM(H4423:H4424)</f>
        <v>0</v>
      </c>
      <c r="I4425" s="16" cm="1">
        <f t="array" ref="I4425">SUM(I4423:I4424)</f>
        <v>0</v>
      </c>
    </row>
    <row r="4426" ht="20.35" customHeight="1">
      <c r="A4426" s="10">
        <v>45647</v>
      </c>
      <c r="B4426" t="s" s="11">
        <v>5</v>
      </c>
      <c r="C4426" t="s" s="12">
        <v>17</v>
      </c>
      <c r="D4426" s="17">
        <v>500</v>
      </c>
      <c r="E4426" s="17"/>
      <c r="F4426" s="18"/>
      <c r="G4426" s="18"/>
      <c r="H4426" s="18"/>
      <c r="I4426" s="18"/>
    </row>
    <row r="4427" ht="20.35" customHeight="1">
      <c r="A4427" s="10">
        <v>45647</v>
      </c>
      <c r="B4427" t="s" s="11">
        <v>18</v>
      </c>
      <c r="C4427" t="s" s="12">
        <v>17</v>
      </c>
      <c r="D4427" s="13"/>
      <c r="E4427" s="13">
        <v>500</v>
      </c>
      <c r="F4427" s="14"/>
      <c r="G4427" s="14"/>
      <c r="H4427" s="14"/>
      <c r="I4427" s="14"/>
    </row>
    <row r="4428" ht="20.7" customHeight="1">
      <c r="A4428" s="10">
        <v>45647</v>
      </c>
      <c r="B4428" t="s" s="11">
        <v>8</v>
      </c>
      <c r="C4428" t="s" s="12">
        <v>8</v>
      </c>
      <c r="D4428" s="15" cm="1">
        <f t="array" ref="D4428">SUM(D4426:D4427)</f>
        <v>500</v>
      </c>
      <c r="E4428" s="15" cm="1">
        <f t="array" ref="E4428">SUM(E4426:E4427)</f>
        <v>500</v>
      </c>
      <c r="F4428" s="16" cm="1">
        <f t="array" ref="F4428">SUM(F4426:F4427)</f>
        <v>0</v>
      </c>
      <c r="G4428" s="16" cm="1">
        <f t="array" ref="G4428">SUM(G4426:G4427)</f>
        <v>0</v>
      </c>
      <c r="H4428" s="16" cm="1">
        <f t="array" ref="H4428">SUM(H4426:H4427)</f>
        <v>0</v>
      </c>
      <c r="I4428" s="16" cm="1">
        <f t="array" ref="I4428">SUM(I4426:I4427)</f>
        <v>0</v>
      </c>
    </row>
    <row r="4429" ht="20.35" customHeight="1">
      <c r="A4429" s="10">
        <v>45647</v>
      </c>
      <c r="B4429" t="s" s="11">
        <v>5</v>
      </c>
      <c r="C4429" t="s" s="12">
        <v>735</v>
      </c>
      <c r="D4429" s="17"/>
      <c r="E4429" s="17">
        <v>30000</v>
      </c>
      <c r="F4429" s="18"/>
      <c r="G4429" s="18"/>
      <c r="H4429" s="18"/>
      <c r="I4429" s="18"/>
    </row>
    <row r="4430" ht="20.35" customHeight="1">
      <c r="A4430" s="10">
        <v>45647</v>
      </c>
      <c r="B4430" t="s" s="11">
        <v>28</v>
      </c>
      <c r="C4430" t="s" s="12">
        <v>735</v>
      </c>
      <c r="D4430" s="13">
        <v>30000</v>
      </c>
      <c r="E4430" s="13"/>
      <c r="F4430" s="14"/>
      <c r="G4430" s="14"/>
      <c r="H4430" s="14"/>
      <c r="I4430" s="14"/>
    </row>
    <row r="4431" ht="20.7" customHeight="1">
      <c r="A4431" s="10">
        <v>45647</v>
      </c>
      <c r="B4431" t="s" s="11">
        <v>8</v>
      </c>
      <c r="C4431" t="s" s="12">
        <v>8</v>
      </c>
      <c r="D4431" s="15" cm="1">
        <f t="array" ref="D4431">SUM(D4429:D4430)</f>
        <v>30000</v>
      </c>
      <c r="E4431" s="15" cm="1">
        <f t="array" ref="E4431">SUM(E4429:E4430)</f>
        <v>30000</v>
      </c>
      <c r="F4431" s="16" cm="1">
        <f t="array" ref="F4431">SUM(F4429:F4430)</f>
        <v>0</v>
      </c>
      <c r="G4431" s="16" cm="1">
        <f t="array" ref="G4431">SUM(G4429:G4430)</f>
        <v>0</v>
      </c>
      <c r="H4431" s="16" cm="1">
        <f t="array" ref="H4431">SUM(H4429:H4430)</f>
        <v>0</v>
      </c>
      <c r="I4431" s="16" cm="1">
        <f t="array" ref="I4431">SUM(I4429:I4430)</f>
        <v>0</v>
      </c>
    </row>
    <row r="4432" ht="20.65" customHeight="1">
      <c r="A4432" s="10">
        <v>45647</v>
      </c>
      <c r="B4432" t="s" s="11">
        <v>28</v>
      </c>
      <c r="C4432" t="s" s="12">
        <v>195</v>
      </c>
      <c r="D4432" s="17"/>
      <c r="E4432" s="17">
        <v>30000</v>
      </c>
      <c r="F4432" s="18"/>
      <c r="G4432" s="18"/>
      <c r="H4432" s="18"/>
      <c r="I4432" s="18"/>
    </row>
    <row r="4433" ht="20.65" customHeight="1">
      <c r="A4433" s="10">
        <v>45647</v>
      </c>
      <c r="B4433" t="s" s="11">
        <v>10</v>
      </c>
      <c r="C4433" t="s" s="12">
        <v>195</v>
      </c>
      <c r="D4433" s="13">
        <v>30000</v>
      </c>
      <c r="E4433" s="13"/>
      <c r="F4433" s="14"/>
      <c r="G4433" s="14"/>
      <c r="H4433" s="14"/>
      <c r="I4433" s="14"/>
    </row>
    <row r="4434" ht="20.7" customHeight="1">
      <c r="A4434" s="10">
        <v>45647</v>
      </c>
      <c r="B4434" t="s" s="11">
        <v>8</v>
      </c>
      <c r="C4434" t="s" s="12">
        <v>8</v>
      </c>
      <c r="D4434" s="15" cm="1">
        <f t="array" ref="D4434">SUM(D4432:D4433)</f>
        <v>30000</v>
      </c>
      <c r="E4434" s="15" cm="1">
        <f t="array" ref="E4434">SUM(E4432:E4433)</f>
        <v>30000</v>
      </c>
      <c r="F4434" s="16" cm="1">
        <f t="array" ref="F4434">SUM(F4432:F4433)</f>
        <v>0</v>
      </c>
      <c r="G4434" s="16" cm="1">
        <f t="array" ref="G4434">SUM(G4432:G4433)</f>
        <v>0</v>
      </c>
      <c r="H4434" s="16" cm="1">
        <f t="array" ref="H4434">SUM(H4432:H4433)</f>
        <v>0</v>
      </c>
      <c r="I4434" s="16" cm="1">
        <f t="array" ref="I4434">SUM(I4432:I4433)</f>
        <v>0</v>
      </c>
    </row>
    <row r="4435" ht="20.35" customHeight="1">
      <c r="A4435" s="10">
        <v>45647</v>
      </c>
      <c r="B4435" t="s" s="11">
        <v>93</v>
      </c>
      <c r="C4435" t="s" s="12">
        <v>604</v>
      </c>
      <c r="D4435" s="17">
        <v>22497</v>
      </c>
      <c r="E4435" s="17"/>
      <c r="F4435" s="18"/>
      <c r="G4435" s="18"/>
      <c r="H4435" s="18"/>
      <c r="I4435" s="18"/>
    </row>
    <row r="4436" ht="20.35" customHeight="1">
      <c r="A4436" s="10">
        <v>45647</v>
      </c>
      <c r="B4436" t="s" s="11">
        <v>5</v>
      </c>
      <c r="C4436" t="s" s="12">
        <v>604</v>
      </c>
      <c r="D4436" s="13"/>
      <c r="E4436" s="13">
        <v>22497</v>
      </c>
      <c r="F4436" s="14"/>
      <c r="G4436" s="14"/>
      <c r="H4436" s="14"/>
      <c r="I4436" s="14"/>
    </row>
    <row r="4437" ht="20.7" customHeight="1">
      <c r="A4437" s="10">
        <v>45647</v>
      </c>
      <c r="B4437" t="s" s="11">
        <v>8</v>
      </c>
      <c r="C4437" t="s" s="12">
        <v>8</v>
      </c>
      <c r="D4437" s="15" cm="1">
        <f t="array" ref="D4437">SUM(D4435:D4436)</f>
        <v>22497</v>
      </c>
      <c r="E4437" s="15" cm="1">
        <f t="array" ref="E4437">SUM(E4435:E4436)</f>
        <v>22497</v>
      </c>
      <c r="F4437" s="16" cm="1">
        <f t="array" ref="F4437">SUM(F4435:F4436)</f>
        <v>0</v>
      </c>
      <c r="G4437" s="16" cm="1">
        <f t="array" ref="G4437">SUM(G4435:G4436)</f>
        <v>0</v>
      </c>
      <c r="H4437" s="16" cm="1">
        <f t="array" ref="H4437">SUM(H4435:H4436)</f>
        <v>0</v>
      </c>
      <c r="I4437" s="16" cm="1">
        <f t="array" ref="I4437">SUM(I4435:I4436)</f>
        <v>0</v>
      </c>
    </row>
    <row r="4438" ht="20.35" customHeight="1">
      <c r="A4438" s="10">
        <v>45647</v>
      </c>
      <c r="B4438" t="s" s="11">
        <v>93</v>
      </c>
      <c r="C4438" t="s" s="12">
        <v>736</v>
      </c>
      <c r="D4438" s="17"/>
      <c r="E4438" s="17">
        <v>24000</v>
      </c>
      <c r="F4438" s="18"/>
      <c r="G4438" s="18"/>
      <c r="H4438" s="18"/>
      <c r="I4438" s="18"/>
    </row>
    <row r="4439" ht="20.35" customHeight="1">
      <c r="A4439" s="10">
        <v>45647</v>
      </c>
      <c r="B4439" t="s" s="11">
        <v>10</v>
      </c>
      <c r="C4439" t="s" s="12">
        <v>736</v>
      </c>
      <c r="D4439" s="13">
        <v>24000</v>
      </c>
      <c r="E4439" s="13"/>
      <c r="F4439" s="14"/>
      <c r="G4439" s="14"/>
      <c r="H4439" s="14"/>
      <c r="I4439" s="14"/>
    </row>
    <row r="4440" ht="20.7" customHeight="1">
      <c r="A4440" s="10">
        <v>45647</v>
      </c>
      <c r="B4440" t="s" s="11">
        <v>8</v>
      </c>
      <c r="C4440" t="s" s="12">
        <v>8</v>
      </c>
      <c r="D4440" s="15" cm="1">
        <f t="array" ref="D4440">SUM(D4438:D4439)</f>
        <v>24000</v>
      </c>
      <c r="E4440" s="15" cm="1">
        <f t="array" ref="E4440">SUM(E4438:E4439)</f>
        <v>24000</v>
      </c>
      <c r="F4440" s="16" cm="1">
        <f t="array" ref="F4440">SUM(F4438:F4439)</f>
        <v>0</v>
      </c>
      <c r="G4440" s="16" cm="1">
        <f t="array" ref="G4440">SUM(G4438:G4439)</f>
        <v>0</v>
      </c>
      <c r="H4440" s="16" cm="1">
        <f t="array" ref="H4440">SUM(H4438:H4439)</f>
        <v>0</v>
      </c>
      <c r="I4440" s="16" cm="1">
        <f t="array" ref="I4440">SUM(I4438:I4439)</f>
        <v>0</v>
      </c>
    </row>
    <row r="4441" ht="21.25" customHeight="1">
      <c r="A4441" s="10">
        <v>45647</v>
      </c>
      <c r="B4441" t="s" s="11">
        <v>12</v>
      </c>
      <c r="C4441" t="s" s="12">
        <v>715</v>
      </c>
      <c r="D4441" s="17">
        <v>44500</v>
      </c>
      <c r="E4441" s="17"/>
      <c r="F4441" s="18"/>
      <c r="G4441" s="18"/>
      <c r="H4441" s="18"/>
      <c r="I4441" s="18"/>
    </row>
    <row r="4442" ht="21.25" customHeight="1">
      <c r="A4442" s="10">
        <v>45647</v>
      </c>
      <c r="B4442" t="s" s="11">
        <v>5</v>
      </c>
      <c r="C4442" t="s" s="12">
        <v>715</v>
      </c>
      <c r="D4442" s="13"/>
      <c r="E4442" s="13">
        <v>44500</v>
      </c>
      <c r="F4442" s="14"/>
      <c r="G4442" s="14"/>
      <c r="H4442" s="14"/>
      <c r="I4442" s="14"/>
    </row>
    <row r="4443" ht="20.7" customHeight="1">
      <c r="A4443" s="10">
        <v>45647</v>
      </c>
      <c r="B4443" t="s" s="11">
        <v>8</v>
      </c>
      <c r="C4443" t="s" s="12">
        <v>8</v>
      </c>
      <c r="D4443" s="15" cm="1">
        <f t="array" ref="D4443">SUM(D4441:D4442)</f>
        <v>44500</v>
      </c>
      <c r="E4443" s="15" cm="1">
        <f t="array" ref="E4443">SUM(E4441:E4442)</f>
        <v>44500</v>
      </c>
      <c r="F4443" s="16" cm="1">
        <f t="array" ref="F4443">SUM(F4441:F4442)</f>
        <v>0</v>
      </c>
      <c r="G4443" s="16" cm="1">
        <f t="array" ref="G4443">SUM(G4441:G4442)</f>
        <v>0</v>
      </c>
      <c r="H4443" s="16" cm="1">
        <f t="array" ref="H4443">SUM(H4441:H4442)</f>
        <v>0</v>
      </c>
      <c r="I4443" s="16" cm="1">
        <f t="array" ref="I4443">SUM(I4441:I4442)</f>
        <v>0</v>
      </c>
    </row>
    <row r="4444" ht="20.35" customHeight="1">
      <c r="A4444" s="10">
        <v>45647</v>
      </c>
      <c r="B4444" t="s" s="11">
        <v>5</v>
      </c>
      <c r="C4444" t="s" s="12">
        <v>17</v>
      </c>
      <c r="D4444" s="17">
        <v>100</v>
      </c>
      <c r="E4444" s="17"/>
      <c r="F4444" s="18"/>
      <c r="G4444" s="18"/>
      <c r="H4444" s="18"/>
      <c r="I4444" s="18"/>
    </row>
    <row r="4445" ht="20.35" customHeight="1">
      <c r="A4445" s="10">
        <v>45647</v>
      </c>
      <c r="B4445" t="s" s="11">
        <v>18</v>
      </c>
      <c r="C4445" t="s" s="12">
        <v>17</v>
      </c>
      <c r="D4445" s="13"/>
      <c r="E4445" s="13">
        <v>100</v>
      </c>
      <c r="F4445" s="14"/>
      <c r="G4445" s="14"/>
      <c r="H4445" s="14"/>
      <c r="I4445" s="14"/>
    </row>
    <row r="4446" ht="20.7" customHeight="1">
      <c r="A4446" s="10">
        <v>45647</v>
      </c>
      <c r="B4446" t="s" s="11">
        <v>8</v>
      </c>
      <c r="C4446" t="s" s="12">
        <v>8</v>
      </c>
      <c r="D4446" s="15" cm="1">
        <f t="array" ref="D4446">SUM(D4444:D4445)</f>
        <v>100</v>
      </c>
      <c r="E4446" s="15" cm="1">
        <f t="array" ref="E4446">SUM(E4444:E4445)</f>
        <v>100</v>
      </c>
      <c r="F4446" s="16" cm="1">
        <f t="array" ref="F4446">SUM(F4444:F4445)</f>
        <v>0</v>
      </c>
      <c r="G4446" s="16" cm="1">
        <f t="array" ref="G4446">SUM(G4444:G4445)</f>
        <v>0</v>
      </c>
      <c r="H4446" s="16" cm="1">
        <f t="array" ref="H4446">SUM(H4444:H4445)</f>
        <v>0</v>
      </c>
      <c r="I4446" s="16" cm="1">
        <f t="array" ref="I4446">SUM(I4444:I4445)</f>
        <v>0</v>
      </c>
    </row>
    <row r="4447" ht="21.25" customHeight="1">
      <c r="A4447" s="10">
        <v>45648</v>
      </c>
      <c r="B4447" t="s" s="11">
        <v>10</v>
      </c>
      <c r="C4447" t="s" s="12">
        <v>737</v>
      </c>
      <c r="D4447" s="17">
        <v>7790</v>
      </c>
      <c r="E4447" s="17"/>
      <c r="F4447" s="18"/>
      <c r="G4447" s="18"/>
      <c r="H4447" s="18"/>
      <c r="I4447" s="18"/>
    </row>
    <row r="4448" ht="21.25" customHeight="1">
      <c r="A4448" s="10">
        <v>45648</v>
      </c>
      <c r="B4448" t="s" s="11">
        <v>5</v>
      </c>
      <c r="C4448" t="s" s="12">
        <v>737</v>
      </c>
      <c r="D4448" s="13"/>
      <c r="E4448" s="13">
        <v>7790</v>
      </c>
      <c r="F4448" s="14"/>
      <c r="G4448" s="14"/>
      <c r="H4448" s="14"/>
      <c r="I4448" s="14"/>
    </row>
    <row r="4449" ht="20.7" customHeight="1">
      <c r="A4449" s="10">
        <v>45648</v>
      </c>
      <c r="B4449" t="s" s="11">
        <v>8</v>
      </c>
      <c r="C4449" t="s" s="12">
        <v>8</v>
      </c>
      <c r="D4449" s="15" cm="1">
        <f t="array" ref="D4449">SUM(D4447:D4448)</f>
        <v>7790</v>
      </c>
      <c r="E4449" s="15" cm="1">
        <f t="array" ref="E4449">SUM(E4447:E4448)</f>
        <v>7790</v>
      </c>
      <c r="F4449" s="16" cm="1">
        <f t="array" ref="F4449">SUM(F4447:F4448)</f>
        <v>0</v>
      </c>
      <c r="G4449" s="16" cm="1">
        <f t="array" ref="G4449">SUM(G4447:G4448)</f>
        <v>0</v>
      </c>
      <c r="H4449" s="16" cm="1">
        <f t="array" ref="H4449">SUM(H4447:H4448)</f>
        <v>0</v>
      </c>
      <c r="I4449" s="16" cm="1">
        <f t="array" ref="I4449">SUM(I4447:I4448)</f>
        <v>0</v>
      </c>
    </row>
    <row r="4450" ht="21.25" customHeight="1">
      <c r="A4450" s="10">
        <v>45648</v>
      </c>
      <c r="B4450" t="s" s="11">
        <v>12</v>
      </c>
      <c r="C4450" t="s" s="12">
        <v>737</v>
      </c>
      <c r="D4450" s="17">
        <v>12160</v>
      </c>
      <c r="E4450" s="17"/>
      <c r="F4450" s="18"/>
      <c r="G4450" s="18"/>
      <c r="H4450" s="18"/>
      <c r="I4450" s="18"/>
    </row>
    <row r="4451" ht="21.25" customHeight="1">
      <c r="A4451" s="10">
        <v>45648</v>
      </c>
      <c r="B4451" t="s" s="11">
        <v>5</v>
      </c>
      <c r="C4451" t="s" s="12">
        <v>737</v>
      </c>
      <c r="D4451" s="13"/>
      <c r="E4451" s="13">
        <v>12160</v>
      </c>
      <c r="F4451" s="14"/>
      <c r="G4451" s="14"/>
      <c r="H4451" s="14"/>
      <c r="I4451" s="14"/>
    </row>
    <row r="4452" ht="20.7" customHeight="1">
      <c r="A4452" s="10">
        <v>45648</v>
      </c>
      <c r="B4452" t="s" s="11">
        <v>8</v>
      </c>
      <c r="C4452" t="s" s="12">
        <v>8</v>
      </c>
      <c r="D4452" s="15" cm="1">
        <f t="array" ref="D4452">SUM(D4450:D4451)</f>
        <v>12160</v>
      </c>
      <c r="E4452" s="15" cm="1">
        <f t="array" ref="E4452">SUM(E4450:E4451)</f>
        <v>12160</v>
      </c>
      <c r="F4452" s="16" cm="1">
        <f t="array" ref="F4452">SUM(F4450:F4451)</f>
        <v>0</v>
      </c>
      <c r="G4452" s="16" cm="1">
        <f t="array" ref="G4452">SUM(G4450:G4451)</f>
        <v>0</v>
      </c>
      <c r="H4452" s="16" cm="1">
        <f t="array" ref="H4452">SUM(H4450:H4451)</f>
        <v>0</v>
      </c>
      <c r="I4452" s="16" cm="1">
        <f t="array" ref="I4452">SUM(I4450:I4451)</f>
        <v>0</v>
      </c>
    </row>
    <row r="4453" ht="20.35" customHeight="1">
      <c r="A4453" s="10">
        <v>45648</v>
      </c>
      <c r="B4453" t="s" s="11">
        <v>107</v>
      </c>
      <c r="C4453" t="s" s="12">
        <v>96</v>
      </c>
      <c r="D4453" s="17"/>
      <c r="E4453" s="17">
        <v>45047</v>
      </c>
      <c r="F4453" s="18"/>
      <c r="G4453" s="18"/>
      <c r="H4453" s="18"/>
      <c r="I4453" s="18"/>
    </row>
    <row r="4454" ht="20.35" customHeight="1">
      <c r="A4454" s="10">
        <v>45648</v>
      </c>
      <c r="B4454" t="s" s="11">
        <v>5</v>
      </c>
      <c r="C4454" t="s" s="12">
        <v>96</v>
      </c>
      <c r="D4454" s="13">
        <v>45047</v>
      </c>
      <c r="E4454" s="13"/>
      <c r="F4454" s="14"/>
      <c r="G4454" s="14"/>
      <c r="H4454" s="14"/>
      <c r="I4454" s="14"/>
    </row>
    <row r="4455" ht="20.7" customHeight="1">
      <c r="A4455" s="10">
        <v>45648</v>
      </c>
      <c r="B4455" t="s" s="11">
        <v>8</v>
      </c>
      <c r="C4455" t="s" s="12">
        <v>8</v>
      </c>
      <c r="D4455" s="15" cm="1">
        <f t="array" ref="D4455">SUM(D4453:D4454)</f>
        <v>45047</v>
      </c>
      <c r="E4455" s="15" cm="1">
        <f t="array" ref="E4455">SUM(E4453:E4454)</f>
        <v>45047</v>
      </c>
      <c r="F4455" s="16" cm="1">
        <f t="array" ref="F4455">SUM(F4453:F4454)</f>
        <v>0</v>
      </c>
      <c r="G4455" s="16" cm="1">
        <f t="array" ref="G4455">SUM(G4453:G4454)</f>
        <v>0</v>
      </c>
      <c r="H4455" s="16" cm="1">
        <f t="array" ref="H4455">SUM(H4453:H4454)</f>
        <v>0</v>
      </c>
      <c r="I4455" s="16" cm="1">
        <f t="array" ref="I4455">SUM(I4453:I4454)</f>
        <v>0</v>
      </c>
    </row>
    <row r="4456" ht="20.35" customHeight="1">
      <c r="A4456" s="10">
        <v>45648</v>
      </c>
      <c r="B4456" t="s" s="11">
        <v>28</v>
      </c>
      <c r="C4456" t="s" s="12">
        <v>735</v>
      </c>
      <c r="D4456" s="17">
        <v>10000</v>
      </c>
      <c r="E4456" s="17"/>
      <c r="F4456" s="18"/>
      <c r="G4456" s="18"/>
      <c r="H4456" s="18"/>
      <c r="I4456" s="18"/>
    </row>
    <row r="4457" ht="20.35" customHeight="1">
      <c r="A4457" s="10">
        <v>45648</v>
      </c>
      <c r="B4457" t="s" s="11">
        <v>5</v>
      </c>
      <c r="C4457" t="s" s="12">
        <v>735</v>
      </c>
      <c r="D4457" s="13"/>
      <c r="E4457" s="13">
        <v>10000</v>
      </c>
      <c r="F4457" s="14"/>
      <c r="G4457" s="14"/>
      <c r="H4457" s="14"/>
      <c r="I4457" s="14"/>
    </row>
    <row r="4458" ht="20.7" customHeight="1">
      <c r="A4458" s="10">
        <v>45648</v>
      </c>
      <c r="B4458" t="s" s="11">
        <v>8</v>
      </c>
      <c r="C4458" t="s" s="12">
        <v>8</v>
      </c>
      <c r="D4458" s="15" cm="1">
        <f t="array" ref="D4458">SUM(D4456:D4457)</f>
        <v>10000</v>
      </c>
      <c r="E4458" s="15" cm="1">
        <f t="array" ref="E4458">SUM(E4456:E4457)</f>
        <v>10000</v>
      </c>
      <c r="F4458" s="16" cm="1">
        <f t="array" ref="F4458">SUM(F4456:F4457)</f>
        <v>0</v>
      </c>
      <c r="G4458" s="16" cm="1">
        <f t="array" ref="G4458">SUM(G4456:G4457)</f>
        <v>0</v>
      </c>
      <c r="H4458" s="16" cm="1">
        <f t="array" ref="H4458">SUM(H4456:H4457)</f>
        <v>0</v>
      </c>
      <c r="I4458" s="16" cm="1">
        <f t="array" ref="I4458">SUM(I4456:I4457)</f>
        <v>0</v>
      </c>
    </row>
    <row r="4459" ht="20.65" customHeight="1">
      <c r="A4459" s="10">
        <v>45648</v>
      </c>
      <c r="B4459" t="s" s="11">
        <v>28</v>
      </c>
      <c r="C4459" t="s" s="12">
        <v>218</v>
      </c>
      <c r="D4459" s="17"/>
      <c r="E4459" s="17">
        <v>10000</v>
      </c>
      <c r="F4459" s="18"/>
      <c r="G4459" s="18"/>
      <c r="H4459" s="18"/>
      <c r="I4459" s="18"/>
    </row>
    <row r="4460" ht="20.65" customHeight="1">
      <c r="A4460" s="10">
        <v>45648</v>
      </c>
      <c r="B4460" t="s" s="11">
        <v>12</v>
      </c>
      <c r="C4460" t="s" s="12">
        <v>218</v>
      </c>
      <c r="D4460" s="13">
        <v>10000</v>
      </c>
      <c r="E4460" s="13"/>
      <c r="F4460" s="14"/>
      <c r="G4460" s="14"/>
      <c r="H4460" s="14"/>
      <c r="I4460" s="14"/>
    </row>
    <row r="4461" ht="20.7" customHeight="1">
      <c r="A4461" s="10">
        <v>45648</v>
      </c>
      <c r="B4461" t="s" s="11">
        <v>8</v>
      </c>
      <c r="C4461" t="s" s="12">
        <v>8</v>
      </c>
      <c r="D4461" s="15" cm="1">
        <f t="array" ref="D4461">SUM(D4459:D4460)</f>
        <v>10000</v>
      </c>
      <c r="E4461" s="15" cm="1">
        <f t="array" ref="E4461">SUM(E4459:E4460)</f>
        <v>10000</v>
      </c>
      <c r="F4461" s="16" cm="1">
        <f t="array" ref="F4461">SUM(F4459:F4460)</f>
        <v>0</v>
      </c>
      <c r="G4461" s="16" cm="1">
        <f t="array" ref="G4461">SUM(G4459:G4460)</f>
        <v>0</v>
      </c>
      <c r="H4461" s="16" cm="1">
        <f t="array" ref="H4461">SUM(H4459:H4460)</f>
        <v>0</v>
      </c>
      <c r="I4461" s="16" cm="1">
        <f t="array" ref="I4461">SUM(I4459:I4460)</f>
        <v>0</v>
      </c>
    </row>
    <row r="4462" ht="20.65" customHeight="1">
      <c r="A4462" s="10">
        <v>45648</v>
      </c>
      <c r="B4462" t="s" s="11">
        <v>89</v>
      </c>
      <c r="C4462" t="s" s="12">
        <v>738</v>
      </c>
      <c r="D4462" s="17">
        <v>100000</v>
      </c>
      <c r="E4462" s="17"/>
      <c r="F4462" s="18"/>
      <c r="G4462" s="18"/>
      <c r="H4462" s="18"/>
      <c r="I4462" s="18"/>
    </row>
    <row r="4463" ht="20.65" customHeight="1">
      <c r="A4463" s="10">
        <v>45648</v>
      </c>
      <c r="B4463" t="s" s="11">
        <v>5</v>
      </c>
      <c r="C4463" t="s" s="12">
        <v>738</v>
      </c>
      <c r="D4463" s="13"/>
      <c r="E4463" s="13">
        <v>100000</v>
      </c>
      <c r="F4463" s="14"/>
      <c r="G4463" s="14"/>
      <c r="H4463" s="14"/>
      <c r="I4463" s="14"/>
    </row>
    <row r="4464" ht="20.7" customHeight="1">
      <c r="A4464" s="10">
        <v>45648</v>
      </c>
      <c r="B4464" t="s" s="11">
        <v>8</v>
      </c>
      <c r="C4464" t="s" s="12">
        <v>8</v>
      </c>
      <c r="D4464" s="15" cm="1">
        <f t="array" ref="D4464">SUM(D4462:D4463)</f>
        <v>100000</v>
      </c>
      <c r="E4464" s="15" cm="1">
        <f t="array" ref="E4464">SUM(E4462:E4463)</f>
        <v>100000</v>
      </c>
      <c r="F4464" s="16" cm="1">
        <f t="array" ref="F4464">SUM(F4462:F4463)</f>
        <v>0</v>
      </c>
      <c r="G4464" s="16" cm="1">
        <f t="array" ref="G4464">SUM(G4462:G4463)</f>
        <v>0</v>
      </c>
      <c r="H4464" s="16" cm="1">
        <f t="array" ref="H4464">SUM(H4462:H4463)</f>
        <v>0</v>
      </c>
      <c r="I4464" s="16" cm="1">
        <f t="array" ref="I4464">SUM(I4462:I4463)</f>
        <v>0</v>
      </c>
    </row>
    <row r="4465" ht="20.65" customHeight="1">
      <c r="A4465" s="10">
        <v>45648</v>
      </c>
      <c r="B4465" t="s" s="11">
        <v>12</v>
      </c>
      <c r="C4465" t="s" s="12">
        <v>739</v>
      </c>
      <c r="D4465" s="17">
        <v>5700</v>
      </c>
      <c r="E4465" s="17"/>
      <c r="F4465" s="18"/>
      <c r="G4465" s="18"/>
      <c r="H4465" s="18"/>
      <c r="I4465" s="18"/>
    </row>
    <row r="4466" ht="20.65" customHeight="1">
      <c r="A4466" s="10">
        <v>45648</v>
      </c>
      <c r="B4466" t="s" s="11">
        <v>5</v>
      </c>
      <c r="C4466" t="s" s="12">
        <v>739</v>
      </c>
      <c r="D4466" s="13"/>
      <c r="E4466" s="13">
        <v>5700</v>
      </c>
      <c r="F4466" s="14"/>
      <c r="G4466" s="14"/>
      <c r="H4466" s="14"/>
      <c r="I4466" s="14"/>
    </row>
    <row r="4467" ht="20.7" customHeight="1">
      <c r="A4467" s="10">
        <v>45648</v>
      </c>
      <c r="B4467" t="s" s="11">
        <v>8</v>
      </c>
      <c r="C4467" t="s" s="12">
        <v>8</v>
      </c>
      <c r="D4467" s="15" cm="1">
        <f t="array" ref="D4467">SUM(D4465:D4466)</f>
        <v>5700</v>
      </c>
      <c r="E4467" s="15" cm="1">
        <f t="array" ref="E4467">SUM(E4465:E4466)</f>
        <v>5700</v>
      </c>
      <c r="F4467" s="16" cm="1">
        <f t="array" ref="F4467">SUM(F4465:F4466)</f>
        <v>0</v>
      </c>
      <c r="G4467" s="16" cm="1">
        <f t="array" ref="G4467">SUM(G4465:G4466)</f>
        <v>0</v>
      </c>
      <c r="H4467" s="16" cm="1">
        <f t="array" ref="H4467">SUM(H4465:H4466)</f>
        <v>0</v>
      </c>
      <c r="I4467" s="16" cm="1">
        <f t="array" ref="I4467">SUM(I4465:I4466)</f>
        <v>0</v>
      </c>
    </row>
    <row r="4468" ht="20.35" customHeight="1">
      <c r="A4468" s="10">
        <v>45648</v>
      </c>
      <c r="B4468" t="s" s="11">
        <v>93</v>
      </c>
      <c r="C4468" t="s" s="12">
        <v>604</v>
      </c>
      <c r="D4468" s="17">
        <v>10000</v>
      </c>
      <c r="E4468" s="17"/>
      <c r="F4468" s="18"/>
      <c r="G4468" s="18"/>
      <c r="H4468" s="18"/>
      <c r="I4468" s="18"/>
    </row>
    <row r="4469" ht="20.35" customHeight="1">
      <c r="A4469" s="10">
        <v>45648</v>
      </c>
      <c r="B4469" t="s" s="11">
        <v>5</v>
      </c>
      <c r="C4469" t="s" s="12">
        <v>604</v>
      </c>
      <c r="D4469" s="13"/>
      <c r="E4469" s="13">
        <v>10000</v>
      </c>
      <c r="F4469" s="14"/>
      <c r="G4469" s="14"/>
      <c r="H4469" s="14"/>
      <c r="I4469" s="14"/>
    </row>
    <row r="4470" ht="20.7" customHeight="1">
      <c r="A4470" s="10">
        <v>45648</v>
      </c>
      <c r="B4470" t="s" s="11">
        <v>8</v>
      </c>
      <c r="C4470" t="s" s="12">
        <v>8</v>
      </c>
      <c r="D4470" s="15" cm="1">
        <f t="array" ref="D4470">SUM(D4468:D4469)</f>
        <v>10000</v>
      </c>
      <c r="E4470" s="15" cm="1">
        <f t="array" ref="E4470">SUM(E4468:E4469)</f>
        <v>10000</v>
      </c>
      <c r="F4470" s="16" cm="1">
        <f t="array" ref="F4470">SUM(F4468:F4469)</f>
        <v>0</v>
      </c>
      <c r="G4470" s="16" cm="1">
        <f t="array" ref="G4470">SUM(G4468:G4469)</f>
        <v>0</v>
      </c>
      <c r="H4470" s="16" cm="1">
        <f t="array" ref="H4470">SUM(H4468:H4469)</f>
        <v>0</v>
      </c>
      <c r="I4470" s="16" cm="1">
        <f t="array" ref="I4470">SUM(I4468:I4469)</f>
        <v>0</v>
      </c>
    </row>
    <row r="4471" ht="20.35" customHeight="1">
      <c r="A4471" s="10">
        <v>45648</v>
      </c>
      <c r="B4471" t="s" s="11">
        <v>21</v>
      </c>
      <c r="C4471" t="s" s="12">
        <v>740</v>
      </c>
      <c r="D4471" s="17"/>
      <c r="E4471" s="17">
        <v>5350</v>
      </c>
      <c r="F4471" s="18"/>
      <c r="G4471" s="18"/>
      <c r="H4471" s="18"/>
      <c r="I4471" s="18"/>
    </row>
    <row r="4472" ht="20.35" customHeight="1">
      <c r="A4472" s="10">
        <v>45648</v>
      </c>
      <c r="B4472" t="s" s="11">
        <v>12</v>
      </c>
      <c r="C4472" t="s" s="12">
        <v>740</v>
      </c>
      <c r="D4472" s="13">
        <v>5350</v>
      </c>
      <c r="E4472" s="13"/>
      <c r="F4472" s="14"/>
      <c r="G4472" s="14"/>
      <c r="H4472" s="14"/>
      <c r="I4472" s="14"/>
    </row>
    <row r="4473" ht="20.7" customHeight="1">
      <c r="A4473" s="10">
        <v>45648</v>
      </c>
      <c r="B4473" t="s" s="11">
        <v>8</v>
      </c>
      <c r="C4473" t="s" s="12">
        <v>8</v>
      </c>
      <c r="D4473" s="15" cm="1">
        <f t="array" ref="D4473">SUM(D4471:D4472)</f>
        <v>5350</v>
      </c>
      <c r="E4473" s="15" cm="1">
        <f t="array" ref="E4473">SUM(E4471:E4472)</f>
        <v>5350</v>
      </c>
      <c r="F4473" s="16" cm="1">
        <f t="array" ref="F4473">SUM(F4471:F4472)</f>
        <v>0</v>
      </c>
      <c r="G4473" s="16" cm="1">
        <f t="array" ref="G4473">SUM(G4471:G4472)</f>
        <v>0</v>
      </c>
      <c r="H4473" s="16" cm="1">
        <f t="array" ref="H4473">SUM(H4471:H4472)</f>
        <v>0</v>
      </c>
      <c r="I4473" s="16" cm="1">
        <f t="array" ref="I4473">SUM(I4471:I4472)</f>
        <v>0</v>
      </c>
    </row>
    <row r="4474" ht="20.35" customHeight="1">
      <c r="A4474" s="10">
        <v>45648</v>
      </c>
      <c r="B4474" t="s" s="11">
        <v>21</v>
      </c>
      <c r="C4474" t="s" s="12">
        <v>740</v>
      </c>
      <c r="D4474" s="17">
        <v>5350</v>
      </c>
      <c r="E4474" s="26"/>
      <c r="F4474" s="18"/>
      <c r="G4474" s="18"/>
      <c r="H4474" s="18"/>
      <c r="I4474" s="18"/>
    </row>
    <row r="4475" ht="20.35" customHeight="1">
      <c r="A4475" s="10">
        <v>45648</v>
      </c>
      <c r="B4475" t="s" s="11">
        <v>93</v>
      </c>
      <c r="C4475" t="s" s="12">
        <v>740</v>
      </c>
      <c r="D4475" s="13"/>
      <c r="E4475" s="13">
        <v>5350</v>
      </c>
      <c r="F4475" s="14"/>
      <c r="G4475" s="14"/>
      <c r="H4475" s="14"/>
      <c r="I4475" s="14"/>
    </row>
    <row r="4476" ht="20.7" customHeight="1">
      <c r="A4476" s="10">
        <v>45648</v>
      </c>
      <c r="B4476" t="s" s="11">
        <v>8</v>
      </c>
      <c r="C4476" t="s" s="12">
        <v>8</v>
      </c>
      <c r="D4476" s="15" cm="1">
        <f t="array" ref="D4476">SUM(D4474:D4475)</f>
        <v>5350</v>
      </c>
      <c r="E4476" s="15" cm="1">
        <f t="array" ref="E4476">SUM(E4474:E4475)</f>
        <v>5350</v>
      </c>
      <c r="F4476" s="16" cm="1">
        <f t="array" ref="F4476">SUM(F4474:F4475)</f>
        <v>0</v>
      </c>
      <c r="G4476" s="16" cm="1">
        <f t="array" ref="G4476">SUM(G4474:G4475)</f>
        <v>0</v>
      </c>
      <c r="H4476" s="16" cm="1">
        <f t="array" ref="H4476">SUM(H4474:H4475)</f>
        <v>0</v>
      </c>
      <c r="I4476" s="16" cm="1">
        <f t="array" ref="I4476">SUM(I4474:I4475)</f>
        <v>0</v>
      </c>
    </row>
    <row r="4477" ht="20.65" customHeight="1">
      <c r="A4477" s="10">
        <v>45648</v>
      </c>
      <c r="B4477" t="s" s="11">
        <v>10</v>
      </c>
      <c r="C4477" t="s" s="12">
        <v>741</v>
      </c>
      <c r="D4477" s="17">
        <v>2000</v>
      </c>
      <c r="E4477" s="17"/>
      <c r="F4477" s="18"/>
      <c r="G4477" s="18"/>
      <c r="H4477" s="18"/>
      <c r="I4477" s="18"/>
    </row>
    <row r="4478" ht="20.65" customHeight="1">
      <c r="A4478" s="10">
        <v>45648</v>
      </c>
      <c r="B4478" t="s" s="11">
        <v>5</v>
      </c>
      <c r="C4478" t="s" s="12">
        <v>741</v>
      </c>
      <c r="D4478" s="13"/>
      <c r="E4478" s="13">
        <v>2000</v>
      </c>
      <c r="F4478" s="14"/>
      <c r="G4478" s="14"/>
      <c r="H4478" s="14"/>
      <c r="I4478" s="14"/>
    </row>
    <row r="4479" ht="20.7" customHeight="1">
      <c r="A4479" s="10">
        <v>45648</v>
      </c>
      <c r="B4479" t="s" s="11">
        <v>8</v>
      </c>
      <c r="C4479" t="s" s="12">
        <v>8</v>
      </c>
      <c r="D4479" s="15" cm="1">
        <f t="array" ref="D4479">SUM(D4477:D4478)</f>
        <v>2000</v>
      </c>
      <c r="E4479" s="15" cm="1">
        <f t="array" ref="E4479">SUM(E4477:E4478)</f>
        <v>2000</v>
      </c>
      <c r="F4479" s="16" cm="1">
        <f t="array" ref="F4479">SUM(F4477:F4478)</f>
        <v>0</v>
      </c>
      <c r="G4479" s="16" cm="1">
        <f t="array" ref="G4479">SUM(G4477:G4478)</f>
        <v>0</v>
      </c>
      <c r="H4479" s="16" cm="1">
        <f t="array" ref="H4479">SUM(H4477:H4478)</f>
        <v>0</v>
      </c>
      <c r="I4479" s="16" cm="1">
        <f t="array" ref="I4479">SUM(I4477:I4478)</f>
        <v>0</v>
      </c>
    </row>
    <row r="4480" ht="20.35" customHeight="1">
      <c r="A4480" s="10">
        <v>45648</v>
      </c>
      <c r="B4480" t="s" s="11">
        <v>21</v>
      </c>
      <c r="C4480" t="s" s="12">
        <v>742</v>
      </c>
      <c r="D4480" s="17"/>
      <c r="E4480" s="17">
        <v>50000</v>
      </c>
      <c r="F4480" s="18"/>
      <c r="G4480" s="18"/>
      <c r="H4480" s="18"/>
      <c r="I4480" s="18"/>
    </row>
    <row r="4481" ht="20.35" customHeight="1">
      <c r="A4481" s="10">
        <v>45648</v>
      </c>
      <c r="B4481" t="s" s="11">
        <v>107</v>
      </c>
      <c r="C4481" t="s" s="12">
        <v>742</v>
      </c>
      <c r="D4481" s="13">
        <v>50000</v>
      </c>
      <c r="E4481" s="13"/>
      <c r="F4481" s="14"/>
      <c r="G4481" s="14"/>
      <c r="H4481" s="14"/>
      <c r="I4481" s="14"/>
    </row>
    <row r="4482" ht="20.7" customHeight="1">
      <c r="A4482" s="10">
        <v>45648</v>
      </c>
      <c r="B4482" t="s" s="11">
        <v>8</v>
      </c>
      <c r="C4482" t="s" s="12">
        <v>8</v>
      </c>
      <c r="D4482" s="15" cm="1">
        <f t="array" ref="D4482">SUM(D4480:D4481)</f>
        <v>50000</v>
      </c>
      <c r="E4482" s="15" cm="1">
        <f t="array" ref="E4482">SUM(E4480:E4481)</f>
        <v>50000</v>
      </c>
      <c r="F4482" s="16" cm="1">
        <f t="array" ref="F4482">SUM(F4480:F4481)</f>
        <v>0</v>
      </c>
      <c r="G4482" s="16" cm="1">
        <f t="array" ref="G4482">SUM(G4480:G4481)</f>
        <v>0</v>
      </c>
      <c r="H4482" s="16" cm="1">
        <f t="array" ref="H4482">SUM(H4480:H4481)</f>
        <v>0</v>
      </c>
      <c r="I4482" s="16" cm="1">
        <f t="array" ref="I4482">SUM(I4480:I4481)</f>
        <v>0</v>
      </c>
    </row>
    <row r="4483" ht="21.25" customHeight="1">
      <c r="A4483" s="10">
        <v>45648</v>
      </c>
      <c r="B4483" t="s" s="11">
        <v>21</v>
      </c>
      <c r="C4483" t="s" s="12">
        <v>743</v>
      </c>
      <c r="D4483" s="17"/>
      <c r="E4483" s="17">
        <v>1200</v>
      </c>
      <c r="F4483" s="18"/>
      <c r="G4483" s="18"/>
      <c r="H4483" s="18"/>
      <c r="I4483" s="18"/>
    </row>
    <row r="4484" ht="21.25" customHeight="1">
      <c r="A4484" s="10">
        <v>45648</v>
      </c>
      <c r="B4484" t="s" s="11">
        <v>16</v>
      </c>
      <c r="C4484" t="s" s="12">
        <v>743</v>
      </c>
      <c r="D4484" s="13">
        <v>1200</v>
      </c>
      <c r="E4484" s="13"/>
      <c r="F4484" s="14"/>
      <c r="G4484" s="14"/>
      <c r="H4484" s="14"/>
      <c r="I4484" s="14"/>
    </row>
    <row r="4485" ht="20.7" customHeight="1">
      <c r="A4485" s="10">
        <v>45648</v>
      </c>
      <c r="B4485" t="s" s="11">
        <v>8</v>
      </c>
      <c r="C4485" t="s" s="12">
        <v>8</v>
      </c>
      <c r="D4485" s="15" cm="1">
        <f t="array" ref="D4485">SUM(D4483:D4484)</f>
        <v>1200</v>
      </c>
      <c r="E4485" s="15" cm="1">
        <f t="array" ref="E4485">SUM(E4483:E4484)</f>
        <v>1200</v>
      </c>
      <c r="F4485" s="16" cm="1">
        <f t="array" ref="F4485">SUM(F4483:F4484)</f>
        <v>0</v>
      </c>
      <c r="G4485" s="16" cm="1">
        <f t="array" ref="G4485">SUM(G4483:G4484)</f>
        <v>0</v>
      </c>
      <c r="H4485" s="16" cm="1">
        <f t="array" ref="H4485">SUM(H4483:H4484)</f>
        <v>0</v>
      </c>
      <c r="I4485" s="16" cm="1">
        <f t="array" ref="I4485">SUM(I4483:I4484)</f>
        <v>0</v>
      </c>
    </row>
    <row r="4486" ht="20.35" customHeight="1">
      <c r="A4486" s="10">
        <v>45649</v>
      </c>
      <c r="B4486" t="s" s="11">
        <v>10</v>
      </c>
      <c r="C4486" t="s" s="12">
        <v>8</v>
      </c>
      <c r="D4486" s="17">
        <v>30000</v>
      </c>
      <c r="E4486" s="17"/>
      <c r="F4486" s="18"/>
      <c r="G4486" s="18"/>
      <c r="H4486" s="18"/>
      <c r="I4486" s="18"/>
    </row>
    <row r="4487" ht="21.25" customHeight="1">
      <c r="A4487" s="10">
        <v>45649</v>
      </c>
      <c r="B4487" t="s" s="11">
        <v>5</v>
      </c>
      <c r="C4487" t="s" s="12">
        <v>744</v>
      </c>
      <c r="D4487" s="13"/>
      <c r="E4487" s="13">
        <v>30000</v>
      </c>
      <c r="F4487" s="14"/>
      <c r="G4487" s="14"/>
      <c r="H4487" s="14"/>
      <c r="I4487" s="14"/>
    </row>
    <row r="4488" ht="20.7" customHeight="1">
      <c r="A4488" s="10">
        <v>45649</v>
      </c>
      <c r="B4488" t="s" s="11">
        <v>8</v>
      </c>
      <c r="C4488" t="s" s="12">
        <v>8</v>
      </c>
      <c r="D4488" s="15" cm="1">
        <f t="array" ref="D4488">SUM(D4486:D4487)</f>
        <v>30000</v>
      </c>
      <c r="E4488" s="15" cm="1">
        <f t="array" ref="E4488">SUM(E4486:E4487)</f>
        <v>30000</v>
      </c>
      <c r="F4488" s="16" cm="1">
        <f t="array" ref="F4488">SUM(F4486:F4487)</f>
        <v>0</v>
      </c>
      <c r="G4488" s="16" cm="1">
        <f t="array" ref="G4488">SUM(G4486:G4487)</f>
        <v>0</v>
      </c>
      <c r="H4488" s="16" cm="1">
        <f t="array" ref="H4488">SUM(H4486:H4487)</f>
        <v>0</v>
      </c>
      <c r="I4488" s="16" cm="1">
        <f t="array" ref="I4488">SUM(I4486:I4487)</f>
        <v>0</v>
      </c>
    </row>
    <row r="4489" ht="20.35" customHeight="1">
      <c r="A4489" s="10">
        <v>45649</v>
      </c>
      <c r="B4489" t="s" s="11">
        <v>107</v>
      </c>
      <c r="C4489" t="s" s="12">
        <v>96</v>
      </c>
      <c r="D4489" s="17"/>
      <c r="E4489" s="17">
        <v>50000</v>
      </c>
      <c r="F4489" s="18"/>
      <c r="G4489" s="18"/>
      <c r="H4489" s="18"/>
      <c r="I4489" s="18"/>
    </row>
    <row r="4490" ht="20.35" customHeight="1">
      <c r="A4490" s="10">
        <v>45649</v>
      </c>
      <c r="B4490" t="s" s="11">
        <v>5</v>
      </c>
      <c r="C4490" t="s" s="12">
        <v>96</v>
      </c>
      <c r="D4490" s="13">
        <v>50000</v>
      </c>
      <c r="E4490" s="13"/>
      <c r="F4490" s="14"/>
      <c r="G4490" s="14"/>
      <c r="H4490" s="14"/>
      <c r="I4490" s="14"/>
    </row>
    <row r="4491" ht="20.7" customHeight="1">
      <c r="A4491" s="10">
        <v>45649</v>
      </c>
      <c r="B4491" t="s" s="11">
        <v>8</v>
      </c>
      <c r="C4491" t="s" s="12">
        <v>8</v>
      </c>
      <c r="D4491" s="15" cm="1">
        <f t="array" ref="D4491">SUM(D4489:D4490)</f>
        <v>50000</v>
      </c>
      <c r="E4491" s="15" cm="1">
        <f t="array" ref="E4491">SUM(E4489:E4490)</f>
        <v>50000</v>
      </c>
      <c r="F4491" s="16" cm="1">
        <f t="array" ref="F4491">SUM(F4489:F4490)</f>
        <v>0</v>
      </c>
      <c r="G4491" s="16" cm="1">
        <f t="array" ref="G4491">SUM(G4489:G4490)</f>
        <v>0</v>
      </c>
      <c r="H4491" s="16" cm="1">
        <f t="array" ref="H4491">SUM(H4489:H4490)</f>
        <v>0</v>
      </c>
      <c r="I4491" s="16" cm="1">
        <f t="array" ref="I4491">SUM(I4489:I4490)</f>
        <v>0</v>
      </c>
    </row>
    <row r="4492" ht="21.25" customHeight="1">
      <c r="A4492" s="10">
        <v>45649</v>
      </c>
      <c r="B4492" t="s" s="11">
        <v>86</v>
      </c>
      <c r="C4492" t="s" s="12">
        <v>713</v>
      </c>
      <c r="D4492" s="17">
        <v>22000</v>
      </c>
      <c r="E4492" s="17"/>
      <c r="F4492" s="18"/>
      <c r="G4492" s="18"/>
      <c r="H4492" s="18"/>
      <c r="I4492" s="18"/>
    </row>
    <row r="4493" ht="21.25" customHeight="1">
      <c r="A4493" s="10">
        <v>45649</v>
      </c>
      <c r="B4493" t="s" s="11">
        <v>5</v>
      </c>
      <c r="C4493" t="s" s="12">
        <v>713</v>
      </c>
      <c r="D4493" s="13"/>
      <c r="E4493" s="13">
        <v>22000</v>
      </c>
      <c r="F4493" s="14"/>
      <c r="G4493" s="14"/>
      <c r="H4493" s="14"/>
      <c r="I4493" s="14"/>
    </row>
    <row r="4494" ht="20.7" customHeight="1">
      <c r="A4494" s="10">
        <v>45649</v>
      </c>
      <c r="B4494" t="s" s="11">
        <v>8</v>
      </c>
      <c r="C4494" t="s" s="12">
        <v>8</v>
      </c>
      <c r="D4494" s="15" cm="1">
        <f t="array" ref="D4494">SUM(D4492:D4493)</f>
        <v>22000</v>
      </c>
      <c r="E4494" s="15" cm="1">
        <f t="array" ref="E4494">SUM(E4492:E4493)</f>
        <v>22000</v>
      </c>
      <c r="F4494" s="16" cm="1">
        <f t="array" ref="F4494">SUM(F4492:F4493)</f>
        <v>0</v>
      </c>
      <c r="G4494" s="16" cm="1">
        <f t="array" ref="G4494">SUM(G4492:G4493)</f>
        <v>0</v>
      </c>
      <c r="H4494" s="16" cm="1">
        <f t="array" ref="H4494">SUM(H4492:H4493)</f>
        <v>0</v>
      </c>
      <c r="I4494" s="16" cm="1">
        <f t="array" ref="I4494">SUM(I4492:I4493)</f>
        <v>0</v>
      </c>
    </row>
    <row r="4495" ht="20.65" customHeight="1">
      <c r="A4495" s="10">
        <v>45649</v>
      </c>
      <c r="B4495" t="s" s="11">
        <v>12</v>
      </c>
      <c r="C4495" t="s" s="12">
        <v>745</v>
      </c>
      <c r="D4495" s="17">
        <v>12850</v>
      </c>
      <c r="E4495" s="17"/>
      <c r="F4495" s="18"/>
      <c r="G4495" s="18"/>
      <c r="H4495" s="18"/>
      <c r="I4495" s="18"/>
    </row>
    <row r="4496" ht="20.65" customHeight="1">
      <c r="A4496" s="10">
        <v>45649</v>
      </c>
      <c r="B4496" t="s" s="11">
        <v>5</v>
      </c>
      <c r="C4496" t="s" s="12">
        <v>745</v>
      </c>
      <c r="D4496" s="13"/>
      <c r="E4496" s="13">
        <v>12850</v>
      </c>
      <c r="F4496" s="14"/>
      <c r="G4496" s="14"/>
      <c r="H4496" s="14"/>
      <c r="I4496" s="14"/>
    </row>
    <row r="4497" ht="20.7" customHeight="1">
      <c r="A4497" s="10">
        <v>45649</v>
      </c>
      <c r="B4497" t="s" s="11">
        <v>8</v>
      </c>
      <c r="C4497" t="s" s="12">
        <v>8</v>
      </c>
      <c r="D4497" s="15" cm="1">
        <f t="array" ref="D4497">SUM(D4495:D4496)</f>
        <v>12850</v>
      </c>
      <c r="E4497" s="15" cm="1">
        <f t="array" ref="E4497">SUM(E4495:E4496)</f>
        <v>12850</v>
      </c>
      <c r="F4497" s="16" cm="1">
        <f t="array" ref="F4497">SUM(F4495:F4496)</f>
        <v>0</v>
      </c>
      <c r="G4497" s="16" cm="1">
        <f t="array" ref="G4497">SUM(G4495:G4496)</f>
        <v>0</v>
      </c>
      <c r="H4497" s="16" cm="1">
        <f t="array" ref="H4497">SUM(H4495:H4496)</f>
        <v>0</v>
      </c>
      <c r="I4497" s="16" cm="1">
        <f t="array" ref="I4497">SUM(I4495:I4496)</f>
        <v>0</v>
      </c>
    </row>
    <row r="4498" ht="20.35" customHeight="1">
      <c r="A4498" s="10">
        <v>45649</v>
      </c>
      <c r="B4498" t="s" s="11">
        <v>10</v>
      </c>
      <c r="C4498" t="s" s="12">
        <v>8</v>
      </c>
      <c r="D4498" s="17">
        <v>16900</v>
      </c>
      <c r="E4498" s="17"/>
      <c r="F4498" s="18"/>
      <c r="G4498" s="18"/>
      <c r="H4498" s="18"/>
      <c r="I4498" s="18"/>
    </row>
    <row r="4499" ht="21.25" customHeight="1">
      <c r="A4499" s="10">
        <v>45649</v>
      </c>
      <c r="B4499" t="s" s="11">
        <v>5</v>
      </c>
      <c r="C4499" t="s" s="12">
        <v>744</v>
      </c>
      <c r="D4499" s="13"/>
      <c r="E4499" s="13">
        <v>16900</v>
      </c>
      <c r="F4499" s="14"/>
      <c r="G4499" s="14"/>
      <c r="H4499" s="14"/>
      <c r="I4499" s="14"/>
    </row>
    <row r="4500" ht="20.7" customHeight="1">
      <c r="A4500" s="10">
        <v>45649</v>
      </c>
      <c r="B4500" t="s" s="11">
        <v>8</v>
      </c>
      <c r="C4500" t="s" s="12">
        <v>8</v>
      </c>
      <c r="D4500" s="15" cm="1">
        <f t="array" ref="D4500">SUM(D4498:D4499)</f>
        <v>16900</v>
      </c>
      <c r="E4500" s="15" cm="1">
        <f t="array" ref="E4500">SUM(E4498:E4499)</f>
        <v>16900</v>
      </c>
      <c r="F4500" s="16" cm="1">
        <f t="array" ref="F4500">SUM(F4498:F4499)</f>
        <v>0</v>
      </c>
      <c r="G4500" s="16" cm="1">
        <f t="array" ref="G4500">SUM(G4498:G4499)</f>
        <v>0</v>
      </c>
      <c r="H4500" s="16" cm="1">
        <f t="array" ref="H4500">SUM(H4498:H4499)</f>
        <v>0</v>
      </c>
      <c r="I4500" s="16" cm="1">
        <f t="array" ref="I4500">SUM(I4498:I4499)</f>
        <v>0</v>
      </c>
    </row>
    <row r="4501" ht="20.35" customHeight="1">
      <c r="A4501" s="10">
        <v>45649</v>
      </c>
      <c r="B4501" t="s" s="11">
        <v>5</v>
      </c>
      <c r="C4501" t="s" s="12">
        <v>17</v>
      </c>
      <c r="D4501" s="17">
        <v>500</v>
      </c>
      <c r="E4501" s="17"/>
      <c r="F4501" s="18"/>
      <c r="G4501" s="18"/>
      <c r="H4501" s="18"/>
      <c r="I4501" s="18"/>
    </row>
    <row r="4502" ht="20.35" customHeight="1">
      <c r="A4502" s="10">
        <v>45649</v>
      </c>
      <c r="B4502" t="s" s="11">
        <v>18</v>
      </c>
      <c r="C4502" t="s" s="12">
        <v>17</v>
      </c>
      <c r="D4502" s="13"/>
      <c r="E4502" s="13">
        <v>500</v>
      </c>
      <c r="F4502" s="14"/>
      <c r="G4502" s="14"/>
      <c r="H4502" s="14"/>
      <c r="I4502" s="14"/>
    </row>
    <row r="4503" ht="20.7" customHeight="1">
      <c r="A4503" s="10">
        <v>45649</v>
      </c>
      <c r="B4503" t="s" s="11">
        <v>8</v>
      </c>
      <c r="C4503" t="s" s="12">
        <v>8</v>
      </c>
      <c r="D4503" s="15" cm="1">
        <f t="array" ref="D4503">SUM(D4501:D4502)</f>
        <v>500</v>
      </c>
      <c r="E4503" s="15" cm="1">
        <f t="array" ref="E4503">SUM(E4501:E4502)</f>
        <v>500</v>
      </c>
      <c r="F4503" s="16" cm="1">
        <f t="array" ref="F4503">SUM(F4501:F4502)</f>
        <v>0</v>
      </c>
      <c r="G4503" s="16" cm="1">
        <f t="array" ref="G4503">SUM(G4501:G4502)</f>
        <v>0</v>
      </c>
      <c r="H4503" s="16" cm="1">
        <f t="array" ref="H4503">SUM(H4501:H4502)</f>
        <v>0</v>
      </c>
      <c r="I4503" s="16" cm="1">
        <f t="array" ref="I4503">SUM(I4501:I4502)</f>
        <v>0</v>
      </c>
    </row>
    <row r="4504" ht="20.35" customHeight="1">
      <c r="A4504" s="10">
        <v>45649</v>
      </c>
      <c r="B4504" t="s" s="11">
        <v>5</v>
      </c>
      <c r="C4504" t="s" s="12">
        <v>17</v>
      </c>
      <c r="D4504" s="17">
        <v>100</v>
      </c>
      <c r="E4504" s="17"/>
      <c r="F4504" s="18"/>
      <c r="G4504" s="18"/>
      <c r="H4504" s="18"/>
      <c r="I4504" s="18"/>
    </row>
    <row r="4505" ht="20.35" customHeight="1">
      <c r="A4505" s="10">
        <v>45649</v>
      </c>
      <c r="B4505" t="s" s="11">
        <v>18</v>
      </c>
      <c r="C4505" t="s" s="12">
        <v>17</v>
      </c>
      <c r="D4505" s="13"/>
      <c r="E4505" s="13">
        <v>100</v>
      </c>
      <c r="F4505" s="14"/>
      <c r="G4505" s="14"/>
      <c r="H4505" s="14"/>
      <c r="I4505" s="14"/>
    </row>
    <row r="4506" ht="20.7" customHeight="1">
      <c r="A4506" s="10">
        <v>45649</v>
      </c>
      <c r="B4506" t="s" s="11">
        <v>8</v>
      </c>
      <c r="C4506" t="s" s="12">
        <v>8</v>
      </c>
      <c r="D4506" s="15" cm="1">
        <f t="array" ref="D4506">SUM(D4504:D4505)</f>
        <v>100</v>
      </c>
      <c r="E4506" s="15" cm="1">
        <f t="array" ref="E4506">SUM(E4504:E4505)</f>
        <v>100</v>
      </c>
      <c r="F4506" s="16" cm="1">
        <f t="array" ref="F4506">SUM(F4504:F4505)</f>
        <v>0</v>
      </c>
      <c r="G4506" s="16" cm="1">
        <f t="array" ref="G4506">SUM(G4504:G4505)</f>
        <v>0</v>
      </c>
      <c r="H4506" s="16" cm="1">
        <f t="array" ref="H4506">SUM(H4504:H4505)</f>
        <v>0</v>
      </c>
      <c r="I4506" s="16" cm="1">
        <f t="array" ref="I4506">SUM(I4504:I4505)</f>
        <v>0</v>
      </c>
    </row>
    <row r="4507" ht="20.35" customHeight="1">
      <c r="A4507" s="10">
        <v>45649</v>
      </c>
      <c r="B4507" t="s" s="11">
        <v>39</v>
      </c>
      <c r="C4507" t="s" s="12">
        <v>64</v>
      </c>
      <c r="D4507" s="17"/>
      <c r="E4507" s="17"/>
      <c r="F4507" s="18">
        <v>50</v>
      </c>
      <c r="G4507" s="18"/>
      <c r="H4507" s="18"/>
      <c r="I4507" s="18"/>
    </row>
    <row r="4508" ht="20.35" customHeight="1">
      <c r="A4508" s="10">
        <v>45649</v>
      </c>
      <c r="B4508" t="s" s="11">
        <v>41</v>
      </c>
      <c r="C4508" t="s" s="12">
        <v>64</v>
      </c>
      <c r="D4508" s="13"/>
      <c r="E4508" s="13"/>
      <c r="F4508" s="14"/>
      <c r="G4508" s="14">
        <v>50</v>
      </c>
      <c r="H4508" s="14"/>
      <c r="I4508" s="14"/>
    </row>
    <row r="4509" ht="20.7" customHeight="1">
      <c r="A4509" s="10">
        <v>45649</v>
      </c>
      <c r="B4509" t="s" s="11">
        <v>8</v>
      </c>
      <c r="C4509" t="s" s="12">
        <v>8</v>
      </c>
      <c r="D4509" s="15" cm="1">
        <f t="array" ref="D4509">SUM(D4507:D4508)</f>
        <v>0</v>
      </c>
      <c r="E4509" s="15" cm="1">
        <f t="array" ref="E4509">SUM(E4507:E4508)</f>
        <v>0</v>
      </c>
      <c r="F4509" s="16" cm="1">
        <f t="array" ref="F4509">SUM(F4507:F4508)</f>
        <v>50</v>
      </c>
      <c r="G4509" s="16" cm="1">
        <f t="array" ref="G4509">SUM(G4507:G4508)</f>
        <v>50</v>
      </c>
      <c r="H4509" s="16" cm="1">
        <f t="array" ref="H4509">SUM(H4507:H4508)</f>
        <v>0</v>
      </c>
      <c r="I4509" s="16" cm="1">
        <f t="array" ref="I4509">SUM(I4507:I4508)</f>
        <v>0</v>
      </c>
    </row>
    <row r="4510" ht="20.35" customHeight="1">
      <c r="A4510" s="10">
        <v>45649</v>
      </c>
      <c r="B4510" t="s" s="11">
        <v>39</v>
      </c>
      <c r="C4510" t="s" s="12">
        <v>68</v>
      </c>
      <c r="D4510" s="17"/>
      <c r="E4510" s="17"/>
      <c r="F4510" s="18"/>
      <c r="G4510" s="18">
        <v>8.49</v>
      </c>
      <c r="H4510" s="18"/>
      <c r="I4510" s="18"/>
    </row>
    <row r="4511" ht="20.35" customHeight="1">
      <c r="A4511" s="10">
        <v>45649</v>
      </c>
      <c r="B4511" t="s" s="11">
        <v>44</v>
      </c>
      <c r="C4511" t="s" s="12">
        <v>68</v>
      </c>
      <c r="D4511" s="13"/>
      <c r="E4511" s="13"/>
      <c r="F4511" s="14">
        <v>8.49</v>
      </c>
      <c r="G4511" s="14"/>
      <c r="H4511" s="14"/>
      <c r="I4511" s="14"/>
    </row>
    <row r="4512" ht="20.7" customHeight="1">
      <c r="A4512" s="10">
        <v>45649</v>
      </c>
      <c r="B4512" t="s" s="11">
        <v>8</v>
      </c>
      <c r="C4512" t="s" s="12">
        <v>8</v>
      </c>
      <c r="D4512" s="15" cm="1">
        <f t="array" ref="D4512">SUM(D4510:D4511)</f>
        <v>0</v>
      </c>
      <c r="E4512" s="15" cm="1">
        <f t="array" ref="E4512">SUM(E4510:E4511)</f>
        <v>0</v>
      </c>
      <c r="F4512" s="16" cm="1">
        <f t="array" ref="F4512">SUM(F4510:F4511)</f>
        <v>8.49</v>
      </c>
      <c r="G4512" s="16" cm="1">
        <f t="array" ref="G4512">SUM(G4510:G4511)</f>
        <v>8.49</v>
      </c>
      <c r="H4512" s="16" cm="1">
        <f t="array" ref="H4512">SUM(H4510:H4511)</f>
        <v>0</v>
      </c>
      <c r="I4512" s="16" cm="1">
        <f t="array" ref="I4512">SUM(I4510:I4511)</f>
        <v>0</v>
      </c>
    </row>
    <row r="4513" ht="21.25" customHeight="1">
      <c r="A4513" s="10">
        <v>45649</v>
      </c>
      <c r="B4513" t="s" s="11">
        <v>21</v>
      </c>
      <c r="C4513" t="s" s="12">
        <v>746</v>
      </c>
      <c r="D4513" s="17"/>
      <c r="E4513" s="17">
        <v>2800</v>
      </c>
      <c r="F4513" s="18"/>
      <c r="G4513" s="18"/>
      <c r="H4513" s="18"/>
      <c r="I4513" s="18"/>
    </row>
    <row r="4514" ht="21.25" customHeight="1">
      <c r="A4514" s="10">
        <v>45649</v>
      </c>
      <c r="B4514" t="s" s="11">
        <v>16</v>
      </c>
      <c r="C4514" t="s" s="12">
        <v>746</v>
      </c>
      <c r="D4514" s="13">
        <v>2800</v>
      </c>
      <c r="E4514" s="13"/>
      <c r="F4514" s="14"/>
      <c r="G4514" s="14"/>
      <c r="H4514" s="14"/>
      <c r="I4514" s="14"/>
    </row>
    <row r="4515" ht="20.7" customHeight="1">
      <c r="A4515" s="10">
        <v>45649</v>
      </c>
      <c r="B4515" t="s" s="11">
        <v>8</v>
      </c>
      <c r="C4515" t="s" s="12">
        <v>8</v>
      </c>
      <c r="D4515" s="15" cm="1">
        <f t="array" ref="D4515">SUM(D4513:D4514)</f>
        <v>2800</v>
      </c>
      <c r="E4515" s="15" cm="1">
        <f t="array" ref="E4515">SUM(E4513:E4514)</f>
        <v>2800</v>
      </c>
      <c r="F4515" s="16" cm="1">
        <f t="array" ref="F4515">SUM(F4513:F4514)</f>
        <v>0</v>
      </c>
      <c r="G4515" s="16" cm="1">
        <f t="array" ref="G4515">SUM(G4513:G4514)</f>
        <v>0</v>
      </c>
      <c r="H4515" s="16" cm="1">
        <f t="array" ref="H4515">SUM(H4513:H4514)</f>
        <v>0</v>
      </c>
      <c r="I4515" s="16" cm="1">
        <f t="array" ref="I4515">SUM(I4513:I4514)</f>
        <v>0</v>
      </c>
    </row>
    <row r="4516" ht="20.35" customHeight="1">
      <c r="A4516" s="10">
        <v>45650</v>
      </c>
      <c r="B4516" t="s" s="11">
        <v>5</v>
      </c>
      <c r="C4516" t="s" s="12">
        <v>747</v>
      </c>
      <c r="D4516" s="17">
        <v>50000</v>
      </c>
      <c r="E4516" s="17"/>
      <c r="F4516" s="18"/>
      <c r="G4516" s="18"/>
      <c r="H4516" s="18"/>
      <c r="I4516" s="18"/>
    </row>
    <row r="4517" ht="20.35" customHeight="1">
      <c r="A4517" s="10">
        <v>45650</v>
      </c>
      <c r="B4517" t="s" s="11">
        <v>91</v>
      </c>
      <c r="C4517" t="s" s="12">
        <v>747</v>
      </c>
      <c r="D4517" s="13"/>
      <c r="E4517" s="13">
        <v>50000</v>
      </c>
      <c r="F4517" s="14"/>
      <c r="G4517" s="14"/>
      <c r="H4517" s="14"/>
      <c r="I4517" s="14"/>
    </row>
    <row r="4518" ht="20.7" customHeight="1">
      <c r="A4518" s="10">
        <v>45650</v>
      </c>
      <c r="B4518" t="s" s="11">
        <v>8</v>
      </c>
      <c r="C4518" t="s" s="12">
        <v>8</v>
      </c>
      <c r="D4518" s="15" cm="1">
        <f t="array" ref="D4518">SUM(D4516:D4517)</f>
        <v>50000</v>
      </c>
      <c r="E4518" s="15" cm="1">
        <f t="array" ref="E4518">SUM(E4516:E4517)</f>
        <v>50000</v>
      </c>
      <c r="F4518" s="16" cm="1">
        <f t="array" ref="F4518">SUM(F4516:F4517)</f>
        <v>0</v>
      </c>
      <c r="G4518" s="16" cm="1">
        <f t="array" ref="G4518">SUM(G4516:G4517)</f>
        <v>0</v>
      </c>
      <c r="H4518" s="16" cm="1">
        <f t="array" ref="H4518">SUM(H4516:H4517)</f>
        <v>0</v>
      </c>
      <c r="I4518" s="16" cm="1">
        <f t="array" ref="I4518">SUM(I4516:I4517)</f>
        <v>0</v>
      </c>
    </row>
    <row r="4519" ht="20.65" customHeight="1">
      <c r="A4519" s="10">
        <v>45650</v>
      </c>
      <c r="B4519" t="s" s="11">
        <v>12</v>
      </c>
      <c r="C4519" t="s" s="12">
        <v>722</v>
      </c>
      <c r="D4519" s="17">
        <v>1800</v>
      </c>
      <c r="E4519" s="17"/>
      <c r="F4519" s="18"/>
      <c r="G4519" s="18"/>
      <c r="H4519" s="18"/>
      <c r="I4519" s="18"/>
    </row>
    <row r="4520" ht="20.65" customHeight="1">
      <c r="A4520" s="10">
        <v>45650</v>
      </c>
      <c r="B4520" t="s" s="11">
        <v>5</v>
      </c>
      <c r="C4520" t="s" s="12">
        <v>722</v>
      </c>
      <c r="D4520" s="13"/>
      <c r="E4520" s="13">
        <v>1800</v>
      </c>
      <c r="F4520" s="14"/>
      <c r="G4520" s="14"/>
      <c r="H4520" s="14"/>
      <c r="I4520" s="14"/>
    </row>
    <row r="4521" ht="20.7" customHeight="1">
      <c r="A4521" s="10">
        <v>45650</v>
      </c>
      <c r="B4521" t="s" s="11">
        <v>8</v>
      </c>
      <c r="C4521" t="s" s="12">
        <v>8</v>
      </c>
      <c r="D4521" s="15" cm="1">
        <f t="array" ref="D4521">SUM(D4519:D4520)</f>
        <v>1800</v>
      </c>
      <c r="E4521" s="15" cm="1">
        <f t="array" ref="E4521">SUM(E4519:E4520)</f>
        <v>1800</v>
      </c>
      <c r="F4521" s="16" cm="1">
        <f t="array" ref="F4521">SUM(F4519:F4520)</f>
        <v>0</v>
      </c>
      <c r="G4521" s="16" cm="1">
        <f t="array" ref="G4521">SUM(G4519:G4520)</f>
        <v>0</v>
      </c>
      <c r="H4521" s="16" cm="1">
        <f t="array" ref="H4521">SUM(H4519:H4520)</f>
        <v>0</v>
      </c>
      <c r="I4521" s="16" cm="1">
        <f t="array" ref="I4521">SUM(I4519:I4520)</f>
        <v>0</v>
      </c>
    </row>
    <row r="4522" ht="20.35" customHeight="1">
      <c r="A4522" s="10">
        <v>45650</v>
      </c>
      <c r="B4522" t="s" s="11">
        <v>5</v>
      </c>
      <c r="C4522" t="s" s="12">
        <v>17</v>
      </c>
      <c r="D4522" s="17">
        <v>100</v>
      </c>
      <c r="E4522" s="17"/>
      <c r="F4522" s="18"/>
      <c r="G4522" s="18"/>
      <c r="H4522" s="18"/>
      <c r="I4522" s="18"/>
    </row>
    <row r="4523" ht="20.35" customHeight="1">
      <c r="A4523" s="10">
        <v>45650</v>
      </c>
      <c r="B4523" t="s" s="11">
        <v>18</v>
      </c>
      <c r="C4523" t="s" s="12">
        <v>17</v>
      </c>
      <c r="D4523" s="13"/>
      <c r="E4523" s="13">
        <v>100</v>
      </c>
      <c r="F4523" s="14"/>
      <c r="G4523" s="14"/>
      <c r="H4523" s="14"/>
      <c r="I4523" s="14"/>
    </row>
    <row r="4524" ht="20.7" customHeight="1">
      <c r="A4524" s="10">
        <v>45650</v>
      </c>
      <c r="B4524" t="s" s="11">
        <v>8</v>
      </c>
      <c r="C4524" t="s" s="12">
        <v>8</v>
      </c>
      <c r="D4524" s="15" cm="1">
        <f t="array" ref="D4524">SUM(D4522:D4523)</f>
        <v>100</v>
      </c>
      <c r="E4524" s="15" cm="1">
        <f t="array" ref="E4524">SUM(E4522:E4523)</f>
        <v>100</v>
      </c>
      <c r="F4524" s="16" cm="1">
        <f t="array" ref="F4524">SUM(F4522:F4523)</f>
        <v>0</v>
      </c>
      <c r="G4524" s="16" cm="1">
        <f t="array" ref="G4524">SUM(G4522:G4523)</f>
        <v>0</v>
      </c>
      <c r="H4524" s="16" cm="1">
        <f t="array" ref="H4524">SUM(H4522:H4523)</f>
        <v>0</v>
      </c>
      <c r="I4524" s="16" cm="1">
        <f t="array" ref="I4524">SUM(I4522:I4523)</f>
        <v>0</v>
      </c>
    </row>
    <row r="4525" ht="20.35" customHeight="1">
      <c r="A4525" s="10">
        <v>45650</v>
      </c>
      <c r="B4525" t="s" s="11">
        <v>12</v>
      </c>
      <c r="C4525" t="s" s="12">
        <v>748</v>
      </c>
      <c r="D4525" s="17">
        <v>12900</v>
      </c>
      <c r="E4525" s="17"/>
      <c r="F4525" s="18"/>
      <c r="G4525" s="18"/>
      <c r="H4525" s="18"/>
      <c r="I4525" s="18"/>
    </row>
    <row r="4526" ht="20.35" customHeight="1">
      <c r="A4526" s="10">
        <v>45650</v>
      </c>
      <c r="B4526" t="s" s="11">
        <v>21</v>
      </c>
      <c r="C4526" t="s" s="12">
        <v>748</v>
      </c>
      <c r="D4526" s="13"/>
      <c r="E4526" s="13">
        <v>12900</v>
      </c>
      <c r="F4526" s="14"/>
      <c r="G4526" s="14"/>
      <c r="H4526" s="14"/>
      <c r="I4526" s="14"/>
    </row>
    <row r="4527" ht="20.7" customHeight="1">
      <c r="A4527" s="10">
        <v>45650</v>
      </c>
      <c r="B4527" t="s" s="11">
        <v>8</v>
      </c>
      <c r="C4527" t="s" s="12">
        <v>8</v>
      </c>
      <c r="D4527" s="15" cm="1">
        <f t="array" ref="D4527">SUM(D4525:D4526)</f>
        <v>12900</v>
      </c>
      <c r="E4527" s="15" cm="1">
        <f t="array" ref="E4527">SUM(E4525:E4526)</f>
        <v>12900</v>
      </c>
      <c r="F4527" s="16" cm="1">
        <f t="array" ref="F4527">SUM(F4525:F4526)</f>
        <v>0</v>
      </c>
      <c r="G4527" s="16" cm="1">
        <f t="array" ref="G4527">SUM(G4525:G4526)</f>
        <v>0</v>
      </c>
      <c r="H4527" s="16" cm="1">
        <f t="array" ref="H4527">SUM(H4525:H4526)</f>
        <v>0</v>
      </c>
      <c r="I4527" s="16" cm="1">
        <f t="array" ref="I4527">SUM(I4525:I4526)</f>
        <v>0</v>
      </c>
    </row>
    <row r="4528" ht="20.35" customHeight="1">
      <c r="A4528" s="10">
        <v>45650</v>
      </c>
      <c r="B4528" t="s" s="11">
        <v>93</v>
      </c>
      <c r="C4528" t="s" s="12">
        <v>604</v>
      </c>
      <c r="D4528" s="17">
        <v>10000</v>
      </c>
      <c r="E4528" s="17"/>
      <c r="F4528" s="18"/>
      <c r="G4528" s="18"/>
      <c r="H4528" s="18"/>
      <c r="I4528" s="18"/>
    </row>
    <row r="4529" ht="20.35" customHeight="1">
      <c r="A4529" s="10">
        <v>45650</v>
      </c>
      <c r="B4529" t="s" s="11">
        <v>5</v>
      </c>
      <c r="C4529" t="s" s="12">
        <v>604</v>
      </c>
      <c r="D4529" s="13"/>
      <c r="E4529" s="13">
        <v>10000</v>
      </c>
      <c r="F4529" s="14"/>
      <c r="G4529" s="14"/>
      <c r="H4529" s="14"/>
      <c r="I4529" s="14"/>
    </row>
    <row r="4530" ht="20.7" customHeight="1">
      <c r="A4530" s="10">
        <v>45650</v>
      </c>
      <c r="B4530" t="s" s="11">
        <v>8</v>
      </c>
      <c r="C4530" t="s" s="12">
        <v>8</v>
      </c>
      <c r="D4530" s="15" cm="1">
        <f t="array" ref="D4530">SUM(D4528:D4529)</f>
        <v>10000</v>
      </c>
      <c r="E4530" s="15" cm="1">
        <f t="array" ref="E4530">SUM(E4528:E4529)</f>
        <v>10000</v>
      </c>
      <c r="F4530" s="16" cm="1">
        <f t="array" ref="F4530">SUM(F4528:F4529)</f>
        <v>0</v>
      </c>
      <c r="G4530" s="16" cm="1">
        <f t="array" ref="G4530">SUM(G4528:G4529)</f>
        <v>0</v>
      </c>
      <c r="H4530" s="16" cm="1">
        <f t="array" ref="H4530">SUM(H4528:H4529)</f>
        <v>0</v>
      </c>
      <c r="I4530" s="16" cm="1">
        <f t="array" ref="I4530">SUM(I4528:I4529)</f>
        <v>0</v>
      </c>
    </row>
    <row r="4531" ht="20.35" customHeight="1">
      <c r="A4531" s="10">
        <v>45650</v>
      </c>
      <c r="B4531" t="s" s="11">
        <v>93</v>
      </c>
      <c r="C4531" t="s" s="12">
        <v>749</v>
      </c>
      <c r="D4531" s="17"/>
      <c r="E4531" s="17">
        <v>12900</v>
      </c>
      <c r="F4531" s="18"/>
      <c r="G4531" s="18"/>
      <c r="H4531" s="18"/>
      <c r="I4531" s="18"/>
    </row>
    <row r="4532" ht="20.35" customHeight="1">
      <c r="A4532" s="10">
        <v>45650</v>
      </c>
      <c r="B4532" t="s" s="11">
        <v>21</v>
      </c>
      <c r="C4532" t="s" s="12">
        <v>749</v>
      </c>
      <c r="D4532" s="13">
        <v>12900</v>
      </c>
      <c r="E4532" s="13"/>
      <c r="F4532" s="14"/>
      <c r="G4532" s="14"/>
      <c r="H4532" s="14"/>
      <c r="I4532" s="14"/>
    </row>
    <row r="4533" ht="20.7" customHeight="1">
      <c r="A4533" s="10">
        <v>45650</v>
      </c>
      <c r="B4533" t="s" s="11">
        <v>8</v>
      </c>
      <c r="C4533" t="s" s="12">
        <v>8</v>
      </c>
      <c r="D4533" s="15" cm="1">
        <f t="array" ref="D4533">SUM(D4531:D4532)</f>
        <v>12900</v>
      </c>
      <c r="E4533" s="15" cm="1">
        <f t="array" ref="E4533">SUM(E4531:E4532)</f>
        <v>12900</v>
      </c>
      <c r="F4533" s="16" cm="1">
        <f t="array" ref="F4533">SUM(F4531:F4532)</f>
        <v>0</v>
      </c>
      <c r="G4533" s="16" cm="1">
        <f t="array" ref="G4533">SUM(G4531:G4532)</f>
        <v>0</v>
      </c>
      <c r="H4533" s="16" cm="1">
        <f t="array" ref="H4533">SUM(H4531:H4532)</f>
        <v>0</v>
      </c>
      <c r="I4533" s="16" cm="1">
        <f t="array" ref="I4533">SUM(I4531:I4532)</f>
        <v>0</v>
      </c>
    </row>
    <row r="4534" ht="21.25" customHeight="1">
      <c r="A4534" s="10">
        <v>45650</v>
      </c>
      <c r="B4534" t="s" s="11">
        <v>21</v>
      </c>
      <c r="C4534" t="s" s="12">
        <v>750</v>
      </c>
      <c r="D4534" s="17"/>
      <c r="E4534" s="17">
        <v>1500</v>
      </c>
      <c r="F4534" s="18"/>
      <c r="G4534" s="18"/>
      <c r="H4534" s="18"/>
      <c r="I4534" s="18"/>
    </row>
    <row r="4535" ht="21.25" customHeight="1">
      <c r="A4535" s="10">
        <v>45650</v>
      </c>
      <c r="B4535" t="s" s="11">
        <v>16</v>
      </c>
      <c r="C4535" t="s" s="12">
        <v>750</v>
      </c>
      <c r="D4535" s="13">
        <v>1500</v>
      </c>
      <c r="E4535" s="13"/>
      <c r="F4535" s="14"/>
      <c r="G4535" s="14"/>
      <c r="H4535" s="14"/>
      <c r="I4535" s="14"/>
    </row>
    <row r="4536" ht="20.7" customHeight="1">
      <c r="A4536" s="10">
        <v>45650</v>
      </c>
      <c r="B4536" t="s" s="11">
        <v>8</v>
      </c>
      <c r="C4536" t="s" s="12">
        <v>8</v>
      </c>
      <c r="D4536" s="15" cm="1">
        <f t="array" ref="D4536">SUM(D4534:D4535)</f>
        <v>1500</v>
      </c>
      <c r="E4536" s="15" cm="1">
        <f t="array" ref="E4536">SUM(E4534:E4535)</f>
        <v>1500</v>
      </c>
      <c r="F4536" s="16" cm="1">
        <f t="array" ref="F4536">SUM(F4534:F4535)</f>
        <v>0</v>
      </c>
      <c r="G4536" s="16" cm="1">
        <f t="array" ref="G4536">SUM(G4534:G4535)</f>
        <v>0</v>
      </c>
      <c r="H4536" s="16" cm="1">
        <f t="array" ref="H4536">SUM(H4534:H4535)</f>
        <v>0</v>
      </c>
      <c r="I4536" s="16" cm="1">
        <f t="array" ref="I4536">SUM(I4534:I4535)</f>
        <v>0</v>
      </c>
    </row>
    <row r="4537" ht="20.35" customHeight="1">
      <c r="A4537" s="10">
        <v>45651</v>
      </c>
      <c r="B4537" t="s" s="11">
        <v>12</v>
      </c>
      <c r="C4537" t="s" s="12">
        <v>751</v>
      </c>
      <c r="D4537" s="17">
        <v>7800</v>
      </c>
      <c r="E4537" s="17"/>
      <c r="F4537" s="18"/>
      <c r="G4537" s="18"/>
      <c r="H4537" s="18"/>
      <c r="I4537" s="18"/>
    </row>
    <row r="4538" ht="20.35" customHeight="1">
      <c r="A4538" s="10">
        <v>45651</v>
      </c>
      <c r="B4538" t="s" s="11">
        <v>5</v>
      </c>
      <c r="C4538" t="s" s="12">
        <v>751</v>
      </c>
      <c r="D4538" s="13"/>
      <c r="E4538" s="13">
        <v>7800</v>
      </c>
      <c r="F4538" s="14"/>
      <c r="G4538" s="14"/>
      <c r="H4538" s="14"/>
      <c r="I4538" s="14"/>
    </row>
    <row r="4539" ht="20.7" customHeight="1">
      <c r="A4539" s="10">
        <v>45651</v>
      </c>
      <c r="B4539" t="s" s="11">
        <v>8</v>
      </c>
      <c r="C4539" t="s" s="12">
        <v>8</v>
      </c>
      <c r="D4539" s="15" cm="1">
        <f t="array" ref="D4539">SUM(D4537:D4538)</f>
        <v>7800</v>
      </c>
      <c r="E4539" s="15" cm="1">
        <f t="array" ref="E4539">SUM(E4537:E4538)</f>
        <v>7800</v>
      </c>
      <c r="F4539" s="16" cm="1">
        <f t="array" ref="F4539">SUM(F4537:F4538)</f>
        <v>0</v>
      </c>
      <c r="G4539" s="16" cm="1">
        <f t="array" ref="G4539">SUM(G4537:G4538)</f>
        <v>0</v>
      </c>
      <c r="H4539" s="16" cm="1">
        <f t="array" ref="H4539">SUM(H4537:H4538)</f>
        <v>0</v>
      </c>
      <c r="I4539" s="16" cm="1">
        <f t="array" ref="I4539">SUM(I4537:I4538)</f>
        <v>0</v>
      </c>
    </row>
    <row r="4540" ht="20.35" customHeight="1">
      <c r="A4540" s="10">
        <v>45651</v>
      </c>
      <c r="B4540" t="s" s="11">
        <v>12</v>
      </c>
      <c r="C4540" t="s" s="12">
        <v>751</v>
      </c>
      <c r="D4540" s="17">
        <v>100</v>
      </c>
      <c r="E4540" s="17"/>
      <c r="F4540" s="18"/>
      <c r="G4540" s="18"/>
      <c r="H4540" s="18"/>
      <c r="I4540" s="18"/>
    </row>
    <row r="4541" ht="20.35" customHeight="1">
      <c r="A4541" s="10">
        <v>45651</v>
      </c>
      <c r="B4541" t="s" s="11">
        <v>5</v>
      </c>
      <c r="C4541" t="s" s="12">
        <v>751</v>
      </c>
      <c r="D4541" s="13"/>
      <c r="E4541" s="13">
        <v>100</v>
      </c>
      <c r="F4541" s="14"/>
      <c r="G4541" s="14"/>
      <c r="H4541" s="14"/>
      <c r="I4541" s="14"/>
    </row>
    <row r="4542" ht="20.7" customHeight="1">
      <c r="A4542" s="10">
        <v>45651</v>
      </c>
      <c r="B4542" t="s" s="11">
        <v>8</v>
      </c>
      <c r="C4542" t="s" s="12">
        <v>8</v>
      </c>
      <c r="D4542" s="15" cm="1">
        <f t="array" ref="D4542">SUM(D4540:D4541)</f>
        <v>100</v>
      </c>
      <c r="E4542" s="15" cm="1">
        <f t="array" ref="E4542">SUM(E4540:E4541)</f>
        <v>100</v>
      </c>
      <c r="F4542" s="16" cm="1">
        <f t="array" ref="F4542">SUM(F4540:F4541)</f>
        <v>0</v>
      </c>
      <c r="G4542" s="16" cm="1">
        <f t="array" ref="G4542">SUM(G4540:G4541)</f>
        <v>0</v>
      </c>
      <c r="H4542" s="16" cm="1">
        <f t="array" ref="H4542">SUM(H4540:H4541)</f>
        <v>0</v>
      </c>
      <c r="I4542" s="16" cm="1">
        <f t="array" ref="I4542">SUM(I4540:I4541)</f>
        <v>0</v>
      </c>
    </row>
    <row r="4543" ht="20.35" customHeight="1">
      <c r="A4543" s="10">
        <v>45651</v>
      </c>
      <c r="B4543" t="s" s="11">
        <v>5</v>
      </c>
      <c r="C4543" t="s" s="12">
        <v>17</v>
      </c>
      <c r="D4543" s="17">
        <v>100</v>
      </c>
      <c r="E4543" s="17"/>
      <c r="F4543" s="18"/>
      <c r="G4543" s="18"/>
      <c r="H4543" s="18"/>
      <c r="I4543" s="18"/>
    </row>
    <row r="4544" ht="20.35" customHeight="1">
      <c r="A4544" s="10">
        <v>45651</v>
      </c>
      <c r="B4544" t="s" s="11">
        <v>18</v>
      </c>
      <c r="C4544" t="s" s="12">
        <v>17</v>
      </c>
      <c r="D4544" s="13"/>
      <c r="E4544" s="13">
        <v>100</v>
      </c>
      <c r="F4544" s="14"/>
      <c r="G4544" s="14"/>
      <c r="H4544" s="14"/>
      <c r="I4544" s="14"/>
    </row>
    <row r="4545" ht="20.7" customHeight="1">
      <c r="A4545" s="10">
        <v>45651</v>
      </c>
      <c r="B4545" t="s" s="11">
        <v>8</v>
      </c>
      <c r="C4545" t="s" s="12">
        <v>8</v>
      </c>
      <c r="D4545" s="15" cm="1">
        <f t="array" ref="D4545">SUM(D4543:D4544)</f>
        <v>100</v>
      </c>
      <c r="E4545" s="15" cm="1">
        <f t="array" ref="E4545">SUM(E4543:E4544)</f>
        <v>100</v>
      </c>
      <c r="F4545" s="16" cm="1">
        <f t="array" ref="F4545">SUM(F4543:F4544)</f>
        <v>0</v>
      </c>
      <c r="G4545" s="16" cm="1">
        <f t="array" ref="G4545">SUM(G4543:G4544)</f>
        <v>0</v>
      </c>
      <c r="H4545" s="16" cm="1">
        <f t="array" ref="H4545">SUM(H4543:H4544)</f>
        <v>0</v>
      </c>
      <c r="I4545" s="16" cm="1">
        <f t="array" ref="I4545">SUM(I4543:I4544)</f>
        <v>0</v>
      </c>
    </row>
    <row r="4546" ht="20.35" customHeight="1">
      <c r="A4546" s="10">
        <v>45651</v>
      </c>
      <c r="B4546" t="s" s="11">
        <v>12</v>
      </c>
      <c r="C4546" t="s" s="12">
        <v>53</v>
      </c>
      <c r="D4546" s="17">
        <v>3600</v>
      </c>
      <c r="E4546" s="24"/>
      <c r="F4546" s="18"/>
      <c r="G4546" s="18"/>
      <c r="H4546" s="18"/>
      <c r="I4546" s="18"/>
    </row>
    <row r="4547" ht="20.35" customHeight="1">
      <c r="A4547" s="10">
        <v>45651</v>
      </c>
      <c r="B4547" t="s" s="11">
        <v>5</v>
      </c>
      <c r="C4547" t="s" s="12">
        <v>53</v>
      </c>
      <c r="D4547" s="13"/>
      <c r="E4547" s="13">
        <v>3600</v>
      </c>
      <c r="F4547" s="14"/>
      <c r="G4547" s="14"/>
      <c r="H4547" s="14"/>
      <c r="I4547" s="14"/>
    </row>
    <row r="4548" ht="20.7" customHeight="1">
      <c r="A4548" s="10">
        <v>45651</v>
      </c>
      <c r="B4548" t="s" s="11">
        <v>8</v>
      </c>
      <c r="C4548" t="s" s="12">
        <v>8</v>
      </c>
      <c r="D4548" s="15" cm="1">
        <f t="array" ref="D4548">SUM(D4546:D4547)</f>
        <v>3600</v>
      </c>
      <c r="E4548" s="15" cm="1">
        <f t="array" ref="E4548">SUM(E4546:E4547)</f>
        <v>3600</v>
      </c>
      <c r="F4548" s="16" cm="1">
        <f t="array" ref="F4548">SUM(F4546:F4547)</f>
        <v>0</v>
      </c>
      <c r="G4548" s="16" cm="1">
        <f t="array" ref="G4548">SUM(G4546:G4547)</f>
        <v>0</v>
      </c>
      <c r="H4548" s="16" cm="1">
        <f t="array" ref="H4548">SUM(H4546:H4547)</f>
        <v>0</v>
      </c>
      <c r="I4548" s="16" cm="1">
        <f t="array" ref="I4548">SUM(I4546:I4547)</f>
        <v>0</v>
      </c>
    </row>
    <row r="4549" ht="20.35" customHeight="1">
      <c r="A4549" s="10">
        <v>45651</v>
      </c>
      <c r="B4549" t="s" s="11">
        <v>5</v>
      </c>
      <c r="C4549" t="s" s="12">
        <v>17</v>
      </c>
      <c r="D4549" s="17">
        <v>100</v>
      </c>
      <c r="E4549" s="17"/>
      <c r="F4549" s="18"/>
      <c r="G4549" s="18"/>
      <c r="H4549" s="18"/>
      <c r="I4549" s="18"/>
    </row>
    <row r="4550" ht="20.35" customHeight="1">
      <c r="A4550" s="10">
        <v>45651</v>
      </c>
      <c r="B4550" t="s" s="11">
        <v>18</v>
      </c>
      <c r="C4550" t="s" s="12">
        <v>17</v>
      </c>
      <c r="D4550" s="13"/>
      <c r="E4550" s="13">
        <v>100</v>
      </c>
      <c r="F4550" s="14"/>
      <c r="G4550" s="14"/>
      <c r="H4550" s="14"/>
      <c r="I4550" s="14"/>
    </row>
    <row r="4551" ht="20.7" customHeight="1">
      <c r="A4551" s="10">
        <v>45651</v>
      </c>
      <c r="B4551" t="s" s="11">
        <v>8</v>
      </c>
      <c r="C4551" t="s" s="12">
        <v>8</v>
      </c>
      <c r="D4551" s="15" cm="1">
        <f t="array" ref="D4551">SUM(D4549:D4550)</f>
        <v>100</v>
      </c>
      <c r="E4551" s="15" cm="1">
        <f t="array" ref="E4551">SUM(E4549:E4550)</f>
        <v>100</v>
      </c>
      <c r="F4551" s="16" cm="1">
        <f t="array" ref="F4551">SUM(F4549:F4550)</f>
        <v>0</v>
      </c>
      <c r="G4551" s="16" cm="1">
        <f t="array" ref="G4551">SUM(G4549:G4550)</f>
        <v>0</v>
      </c>
      <c r="H4551" s="16" cm="1">
        <f t="array" ref="H4551">SUM(H4549:H4550)</f>
        <v>0</v>
      </c>
      <c r="I4551" s="16" cm="1">
        <f t="array" ref="I4551">SUM(I4549:I4550)</f>
        <v>0</v>
      </c>
    </row>
    <row r="4552" ht="20.35" customHeight="1">
      <c r="A4552" s="10">
        <v>45651</v>
      </c>
      <c r="B4552" t="s" s="11">
        <v>39</v>
      </c>
      <c r="C4552" t="s" s="12">
        <v>64</v>
      </c>
      <c r="D4552" s="17"/>
      <c r="E4552" s="17"/>
      <c r="F4552" s="18">
        <v>2000</v>
      </c>
      <c r="G4552" s="18"/>
      <c r="H4552" s="18"/>
      <c r="I4552" s="18"/>
    </row>
    <row r="4553" ht="20.35" customHeight="1">
      <c r="A4553" s="10">
        <v>45651</v>
      </c>
      <c r="B4553" t="s" s="11">
        <v>41</v>
      </c>
      <c r="C4553" t="s" s="12">
        <v>64</v>
      </c>
      <c r="D4553" s="13"/>
      <c r="E4553" s="13"/>
      <c r="F4553" s="14"/>
      <c r="G4553" s="14">
        <v>2000</v>
      </c>
      <c r="H4553" s="14"/>
      <c r="I4553" s="14"/>
    </row>
    <row r="4554" ht="20.7" customHeight="1">
      <c r="A4554" s="10">
        <v>45651</v>
      </c>
      <c r="B4554" t="s" s="11">
        <v>8</v>
      </c>
      <c r="C4554" t="s" s="12">
        <v>8</v>
      </c>
      <c r="D4554" s="15" cm="1">
        <f t="array" ref="D4554">SUM(D4552:D4553)</f>
        <v>0</v>
      </c>
      <c r="E4554" s="15" cm="1">
        <f t="array" ref="E4554">SUM(E4552:E4553)</f>
        <v>0</v>
      </c>
      <c r="F4554" s="16" cm="1">
        <f t="array" ref="F4554">SUM(F4552:F4553)</f>
        <v>2000</v>
      </c>
      <c r="G4554" s="16" cm="1">
        <f t="array" ref="G4554">SUM(G4552:G4553)</f>
        <v>2000</v>
      </c>
      <c r="H4554" s="16" cm="1">
        <f t="array" ref="H4554">SUM(H4552:H4553)</f>
        <v>0</v>
      </c>
      <c r="I4554" s="16" cm="1">
        <f t="array" ref="I4554">SUM(I4552:I4553)</f>
        <v>0</v>
      </c>
    </row>
    <row r="4555" ht="20.35" customHeight="1">
      <c r="A4555" s="10">
        <v>45651</v>
      </c>
      <c r="B4555" t="s" s="11">
        <v>39</v>
      </c>
      <c r="C4555" t="s" s="12">
        <v>752</v>
      </c>
      <c r="D4555" s="17"/>
      <c r="E4555" s="17"/>
      <c r="F4555" s="18"/>
      <c r="G4555" s="18">
        <v>2041.51</v>
      </c>
      <c r="H4555" s="18"/>
      <c r="I4555" s="18"/>
    </row>
    <row r="4556" ht="20.05" customHeight="1">
      <c r="A4556" s="10">
        <v>45651</v>
      </c>
      <c r="B4556" t="s" s="11">
        <v>44</v>
      </c>
      <c r="C4556" t="s" s="12">
        <v>752</v>
      </c>
      <c r="D4556" s="19"/>
      <c r="E4556" s="19"/>
      <c r="F4556" s="20">
        <v>2017.49</v>
      </c>
      <c r="G4556" s="20"/>
      <c r="H4556" s="20"/>
      <c r="I4556" s="20"/>
    </row>
    <row r="4557" ht="20.05" customHeight="1">
      <c r="A4557" s="10">
        <v>45651</v>
      </c>
      <c r="B4557" t="s" s="11">
        <v>43</v>
      </c>
      <c r="C4557" t="s" s="12">
        <v>752</v>
      </c>
      <c r="D4557" s="19"/>
      <c r="E4557" s="19"/>
      <c r="F4557" s="20">
        <v>24.02</v>
      </c>
      <c r="G4557" s="20"/>
      <c r="H4557" s="20"/>
      <c r="I4557" s="20"/>
    </row>
    <row r="4558" ht="20.05" customHeight="1">
      <c r="A4558" s="10">
        <v>45651</v>
      </c>
      <c r="B4558" t="s" s="11">
        <v>5</v>
      </c>
      <c r="C4558" t="s" s="12">
        <v>752</v>
      </c>
      <c r="D4558" s="19">
        <v>655898</v>
      </c>
      <c r="E4558" s="19"/>
      <c r="F4558" s="20"/>
      <c r="G4558" s="20"/>
      <c r="H4558" s="20"/>
      <c r="I4558" s="20"/>
    </row>
    <row r="4559" ht="20.35" customHeight="1">
      <c r="A4559" s="10">
        <v>45651</v>
      </c>
      <c r="B4559" t="s" s="11">
        <v>46</v>
      </c>
      <c r="C4559" t="s" s="12">
        <v>752</v>
      </c>
      <c r="D4559" s="13"/>
      <c r="E4559" s="13">
        <v>655898</v>
      </c>
      <c r="F4559" s="14"/>
      <c r="G4559" s="14"/>
      <c r="H4559" s="14"/>
      <c r="I4559" s="14"/>
    </row>
    <row r="4560" ht="20.7" customHeight="1">
      <c r="A4560" s="10">
        <v>45651</v>
      </c>
      <c r="B4560" t="s" s="11">
        <v>8</v>
      </c>
      <c r="C4560" t="s" s="12">
        <v>8</v>
      </c>
      <c r="D4560" s="15" cm="1">
        <f t="array" ref="D4560">SUM(D4555:D4559)</f>
        <v>655898</v>
      </c>
      <c r="E4560" s="15" cm="1">
        <f t="array" ref="E4560">SUM(E4555:E4559)</f>
        <v>655898</v>
      </c>
      <c r="F4560" s="16" cm="1">
        <f t="array" ref="F4560">SUM(F4555:F4559)</f>
        <v>2041.51</v>
      </c>
      <c r="G4560" s="16" cm="1">
        <f t="array" ref="G4560">SUM(G4555:G4559)</f>
        <v>2041.51</v>
      </c>
      <c r="H4560" s="16" cm="1">
        <f t="array" ref="H4560">SUM(H4555:H4559)</f>
        <v>0</v>
      </c>
      <c r="I4560" s="16" cm="1">
        <f t="array" ref="I4560">SUM(I4555:I4559)</f>
        <v>0</v>
      </c>
    </row>
    <row r="4561" ht="20.35" customHeight="1">
      <c r="A4561" s="10">
        <v>45651</v>
      </c>
      <c r="B4561" t="s" s="11">
        <v>5</v>
      </c>
      <c r="C4561" t="s" s="12">
        <v>75</v>
      </c>
      <c r="D4561" s="17"/>
      <c r="E4561" s="17">
        <v>410000</v>
      </c>
      <c r="F4561" s="18"/>
      <c r="G4561" s="18"/>
      <c r="H4561" s="18"/>
      <c r="I4561" s="18"/>
    </row>
    <row r="4562" ht="20.35" customHeight="1">
      <c r="A4562" s="10">
        <v>45651</v>
      </c>
      <c r="B4562" t="s" s="11">
        <v>74</v>
      </c>
      <c r="C4562" t="s" s="12">
        <v>75</v>
      </c>
      <c r="D4562" s="13">
        <v>410000</v>
      </c>
      <c r="E4562" s="13"/>
      <c r="F4562" s="14"/>
      <c r="G4562" s="14"/>
      <c r="H4562" s="14"/>
      <c r="I4562" s="14"/>
    </row>
    <row r="4563" ht="20.7" customHeight="1">
      <c r="A4563" s="10">
        <v>45651</v>
      </c>
      <c r="B4563" t="s" s="11">
        <v>8</v>
      </c>
      <c r="C4563" t="s" s="12">
        <v>8</v>
      </c>
      <c r="D4563" s="15" cm="1">
        <f t="array" ref="D4563">SUM(D4561:D4562)</f>
        <v>410000</v>
      </c>
      <c r="E4563" s="15" cm="1">
        <f t="array" ref="E4563">SUM(E4561:E4562)</f>
        <v>410000</v>
      </c>
      <c r="F4563" s="16" cm="1">
        <f t="array" ref="F4563">SUM(F4561:F4562)</f>
        <v>0</v>
      </c>
      <c r="G4563" s="16" cm="1">
        <f t="array" ref="G4563">SUM(G4561:G4562)</f>
        <v>0</v>
      </c>
      <c r="H4563" s="16" cm="1">
        <f t="array" ref="H4563">SUM(H4561:H4562)</f>
        <v>0</v>
      </c>
      <c r="I4563" s="16" cm="1">
        <f t="array" ref="I4563">SUM(I4561:I4562)</f>
        <v>0</v>
      </c>
    </row>
    <row r="4564" ht="20.65" customHeight="1">
      <c r="A4564" s="10">
        <v>45651</v>
      </c>
      <c r="B4564" t="s" s="11">
        <v>89</v>
      </c>
      <c r="C4564" t="s" s="12">
        <v>738</v>
      </c>
      <c r="D4564" s="17">
        <v>100000</v>
      </c>
      <c r="E4564" s="17"/>
      <c r="F4564" s="18"/>
      <c r="G4564" s="18"/>
      <c r="H4564" s="18"/>
      <c r="I4564" s="18"/>
    </row>
    <row r="4565" ht="20.65" customHeight="1">
      <c r="A4565" s="10">
        <v>45651</v>
      </c>
      <c r="B4565" t="s" s="11">
        <v>5</v>
      </c>
      <c r="C4565" t="s" s="12">
        <v>738</v>
      </c>
      <c r="D4565" s="13"/>
      <c r="E4565" s="13">
        <v>100000</v>
      </c>
      <c r="F4565" s="14"/>
      <c r="G4565" s="14"/>
      <c r="H4565" s="14"/>
      <c r="I4565" s="14"/>
    </row>
    <row r="4566" ht="20.7" customHeight="1">
      <c r="A4566" s="10">
        <v>45651</v>
      </c>
      <c r="B4566" t="s" s="11">
        <v>8</v>
      </c>
      <c r="C4566" t="s" s="12">
        <v>8</v>
      </c>
      <c r="D4566" s="15" cm="1">
        <f t="array" ref="D4566">SUM(D4564:D4565)</f>
        <v>100000</v>
      </c>
      <c r="E4566" s="15" cm="1">
        <f t="array" ref="E4566">SUM(E4564:E4565)</f>
        <v>100000</v>
      </c>
      <c r="F4566" s="16" cm="1">
        <f t="array" ref="F4566">SUM(F4564:F4565)</f>
        <v>0</v>
      </c>
      <c r="G4566" s="16" cm="1">
        <f t="array" ref="G4566">SUM(G4564:G4565)</f>
        <v>0</v>
      </c>
      <c r="H4566" s="16" cm="1">
        <f t="array" ref="H4566">SUM(H4564:H4565)</f>
        <v>0</v>
      </c>
      <c r="I4566" s="16" cm="1">
        <f t="array" ref="I4566">SUM(I4564:I4565)</f>
        <v>0</v>
      </c>
    </row>
    <row r="4567" ht="20.35" customHeight="1">
      <c r="A4567" s="10">
        <v>45651</v>
      </c>
      <c r="B4567" t="s" s="11">
        <v>5</v>
      </c>
      <c r="C4567" t="s" s="12">
        <v>36</v>
      </c>
      <c r="D4567" s="17"/>
      <c r="E4567" s="17">
        <v>50000</v>
      </c>
      <c r="F4567" s="18"/>
      <c r="G4567" s="18"/>
      <c r="H4567" s="18"/>
      <c r="I4567" s="18"/>
    </row>
    <row r="4568" ht="20.35" customHeight="1">
      <c r="A4568" s="10">
        <v>45651</v>
      </c>
      <c r="B4568" t="s" s="11">
        <v>21</v>
      </c>
      <c r="C4568" t="s" s="12">
        <v>36</v>
      </c>
      <c r="D4568" s="13">
        <v>50000</v>
      </c>
      <c r="E4568" s="13"/>
      <c r="F4568" s="14"/>
      <c r="G4568" s="14"/>
      <c r="H4568" s="14"/>
      <c r="I4568" s="14"/>
    </row>
    <row r="4569" ht="20.7" customHeight="1">
      <c r="A4569" s="10">
        <v>45651</v>
      </c>
      <c r="B4569" t="s" s="11">
        <v>8</v>
      </c>
      <c r="C4569" t="s" s="12">
        <v>8</v>
      </c>
      <c r="D4569" s="15" cm="1">
        <f t="array" ref="D4569">SUM(D4567:D4568)</f>
        <v>50000</v>
      </c>
      <c r="E4569" s="15" cm="1">
        <f t="array" ref="E4569">SUM(E4567:E4568)</f>
        <v>50000</v>
      </c>
      <c r="F4569" s="16" cm="1">
        <f t="array" ref="F4569">SUM(F4567:F4568)</f>
        <v>0</v>
      </c>
      <c r="G4569" s="16" cm="1">
        <f t="array" ref="G4569">SUM(G4567:G4568)</f>
        <v>0</v>
      </c>
      <c r="H4569" s="16" cm="1">
        <f t="array" ref="H4569">SUM(H4567:H4568)</f>
        <v>0</v>
      </c>
      <c r="I4569" s="16" cm="1">
        <f t="array" ref="I4569">SUM(I4567:I4568)</f>
        <v>0</v>
      </c>
    </row>
    <row r="4570" ht="20.35" customHeight="1">
      <c r="A4570" s="10">
        <v>45652</v>
      </c>
      <c r="B4570" t="s" s="11">
        <v>5</v>
      </c>
      <c r="C4570" t="s" s="12">
        <v>156</v>
      </c>
      <c r="D4570" s="17">
        <v>1400000</v>
      </c>
      <c r="E4570" s="17"/>
      <c r="F4570" s="18"/>
      <c r="G4570" s="18"/>
      <c r="H4570" s="18"/>
      <c r="I4570" s="18"/>
    </row>
    <row r="4571" ht="20.35" customHeight="1">
      <c r="A4571" s="10">
        <v>45652</v>
      </c>
      <c r="B4571" t="s" s="11">
        <v>101</v>
      </c>
      <c r="C4571" t="s" s="12">
        <v>156</v>
      </c>
      <c r="D4571" s="13"/>
      <c r="E4571" s="13">
        <v>1400000</v>
      </c>
      <c r="F4571" s="14"/>
      <c r="G4571" s="14"/>
      <c r="H4571" s="14"/>
      <c r="I4571" s="14"/>
    </row>
    <row r="4572" ht="20.7" customHeight="1">
      <c r="A4572" s="10">
        <v>45652</v>
      </c>
      <c r="B4572" t="s" s="11">
        <v>8</v>
      </c>
      <c r="C4572" t="s" s="12">
        <v>8</v>
      </c>
      <c r="D4572" s="15" cm="1">
        <f t="array" ref="D4572">SUM(D4570:D4571)</f>
        <v>1400000</v>
      </c>
      <c r="E4572" s="15" cm="1">
        <f t="array" ref="E4572">SUM(E4570:E4571)</f>
        <v>1400000</v>
      </c>
      <c r="F4572" s="16" cm="1">
        <f t="array" ref="F4572">SUM(F4570:F4571)</f>
        <v>0</v>
      </c>
      <c r="G4572" s="16" cm="1">
        <f t="array" ref="G4572">SUM(G4570:G4571)</f>
        <v>0</v>
      </c>
      <c r="H4572" s="16" cm="1">
        <f t="array" ref="H4572">SUM(H4570:H4571)</f>
        <v>0</v>
      </c>
      <c r="I4572" s="16" cm="1">
        <f t="array" ref="I4572">SUM(I4570:I4571)</f>
        <v>0</v>
      </c>
    </row>
    <row r="4573" ht="21.25" customHeight="1">
      <c r="A4573" s="10">
        <v>45652</v>
      </c>
      <c r="B4573" t="s" s="11">
        <v>5</v>
      </c>
      <c r="C4573" t="s" s="12">
        <v>753</v>
      </c>
      <c r="D4573" s="17"/>
      <c r="E4573" s="17">
        <v>76390</v>
      </c>
      <c r="F4573" s="18"/>
      <c r="G4573" s="18"/>
      <c r="H4573" s="18"/>
      <c r="I4573" s="18"/>
    </row>
    <row r="4574" ht="21.25" customHeight="1">
      <c r="A4574" s="10">
        <v>45652</v>
      </c>
      <c r="B4574" t="s" s="11">
        <v>86</v>
      </c>
      <c r="C4574" t="s" s="12">
        <v>753</v>
      </c>
      <c r="D4574" s="13">
        <v>76390</v>
      </c>
      <c r="E4574" s="13"/>
      <c r="F4574" s="14"/>
      <c r="G4574" s="14"/>
      <c r="H4574" s="14"/>
      <c r="I4574" s="14"/>
    </row>
    <row r="4575" ht="20.7" customHeight="1">
      <c r="A4575" s="10">
        <v>45652</v>
      </c>
      <c r="B4575" t="s" s="11">
        <v>8</v>
      </c>
      <c r="C4575" t="s" s="12">
        <v>8</v>
      </c>
      <c r="D4575" s="15" cm="1">
        <f t="array" ref="D4575">SUM(D4573:D4574)</f>
        <v>76390</v>
      </c>
      <c r="E4575" s="15" cm="1">
        <f t="array" ref="E4575">SUM(E4573:E4574)</f>
        <v>76390</v>
      </c>
      <c r="F4575" s="16" cm="1">
        <f t="array" ref="F4575">SUM(F4573:F4574)</f>
        <v>0</v>
      </c>
      <c r="G4575" s="16" cm="1">
        <f t="array" ref="G4575">SUM(G4573:G4574)</f>
        <v>0</v>
      </c>
      <c r="H4575" s="16" cm="1">
        <f t="array" ref="H4575">SUM(H4573:H4574)</f>
        <v>0</v>
      </c>
      <c r="I4575" s="16" cm="1">
        <f t="array" ref="I4575">SUM(I4573:I4574)</f>
        <v>0</v>
      </c>
    </row>
    <row r="4576" ht="20.35" customHeight="1">
      <c r="A4576" s="10">
        <v>45652</v>
      </c>
      <c r="B4576" t="s" s="11">
        <v>5</v>
      </c>
      <c r="C4576" t="s" s="12">
        <v>742</v>
      </c>
      <c r="D4576" s="17"/>
      <c r="E4576" s="17">
        <v>50000</v>
      </c>
      <c r="F4576" s="18"/>
      <c r="G4576" s="18"/>
      <c r="H4576" s="18"/>
      <c r="I4576" s="18"/>
    </row>
    <row r="4577" ht="20.35" customHeight="1">
      <c r="A4577" s="10">
        <v>45652</v>
      </c>
      <c r="B4577" t="s" s="11">
        <v>21</v>
      </c>
      <c r="C4577" t="s" s="12">
        <v>742</v>
      </c>
      <c r="D4577" s="13">
        <v>50000</v>
      </c>
      <c r="E4577" s="13"/>
      <c r="F4577" s="14"/>
      <c r="G4577" s="14"/>
      <c r="H4577" s="14"/>
      <c r="I4577" s="14"/>
    </row>
    <row r="4578" ht="20.7" customHeight="1">
      <c r="A4578" s="10">
        <v>45652</v>
      </c>
      <c r="B4578" t="s" s="11">
        <v>8</v>
      </c>
      <c r="C4578" t="s" s="12">
        <v>8</v>
      </c>
      <c r="D4578" s="15" cm="1">
        <f t="array" ref="D4578">SUM(D4576:D4577)</f>
        <v>50000</v>
      </c>
      <c r="E4578" s="15" cm="1">
        <f t="array" ref="E4578">SUM(E4576:E4577)</f>
        <v>50000</v>
      </c>
      <c r="F4578" s="16" cm="1">
        <f t="array" ref="F4578">SUM(F4576:F4577)</f>
        <v>0</v>
      </c>
      <c r="G4578" s="16" cm="1">
        <f t="array" ref="G4578">SUM(G4576:G4577)</f>
        <v>0</v>
      </c>
      <c r="H4578" s="16" cm="1">
        <f t="array" ref="H4578">SUM(H4576:H4577)</f>
        <v>0</v>
      </c>
      <c r="I4578" s="16" cm="1">
        <f t="array" ref="I4578">SUM(I4576:I4577)</f>
        <v>0</v>
      </c>
    </row>
    <row r="4579" ht="20.35" customHeight="1">
      <c r="A4579" s="10">
        <v>45652</v>
      </c>
      <c r="B4579" t="s" s="11">
        <v>93</v>
      </c>
      <c r="C4579" t="s" s="12">
        <v>604</v>
      </c>
      <c r="D4579" s="17">
        <v>48250</v>
      </c>
      <c r="E4579" s="17"/>
      <c r="F4579" s="18"/>
      <c r="G4579" s="18"/>
      <c r="H4579" s="18"/>
      <c r="I4579" s="18"/>
    </row>
    <row r="4580" ht="20.35" customHeight="1">
      <c r="A4580" s="10">
        <v>45652</v>
      </c>
      <c r="B4580" t="s" s="11">
        <v>5</v>
      </c>
      <c r="C4580" t="s" s="12">
        <v>604</v>
      </c>
      <c r="D4580" s="13"/>
      <c r="E4580" s="13">
        <v>48250</v>
      </c>
      <c r="F4580" s="14"/>
      <c r="G4580" s="14"/>
      <c r="H4580" s="14"/>
      <c r="I4580" s="14"/>
    </row>
    <row r="4581" ht="20.7" customHeight="1">
      <c r="A4581" s="10">
        <v>45652</v>
      </c>
      <c r="B4581" t="s" s="11">
        <v>8</v>
      </c>
      <c r="C4581" t="s" s="12">
        <v>8</v>
      </c>
      <c r="D4581" s="15" cm="1">
        <f t="array" ref="D4581">SUM(D4579:D4580)</f>
        <v>48250</v>
      </c>
      <c r="E4581" s="15" cm="1">
        <f t="array" ref="E4581">SUM(E4579:E4580)</f>
        <v>48250</v>
      </c>
      <c r="F4581" s="16" cm="1">
        <f t="array" ref="F4581">SUM(F4579:F4580)</f>
        <v>0</v>
      </c>
      <c r="G4581" s="16" cm="1">
        <f t="array" ref="G4581">SUM(G4579:G4580)</f>
        <v>0</v>
      </c>
      <c r="H4581" s="16" cm="1">
        <f t="array" ref="H4581">SUM(H4579:H4580)</f>
        <v>0</v>
      </c>
      <c r="I4581" s="16" cm="1">
        <f t="array" ref="I4581">SUM(I4579:I4580)</f>
        <v>0</v>
      </c>
    </row>
    <row r="4582" ht="20.65" customHeight="1">
      <c r="A4582" s="10">
        <v>45652</v>
      </c>
      <c r="B4582" t="s" s="11">
        <v>93</v>
      </c>
      <c r="C4582" t="s" s="12">
        <v>70</v>
      </c>
      <c r="D4582" s="17"/>
      <c r="E4582" s="17">
        <v>50000</v>
      </c>
      <c r="F4582" s="18"/>
      <c r="G4582" s="18"/>
      <c r="H4582" s="18"/>
      <c r="I4582" s="18"/>
    </row>
    <row r="4583" ht="20.65" customHeight="1">
      <c r="A4583" s="10">
        <v>45652</v>
      </c>
      <c r="B4583" t="s" s="11">
        <v>21</v>
      </c>
      <c r="C4583" t="s" s="12">
        <v>70</v>
      </c>
      <c r="D4583" s="13">
        <v>50000</v>
      </c>
      <c r="E4583" s="13"/>
      <c r="F4583" s="14"/>
      <c r="G4583" s="14"/>
      <c r="H4583" s="14"/>
      <c r="I4583" s="14"/>
    </row>
    <row r="4584" ht="20.7" customHeight="1">
      <c r="A4584" s="10">
        <v>45652</v>
      </c>
      <c r="B4584" t="s" s="11">
        <v>8</v>
      </c>
      <c r="C4584" t="s" s="12">
        <v>8</v>
      </c>
      <c r="D4584" s="15" cm="1">
        <f t="array" ref="D4584">SUM(D4582:D4583)</f>
        <v>50000</v>
      </c>
      <c r="E4584" s="15" cm="1">
        <f t="array" ref="E4584">SUM(E4582:E4583)</f>
        <v>50000</v>
      </c>
      <c r="F4584" s="16" cm="1">
        <f t="array" ref="F4584">SUM(F4582:F4583)</f>
        <v>0</v>
      </c>
      <c r="G4584" s="16" cm="1">
        <f t="array" ref="G4584">SUM(G4582:G4583)</f>
        <v>0</v>
      </c>
      <c r="H4584" s="16" cm="1">
        <f t="array" ref="H4584">SUM(H4582:H4583)</f>
        <v>0</v>
      </c>
      <c r="I4584" s="16" cm="1">
        <f t="array" ref="I4584">SUM(I4582:I4583)</f>
        <v>0</v>
      </c>
    </row>
    <row r="4585" ht="21.25" customHeight="1">
      <c r="A4585" s="10">
        <v>45652</v>
      </c>
      <c r="B4585" t="s" s="11">
        <v>21</v>
      </c>
      <c r="C4585" t="s" s="12">
        <v>706</v>
      </c>
      <c r="D4585" s="17"/>
      <c r="E4585" s="17">
        <v>2800</v>
      </c>
      <c r="F4585" s="18"/>
      <c r="G4585" s="18"/>
      <c r="H4585" s="18"/>
      <c r="I4585" s="18"/>
    </row>
    <row r="4586" ht="21.25" customHeight="1">
      <c r="A4586" s="10">
        <v>45652</v>
      </c>
      <c r="B4586" t="s" s="11">
        <v>16</v>
      </c>
      <c r="C4586" t="s" s="12">
        <v>706</v>
      </c>
      <c r="D4586" s="13">
        <v>2800</v>
      </c>
      <c r="E4586" s="13"/>
      <c r="F4586" s="14"/>
      <c r="G4586" s="14"/>
      <c r="H4586" s="14"/>
      <c r="I4586" s="14"/>
    </row>
    <row r="4587" ht="20.7" customHeight="1">
      <c r="A4587" s="10">
        <v>45652</v>
      </c>
      <c r="B4587" t="s" s="11">
        <v>8</v>
      </c>
      <c r="C4587" t="s" s="12">
        <v>8</v>
      </c>
      <c r="D4587" s="15" cm="1">
        <f t="array" ref="D4587">SUM(D4585:D4586)</f>
        <v>2800</v>
      </c>
      <c r="E4587" s="15" cm="1">
        <f t="array" ref="E4587">SUM(E4585:E4586)</f>
        <v>2800</v>
      </c>
      <c r="F4587" s="16" cm="1">
        <f t="array" ref="F4587">SUM(F4585:F4586)</f>
        <v>0</v>
      </c>
      <c r="G4587" s="16" cm="1">
        <f t="array" ref="G4587">SUM(G4585:G4586)</f>
        <v>0</v>
      </c>
      <c r="H4587" s="16" cm="1">
        <f t="array" ref="H4587">SUM(H4585:H4586)</f>
        <v>0</v>
      </c>
      <c r="I4587" s="16" cm="1">
        <f t="array" ref="I4587">SUM(I4585:I4586)</f>
        <v>0</v>
      </c>
    </row>
    <row r="4588" ht="21.25" customHeight="1">
      <c r="A4588" s="10">
        <v>45653</v>
      </c>
      <c r="B4588" t="s" s="11">
        <v>5</v>
      </c>
      <c r="C4588" t="s" s="12">
        <v>754</v>
      </c>
      <c r="D4588" s="17"/>
      <c r="E4588" s="17">
        <v>12800</v>
      </c>
      <c r="F4588" s="18"/>
      <c r="G4588" s="18"/>
      <c r="H4588" s="18"/>
      <c r="I4588" s="18"/>
    </row>
    <row r="4589" ht="21.25" customHeight="1">
      <c r="A4589" s="10">
        <v>45653</v>
      </c>
      <c r="B4589" t="s" s="11">
        <v>10</v>
      </c>
      <c r="C4589" t="s" s="12">
        <v>754</v>
      </c>
      <c r="D4589" s="13">
        <v>12800</v>
      </c>
      <c r="E4589" s="13"/>
      <c r="F4589" s="14"/>
      <c r="G4589" s="14"/>
      <c r="H4589" s="14"/>
      <c r="I4589" s="14"/>
    </row>
    <row r="4590" ht="20.7" customHeight="1">
      <c r="A4590" s="10">
        <v>45653</v>
      </c>
      <c r="B4590" t="s" s="11">
        <v>8</v>
      </c>
      <c r="C4590" t="s" s="12">
        <v>8</v>
      </c>
      <c r="D4590" s="15" cm="1">
        <f t="array" ref="D4590">SUM(D4588:D4589)</f>
        <v>12800</v>
      </c>
      <c r="E4590" s="15" cm="1">
        <f t="array" ref="E4590">SUM(E4588:E4589)</f>
        <v>12800</v>
      </c>
      <c r="F4590" s="16" cm="1">
        <f t="array" ref="F4590">SUM(F4588:F4589)</f>
        <v>0</v>
      </c>
      <c r="G4590" s="16" cm="1">
        <f t="array" ref="G4590">SUM(G4588:G4589)</f>
        <v>0</v>
      </c>
      <c r="H4590" s="16" cm="1">
        <f t="array" ref="H4590">SUM(H4588:H4589)</f>
        <v>0</v>
      </c>
      <c r="I4590" s="16" cm="1">
        <f t="array" ref="I4590">SUM(I4588:I4589)</f>
        <v>0</v>
      </c>
    </row>
    <row r="4591" ht="21.25" customHeight="1">
      <c r="A4591" s="10">
        <v>45653</v>
      </c>
      <c r="B4591" t="s" s="11">
        <v>5</v>
      </c>
      <c r="C4591" t="s" s="12">
        <v>755</v>
      </c>
      <c r="D4591" s="17"/>
      <c r="E4591" s="17">
        <v>13800</v>
      </c>
      <c r="F4591" s="18"/>
      <c r="G4591" s="18"/>
      <c r="H4591" s="18"/>
      <c r="I4591" s="18"/>
    </row>
    <row r="4592" ht="21.25" customHeight="1">
      <c r="A4592" s="10">
        <v>45653</v>
      </c>
      <c r="B4592" t="s" s="11">
        <v>10</v>
      </c>
      <c r="C4592" t="s" s="12">
        <v>755</v>
      </c>
      <c r="D4592" s="13">
        <v>13800</v>
      </c>
      <c r="E4592" s="13"/>
      <c r="F4592" s="14"/>
      <c r="G4592" s="14"/>
      <c r="H4592" s="14"/>
      <c r="I4592" s="14"/>
    </row>
    <row r="4593" ht="20.7" customHeight="1">
      <c r="A4593" s="10">
        <v>45653</v>
      </c>
      <c r="B4593" t="s" s="11">
        <v>8</v>
      </c>
      <c r="C4593" t="s" s="12">
        <v>8</v>
      </c>
      <c r="D4593" s="15" cm="1">
        <f t="array" ref="D4593">SUM(D4591:D4592)</f>
        <v>13800</v>
      </c>
      <c r="E4593" s="15" cm="1">
        <f t="array" ref="E4593">SUM(E4591:E4592)</f>
        <v>13800</v>
      </c>
      <c r="F4593" s="16" cm="1">
        <f t="array" ref="F4593">SUM(F4591:F4592)</f>
        <v>0</v>
      </c>
      <c r="G4593" s="16" cm="1">
        <f t="array" ref="G4593">SUM(G4591:G4592)</f>
        <v>0</v>
      </c>
      <c r="H4593" s="16" cm="1">
        <f t="array" ref="H4593">SUM(H4591:H4592)</f>
        <v>0</v>
      </c>
      <c r="I4593" s="16" cm="1">
        <f t="array" ref="I4593">SUM(I4591:I4592)</f>
        <v>0</v>
      </c>
    </row>
    <row r="4594" ht="20.35" customHeight="1">
      <c r="A4594" s="10">
        <v>45653</v>
      </c>
      <c r="B4594" t="s" s="11">
        <v>5</v>
      </c>
      <c r="C4594" t="s" s="12">
        <v>756</v>
      </c>
      <c r="D4594" s="17"/>
      <c r="E4594" s="17">
        <v>16500</v>
      </c>
      <c r="F4594" s="18"/>
      <c r="G4594" s="18"/>
      <c r="H4594" s="18"/>
      <c r="I4594" s="18"/>
    </row>
    <row r="4595" ht="20.35" customHeight="1">
      <c r="A4595" s="10">
        <v>45653</v>
      </c>
      <c r="B4595" t="s" s="11">
        <v>10</v>
      </c>
      <c r="C4595" t="s" s="12">
        <v>756</v>
      </c>
      <c r="D4595" s="13">
        <v>16500</v>
      </c>
      <c r="E4595" s="13"/>
      <c r="F4595" s="14"/>
      <c r="G4595" s="14"/>
      <c r="H4595" s="14"/>
      <c r="I4595" s="14"/>
    </row>
    <row r="4596" ht="20.7" customHeight="1">
      <c r="A4596" s="10">
        <v>45653</v>
      </c>
      <c r="B4596" t="s" s="11">
        <v>8</v>
      </c>
      <c r="C4596" t="s" s="12">
        <v>8</v>
      </c>
      <c r="D4596" s="15" cm="1">
        <f t="array" ref="D4596">SUM(D4594:D4595)</f>
        <v>16500</v>
      </c>
      <c r="E4596" s="15" cm="1">
        <f t="array" ref="E4596">SUM(E4594:E4595)</f>
        <v>16500</v>
      </c>
      <c r="F4596" s="16" cm="1">
        <f t="array" ref="F4596">SUM(F4594:F4595)</f>
        <v>0</v>
      </c>
      <c r="G4596" s="16" cm="1">
        <f t="array" ref="G4596">SUM(G4594:G4595)</f>
        <v>0</v>
      </c>
      <c r="H4596" s="16" cm="1">
        <f t="array" ref="H4596">SUM(H4594:H4595)</f>
        <v>0</v>
      </c>
      <c r="I4596" s="16" cm="1">
        <f t="array" ref="I4596">SUM(I4594:I4595)</f>
        <v>0</v>
      </c>
    </row>
    <row r="4597" ht="20.35" customHeight="1">
      <c r="A4597" s="10">
        <v>45653</v>
      </c>
      <c r="B4597" t="s" s="11">
        <v>5</v>
      </c>
      <c r="C4597" t="s" s="12">
        <v>756</v>
      </c>
      <c r="D4597" s="17"/>
      <c r="E4597" s="17">
        <v>5500</v>
      </c>
      <c r="F4597" s="18"/>
      <c r="G4597" s="18"/>
      <c r="H4597" s="18"/>
      <c r="I4597" s="18"/>
    </row>
    <row r="4598" ht="20.35" customHeight="1">
      <c r="A4598" s="10">
        <v>45653</v>
      </c>
      <c r="B4598" t="s" s="11">
        <v>10</v>
      </c>
      <c r="C4598" t="s" s="12">
        <v>756</v>
      </c>
      <c r="D4598" s="13">
        <v>5500</v>
      </c>
      <c r="E4598" s="13"/>
      <c r="F4598" s="14"/>
      <c r="G4598" s="14"/>
      <c r="H4598" s="14"/>
      <c r="I4598" s="14"/>
    </row>
    <row r="4599" ht="20.7" customHeight="1">
      <c r="A4599" s="10">
        <v>45653</v>
      </c>
      <c r="B4599" t="s" s="11">
        <v>8</v>
      </c>
      <c r="C4599" t="s" s="12">
        <v>8</v>
      </c>
      <c r="D4599" s="15" cm="1">
        <f t="array" ref="D4599">SUM(D4597:D4598)</f>
        <v>5500</v>
      </c>
      <c r="E4599" s="15" cm="1">
        <f t="array" ref="E4599">SUM(E4597:E4598)</f>
        <v>5500</v>
      </c>
      <c r="F4599" s="16" cm="1">
        <f t="array" ref="F4599">SUM(F4597:F4598)</f>
        <v>0</v>
      </c>
      <c r="G4599" s="16" cm="1">
        <f t="array" ref="G4599">SUM(G4597:G4598)</f>
        <v>0</v>
      </c>
      <c r="H4599" s="16" cm="1">
        <f t="array" ref="H4599">SUM(H4597:H4598)</f>
        <v>0</v>
      </c>
      <c r="I4599" s="16" cm="1">
        <f t="array" ref="I4599">SUM(I4597:I4598)</f>
        <v>0</v>
      </c>
    </row>
    <row r="4600" ht="20.65" customHeight="1">
      <c r="A4600" s="10">
        <v>45653</v>
      </c>
      <c r="B4600" t="s" s="11">
        <v>5</v>
      </c>
      <c r="C4600" t="s" s="12">
        <v>757</v>
      </c>
      <c r="D4600" s="17"/>
      <c r="E4600" s="17">
        <v>16000</v>
      </c>
      <c r="F4600" s="18"/>
      <c r="G4600" s="18"/>
      <c r="H4600" s="18"/>
      <c r="I4600" s="18"/>
    </row>
    <row r="4601" ht="20.65" customHeight="1">
      <c r="A4601" s="10">
        <v>45653</v>
      </c>
      <c r="B4601" t="s" s="11">
        <v>10</v>
      </c>
      <c r="C4601" t="s" s="12">
        <v>757</v>
      </c>
      <c r="D4601" s="13">
        <v>16000</v>
      </c>
      <c r="E4601" s="13"/>
      <c r="F4601" s="14"/>
      <c r="G4601" s="14"/>
      <c r="H4601" s="14"/>
      <c r="I4601" s="14"/>
    </row>
    <row r="4602" ht="20.7" customHeight="1">
      <c r="A4602" s="10">
        <v>45653</v>
      </c>
      <c r="B4602" t="s" s="11">
        <v>8</v>
      </c>
      <c r="C4602" t="s" s="12">
        <v>8</v>
      </c>
      <c r="D4602" s="15" cm="1">
        <f t="array" ref="D4602">SUM(D4600:D4601)</f>
        <v>16000</v>
      </c>
      <c r="E4602" s="15" cm="1">
        <f t="array" ref="E4602">SUM(E4600:E4601)</f>
        <v>16000</v>
      </c>
      <c r="F4602" s="16" cm="1">
        <f t="array" ref="F4602">SUM(F4600:F4601)</f>
        <v>0</v>
      </c>
      <c r="G4602" s="16" cm="1">
        <f t="array" ref="G4602">SUM(G4600:G4601)</f>
        <v>0</v>
      </c>
      <c r="H4602" s="16" cm="1">
        <f t="array" ref="H4602">SUM(H4600:H4601)</f>
        <v>0</v>
      </c>
      <c r="I4602" s="16" cm="1">
        <f t="array" ref="I4602">SUM(I4600:I4601)</f>
        <v>0</v>
      </c>
    </row>
    <row r="4603" ht="20.65" customHeight="1">
      <c r="A4603" s="10">
        <v>45653</v>
      </c>
      <c r="B4603" t="s" s="11">
        <v>5</v>
      </c>
      <c r="C4603" t="s" s="12">
        <v>758</v>
      </c>
      <c r="D4603" s="17"/>
      <c r="E4603" s="17">
        <v>4000</v>
      </c>
      <c r="F4603" s="18"/>
      <c r="G4603" s="18"/>
      <c r="H4603" s="18"/>
      <c r="I4603" s="18"/>
    </row>
    <row r="4604" ht="20.65" customHeight="1">
      <c r="A4604" s="10">
        <v>45653</v>
      </c>
      <c r="B4604" t="s" s="11">
        <v>10</v>
      </c>
      <c r="C4604" t="s" s="12">
        <v>758</v>
      </c>
      <c r="D4604" s="13">
        <v>4000</v>
      </c>
      <c r="E4604" s="13"/>
      <c r="F4604" s="14"/>
      <c r="G4604" s="14"/>
      <c r="H4604" s="14"/>
      <c r="I4604" s="14"/>
    </row>
    <row r="4605" ht="20.7" customHeight="1">
      <c r="A4605" s="10">
        <v>45653</v>
      </c>
      <c r="B4605" t="s" s="11">
        <v>8</v>
      </c>
      <c r="C4605" t="s" s="12">
        <v>8</v>
      </c>
      <c r="D4605" s="15" cm="1">
        <f t="array" ref="D4605">SUM(D4603:D4604)</f>
        <v>4000</v>
      </c>
      <c r="E4605" s="15" cm="1">
        <f t="array" ref="E4605">SUM(E4603:E4604)</f>
        <v>4000</v>
      </c>
      <c r="F4605" s="16" cm="1">
        <f t="array" ref="F4605">SUM(F4603:F4604)</f>
        <v>0</v>
      </c>
      <c r="G4605" s="16" cm="1">
        <f t="array" ref="G4605">SUM(G4603:G4604)</f>
        <v>0</v>
      </c>
      <c r="H4605" s="16" cm="1">
        <f t="array" ref="H4605">SUM(H4603:H4604)</f>
        <v>0</v>
      </c>
      <c r="I4605" s="16" cm="1">
        <f t="array" ref="I4605">SUM(I4603:I4604)</f>
        <v>0</v>
      </c>
    </row>
    <row r="4606" ht="20.65" customHeight="1">
      <c r="A4606" s="10">
        <v>45653</v>
      </c>
      <c r="B4606" t="s" s="11">
        <v>5</v>
      </c>
      <c r="C4606" t="s" s="12">
        <v>759</v>
      </c>
      <c r="D4606" s="17"/>
      <c r="E4606" s="17">
        <v>9600</v>
      </c>
      <c r="F4606" s="18"/>
      <c r="G4606" s="18"/>
      <c r="H4606" s="18"/>
      <c r="I4606" s="18"/>
    </row>
    <row r="4607" ht="20.65" customHeight="1">
      <c r="A4607" s="10">
        <v>45653</v>
      </c>
      <c r="B4607" t="s" s="11">
        <v>10</v>
      </c>
      <c r="C4607" t="s" s="12">
        <v>759</v>
      </c>
      <c r="D4607" s="13">
        <v>9600</v>
      </c>
      <c r="E4607" s="13"/>
      <c r="F4607" s="14"/>
      <c r="G4607" s="14"/>
      <c r="H4607" s="14"/>
      <c r="I4607" s="14"/>
    </row>
    <row r="4608" ht="20.7" customHeight="1">
      <c r="A4608" s="10">
        <v>45653</v>
      </c>
      <c r="B4608" t="s" s="11">
        <v>8</v>
      </c>
      <c r="C4608" t="s" s="12">
        <v>8</v>
      </c>
      <c r="D4608" s="15" cm="1">
        <f t="array" ref="D4608">SUM(D4606:D4607)</f>
        <v>9600</v>
      </c>
      <c r="E4608" s="15" cm="1">
        <f t="array" ref="E4608">SUM(E4606:E4607)</f>
        <v>9600</v>
      </c>
      <c r="F4608" s="16" cm="1">
        <f t="array" ref="F4608">SUM(F4606:F4607)</f>
        <v>0</v>
      </c>
      <c r="G4608" s="16" cm="1">
        <f t="array" ref="G4608">SUM(G4606:G4607)</f>
        <v>0</v>
      </c>
      <c r="H4608" s="16" cm="1">
        <f t="array" ref="H4608">SUM(H4606:H4607)</f>
        <v>0</v>
      </c>
      <c r="I4608" s="16" cm="1">
        <f t="array" ref="I4608">SUM(I4606:I4607)</f>
        <v>0</v>
      </c>
    </row>
    <row r="4609" ht="21.25" customHeight="1">
      <c r="A4609" s="10">
        <v>45653</v>
      </c>
      <c r="B4609" t="s" s="11">
        <v>5</v>
      </c>
      <c r="C4609" t="s" s="12">
        <v>760</v>
      </c>
      <c r="D4609" s="17"/>
      <c r="E4609" s="17">
        <v>2800</v>
      </c>
      <c r="F4609" s="18"/>
      <c r="G4609" s="18"/>
      <c r="H4609" s="18"/>
      <c r="I4609" s="18"/>
    </row>
    <row r="4610" ht="21.25" customHeight="1">
      <c r="A4610" s="10">
        <v>45653</v>
      </c>
      <c r="B4610" t="s" s="11">
        <v>10</v>
      </c>
      <c r="C4610" t="s" s="12">
        <v>760</v>
      </c>
      <c r="D4610" s="13">
        <v>2800</v>
      </c>
      <c r="E4610" s="13"/>
      <c r="F4610" s="14"/>
      <c r="G4610" s="14"/>
      <c r="H4610" s="14"/>
      <c r="I4610" s="14"/>
    </row>
    <row r="4611" ht="20.7" customHeight="1">
      <c r="A4611" s="10">
        <v>45653</v>
      </c>
      <c r="B4611" t="s" s="11">
        <v>8</v>
      </c>
      <c r="C4611" t="s" s="12">
        <v>8</v>
      </c>
      <c r="D4611" s="15" cm="1">
        <f t="array" ref="D4611">SUM(D4609:D4610)</f>
        <v>2800</v>
      </c>
      <c r="E4611" s="15" cm="1">
        <f t="array" ref="E4611">SUM(E4609:E4610)</f>
        <v>2800</v>
      </c>
      <c r="F4611" s="16" cm="1">
        <f t="array" ref="F4611">SUM(F4609:F4610)</f>
        <v>0</v>
      </c>
      <c r="G4611" s="16" cm="1">
        <f t="array" ref="G4611">SUM(G4609:G4610)</f>
        <v>0</v>
      </c>
      <c r="H4611" s="16" cm="1">
        <f t="array" ref="H4611">SUM(H4609:H4610)</f>
        <v>0</v>
      </c>
      <c r="I4611" s="16" cm="1">
        <f t="array" ref="I4611">SUM(I4609:I4610)</f>
        <v>0</v>
      </c>
    </row>
    <row r="4612" ht="20.35" customHeight="1">
      <c r="A4612" s="10">
        <v>45653</v>
      </c>
      <c r="B4612" t="s" s="11">
        <v>5</v>
      </c>
      <c r="C4612" t="s" s="12">
        <v>17</v>
      </c>
      <c r="D4612" s="17">
        <v>100</v>
      </c>
      <c r="E4612" s="17"/>
      <c r="F4612" s="18"/>
      <c r="G4612" s="18"/>
      <c r="H4612" s="18"/>
      <c r="I4612" s="18"/>
    </row>
    <row r="4613" ht="20.35" customHeight="1">
      <c r="A4613" s="10">
        <v>45653</v>
      </c>
      <c r="B4613" t="s" s="11">
        <v>18</v>
      </c>
      <c r="C4613" t="s" s="12">
        <v>17</v>
      </c>
      <c r="D4613" s="13"/>
      <c r="E4613" s="13">
        <v>100</v>
      </c>
      <c r="F4613" s="14"/>
      <c r="G4613" s="14"/>
      <c r="H4613" s="14"/>
      <c r="I4613" s="14"/>
    </row>
    <row r="4614" ht="20.7" customHeight="1">
      <c r="A4614" s="10">
        <v>45653</v>
      </c>
      <c r="B4614" t="s" s="11">
        <v>8</v>
      </c>
      <c r="C4614" t="s" s="12">
        <v>8</v>
      </c>
      <c r="D4614" s="15" cm="1">
        <f t="array" ref="D4614">SUM(D4612:D4613)</f>
        <v>100</v>
      </c>
      <c r="E4614" s="15" cm="1">
        <f t="array" ref="E4614">SUM(E4612:E4613)</f>
        <v>100</v>
      </c>
      <c r="F4614" s="16" cm="1">
        <f t="array" ref="F4614">SUM(F4612:F4613)</f>
        <v>0</v>
      </c>
      <c r="G4614" s="16" cm="1">
        <f t="array" ref="G4614">SUM(G4612:G4613)</f>
        <v>0</v>
      </c>
      <c r="H4614" s="16" cm="1">
        <f t="array" ref="H4614">SUM(H4612:H4613)</f>
        <v>0</v>
      </c>
      <c r="I4614" s="16" cm="1">
        <f t="array" ref="I4614">SUM(I4612:I4613)</f>
        <v>0</v>
      </c>
    </row>
    <row r="4615" ht="21.25" customHeight="1">
      <c r="A4615" s="10">
        <v>45653</v>
      </c>
      <c r="B4615" t="s" s="11">
        <v>5</v>
      </c>
      <c r="C4615" t="s" s="12">
        <v>761</v>
      </c>
      <c r="D4615" s="17"/>
      <c r="E4615" s="17">
        <v>18500</v>
      </c>
      <c r="F4615" s="18"/>
      <c r="G4615" s="18"/>
      <c r="H4615" s="18"/>
      <c r="I4615" s="18"/>
    </row>
    <row r="4616" ht="21.25" customHeight="1">
      <c r="A4616" s="10">
        <v>45653</v>
      </c>
      <c r="B4616" t="s" s="11">
        <v>10</v>
      </c>
      <c r="C4616" t="s" s="12">
        <v>761</v>
      </c>
      <c r="D4616" s="13">
        <v>18500</v>
      </c>
      <c r="E4616" s="13"/>
      <c r="F4616" s="14"/>
      <c r="G4616" s="14"/>
      <c r="H4616" s="14"/>
      <c r="I4616" s="14"/>
    </row>
    <row r="4617" ht="20.7" customHeight="1">
      <c r="A4617" s="10">
        <v>45653</v>
      </c>
      <c r="B4617" t="s" s="11">
        <v>8</v>
      </c>
      <c r="C4617" t="s" s="12">
        <v>8</v>
      </c>
      <c r="D4617" s="15" cm="1">
        <f t="array" ref="D4617">SUM(D4615:D4616)</f>
        <v>18500</v>
      </c>
      <c r="E4617" s="15" cm="1">
        <f t="array" ref="E4617">SUM(E4615:E4616)</f>
        <v>18500</v>
      </c>
      <c r="F4617" s="16" cm="1">
        <f t="array" ref="F4617">SUM(F4615:F4616)</f>
        <v>0</v>
      </c>
      <c r="G4617" s="16" cm="1">
        <f t="array" ref="G4617">SUM(G4615:G4616)</f>
        <v>0</v>
      </c>
      <c r="H4617" s="16" cm="1">
        <f t="array" ref="H4617">SUM(H4615:H4616)</f>
        <v>0</v>
      </c>
      <c r="I4617" s="16" cm="1">
        <f t="array" ref="I4617">SUM(I4615:I4616)</f>
        <v>0</v>
      </c>
    </row>
    <row r="4618" ht="21.25" customHeight="1">
      <c r="A4618" s="10">
        <v>45653</v>
      </c>
      <c r="B4618" t="s" s="11">
        <v>5</v>
      </c>
      <c r="C4618" t="s" s="12">
        <v>762</v>
      </c>
      <c r="D4618" s="17"/>
      <c r="E4618" s="17">
        <v>12800</v>
      </c>
      <c r="F4618" s="18"/>
      <c r="G4618" s="18"/>
      <c r="H4618" s="18"/>
      <c r="I4618" s="18"/>
    </row>
    <row r="4619" ht="21.25" customHeight="1">
      <c r="A4619" s="10">
        <v>45653</v>
      </c>
      <c r="B4619" t="s" s="11">
        <v>10</v>
      </c>
      <c r="C4619" t="s" s="12">
        <v>762</v>
      </c>
      <c r="D4619" s="13">
        <v>12800</v>
      </c>
      <c r="E4619" s="13"/>
      <c r="F4619" s="14"/>
      <c r="G4619" s="14"/>
      <c r="H4619" s="14"/>
      <c r="I4619" s="14"/>
    </row>
    <row r="4620" ht="20.7" customHeight="1">
      <c r="A4620" s="10">
        <v>45653</v>
      </c>
      <c r="B4620" t="s" s="11">
        <v>8</v>
      </c>
      <c r="C4620" t="s" s="12">
        <v>8</v>
      </c>
      <c r="D4620" s="15" cm="1">
        <f t="array" ref="D4620">SUM(D4618:D4619)</f>
        <v>12800</v>
      </c>
      <c r="E4620" s="15" cm="1">
        <f t="array" ref="E4620">SUM(E4618:E4619)</f>
        <v>12800</v>
      </c>
      <c r="F4620" s="16" cm="1">
        <f t="array" ref="F4620">SUM(F4618:F4619)</f>
        <v>0</v>
      </c>
      <c r="G4620" s="16" cm="1">
        <f t="array" ref="G4620">SUM(G4618:G4619)</f>
        <v>0</v>
      </c>
      <c r="H4620" s="16" cm="1">
        <f t="array" ref="H4620">SUM(H4618:H4619)</f>
        <v>0</v>
      </c>
      <c r="I4620" s="16" cm="1">
        <f t="array" ref="I4620">SUM(I4618:I4619)</f>
        <v>0</v>
      </c>
    </row>
    <row r="4621" ht="21.25" customHeight="1">
      <c r="A4621" s="10">
        <v>45653</v>
      </c>
      <c r="B4621" t="s" s="11">
        <v>5</v>
      </c>
      <c r="C4621" t="s" s="12">
        <v>523</v>
      </c>
      <c r="D4621" s="17"/>
      <c r="E4621" s="17">
        <v>21900</v>
      </c>
      <c r="F4621" s="18"/>
      <c r="G4621" s="18"/>
      <c r="H4621" s="18"/>
      <c r="I4621" s="18"/>
    </row>
    <row r="4622" ht="21.25" customHeight="1">
      <c r="A4622" s="10">
        <v>45653</v>
      </c>
      <c r="B4622" t="s" s="11">
        <v>12</v>
      </c>
      <c r="C4622" t="s" s="12">
        <v>523</v>
      </c>
      <c r="D4622" s="13">
        <v>21900</v>
      </c>
      <c r="E4622" s="13"/>
      <c r="F4622" s="14"/>
      <c r="G4622" s="14"/>
      <c r="H4622" s="14"/>
      <c r="I4622" s="14"/>
    </row>
    <row r="4623" ht="20.7" customHeight="1">
      <c r="A4623" s="10">
        <v>45653</v>
      </c>
      <c r="B4623" t="s" s="11">
        <v>8</v>
      </c>
      <c r="C4623" t="s" s="12">
        <v>8</v>
      </c>
      <c r="D4623" s="15" cm="1">
        <f t="array" ref="D4623">SUM(D4621:D4622)</f>
        <v>21900</v>
      </c>
      <c r="E4623" s="15" cm="1">
        <f t="array" ref="E4623">SUM(E4621:E4622)</f>
        <v>21900</v>
      </c>
      <c r="F4623" s="16" cm="1">
        <f t="array" ref="F4623">SUM(F4621:F4622)</f>
        <v>0</v>
      </c>
      <c r="G4623" s="16" cm="1">
        <f t="array" ref="G4623">SUM(G4621:G4622)</f>
        <v>0</v>
      </c>
      <c r="H4623" s="16" cm="1">
        <f t="array" ref="H4623">SUM(H4621:H4622)</f>
        <v>0</v>
      </c>
      <c r="I4623" s="16" cm="1">
        <f t="array" ref="I4623">SUM(I4621:I4622)</f>
        <v>0</v>
      </c>
    </row>
    <row r="4624" ht="21.25" customHeight="1">
      <c r="A4624" s="10">
        <v>45653</v>
      </c>
      <c r="B4624" t="s" s="11">
        <v>21</v>
      </c>
      <c r="C4624" t="s" s="12">
        <v>763</v>
      </c>
      <c r="D4624" s="17"/>
      <c r="E4624" s="17">
        <v>1200</v>
      </c>
      <c r="F4624" s="18"/>
      <c r="G4624" s="18"/>
      <c r="H4624" s="18"/>
      <c r="I4624" s="18"/>
    </row>
    <row r="4625" ht="21.25" customHeight="1">
      <c r="A4625" s="10">
        <v>45653</v>
      </c>
      <c r="B4625" t="s" s="11">
        <v>16</v>
      </c>
      <c r="C4625" t="s" s="12">
        <v>763</v>
      </c>
      <c r="D4625" s="13">
        <v>1200</v>
      </c>
      <c r="E4625" s="13"/>
      <c r="F4625" s="14"/>
      <c r="G4625" s="14"/>
      <c r="H4625" s="14"/>
      <c r="I4625" s="14"/>
    </row>
    <row r="4626" ht="20.7" customHeight="1">
      <c r="A4626" s="10">
        <v>45653</v>
      </c>
      <c r="B4626" t="s" s="11">
        <v>8</v>
      </c>
      <c r="C4626" t="s" s="12">
        <v>8</v>
      </c>
      <c r="D4626" s="15" cm="1">
        <f t="array" ref="D4626">SUM(D4624:D4625)</f>
        <v>1200</v>
      </c>
      <c r="E4626" s="15" cm="1">
        <f t="array" ref="E4626">SUM(E4624:E4625)</f>
        <v>1200</v>
      </c>
      <c r="F4626" s="16" cm="1">
        <f t="array" ref="F4626">SUM(F4624:F4625)</f>
        <v>0</v>
      </c>
      <c r="G4626" s="16" cm="1">
        <f t="array" ref="G4626">SUM(G4624:G4625)</f>
        <v>0</v>
      </c>
      <c r="H4626" s="16" cm="1">
        <f t="array" ref="H4626">SUM(H4624:H4625)</f>
        <v>0</v>
      </c>
      <c r="I4626" s="16" cm="1">
        <f t="array" ref="I4626">SUM(I4624:I4625)</f>
        <v>0</v>
      </c>
    </row>
    <row r="4627" ht="20.35" customHeight="1">
      <c r="A4627" s="10">
        <v>45654</v>
      </c>
      <c r="B4627" t="s" s="11">
        <v>5</v>
      </c>
      <c r="C4627" t="s" s="12">
        <v>182</v>
      </c>
      <c r="D4627" s="17"/>
      <c r="E4627" s="17">
        <v>16000</v>
      </c>
      <c r="F4627" s="18"/>
      <c r="G4627" s="18"/>
      <c r="H4627" s="18"/>
      <c r="I4627" s="18"/>
    </row>
    <row r="4628" ht="20.35" customHeight="1">
      <c r="A4628" s="10">
        <v>45654</v>
      </c>
      <c r="B4628" t="s" s="11">
        <v>10</v>
      </c>
      <c r="C4628" t="s" s="12">
        <v>182</v>
      </c>
      <c r="D4628" s="13">
        <v>16000</v>
      </c>
      <c r="E4628" s="13"/>
      <c r="F4628" s="14"/>
      <c r="G4628" s="14"/>
      <c r="H4628" s="14"/>
      <c r="I4628" s="14"/>
    </row>
    <row r="4629" ht="20.7" customHeight="1">
      <c r="A4629" s="10">
        <v>45654</v>
      </c>
      <c r="B4629" t="s" s="11">
        <v>8</v>
      </c>
      <c r="C4629" t="s" s="12">
        <v>8</v>
      </c>
      <c r="D4629" s="15" cm="1">
        <f t="array" ref="D4629">SUM(D4627:D4628)</f>
        <v>16000</v>
      </c>
      <c r="E4629" s="15" cm="1">
        <f t="array" ref="E4629">SUM(E4627:E4628)</f>
        <v>16000</v>
      </c>
      <c r="F4629" s="16" cm="1">
        <f t="array" ref="F4629">SUM(F4627:F4628)</f>
        <v>0</v>
      </c>
      <c r="G4629" s="16" cm="1">
        <f t="array" ref="G4629">SUM(G4627:G4628)</f>
        <v>0</v>
      </c>
      <c r="H4629" s="16" cm="1">
        <f t="array" ref="H4629">SUM(H4627:H4628)</f>
        <v>0</v>
      </c>
      <c r="I4629" s="16" cm="1">
        <f t="array" ref="I4629">SUM(I4627:I4628)</f>
        <v>0</v>
      </c>
    </row>
    <row r="4630" ht="20.65" customHeight="1">
      <c r="A4630" s="10">
        <v>45654</v>
      </c>
      <c r="B4630" t="s" s="11">
        <v>5</v>
      </c>
      <c r="C4630" t="s" s="12">
        <v>745</v>
      </c>
      <c r="D4630" s="17"/>
      <c r="E4630" s="17">
        <v>9650</v>
      </c>
      <c r="F4630" s="18"/>
      <c r="G4630" s="18"/>
      <c r="H4630" s="18"/>
      <c r="I4630" s="18"/>
    </row>
    <row r="4631" ht="20.65" customHeight="1">
      <c r="A4631" s="10">
        <v>45654</v>
      </c>
      <c r="B4631" t="s" s="11">
        <v>12</v>
      </c>
      <c r="C4631" t="s" s="12">
        <v>745</v>
      </c>
      <c r="D4631" s="13">
        <v>9650</v>
      </c>
      <c r="E4631" s="13"/>
      <c r="F4631" s="14"/>
      <c r="G4631" s="14"/>
      <c r="H4631" s="14"/>
      <c r="I4631" s="14"/>
    </row>
    <row r="4632" ht="20.7" customHeight="1">
      <c r="A4632" s="10">
        <v>45654</v>
      </c>
      <c r="B4632" t="s" s="11">
        <v>8</v>
      </c>
      <c r="C4632" t="s" s="12">
        <v>8</v>
      </c>
      <c r="D4632" s="15" cm="1">
        <f t="array" ref="D4632">SUM(D4630:D4631)</f>
        <v>9650</v>
      </c>
      <c r="E4632" s="15" cm="1">
        <f t="array" ref="E4632">SUM(E4630:E4631)</f>
        <v>9650</v>
      </c>
      <c r="F4632" s="16" cm="1">
        <f t="array" ref="F4632">SUM(F4630:F4631)</f>
        <v>0</v>
      </c>
      <c r="G4632" s="16" cm="1">
        <f t="array" ref="G4632">SUM(G4630:G4631)</f>
        <v>0</v>
      </c>
      <c r="H4632" s="16" cm="1">
        <f t="array" ref="H4632">SUM(H4630:H4631)</f>
        <v>0</v>
      </c>
      <c r="I4632" s="16" cm="1">
        <f t="array" ref="I4632">SUM(I4630:I4631)</f>
        <v>0</v>
      </c>
    </row>
    <row r="4633" ht="20.65" customHeight="1">
      <c r="A4633" s="10">
        <v>45654</v>
      </c>
      <c r="B4633" t="s" s="11">
        <v>5</v>
      </c>
      <c r="C4633" t="s" s="12">
        <v>745</v>
      </c>
      <c r="D4633" s="17"/>
      <c r="E4633" s="17">
        <v>6900</v>
      </c>
      <c r="F4633" s="18"/>
      <c r="G4633" s="18"/>
      <c r="H4633" s="18"/>
      <c r="I4633" s="18"/>
    </row>
    <row r="4634" ht="20.65" customHeight="1">
      <c r="A4634" s="10">
        <v>45654</v>
      </c>
      <c r="B4634" t="s" s="11">
        <v>12</v>
      </c>
      <c r="C4634" t="s" s="12">
        <v>745</v>
      </c>
      <c r="D4634" s="13">
        <v>6900</v>
      </c>
      <c r="E4634" s="13"/>
      <c r="F4634" s="14"/>
      <c r="G4634" s="14"/>
      <c r="H4634" s="14"/>
      <c r="I4634" s="14"/>
    </row>
    <row r="4635" ht="20.7" customHeight="1">
      <c r="A4635" s="10">
        <v>45654</v>
      </c>
      <c r="B4635" t="s" s="11">
        <v>8</v>
      </c>
      <c r="C4635" t="s" s="12">
        <v>8</v>
      </c>
      <c r="D4635" s="15" cm="1">
        <f t="array" ref="D4635">SUM(D4633:D4634)</f>
        <v>6900</v>
      </c>
      <c r="E4635" s="15" cm="1">
        <f t="array" ref="E4635">SUM(E4633:E4634)</f>
        <v>6900</v>
      </c>
      <c r="F4635" s="16" cm="1">
        <f t="array" ref="F4635">SUM(F4633:F4634)</f>
        <v>0</v>
      </c>
      <c r="G4635" s="16" cm="1">
        <f t="array" ref="G4635">SUM(G4633:G4634)</f>
        <v>0</v>
      </c>
      <c r="H4635" s="16" cm="1">
        <f t="array" ref="H4635">SUM(H4633:H4634)</f>
        <v>0</v>
      </c>
      <c r="I4635" s="16" cm="1">
        <f t="array" ref="I4635">SUM(I4633:I4634)</f>
        <v>0</v>
      </c>
    </row>
    <row r="4636" ht="20.35" customHeight="1">
      <c r="A4636" s="10">
        <v>45654</v>
      </c>
      <c r="B4636" t="s" s="11">
        <v>93</v>
      </c>
      <c r="C4636" t="s" s="12">
        <v>604</v>
      </c>
      <c r="D4636" s="17">
        <v>1000000</v>
      </c>
      <c r="E4636" s="24"/>
      <c r="F4636" s="18"/>
      <c r="G4636" s="18"/>
      <c r="H4636" s="18"/>
      <c r="I4636" s="18"/>
    </row>
    <row r="4637" ht="20.35" customHeight="1">
      <c r="A4637" s="10">
        <v>45654</v>
      </c>
      <c r="B4637" t="s" s="11">
        <v>5</v>
      </c>
      <c r="C4637" t="s" s="12">
        <v>604</v>
      </c>
      <c r="D4637" s="13"/>
      <c r="E4637" s="13">
        <v>1000000</v>
      </c>
      <c r="F4637" s="14"/>
      <c r="G4637" s="14"/>
      <c r="H4637" s="14"/>
      <c r="I4637" s="14"/>
    </row>
    <row r="4638" ht="20.7" customHeight="1">
      <c r="A4638" s="10">
        <v>45654</v>
      </c>
      <c r="B4638" t="s" s="11">
        <v>8</v>
      </c>
      <c r="C4638" t="s" s="12">
        <v>8</v>
      </c>
      <c r="D4638" s="15" cm="1">
        <f t="array" ref="D4638">SUM(D4636:D4637)</f>
        <v>1000000</v>
      </c>
      <c r="E4638" s="15" cm="1">
        <f t="array" ref="E4638">SUM(E4636:E4637)</f>
        <v>1000000</v>
      </c>
      <c r="F4638" s="16" cm="1">
        <f t="array" ref="F4638">SUM(F4636:F4637)</f>
        <v>0</v>
      </c>
      <c r="G4638" s="16" cm="1">
        <f t="array" ref="G4638">SUM(G4636:G4637)</f>
        <v>0</v>
      </c>
      <c r="H4638" s="16" cm="1">
        <f t="array" ref="H4638">SUM(H4636:H4637)</f>
        <v>0</v>
      </c>
      <c r="I4638" s="16" cm="1">
        <f t="array" ref="I4638">SUM(I4636:I4637)</f>
        <v>0</v>
      </c>
    </row>
    <row r="4639" ht="20.35" customHeight="1">
      <c r="A4639" s="10">
        <v>45654</v>
      </c>
      <c r="B4639" t="s" s="11">
        <v>93</v>
      </c>
      <c r="C4639" t="s" s="12">
        <v>368</v>
      </c>
      <c r="D4639" s="17"/>
      <c r="E4639" s="17">
        <v>1000000</v>
      </c>
      <c r="F4639" s="18"/>
      <c r="G4639" s="18"/>
      <c r="H4639" s="18"/>
      <c r="I4639" s="18"/>
    </row>
    <row r="4640" ht="20.35" customHeight="1">
      <c r="A4640" s="10">
        <v>45654</v>
      </c>
      <c r="B4640" t="s" s="11">
        <v>10</v>
      </c>
      <c r="C4640" t="s" s="12">
        <v>368</v>
      </c>
      <c r="D4640" s="13">
        <v>1000000</v>
      </c>
      <c r="E4640" s="13"/>
      <c r="F4640" s="14"/>
      <c r="G4640" s="14"/>
      <c r="H4640" s="14"/>
      <c r="I4640" s="14"/>
    </row>
    <row r="4641" ht="20.7" customHeight="1">
      <c r="A4641" s="10">
        <v>45654</v>
      </c>
      <c r="B4641" t="s" s="11">
        <v>8</v>
      </c>
      <c r="C4641" t="s" s="12">
        <v>8</v>
      </c>
      <c r="D4641" s="15" cm="1">
        <f t="array" ref="D4641">SUM(D4639:D4640)</f>
        <v>1000000</v>
      </c>
      <c r="E4641" s="15" cm="1">
        <f t="array" ref="E4641">SUM(E4639:E4640)</f>
        <v>1000000</v>
      </c>
      <c r="F4641" s="16" cm="1">
        <f t="array" ref="F4641">SUM(F4639:F4640)</f>
        <v>0</v>
      </c>
      <c r="G4641" s="16" cm="1">
        <f t="array" ref="G4641">SUM(G4639:G4640)</f>
        <v>0</v>
      </c>
      <c r="H4641" s="16" cm="1">
        <f t="array" ref="H4641">SUM(H4639:H4640)</f>
        <v>0</v>
      </c>
      <c r="I4641" s="16" cm="1">
        <f t="array" ref="I4641">SUM(I4639:I4640)</f>
        <v>0</v>
      </c>
    </row>
    <row r="4642" ht="21.25" customHeight="1">
      <c r="A4642" s="10">
        <v>45654</v>
      </c>
      <c r="B4642" t="s" s="11">
        <v>5</v>
      </c>
      <c r="C4642" t="s" s="12">
        <v>634</v>
      </c>
      <c r="D4642" s="17"/>
      <c r="E4642" s="17">
        <v>37800</v>
      </c>
      <c r="F4642" s="18"/>
      <c r="G4642" s="18"/>
      <c r="H4642" s="18"/>
      <c r="I4642" s="18"/>
    </row>
    <row r="4643" ht="21.25" customHeight="1">
      <c r="A4643" s="10">
        <v>45654</v>
      </c>
      <c r="B4643" t="s" s="11">
        <v>12</v>
      </c>
      <c r="C4643" t="s" s="12">
        <v>634</v>
      </c>
      <c r="D4643" s="13">
        <v>37800</v>
      </c>
      <c r="E4643" s="13"/>
      <c r="F4643" s="14"/>
      <c r="G4643" s="14"/>
      <c r="H4643" s="14"/>
      <c r="I4643" s="14"/>
    </row>
    <row r="4644" ht="20.7" customHeight="1">
      <c r="A4644" s="10">
        <v>45654</v>
      </c>
      <c r="B4644" t="s" s="11">
        <v>8</v>
      </c>
      <c r="C4644" t="s" s="12">
        <v>8</v>
      </c>
      <c r="D4644" s="15" cm="1">
        <f t="array" ref="D4644">SUM(D4642:D4643)</f>
        <v>37800</v>
      </c>
      <c r="E4644" s="15" cm="1">
        <f t="array" ref="E4644">SUM(E4642:E4643)</f>
        <v>37800</v>
      </c>
      <c r="F4644" s="16" cm="1">
        <f t="array" ref="F4644">SUM(F4642:F4643)</f>
        <v>0</v>
      </c>
      <c r="G4644" s="16" cm="1">
        <f t="array" ref="G4644">SUM(G4642:G4643)</f>
        <v>0</v>
      </c>
      <c r="H4644" s="16" cm="1">
        <f t="array" ref="H4644">SUM(H4642:H4643)</f>
        <v>0</v>
      </c>
      <c r="I4644" s="16" cm="1">
        <f t="array" ref="I4644">SUM(I4642:I4643)</f>
        <v>0</v>
      </c>
    </row>
    <row r="4645" ht="20.35" customHeight="1">
      <c r="A4645" s="10">
        <v>45654</v>
      </c>
      <c r="B4645" t="s" s="11">
        <v>5</v>
      </c>
      <c r="C4645" t="s" s="12">
        <v>17</v>
      </c>
      <c r="D4645" s="17">
        <v>100</v>
      </c>
      <c r="E4645" s="17"/>
      <c r="F4645" s="18"/>
      <c r="G4645" s="18"/>
      <c r="H4645" s="18"/>
      <c r="I4645" s="18"/>
    </row>
    <row r="4646" ht="20.35" customHeight="1">
      <c r="A4646" s="10">
        <v>45654</v>
      </c>
      <c r="B4646" t="s" s="11">
        <v>18</v>
      </c>
      <c r="C4646" t="s" s="12">
        <v>17</v>
      </c>
      <c r="D4646" s="13"/>
      <c r="E4646" s="13">
        <v>100</v>
      </c>
      <c r="F4646" s="14"/>
      <c r="G4646" s="14"/>
      <c r="H4646" s="14"/>
      <c r="I4646" s="14"/>
    </row>
    <row r="4647" ht="20.7" customHeight="1">
      <c r="A4647" s="10">
        <v>45654</v>
      </c>
      <c r="B4647" t="s" s="11">
        <v>8</v>
      </c>
      <c r="C4647" t="s" s="12">
        <v>8</v>
      </c>
      <c r="D4647" s="15" cm="1">
        <f t="array" ref="D4647">SUM(D4645:D4646)</f>
        <v>100</v>
      </c>
      <c r="E4647" s="15" cm="1">
        <f t="array" ref="E4647">SUM(E4645:E4646)</f>
        <v>100</v>
      </c>
      <c r="F4647" s="16" cm="1">
        <f t="array" ref="F4647">SUM(F4645:F4646)</f>
        <v>0</v>
      </c>
      <c r="G4647" s="16" cm="1">
        <f t="array" ref="G4647">SUM(G4645:G4646)</f>
        <v>0</v>
      </c>
      <c r="H4647" s="16" cm="1">
        <f t="array" ref="H4647">SUM(H4645:H4646)</f>
        <v>0</v>
      </c>
      <c r="I4647" s="16" cm="1">
        <f t="array" ref="I4647">SUM(I4645:I4646)</f>
        <v>0</v>
      </c>
    </row>
    <row r="4648" ht="21.25" customHeight="1">
      <c r="A4648" s="10">
        <v>45654</v>
      </c>
      <c r="B4648" t="s" s="11">
        <v>5</v>
      </c>
      <c r="C4648" t="s" s="12">
        <v>764</v>
      </c>
      <c r="D4648" s="17"/>
      <c r="E4648" s="17">
        <v>2000</v>
      </c>
      <c r="F4648" s="18"/>
      <c r="G4648" s="18"/>
      <c r="H4648" s="18"/>
      <c r="I4648" s="18"/>
    </row>
    <row r="4649" ht="21.25" customHeight="1">
      <c r="A4649" s="10">
        <v>45654</v>
      </c>
      <c r="B4649" t="s" s="11">
        <v>12</v>
      </c>
      <c r="C4649" t="s" s="12">
        <v>764</v>
      </c>
      <c r="D4649" s="13">
        <v>2000</v>
      </c>
      <c r="E4649" s="13"/>
      <c r="F4649" s="14"/>
      <c r="G4649" s="14"/>
      <c r="H4649" s="14"/>
      <c r="I4649" s="14"/>
    </row>
    <row r="4650" ht="20.7" customHeight="1">
      <c r="A4650" s="10">
        <v>45654</v>
      </c>
      <c r="B4650" t="s" s="11">
        <v>8</v>
      </c>
      <c r="C4650" t="s" s="12">
        <v>8</v>
      </c>
      <c r="D4650" s="15" cm="1">
        <f t="array" ref="D4650">SUM(D4648:D4649)</f>
        <v>2000</v>
      </c>
      <c r="E4650" s="15" cm="1">
        <f t="array" ref="E4650">SUM(E4648:E4649)</f>
        <v>2000</v>
      </c>
      <c r="F4650" s="16" cm="1">
        <f t="array" ref="F4650">SUM(F4648:F4649)</f>
        <v>0</v>
      </c>
      <c r="G4650" s="16" cm="1">
        <f t="array" ref="G4650">SUM(G4648:G4649)</f>
        <v>0</v>
      </c>
      <c r="H4650" s="16" cm="1">
        <f t="array" ref="H4650">SUM(H4648:H4649)</f>
        <v>0</v>
      </c>
      <c r="I4650" s="16" cm="1">
        <f t="array" ref="I4650">SUM(I4648:I4649)</f>
        <v>0</v>
      </c>
    </row>
    <row r="4651" ht="21.25" customHeight="1">
      <c r="A4651" s="10">
        <v>45654</v>
      </c>
      <c r="B4651" t="s" s="11">
        <v>5</v>
      </c>
      <c r="C4651" t="s" s="12">
        <v>765</v>
      </c>
      <c r="D4651" s="17"/>
      <c r="E4651" s="17">
        <v>3000</v>
      </c>
      <c r="F4651" s="18"/>
      <c r="G4651" s="18"/>
      <c r="H4651" s="18"/>
      <c r="I4651" s="18"/>
    </row>
    <row r="4652" ht="21.25" customHeight="1">
      <c r="A4652" s="10">
        <v>45654</v>
      </c>
      <c r="B4652" t="s" s="11">
        <v>10</v>
      </c>
      <c r="C4652" t="s" s="12">
        <v>765</v>
      </c>
      <c r="D4652" s="13">
        <v>3000</v>
      </c>
      <c r="E4652" s="13"/>
      <c r="F4652" s="14"/>
      <c r="G4652" s="14"/>
      <c r="H4652" s="14"/>
      <c r="I4652" s="14"/>
    </row>
    <row r="4653" ht="20.7" customHeight="1">
      <c r="A4653" s="10">
        <v>45654</v>
      </c>
      <c r="B4653" t="s" s="11">
        <v>8</v>
      </c>
      <c r="C4653" t="s" s="12">
        <v>8</v>
      </c>
      <c r="D4653" s="15" cm="1">
        <f t="array" ref="D4653">SUM(D4651:D4652)</f>
        <v>3000</v>
      </c>
      <c r="E4653" s="15" cm="1">
        <f t="array" ref="E4653">SUM(E4651:E4652)</f>
        <v>3000</v>
      </c>
      <c r="F4653" s="16" cm="1">
        <f t="array" ref="F4653">SUM(F4651:F4652)</f>
        <v>0</v>
      </c>
      <c r="G4653" s="16" cm="1">
        <f t="array" ref="G4653">SUM(G4651:G4652)</f>
        <v>0</v>
      </c>
      <c r="H4653" s="16" cm="1">
        <f t="array" ref="H4653">SUM(H4651:H4652)</f>
        <v>0</v>
      </c>
      <c r="I4653" s="16" cm="1">
        <f t="array" ref="I4653">SUM(I4651:I4652)</f>
        <v>0</v>
      </c>
    </row>
    <row r="4654" ht="21.25" customHeight="1">
      <c r="A4654" s="10">
        <v>45654</v>
      </c>
      <c r="B4654" t="s" s="11">
        <v>21</v>
      </c>
      <c r="C4654" t="s" s="12">
        <v>766</v>
      </c>
      <c r="D4654" s="17"/>
      <c r="E4654" s="17">
        <v>3000</v>
      </c>
      <c r="F4654" s="18"/>
      <c r="G4654" s="18"/>
      <c r="H4654" s="18"/>
      <c r="I4654" s="18"/>
    </row>
    <row r="4655" ht="21.25" customHeight="1">
      <c r="A4655" s="10">
        <v>45654</v>
      </c>
      <c r="B4655" t="s" s="11">
        <v>16</v>
      </c>
      <c r="C4655" t="s" s="12">
        <v>766</v>
      </c>
      <c r="D4655" s="13">
        <v>3000</v>
      </c>
      <c r="E4655" s="13"/>
      <c r="F4655" s="14"/>
      <c r="G4655" s="14"/>
      <c r="H4655" s="14"/>
      <c r="I4655" s="14"/>
    </row>
    <row r="4656" ht="20.7" customHeight="1">
      <c r="A4656" s="10">
        <v>45654</v>
      </c>
      <c r="B4656" t="s" s="11">
        <v>8</v>
      </c>
      <c r="C4656" t="s" s="12">
        <v>8</v>
      </c>
      <c r="D4656" s="15" cm="1">
        <f t="array" ref="D4656">SUM(D4654:D4655)</f>
        <v>3000</v>
      </c>
      <c r="E4656" s="15" cm="1">
        <f t="array" ref="E4656">SUM(E4654:E4655)</f>
        <v>3000</v>
      </c>
      <c r="F4656" s="16" cm="1">
        <f t="array" ref="F4656">SUM(F4654:F4655)</f>
        <v>0</v>
      </c>
      <c r="G4656" s="16" cm="1">
        <f t="array" ref="G4656">SUM(G4654:G4655)</f>
        <v>0</v>
      </c>
      <c r="H4656" s="16" cm="1">
        <f t="array" ref="H4656">SUM(H4654:H4655)</f>
        <v>0</v>
      </c>
      <c r="I4656" s="16" cm="1">
        <f t="array" ref="I4656">SUM(I4654:I4655)</f>
        <v>0</v>
      </c>
    </row>
    <row r="4657" ht="20.35" customHeight="1">
      <c r="A4657" s="10">
        <v>45655</v>
      </c>
      <c r="B4657" t="s" s="11">
        <v>5</v>
      </c>
      <c r="C4657" t="s" s="12">
        <v>17</v>
      </c>
      <c r="D4657" s="17">
        <v>100</v>
      </c>
      <c r="E4657" s="17"/>
      <c r="F4657" s="18"/>
      <c r="G4657" s="18"/>
      <c r="H4657" s="18"/>
      <c r="I4657" s="18"/>
    </row>
    <row r="4658" ht="20.35" customHeight="1">
      <c r="A4658" s="10">
        <v>45655</v>
      </c>
      <c r="B4658" t="s" s="11">
        <v>18</v>
      </c>
      <c r="C4658" t="s" s="12">
        <v>17</v>
      </c>
      <c r="D4658" s="13"/>
      <c r="E4658" s="13">
        <v>100</v>
      </c>
      <c r="F4658" s="14"/>
      <c r="G4658" s="14"/>
      <c r="H4658" s="14"/>
      <c r="I4658" s="14"/>
    </row>
    <row r="4659" ht="20.7" customHeight="1">
      <c r="A4659" s="10">
        <v>45655</v>
      </c>
      <c r="B4659" t="s" s="11">
        <v>8</v>
      </c>
      <c r="C4659" t="s" s="12">
        <v>8</v>
      </c>
      <c r="D4659" s="15" cm="1">
        <f t="array" ref="D4659">SUM(D4657:D4658)</f>
        <v>100</v>
      </c>
      <c r="E4659" s="15" cm="1">
        <f t="array" ref="E4659">SUM(E4657:E4658)</f>
        <v>100</v>
      </c>
      <c r="F4659" s="16" cm="1">
        <f t="array" ref="F4659">SUM(F4657:F4658)</f>
        <v>0</v>
      </c>
      <c r="G4659" s="16" cm="1">
        <f t="array" ref="G4659">SUM(G4657:G4658)</f>
        <v>0</v>
      </c>
      <c r="H4659" s="16" cm="1">
        <f t="array" ref="H4659">SUM(H4657:H4658)</f>
        <v>0</v>
      </c>
      <c r="I4659" s="16" cm="1">
        <f t="array" ref="I4659">SUM(I4657:I4658)</f>
        <v>0</v>
      </c>
    </row>
    <row r="4660" ht="20.35" customHeight="1">
      <c r="A4660" s="10">
        <v>45655</v>
      </c>
      <c r="B4660" t="s" s="11">
        <v>5</v>
      </c>
      <c r="C4660" t="s" s="12">
        <v>53</v>
      </c>
      <c r="D4660" s="17"/>
      <c r="E4660" s="17">
        <v>10900</v>
      </c>
      <c r="F4660" s="18"/>
      <c r="G4660" s="18"/>
      <c r="H4660" s="18"/>
      <c r="I4660" s="18"/>
    </row>
    <row r="4661" ht="20.35" customHeight="1">
      <c r="A4661" s="10">
        <v>45655</v>
      </c>
      <c r="B4661" t="s" s="11">
        <v>12</v>
      </c>
      <c r="C4661" t="s" s="12">
        <v>53</v>
      </c>
      <c r="D4661" s="13">
        <v>10900</v>
      </c>
      <c r="E4661" s="13"/>
      <c r="F4661" s="14"/>
      <c r="G4661" s="14"/>
      <c r="H4661" s="14"/>
      <c r="I4661" s="14"/>
    </row>
    <row r="4662" ht="20.7" customHeight="1">
      <c r="A4662" s="10">
        <v>45655</v>
      </c>
      <c r="B4662" t="s" s="11">
        <v>8</v>
      </c>
      <c r="C4662" t="s" s="12">
        <v>8</v>
      </c>
      <c r="D4662" s="15" cm="1">
        <f t="array" ref="D4662">SUM(D4660:D4661)</f>
        <v>10900</v>
      </c>
      <c r="E4662" s="15" cm="1">
        <f t="array" ref="E4662">SUM(E4660:E4661)</f>
        <v>10900</v>
      </c>
      <c r="F4662" s="16" cm="1">
        <f t="array" ref="F4662">SUM(F4660:F4661)</f>
        <v>0</v>
      </c>
      <c r="G4662" s="16" cm="1">
        <f t="array" ref="G4662">SUM(G4660:G4661)</f>
        <v>0</v>
      </c>
      <c r="H4662" s="16" cm="1">
        <f t="array" ref="H4662">SUM(H4660:H4661)</f>
        <v>0</v>
      </c>
      <c r="I4662" s="16" cm="1">
        <f t="array" ref="I4662">SUM(I4660:I4661)</f>
        <v>0</v>
      </c>
    </row>
    <row r="4663" ht="20.35" customHeight="1">
      <c r="A4663" s="10">
        <v>45655</v>
      </c>
      <c r="B4663" t="s" s="11">
        <v>5</v>
      </c>
      <c r="C4663" t="s" s="12">
        <v>17</v>
      </c>
      <c r="D4663" s="17">
        <v>500</v>
      </c>
      <c r="E4663" s="17"/>
      <c r="F4663" s="18"/>
      <c r="G4663" s="18"/>
      <c r="H4663" s="18"/>
      <c r="I4663" s="18"/>
    </row>
    <row r="4664" ht="20.35" customHeight="1">
      <c r="A4664" s="10">
        <v>45655</v>
      </c>
      <c r="B4664" t="s" s="11">
        <v>18</v>
      </c>
      <c r="C4664" t="s" s="12">
        <v>17</v>
      </c>
      <c r="D4664" s="13"/>
      <c r="E4664" s="13">
        <v>500</v>
      </c>
      <c r="F4664" s="14"/>
      <c r="G4664" s="14"/>
      <c r="H4664" s="14"/>
      <c r="I4664" s="14"/>
    </row>
    <row r="4665" ht="20.7" customHeight="1">
      <c r="A4665" s="10">
        <v>45655</v>
      </c>
      <c r="B4665" t="s" s="11">
        <v>8</v>
      </c>
      <c r="C4665" t="s" s="12">
        <v>8</v>
      </c>
      <c r="D4665" s="15" cm="1">
        <f t="array" ref="D4665">SUM(D4663:D4664)</f>
        <v>500</v>
      </c>
      <c r="E4665" s="15" cm="1">
        <f t="array" ref="E4665">SUM(E4663:E4664)</f>
        <v>500</v>
      </c>
      <c r="F4665" s="16" cm="1">
        <f t="array" ref="F4665">SUM(F4663:F4664)</f>
        <v>0</v>
      </c>
      <c r="G4665" s="16" cm="1">
        <f t="array" ref="G4665">SUM(G4663:G4664)</f>
        <v>0</v>
      </c>
      <c r="H4665" s="16" cm="1">
        <f t="array" ref="H4665">SUM(H4663:H4664)</f>
        <v>0</v>
      </c>
      <c r="I4665" s="16" cm="1">
        <f t="array" ref="I4665">SUM(I4663:I4664)</f>
        <v>0</v>
      </c>
    </row>
    <row r="4666" ht="20.65" customHeight="1">
      <c r="A4666" s="10">
        <v>45656</v>
      </c>
      <c r="B4666" t="s" s="11">
        <v>5</v>
      </c>
      <c r="C4666" t="s" s="12">
        <v>745</v>
      </c>
      <c r="D4666" s="17"/>
      <c r="E4666" s="17">
        <v>10800</v>
      </c>
      <c r="F4666" s="18"/>
      <c r="G4666" s="18"/>
      <c r="H4666" s="18"/>
      <c r="I4666" s="18"/>
    </row>
    <row r="4667" ht="20.65" customHeight="1">
      <c r="A4667" s="10">
        <v>45656</v>
      </c>
      <c r="B4667" t="s" s="11">
        <v>12</v>
      </c>
      <c r="C4667" t="s" s="12">
        <v>745</v>
      </c>
      <c r="D4667" s="13">
        <v>10800</v>
      </c>
      <c r="E4667" s="13"/>
      <c r="F4667" s="14"/>
      <c r="G4667" s="14"/>
      <c r="H4667" s="14"/>
      <c r="I4667" s="14"/>
    </row>
    <row r="4668" ht="20.7" customHeight="1">
      <c r="A4668" s="10">
        <v>45656</v>
      </c>
      <c r="B4668" t="s" s="11">
        <v>8</v>
      </c>
      <c r="C4668" t="s" s="12">
        <v>8</v>
      </c>
      <c r="D4668" s="15" cm="1">
        <f t="array" ref="D4668">SUM(D4666:D4667)</f>
        <v>10800</v>
      </c>
      <c r="E4668" s="15" cm="1">
        <f t="array" ref="E4668">SUM(E4666:E4667)</f>
        <v>10800</v>
      </c>
      <c r="F4668" s="16" cm="1">
        <f t="array" ref="F4668">SUM(F4666:F4667)</f>
        <v>0</v>
      </c>
      <c r="G4668" s="16" cm="1">
        <f t="array" ref="G4668">SUM(G4666:G4667)</f>
        <v>0</v>
      </c>
      <c r="H4668" s="16" cm="1">
        <f t="array" ref="H4668">SUM(H4666:H4667)</f>
        <v>0</v>
      </c>
      <c r="I4668" s="16" cm="1">
        <f t="array" ref="I4668">SUM(I4666:I4667)</f>
        <v>0</v>
      </c>
    </row>
    <row r="4669" ht="20.35" customHeight="1">
      <c r="A4669" s="10">
        <v>45656</v>
      </c>
      <c r="B4669" t="s" s="11">
        <v>5</v>
      </c>
      <c r="C4669" t="s" s="12">
        <v>209</v>
      </c>
      <c r="D4669" s="17"/>
      <c r="E4669" s="17">
        <v>20000</v>
      </c>
      <c r="F4669" s="18"/>
      <c r="G4669" s="18"/>
      <c r="H4669" s="18"/>
      <c r="I4669" s="18"/>
    </row>
    <row r="4670" ht="20.35" customHeight="1">
      <c r="A4670" s="10">
        <v>45656</v>
      </c>
      <c r="B4670" t="s" s="11">
        <v>107</v>
      </c>
      <c r="C4670" t="s" s="12">
        <v>209</v>
      </c>
      <c r="D4670" s="13">
        <v>20000</v>
      </c>
      <c r="E4670" s="13"/>
      <c r="F4670" s="14"/>
      <c r="G4670" s="14"/>
      <c r="H4670" s="14"/>
      <c r="I4670" s="14"/>
    </row>
    <row r="4671" ht="20.7" customHeight="1">
      <c r="A4671" s="10">
        <v>45656</v>
      </c>
      <c r="B4671" t="s" s="11">
        <v>8</v>
      </c>
      <c r="C4671" t="s" s="12">
        <v>8</v>
      </c>
      <c r="D4671" s="15" cm="1">
        <f t="array" ref="D4671">SUM(D4669:D4670)</f>
        <v>20000</v>
      </c>
      <c r="E4671" s="15" cm="1">
        <f t="array" ref="E4671">SUM(E4669:E4670)</f>
        <v>20000</v>
      </c>
      <c r="F4671" s="16" cm="1">
        <f t="array" ref="F4671">SUM(F4669:F4670)</f>
        <v>0</v>
      </c>
      <c r="G4671" s="16" cm="1">
        <f t="array" ref="G4671">SUM(G4669:G4670)</f>
        <v>0</v>
      </c>
      <c r="H4671" s="16" cm="1">
        <f t="array" ref="H4671">SUM(H4669:H4670)</f>
        <v>0</v>
      </c>
      <c r="I4671" s="16" cm="1">
        <f t="array" ref="I4671">SUM(I4669:I4670)</f>
        <v>0</v>
      </c>
    </row>
    <row r="4672" ht="21.25" customHeight="1">
      <c r="A4672" s="10">
        <v>45656</v>
      </c>
      <c r="B4672" t="s" s="11">
        <v>86</v>
      </c>
      <c r="C4672" t="s" s="12">
        <v>713</v>
      </c>
      <c r="D4672" s="17">
        <v>20000</v>
      </c>
      <c r="E4672" s="17"/>
      <c r="F4672" s="18"/>
      <c r="G4672" s="18"/>
      <c r="H4672" s="18"/>
      <c r="I4672" s="18"/>
    </row>
    <row r="4673" ht="21.25" customHeight="1">
      <c r="A4673" s="10">
        <v>45656</v>
      </c>
      <c r="B4673" t="s" s="11">
        <v>5</v>
      </c>
      <c r="C4673" t="s" s="12">
        <v>713</v>
      </c>
      <c r="D4673" s="13"/>
      <c r="E4673" s="13">
        <v>20000</v>
      </c>
      <c r="F4673" s="14"/>
      <c r="G4673" s="14"/>
      <c r="H4673" s="14"/>
      <c r="I4673" s="14"/>
    </row>
    <row r="4674" ht="20.7" customHeight="1">
      <c r="A4674" s="10">
        <v>45656</v>
      </c>
      <c r="B4674" t="s" s="11">
        <v>8</v>
      </c>
      <c r="C4674" t="s" s="12">
        <v>8</v>
      </c>
      <c r="D4674" s="15" cm="1">
        <f t="array" ref="D4674">SUM(D4672:D4673)</f>
        <v>20000</v>
      </c>
      <c r="E4674" s="15" cm="1">
        <f t="array" ref="E4674">SUM(E4672:E4673)</f>
        <v>20000</v>
      </c>
      <c r="F4674" s="16" cm="1">
        <f t="array" ref="F4674">SUM(F4672:F4673)</f>
        <v>0</v>
      </c>
      <c r="G4674" s="16" cm="1">
        <f t="array" ref="G4674">SUM(G4672:G4673)</f>
        <v>0</v>
      </c>
      <c r="H4674" s="16" cm="1">
        <f t="array" ref="H4674">SUM(H4672:H4673)</f>
        <v>0</v>
      </c>
      <c r="I4674" s="16" cm="1">
        <f t="array" ref="I4674">SUM(I4672:I4673)</f>
        <v>0</v>
      </c>
    </row>
    <row r="4675" ht="20.65" customHeight="1">
      <c r="A4675" s="10">
        <v>45656</v>
      </c>
      <c r="B4675" t="s" s="11">
        <v>107</v>
      </c>
      <c r="C4675" t="s" s="12">
        <v>767</v>
      </c>
      <c r="D4675" s="17">
        <v>1</v>
      </c>
      <c r="E4675" s="17"/>
      <c r="F4675" s="18"/>
      <c r="G4675" s="18"/>
      <c r="H4675" s="18"/>
      <c r="I4675" s="18"/>
    </row>
    <row r="4676" ht="20.65" customHeight="1">
      <c r="A4676" s="10">
        <v>45656</v>
      </c>
      <c r="B4676" t="s" s="11">
        <v>91</v>
      </c>
      <c r="C4676" t="s" s="12">
        <v>767</v>
      </c>
      <c r="D4676" s="13"/>
      <c r="E4676" s="13">
        <v>1</v>
      </c>
      <c r="F4676" s="14"/>
      <c r="G4676" s="14"/>
      <c r="H4676" s="14"/>
      <c r="I4676" s="14"/>
    </row>
    <row r="4677" ht="20.7" customHeight="1">
      <c r="A4677" s="10">
        <v>45656</v>
      </c>
      <c r="B4677" t="s" s="11">
        <v>8</v>
      </c>
      <c r="C4677" t="s" s="12">
        <v>8</v>
      </c>
      <c r="D4677" s="15" cm="1">
        <f t="array" ref="D4677">SUM(D4675:D4676)</f>
        <v>1</v>
      </c>
      <c r="E4677" s="15" cm="1">
        <f t="array" ref="E4677">SUM(E4675:E4676)</f>
        <v>1</v>
      </c>
      <c r="F4677" s="16" cm="1">
        <f t="array" ref="F4677">SUM(F4675:F4676)</f>
        <v>0</v>
      </c>
      <c r="G4677" s="16" cm="1">
        <f t="array" ref="G4677">SUM(G4675:G4676)</f>
        <v>0</v>
      </c>
      <c r="H4677" s="16" cm="1">
        <f t="array" ref="H4677">SUM(H4675:H4676)</f>
        <v>0</v>
      </c>
      <c r="I4677" s="16" cm="1">
        <f t="array" ref="I4677">SUM(I4675:I4676)</f>
        <v>0</v>
      </c>
    </row>
    <row r="4678" ht="20.35" customHeight="1">
      <c r="A4678" s="10">
        <v>45656</v>
      </c>
      <c r="B4678" t="s" s="11">
        <v>107</v>
      </c>
      <c r="C4678" t="s" s="12">
        <v>768</v>
      </c>
      <c r="D4678" s="17"/>
      <c r="E4678" s="17">
        <v>17233</v>
      </c>
      <c r="F4678" s="18"/>
      <c r="G4678" s="18"/>
      <c r="H4678" s="18"/>
      <c r="I4678" s="18"/>
    </row>
    <row r="4679" ht="20.35" customHeight="1">
      <c r="A4679" s="10">
        <v>45656</v>
      </c>
      <c r="B4679" t="s" s="11">
        <v>10</v>
      </c>
      <c r="C4679" t="s" s="12">
        <v>768</v>
      </c>
      <c r="D4679" s="13">
        <v>17233</v>
      </c>
      <c r="E4679" s="13"/>
      <c r="F4679" s="14"/>
      <c r="G4679" s="14"/>
      <c r="H4679" s="14"/>
      <c r="I4679" s="14"/>
    </row>
    <row r="4680" ht="20.7" customHeight="1">
      <c r="A4680" s="10">
        <v>45656</v>
      </c>
      <c r="B4680" t="s" s="11">
        <v>8</v>
      </c>
      <c r="C4680" t="s" s="12">
        <v>8</v>
      </c>
      <c r="D4680" s="15" cm="1">
        <f t="array" ref="D4680">SUM(D4678:D4679)</f>
        <v>17233</v>
      </c>
      <c r="E4680" s="15" cm="1">
        <f t="array" ref="E4680">SUM(E4678:E4679)</f>
        <v>17233</v>
      </c>
      <c r="F4680" s="16" cm="1">
        <f t="array" ref="F4680">SUM(F4678:F4679)</f>
        <v>0</v>
      </c>
      <c r="G4680" s="16" cm="1">
        <f t="array" ref="G4680">SUM(G4678:G4679)</f>
        <v>0</v>
      </c>
      <c r="H4680" s="16" cm="1">
        <f t="array" ref="H4680">SUM(H4678:H4679)</f>
        <v>0</v>
      </c>
      <c r="I4680" s="16" cm="1">
        <f t="array" ref="I4680">SUM(I4678:I4679)</f>
        <v>0</v>
      </c>
    </row>
    <row r="4681" ht="21.25" customHeight="1">
      <c r="A4681" s="10">
        <v>45657</v>
      </c>
      <c r="B4681" t="s" s="11">
        <v>5</v>
      </c>
      <c r="C4681" t="s" s="12">
        <v>769</v>
      </c>
      <c r="D4681" s="17">
        <v>524400</v>
      </c>
      <c r="E4681" s="17"/>
      <c r="F4681" s="18"/>
      <c r="G4681" s="18"/>
      <c r="H4681" s="18"/>
      <c r="I4681" s="18"/>
    </row>
    <row r="4682" ht="21.25" customHeight="1">
      <c r="A4682" s="10">
        <v>45657</v>
      </c>
      <c r="B4682" t="s" s="11">
        <v>91</v>
      </c>
      <c r="C4682" t="s" s="12">
        <v>769</v>
      </c>
      <c r="D4682" s="13"/>
      <c r="E4682" s="13">
        <v>524400</v>
      </c>
      <c r="F4682" s="14"/>
      <c r="G4682" s="14"/>
      <c r="H4682" s="14"/>
      <c r="I4682" s="14"/>
    </row>
    <row r="4683" ht="20.7" customHeight="1">
      <c r="A4683" s="10">
        <v>45657</v>
      </c>
      <c r="B4683" t="s" s="11">
        <v>8</v>
      </c>
      <c r="C4683" t="s" s="12">
        <v>8</v>
      </c>
      <c r="D4683" s="15" cm="1">
        <f t="array" ref="D4683">SUM(D4681:D4682)</f>
        <v>524400</v>
      </c>
      <c r="E4683" s="15" cm="1">
        <f t="array" ref="E4683">SUM(E4681:E4682)</f>
        <v>524400</v>
      </c>
      <c r="F4683" s="16" cm="1">
        <f t="array" ref="F4683">SUM(F4681:F4682)</f>
        <v>0</v>
      </c>
      <c r="G4683" s="16" cm="1">
        <f t="array" ref="G4683">SUM(G4681:G4682)</f>
        <v>0</v>
      </c>
      <c r="H4683" s="16" cm="1">
        <f t="array" ref="H4683">SUM(H4681:H4682)</f>
        <v>0</v>
      </c>
      <c r="I4683" s="16" cm="1">
        <f t="array" ref="I4683">SUM(I4681:I4682)</f>
        <v>0</v>
      </c>
    </row>
    <row r="4684" ht="20.35" customHeight="1">
      <c r="A4684" s="10">
        <v>45657</v>
      </c>
      <c r="B4684" t="s" s="11">
        <v>5</v>
      </c>
      <c r="C4684" t="s" s="12">
        <v>770</v>
      </c>
      <c r="D4684" s="17"/>
      <c r="E4684" s="17">
        <v>34600</v>
      </c>
      <c r="F4684" s="18"/>
      <c r="G4684" s="18"/>
      <c r="H4684" s="18"/>
      <c r="I4684" s="18"/>
    </row>
    <row r="4685" ht="20.35" customHeight="1">
      <c r="A4685" s="10">
        <v>45657</v>
      </c>
      <c r="B4685" t="s" s="11">
        <v>12</v>
      </c>
      <c r="C4685" t="s" s="12">
        <v>770</v>
      </c>
      <c r="D4685" s="13">
        <v>34600</v>
      </c>
      <c r="E4685" s="13"/>
      <c r="F4685" s="14"/>
      <c r="G4685" s="14"/>
      <c r="H4685" s="14"/>
      <c r="I4685" s="14"/>
    </row>
    <row r="4686" ht="20.7" customHeight="1">
      <c r="A4686" s="10">
        <v>45657</v>
      </c>
      <c r="B4686" t="s" s="11">
        <v>8</v>
      </c>
      <c r="C4686" t="s" s="12">
        <v>8</v>
      </c>
      <c r="D4686" s="15" cm="1">
        <f t="array" ref="D4686">SUM(D4684:D4685)</f>
        <v>34600</v>
      </c>
      <c r="E4686" s="15" cm="1">
        <f t="array" ref="E4686">SUM(E4684:E4685)</f>
        <v>34600</v>
      </c>
      <c r="F4686" s="16" cm="1">
        <f t="array" ref="F4686">SUM(F4684:F4685)</f>
        <v>0</v>
      </c>
      <c r="G4686" s="16" cm="1">
        <f t="array" ref="G4686">SUM(G4684:G4685)</f>
        <v>0</v>
      </c>
      <c r="H4686" s="16" cm="1">
        <f t="array" ref="H4686">SUM(H4684:H4685)</f>
        <v>0</v>
      </c>
      <c r="I4686" s="16" cm="1">
        <f t="array" ref="I4686">SUM(I4684:I4685)</f>
        <v>0</v>
      </c>
    </row>
    <row r="4687" ht="20.35" customHeight="1">
      <c r="A4687" s="10">
        <v>45657</v>
      </c>
      <c r="B4687" t="s" s="11">
        <v>5</v>
      </c>
      <c r="C4687" t="s" s="12">
        <v>771</v>
      </c>
      <c r="D4687" s="17"/>
      <c r="E4687" s="17">
        <v>8000</v>
      </c>
      <c r="F4687" s="18"/>
      <c r="G4687" s="18"/>
      <c r="H4687" s="18"/>
      <c r="I4687" s="18"/>
    </row>
    <row r="4688" ht="20.35" customHeight="1">
      <c r="A4688" s="10">
        <v>45657</v>
      </c>
      <c r="B4688" t="s" s="11">
        <v>10</v>
      </c>
      <c r="C4688" t="s" s="12">
        <v>771</v>
      </c>
      <c r="D4688" s="13">
        <v>8000</v>
      </c>
      <c r="E4688" s="13"/>
      <c r="F4688" s="14"/>
      <c r="G4688" s="14"/>
      <c r="H4688" s="14"/>
      <c r="I4688" s="14"/>
    </row>
    <row r="4689" ht="20.7" customHeight="1">
      <c r="A4689" s="10">
        <v>45657</v>
      </c>
      <c r="B4689" t="s" s="11">
        <v>8</v>
      </c>
      <c r="C4689" t="s" s="12">
        <v>8</v>
      </c>
      <c r="D4689" s="15" cm="1">
        <f t="array" ref="D4689">SUM(D4687:D4688)</f>
        <v>8000</v>
      </c>
      <c r="E4689" s="15" cm="1">
        <f t="array" ref="E4689">SUM(E4687:E4688)</f>
        <v>8000</v>
      </c>
      <c r="F4689" s="16" cm="1">
        <f t="array" ref="F4689">SUM(F4687:F4688)</f>
        <v>0</v>
      </c>
      <c r="G4689" s="16" cm="1">
        <f t="array" ref="G4689">SUM(G4687:G4688)</f>
        <v>0</v>
      </c>
      <c r="H4689" s="16" cm="1">
        <f t="array" ref="H4689">SUM(H4687:H4688)</f>
        <v>0</v>
      </c>
      <c r="I4689" s="16" cm="1">
        <f t="array" ref="I4689">SUM(I4687:I4688)</f>
        <v>0</v>
      </c>
    </row>
    <row r="4690" ht="21.25" customHeight="1">
      <c r="A4690" s="10">
        <v>45657</v>
      </c>
      <c r="B4690" t="s" s="11">
        <v>5</v>
      </c>
      <c r="C4690" t="s" s="12">
        <v>772</v>
      </c>
      <c r="D4690" s="17"/>
      <c r="E4690" s="17">
        <v>5000</v>
      </c>
      <c r="F4690" s="18"/>
      <c r="G4690" s="18"/>
      <c r="H4690" s="18"/>
      <c r="I4690" s="18"/>
    </row>
    <row r="4691" ht="21.25" customHeight="1">
      <c r="A4691" s="10">
        <v>45657</v>
      </c>
      <c r="B4691" t="s" s="11">
        <v>10</v>
      </c>
      <c r="C4691" t="s" s="12">
        <v>772</v>
      </c>
      <c r="D4691" s="13">
        <v>5000</v>
      </c>
      <c r="E4691" s="13"/>
      <c r="F4691" s="14"/>
      <c r="G4691" s="14"/>
      <c r="H4691" s="14"/>
      <c r="I4691" s="14"/>
    </row>
    <row r="4692" ht="20.7" customHeight="1">
      <c r="A4692" s="10">
        <v>45657</v>
      </c>
      <c r="B4692" t="s" s="11">
        <v>8</v>
      </c>
      <c r="C4692" t="s" s="12">
        <v>8</v>
      </c>
      <c r="D4692" s="15" cm="1">
        <f t="array" ref="D4692">SUM(D4690:D4691)</f>
        <v>5000</v>
      </c>
      <c r="E4692" s="15" cm="1">
        <f t="array" ref="E4692">SUM(E4690:E4691)</f>
        <v>5000</v>
      </c>
      <c r="F4692" s="16" cm="1">
        <f t="array" ref="F4692">SUM(F4690:F4691)</f>
        <v>0</v>
      </c>
      <c r="G4692" s="16" cm="1">
        <f t="array" ref="G4692">SUM(G4690:G4691)</f>
        <v>0</v>
      </c>
      <c r="H4692" s="16" cm="1">
        <f t="array" ref="H4692">SUM(H4690:H4691)</f>
        <v>0</v>
      </c>
      <c r="I4692" s="16" cm="1">
        <f t="array" ref="I4692">SUM(I4690:I4691)</f>
        <v>0</v>
      </c>
    </row>
    <row r="4693" ht="20.35" customHeight="1">
      <c r="A4693" s="10">
        <v>45657</v>
      </c>
      <c r="B4693" t="s" s="11">
        <v>28</v>
      </c>
      <c r="C4693" t="s" s="12">
        <v>773</v>
      </c>
      <c r="D4693" s="17"/>
      <c r="E4693" s="17">
        <v>6010</v>
      </c>
      <c r="F4693" s="18"/>
      <c r="G4693" s="18"/>
      <c r="H4693" s="18"/>
      <c r="I4693" s="18"/>
    </row>
    <row r="4694" ht="20.35" customHeight="1">
      <c r="A4694" s="10">
        <v>45657</v>
      </c>
      <c r="B4694" t="s" s="11">
        <v>10</v>
      </c>
      <c r="C4694" t="s" s="12">
        <v>773</v>
      </c>
      <c r="D4694" s="13">
        <v>6010</v>
      </c>
      <c r="E4694" s="13"/>
      <c r="F4694" s="14"/>
      <c r="G4694" s="14"/>
      <c r="H4694" s="14"/>
      <c r="I4694" s="14"/>
    </row>
    <row r="4695" ht="20.7" customHeight="1">
      <c r="A4695" s="10">
        <v>45657</v>
      </c>
      <c r="B4695" t="s" s="11">
        <v>8</v>
      </c>
      <c r="C4695" t="s" s="12">
        <v>8</v>
      </c>
      <c r="D4695" s="15" cm="1">
        <f t="array" ref="D4695">SUM(D4693:D4694)</f>
        <v>6010</v>
      </c>
      <c r="E4695" s="15" cm="1">
        <f t="array" ref="E4695">SUM(E4693:E4694)</f>
        <v>6010</v>
      </c>
      <c r="F4695" s="16" cm="1">
        <f t="array" ref="F4695">SUM(F4693:F4694)</f>
        <v>0</v>
      </c>
      <c r="G4695" s="16" cm="1">
        <f t="array" ref="G4695">SUM(G4693:G4694)</f>
        <v>0</v>
      </c>
      <c r="H4695" s="16" cm="1">
        <f t="array" ref="H4695">SUM(H4693:H4694)</f>
        <v>0</v>
      </c>
      <c r="I4695" s="16" cm="1">
        <f t="array" ref="I4695">SUM(I4693:I4694)</f>
        <v>0</v>
      </c>
    </row>
    <row r="4696" ht="21.25" customHeight="1">
      <c r="A4696" s="10">
        <v>45657</v>
      </c>
      <c r="B4696" t="s" s="11">
        <v>21</v>
      </c>
      <c r="C4696" t="s" s="12">
        <v>774</v>
      </c>
      <c r="D4696" s="17"/>
      <c r="E4696" s="17">
        <v>4300</v>
      </c>
      <c r="F4696" s="18"/>
      <c r="G4696" s="18"/>
      <c r="H4696" s="18"/>
      <c r="I4696" s="18"/>
    </row>
    <row r="4697" ht="21.25" customHeight="1">
      <c r="A4697" s="10">
        <v>45657</v>
      </c>
      <c r="B4697" t="s" s="11">
        <v>16</v>
      </c>
      <c r="C4697" t="s" s="12">
        <v>774</v>
      </c>
      <c r="D4697" s="13">
        <v>4300</v>
      </c>
      <c r="E4697" s="13"/>
      <c r="F4697" s="14"/>
      <c r="G4697" s="14"/>
      <c r="H4697" s="14"/>
      <c r="I4697" s="14"/>
    </row>
    <row r="4698" ht="20.7" customHeight="1">
      <c r="A4698" s="10">
        <v>45657</v>
      </c>
      <c r="B4698" t="s" s="11">
        <v>8</v>
      </c>
      <c r="C4698" t="s" s="12">
        <v>8</v>
      </c>
      <c r="D4698" s="15" cm="1">
        <f t="array" ref="D4698">SUM(D4696:D4697)</f>
        <v>4300</v>
      </c>
      <c r="E4698" s="15" cm="1">
        <f t="array" ref="E4698">SUM(E4696:E4697)</f>
        <v>4300</v>
      </c>
      <c r="F4698" s="16" cm="1">
        <f t="array" ref="F4698">SUM(F4696:F4697)</f>
        <v>0</v>
      </c>
      <c r="G4698" s="16" cm="1">
        <f t="array" ref="G4698">SUM(G4696:G4697)</f>
        <v>0</v>
      </c>
      <c r="H4698" s="16" cm="1">
        <f t="array" ref="H4698">SUM(H4696:H4697)</f>
        <v>0</v>
      </c>
      <c r="I4698" s="16" cm="1">
        <f t="array" ref="I4698">SUM(I4696:I4697)</f>
        <v>0</v>
      </c>
    </row>
    <row r="4699" ht="20.35" customHeight="1">
      <c r="A4699" s="10">
        <v>45657</v>
      </c>
      <c r="B4699" t="s" s="11">
        <v>93</v>
      </c>
      <c r="C4699" t="s" s="12">
        <v>775</v>
      </c>
      <c r="D4699" s="17"/>
      <c r="E4699" s="17">
        <v>15000</v>
      </c>
      <c r="F4699" s="18"/>
      <c r="G4699" s="18"/>
      <c r="H4699" s="18"/>
      <c r="I4699" s="18"/>
    </row>
    <row r="4700" ht="20.35" customHeight="1">
      <c r="A4700" s="10">
        <v>45657</v>
      </c>
      <c r="B4700" t="s" s="11">
        <v>10</v>
      </c>
      <c r="C4700" t="s" s="12">
        <v>775</v>
      </c>
      <c r="D4700" s="13">
        <v>15000</v>
      </c>
      <c r="E4700" s="13"/>
      <c r="F4700" s="14"/>
      <c r="G4700" s="14"/>
      <c r="H4700" s="14"/>
      <c r="I4700" s="14"/>
    </row>
    <row r="4701" ht="20.7" customHeight="1">
      <c r="A4701" s="10">
        <v>45657</v>
      </c>
      <c r="B4701" t="s" s="11">
        <v>8</v>
      </c>
      <c r="C4701" t="s" s="12">
        <v>8</v>
      </c>
      <c r="D4701" s="15" cm="1">
        <f t="array" ref="D4701">SUM(D4699:D4700)</f>
        <v>15000</v>
      </c>
      <c r="E4701" s="15" cm="1">
        <f t="array" ref="E4701">SUM(E4699:E4700)</f>
        <v>15000</v>
      </c>
      <c r="F4701" s="16" cm="1">
        <f t="array" ref="F4701">SUM(F4699:F4700)</f>
        <v>0</v>
      </c>
      <c r="G4701" s="16" cm="1">
        <f t="array" ref="G4701">SUM(G4699:G4700)</f>
        <v>0</v>
      </c>
      <c r="H4701" s="16" cm="1">
        <f t="array" ref="H4701">SUM(H4699:H4700)</f>
        <v>0</v>
      </c>
      <c r="I4701" s="16" cm="1">
        <f t="array" ref="I4701">SUM(I4699:I4700)</f>
        <v>0</v>
      </c>
    </row>
    <row r="4702" ht="21.25" customHeight="1">
      <c r="A4702" s="10">
        <v>45658</v>
      </c>
      <c r="B4702" t="s" s="11">
        <v>97</v>
      </c>
      <c r="C4702" t="s" s="12">
        <v>776</v>
      </c>
      <c r="D4702" s="17"/>
      <c r="E4702" s="17">
        <v>950000</v>
      </c>
      <c r="F4702" s="18"/>
      <c r="G4702" s="18"/>
      <c r="H4702" s="18"/>
      <c r="I4702" s="18"/>
    </row>
    <row r="4703" ht="21.25" customHeight="1">
      <c r="A4703" s="10">
        <v>45658</v>
      </c>
      <c r="B4703" t="s" s="11">
        <v>99</v>
      </c>
      <c r="C4703" t="s" s="12">
        <v>776</v>
      </c>
      <c r="D4703" s="13">
        <v>950000</v>
      </c>
      <c r="E4703" s="13"/>
      <c r="F4703" s="14"/>
      <c r="G4703" s="14"/>
      <c r="H4703" s="14"/>
      <c r="I4703" s="14"/>
    </row>
    <row r="4704" ht="20.7" customHeight="1">
      <c r="A4704" s="10">
        <v>45658</v>
      </c>
      <c r="B4704" t="s" s="11">
        <v>8</v>
      </c>
      <c r="C4704" t="s" s="12">
        <v>8</v>
      </c>
      <c r="D4704" s="15" cm="1">
        <f t="array" ref="D4704">SUM(D4702:D4703)</f>
        <v>950000</v>
      </c>
      <c r="E4704" s="15" cm="1">
        <f t="array" ref="E4704">SUM(E4702:E4703)</f>
        <v>950000</v>
      </c>
      <c r="F4704" s="16" cm="1">
        <f t="array" ref="F4704">SUM(F4702:F4703)</f>
        <v>0</v>
      </c>
      <c r="G4704" s="16" cm="1">
        <f t="array" ref="G4704">SUM(G4702:G4703)</f>
        <v>0</v>
      </c>
      <c r="H4704" s="16" cm="1">
        <f t="array" ref="H4704">SUM(H4702:H4703)</f>
        <v>0</v>
      </c>
      <c r="I4704" s="16" cm="1">
        <f t="array" ref="I4704">SUM(I4702:I4703)</f>
        <v>0</v>
      </c>
    </row>
    <row r="4705" ht="21.25" customHeight="1">
      <c r="A4705" s="10">
        <v>45658</v>
      </c>
      <c r="B4705" t="s" s="11">
        <v>106</v>
      </c>
      <c r="C4705" t="s" s="12">
        <v>777</v>
      </c>
      <c r="D4705" s="17"/>
      <c r="E4705" s="17">
        <v>17500</v>
      </c>
      <c r="F4705" s="18"/>
      <c r="G4705" s="18"/>
      <c r="H4705" s="18"/>
      <c r="I4705" s="18"/>
    </row>
    <row r="4706" ht="21.25" customHeight="1">
      <c r="A4706" s="10">
        <v>45658</v>
      </c>
      <c r="B4706" t="s" s="11">
        <v>10</v>
      </c>
      <c r="C4706" t="s" s="12">
        <v>777</v>
      </c>
      <c r="D4706" s="13">
        <v>17500</v>
      </c>
      <c r="E4706" s="13"/>
      <c r="F4706" s="14"/>
      <c r="G4706" s="14"/>
      <c r="H4706" s="14"/>
      <c r="I4706" s="14"/>
    </row>
    <row r="4707" ht="20.7" customHeight="1">
      <c r="A4707" s="10">
        <v>45658</v>
      </c>
      <c r="B4707" t="s" s="11">
        <v>8</v>
      </c>
      <c r="C4707" t="s" s="12">
        <v>8</v>
      </c>
      <c r="D4707" s="15" cm="1">
        <f t="array" ref="D4707">SUM(D4705:D4706)</f>
        <v>17500</v>
      </c>
      <c r="E4707" s="15" cm="1">
        <f t="array" ref="E4707">SUM(E4705:E4706)</f>
        <v>17500</v>
      </c>
      <c r="F4707" s="16" cm="1">
        <f t="array" ref="F4707">SUM(F4705:F4706)</f>
        <v>0</v>
      </c>
      <c r="G4707" s="16" cm="1">
        <f t="array" ref="G4707">SUM(G4705:G4706)</f>
        <v>0</v>
      </c>
      <c r="H4707" s="16" cm="1">
        <f t="array" ref="H4707">SUM(H4705:H4706)</f>
        <v>0</v>
      </c>
      <c r="I4707" s="16" cm="1">
        <f t="array" ref="I4707">SUM(I4705:I4706)</f>
        <v>0</v>
      </c>
    </row>
    <row r="4708" ht="21.25" customHeight="1">
      <c r="A4708" s="10">
        <v>45658</v>
      </c>
      <c r="B4708" t="s" s="11">
        <v>5</v>
      </c>
      <c r="C4708" t="s" s="12">
        <v>778</v>
      </c>
      <c r="D4708" s="17">
        <v>171</v>
      </c>
      <c r="E4708" s="17"/>
      <c r="F4708" s="18"/>
      <c r="G4708" s="18"/>
      <c r="H4708" s="18"/>
      <c r="I4708" s="18"/>
    </row>
    <row r="4709" ht="21.25" customHeight="1">
      <c r="A4709" s="10">
        <v>45658</v>
      </c>
      <c r="B4709" t="s" s="11">
        <v>7</v>
      </c>
      <c r="C4709" t="s" s="12">
        <v>778</v>
      </c>
      <c r="D4709" s="13"/>
      <c r="E4709" s="13">
        <v>171</v>
      </c>
      <c r="F4709" s="14"/>
      <c r="G4709" s="14"/>
      <c r="H4709" s="14"/>
      <c r="I4709" s="14"/>
    </row>
    <row r="4710" ht="20.7" customHeight="1">
      <c r="A4710" s="10">
        <v>45658</v>
      </c>
      <c r="B4710" t="s" s="11">
        <v>8</v>
      </c>
      <c r="C4710" t="s" s="12">
        <v>8</v>
      </c>
      <c r="D4710" s="15" cm="1">
        <f t="array" ref="D4710">SUM(D4708:D4709)</f>
        <v>171</v>
      </c>
      <c r="E4710" s="15" cm="1">
        <f t="array" ref="E4710">SUM(E4708:E4709)</f>
        <v>171</v>
      </c>
      <c r="F4710" s="16" cm="1">
        <f t="array" ref="F4710">SUM(F4708:F4709)</f>
        <v>0</v>
      </c>
      <c r="G4710" s="16" cm="1">
        <f t="array" ref="G4710">SUM(G4708:G4709)</f>
        <v>0</v>
      </c>
      <c r="H4710" s="16" cm="1">
        <f t="array" ref="H4710">SUM(H4708:H4709)</f>
        <v>0</v>
      </c>
      <c r="I4710" s="16" cm="1">
        <f t="array" ref="I4710">SUM(I4708:I4709)</f>
        <v>0</v>
      </c>
    </row>
    <row r="4711" ht="21.25" customHeight="1">
      <c r="A4711" s="10">
        <v>45658</v>
      </c>
      <c r="B4711" t="s" s="11">
        <v>5</v>
      </c>
      <c r="C4711" t="s" s="12">
        <v>779</v>
      </c>
      <c r="D4711" s="17"/>
      <c r="E4711" s="17">
        <v>6000</v>
      </c>
      <c r="F4711" s="18"/>
      <c r="G4711" s="18"/>
      <c r="H4711" s="18"/>
      <c r="I4711" s="18"/>
    </row>
    <row r="4712" ht="21.25" customHeight="1">
      <c r="A4712" s="10">
        <v>45658</v>
      </c>
      <c r="B4712" t="s" s="11">
        <v>10</v>
      </c>
      <c r="C4712" t="s" s="12">
        <v>779</v>
      </c>
      <c r="D4712" s="13">
        <v>6000</v>
      </c>
      <c r="E4712" s="13"/>
      <c r="F4712" s="14"/>
      <c r="G4712" s="14"/>
      <c r="H4712" s="14"/>
      <c r="I4712" s="14"/>
    </row>
    <row r="4713" ht="20.7" customHeight="1">
      <c r="A4713" s="10">
        <v>45658</v>
      </c>
      <c r="B4713" t="s" s="11">
        <v>8</v>
      </c>
      <c r="C4713" t="s" s="12">
        <v>8</v>
      </c>
      <c r="D4713" s="15" cm="1">
        <f t="array" ref="D4713">SUM(D4711:D4712)</f>
        <v>6000</v>
      </c>
      <c r="E4713" s="15" cm="1">
        <f t="array" ref="E4713">SUM(E4711:E4712)</f>
        <v>6000</v>
      </c>
      <c r="F4713" s="16" cm="1">
        <f t="array" ref="F4713">SUM(F4711:F4712)</f>
        <v>0</v>
      </c>
      <c r="G4713" s="16" cm="1">
        <f t="array" ref="G4713">SUM(G4711:G4712)</f>
        <v>0</v>
      </c>
      <c r="H4713" s="16" cm="1">
        <f t="array" ref="H4713">SUM(H4711:H4712)</f>
        <v>0</v>
      </c>
      <c r="I4713" s="16" cm="1">
        <f t="array" ref="I4713">SUM(I4711:I4712)</f>
        <v>0</v>
      </c>
    </row>
    <row r="4714" ht="21.25" customHeight="1">
      <c r="A4714" s="10">
        <v>45658</v>
      </c>
      <c r="B4714" t="s" s="11">
        <v>5</v>
      </c>
      <c r="C4714" t="s" s="12">
        <v>779</v>
      </c>
      <c r="D4714" s="17"/>
      <c r="E4714" s="17">
        <v>6000</v>
      </c>
      <c r="F4714" s="18"/>
      <c r="G4714" s="18"/>
      <c r="H4714" s="18"/>
      <c r="I4714" s="18"/>
    </row>
    <row r="4715" ht="21.25" customHeight="1">
      <c r="A4715" s="10">
        <v>45658</v>
      </c>
      <c r="B4715" t="s" s="11">
        <v>10</v>
      </c>
      <c r="C4715" t="s" s="12">
        <v>779</v>
      </c>
      <c r="D4715" s="13">
        <v>6000</v>
      </c>
      <c r="E4715" s="13"/>
      <c r="F4715" s="14"/>
      <c r="G4715" s="14"/>
      <c r="H4715" s="14"/>
      <c r="I4715" s="14"/>
    </row>
    <row r="4716" ht="20.7" customHeight="1">
      <c r="A4716" s="10">
        <v>45658</v>
      </c>
      <c r="B4716" t="s" s="11">
        <v>8</v>
      </c>
      <c r="C4716" t="s" s="12">
        <v>8</v>
      </c>
      <c r="D4716" s="15" cm="1">
        <f t="array" ref="D4716">SUM(D4714:D4715)</f>
        <v>6000</v>
      </c>
      <c r="E4716" s="15" cm="1">
        <f t="array" ref="E4716">SUM(E4714:E4715)</f>
        <v>6000</v>
      </c>
      <c r="F4716" s="16" cm="1">
        <f t="array" ref="F4716">SUM(F4714:F4715)</f>
        <v>0</v>
      </c>
      <c r="G4716" s="16" cm="1">
        <f t="array" ref="G4716">SUM(G4714:G4715)</f>
        <v>0</v>
      </c>
      <c r="H4716" s="16" cm="1">
        <f t="array" ref="H4716">SUM(H4714:H4715)</f>
        <v>0</v>
      </c>
      <c r="I4716" s="16" cm="1">
        <f t="array" ref="I4716">SUM(I4714:I4715)</f>
        <v>0</v>
      </c>
    </row>
    <row r="4717" ht="20.35" customHeight="1">
      <c r="A4717" s="10">
        <v>45658</v>
      </c>
      <c r="B4717" t="s" s="11">
        <v>5</v>
      </c>
      <c r="C4717" t="s" s="12">
        <v>17</v>
      </c>
      <c r="D4717" s="17">
        <v>100</v>
      </c>
      <c r="E4717" s="17"/>
      <c r="F4717" s="18"/>
      <c r="G4717" s="18"/>
      <c r="H4717" s="18"/>
      <c r="I4717" s="18"/>
    </row>
    <row r="4718" ht="20.35" customHeight="1">
      <c r="A4718" s="10">
        <v>45658</v>
      </c>
      <c r="B4718" t="s" s="11">
        <v>18</v>
      </c>
      <c r="C4718" t="s" s="12">
        <v>17</v>
      </c>
      <c r="D4718" s="13"/>
      <c r="E4718" s="13">
        <v>100</v>
      </c>
      <c r="F4718" s="14"/>
      <c r="G4718" s="14"/>
      <c r="H4718" s="14"/>
      <c r="I4718" s="14"/>
    </row>
    <row r="4719" ht="20.7" customHeight="1">
      <c r="A4719" s="10">
        <v>45658</v>
      </c>
      <c r="B4719" t="s" s="11">
        <v>8</v>
      </c>
      <c r="C4719" t="s" s="12">
        <v>8</v>
      </c>
      <c r="D4719" s="15" cm="1">
        <f t="array" ref="D4719">SUM(D4717:D4718)</f>
        <v>100</v>
      </c>
      <c r="E4719" s="15" cm="1">
        <f t="array" ref="E4719">SUM(E4717:E4718)</f>
        <v>100</v>
      </c>
      <c r="F4719" s="16" cm="1">
        <f t="array" ref="F4719">SUM(F4717:F4718)</f>
        <v>0</v>
      </c>
      <c r="G4719" s="16" cm="1">
        <f t="array" ref="G4719">SUM(G4717:G4718)</f>
        <v>0</v>
      </c>
      <c r="H4719" s="16" cm="1">
        <f t="array" ref="H4719">SUM(H4717:H4718)</f>
        <v>0</v>
      </c>
      <c r="I4719" s="16" cm="1">
        <f t="array" ref="I4719">SUM(I4717:I4718)</f>
        <v>0</v>
      </c>
    </row>
    <row r="4720" ht="20.35" customHeight="1">
      <c r="A4720" s="10">
        <v>45658</v>
      </c>
      <c r="B4720" t="s" s="11">
        <v>5</v>
      </c>
      <c r="C4720" t="s" s="12">
        <v>780</v>
      </c>
      <c r="D4720" s="17"/>
      <c r="E4720" s="17">
        <v>7000</v>
      </c>
      <c r="F4720" s="18"/>
      <c r="G4720" s="18"/>
      <c r="H4720" s="18"/>
      <c r="I4720" s="18"/>
    </row>
    <row r="4721" ht="20.35" customHeight="1">
      <c r="A4721" s="10">
        <v>45658</v>
      </c>
      <c r="B4721" t="s" s="11">
        <v>12</v>
      </c>
      <c r="C4721" t="s" s="12">
        <v>780</v>
      </c>
      <c r="D4721" s="13">
        <v>7000</v>
      </c>
      <c r="E4721" s="13"/>
      <c r="F4721" s="14"/>
      <c r="G4721" s="14"/>
      <c r="H4721" s="14"/>
      <c r="I4721" s="14"/>
    </row>
    <row r="4722" ht="20.7" customHeight="1">
      <c r="A4722" s="10">
        <v>45658</v>
      </c>
      <c r="B4722" t="s" s="11">
        <v>8</v>
      </c>
      <c r="C4722" t="s" s="12">
        <v>8</v>
      </c>
      <c r="D4722" s="15" cm="1">
        <f t="array" ref="D4722">SUM(D4720:D4721)</f>
        <v>7000</v>
      </c>
      <c r="E4722" s="15" cm="1">
        <f t="array" ref="E4722">SUM(E4720:E4721)</f>
        <v>7000</v>
      </c>
      <c r="F4722" s="16" cm="1">
        <f t="array" ref="F4722">SUM(F4720:F4721)</f>
        <v>0</v>
      </c>
      <c r="G4722" s="16" cm="1">
        <f t="array" ref="G4722">SUM(G4720:G4721)</f>
        <v>0</v>
      </c>
      <c r="H4722" s="16" cm="1">
        <f t="array" ref="H4722">SUM(H4720:H4721)</f>
        <v>0</v>
      </c>
      <c r="I4722" s="16" cm="1">
        <f t="array" ref="I4722">SUM(I4720:I4721)</f>
        <v>0</v>
      </c>
    </row>
    <row r="4723" ht="20.35" customHeight="1">
      <c r="A4723" s="10">
        <v>45658</v>
      </c>
      <c r="B4723" t="s" s="11">
        <v>5</v>
      </c>
      <c r="C4723" t="s" s="12">
        <v>17</v>
      </c>
      <c r="D4723" s="17">
        <v>100</v>
      </c>
      <c r="E4723" s="17"/>
      <c r="F4723" s="18"/>
      <c r="G4723" s="18"/>
      <c r="H4723" s="18"/>
      <c r="I4723" s="18"/>
    </row>
    <row r="4724" ht="20.35" customHeight="1">
      <c r="A4724" s="10">
        <v>45658</v>
      </c>
      <c r="B4724" t="s" s="11">
        <v>18</v>
      </c>
      <c r="C4724" t="s" s="12">
        <v>17</v>
      </c>
      <c r="D4724" s="13"/>
      <c r="E4724" s="13">
        <v>100</v>
      </c>
      <c r="F4724" s="14"/>
      <c r="G4724" s="14"/>
      <c r="H4724" s="14"/>
      <c r="I4724" s="14"/>
    </row>
    <row r="4725" ht="20.7" customHeight="1">
      <c r="A4725" s="10">
        <v>45658</v>
      </c>
      <c r="B4725" t="s" s="11">
        <v>8</v>
      </c>
      <c r="C4725" t="s" s="12">
        <v>8</v>
      </c>
      <c r="D4725" s="15" cm="1">
        <f t="array" ref="D4725">SUM(D4723:D4724)</f>
        <v>100</v>
      </c>
      <c r="E4725" s="15" cm="1">
        <f t="array" ref="E4725">SUM(E4723:E4724)</f>
        <v>100</v>
      </c>
      <c r="F4725" s="16" cm="1">
        <f t="array" ref="F4725">SUM(F4723:F4724)</f>
        <v>0</v>
      </c>
      <c r="G4725" s="16" cm="1">
        <f t="array" ref="G4725">SUM(G4723:G4724)</f>
        <v>0</v>
      </c>
      <c r="H4725" s="16" cm="1">
        <f t="array" ref="H4725">SUM(H4723:H4724)</f>
        <v>0</v>
      </c>
      <c r="I4725" s="16" cm="1">
        <f t="array" ref="I4725">SUM(I4723:I4724)</f>
        <v>0</v>
      </c>
    </row>
    <row r="4726" ht="21.25" customHeight="1">
      <c r="A4726" s="10">
        <v>45658</v>
      </c>
      <c r="B4726" t="s" s="11">
        <v>5</v>
      </c>
      <c r="C4726" t="s" s="12">
        <v>781</v>
      </c>
      <c r="D4726" s="17"/>
      <c r="E4726" s="17">
        <v>47000</v>
      </c>
      <c r="F4726" s="18"/>
      <c r="G4726" s="18"/>
      <c r="H4726" s="18"/>
      <c r="I4726" s="18"/>
    </row>
    <row r="4727" ht="21.25" customHeight="1">
      <c r="A4727" s="10">
        <v>45658</v>
      </c>
      <c r="B4727" t="s" s="11">
        <v>21</v>
      </c>
      <c r="C4727" t="s" s="12">
        <v>781</v>
      </c>
      <c r="D4727" s="13">
        <v>47000</v>
      </c>
      <c r="E4727" s="13"/>
      <c r="F4727" s="14"/>
      <c r="G4727" s="14"/>
      <c r="H4727" s="14"/>
      <c r="I4727" s="14"/>
    </row>
    <row r="4728" ht="20.7" customHeight="1">
      <c r="A4728" s="10">
        <v>45658</v>
      </c>
      <c r="B4728" t="s" s="11">
        <v>8</v>
      </c>
      <c r="C4728" t="s" s="12">
        <v>8</v>
      </c>
      <c r="D4728" s="15" cm="1">
        <f t="array" ref="D4728">SUM(D4726:D4727)</f>
        <v>47000</v>
      </c>
      <c r="E4728" s="15" cm="1">
        <f t="array" ref="E4728">SUM(E4726:E4727)</f>
        <v>47000</v>
      </c>
      <c r="F4728" s="16" cm="1">
        <f t="array" ref="F4728">SUM(F4726:F4727)</f>
        <v>0</v>
      </c>
      <c r="G4728" s="16" cm="1">
        <f t="array" ref="G4728">SUM(G4726:G4727)</f>
        <v>0</v>
      </c>
      <c r="H4728" s="16" cm="1">
        <f t="array" ref="H4728">SUM(H4726:H4727)</f>
        <v>0</v>
      </c>
      <c r="I4728" s="16" cm="1">
        <f t="array" ref="I4728">SUM(I4726:I4727)</f>
        <v>0</v>
      </c>
    </row>
    <row r="4729" ht="21.25" customHeight="1">
      <c r="A4729" s="10">
        <v>45658</v>
      </c>
      <c r="B4729" t="s" s="11">
        <v>21</v>
      </c>
      <c r="C4729" t="s" s="12">
        <v>782</v>
      </c>
      <c r="D4729" s="17"/>
      <c r="E4729" s="17">
        <v>3100</v>
      </c>
      <c r="F4729" s="18"/>
      <c r="G4729" s="18"/>
      <c r="H4729" s="18"/>
      <c r="I4729" s="18"/>
    </row>
    <row r="4730" ht="21.25" customHeight="1">
      <c r="A4730" s="10">
        <v>45658</v>
      </c>
      <c r="B4730" t="s" s="11">
        <v>16</v>
      </c>
      <c r="C4730" t="s" s="12">
        <v>782</v>
      </c>
      <c r="D4730" s="13">
        <v>3100</v>
      </c>
      <c r="E4730" s="13"/>
      <c r="F4730" s="14"/>
      <c r="G4730" s="14"/>
      <c r="H4730" s="14"/>
      <c r="I4730" s="14"/>
    </row>
    <row r="4731" ht="20.7" customHeight="1">
      <c r="A4731" s="10">
        <v>45658</v>
      </c>
      <c r="B4731" t="s" s="11">
        <v>8</v>
      </c>
      <c r="C4731" t="s" s="12">
        <v>8</v>
      </c>
      <c r="D4731" s="15" cm="1">
        <f t="array" ref="D4731">SUM(D4729:D4730)</f>
        <v>3100</v>
      </c>
      <c r="E4731" s="15" cm="1">
        <f t="array" ref="E4731">SUM(E4729:E4730)</f>
        <v>3100</v>
      </c>
      <c r="F4731" s="16" cm="1">
        <f t="array" ref="F4731">SUM(F4729:F4730)</f>
        <v>0</v>
      </c>
      <c r="G4731" s="16" cm="1">
        <f t="array" ref="G4731">SUM(G4729:G4730)</f>
        <v>0</v>
      </c>
      <c r="H4731" s="16" cm="1">
        <f t="array" ref="H4731">SUM(H4729:H4730)</f>
        <v>0</v>
      </c>
      <c r="I4731" s="16" cm="1">
        <f t="array" ref="I4731">SUM(I4729:I4730)</f>
        <v>0</v>
      </c>
    </row>
    <row r="4732" ht="20.35" customHeight="1">
      <c r="A4732" s="10">
        <v>45659</v>
      </c>
      <c r="B4732" t="s" s="11">
        <v>5</v>
      </c>
      <c r="C4732" t="s" s="12">
        <v>17</v>
      </c>
      <c r="D4732" s="17">
        <v>100</v>
      </c>
      <c r="E4732" s="17"/>
      <c r="F4732" s="18"/>
      <c r="G4732" s="18"/>
      <c r="H4732" s="18"/>
      <c r="I4732" s="18"/>
    </row>
    <row r="4733" ht="20.35" customHeight="1">
      <c r="A4733" s="10">
        <v>45659</v>
      </c>
      <c r="B4733" t="s" s="11">
        <v>18</v>
      </c>
      <c r="C4733" t="s" s="12">
        <v>17</v>
      </c>
      <c r="D4733" s="13"/>
      <c r="E4733" s="13">
        <v>100</v>
      </c>
      <c r="F4733" s="14"/>
      <c r="G4733" s="14"/>
      <c r="H4733" s="14"/>
      <c r="I4733" s="14"/>
    </row>
    <row r="4734" ht="20.7" customHeight="1">
      <c r="A4734" s="10">
        <v>45659</v>
      </c>
      <c r="B4734" t="s" s="11">
        <v>8</v>
      </c>
      <c r="C4734" t="s" s="12">
        <v>8</v>
      </c>
      <c r="D4734" s="15" cm="1">
        <f t="array" ref="D4734">SUM(D4732:D4733)</f>
        <v>100</v>
      </c>
      <c r="E4734" s="15" cm="1">
        <f t="array" ref="E4734">SUM(E4732:E4733)</f>
        <v>100</v>
      </c>
      <c r="F4734" s="16" cm="1">
        <f t="array" ref="F4734">SUM(F4732:F4733)</f>
        <v>0</v>
      </c>
      <c r="G4734" s="16" cm="1">
        <f t="array" ref="G4734">SUM(G4732:G4733)</f>
        <v>0</v>
      </c>
      <c r="H4734" s="16" cm="1">
        <f t="array" ref="H4734">SUM(H4732:H4733)</f>
        <v>0</v>
      </c>
      <c r="I4734" s="16" cm="1">
        <f t="array" ref="I4734">SUM(I4732:I4733)</f>
        <v>0</v>
      </c>
    </row>
    <row r="4735" ht="20.65" customHeight="1">
      <c r="A4735" s="10">
        <v>45659</v>
      </c>
      <c r="B4735" t="s" s="11">
        <v>5</v>
      </c>
      <c r="C4735" t="s" s="12">
        <v>745</v>
      </c>
      <c r="D4735" s="17"/>
      <c r="E4735" s="17">
        <v>14400</v>
      </c>
      <c r="F4735" s="18"/>
      <c r="G4735" s="18"/>
      <c r="H4735" s="18"/>
      <c r="I4735" s="18"/>
    </row>
    <row r="4736" ht="20.65" customHeight="1">
      <c r="A4736" s="10">
        <v>45659</v>
      </c>
      <c r="B4736" t="s" s="11">
        <v>12</v>
      </c>
      <c r="C4736" t="s" s="12">
        <v>745</v>
      </c>
      <c r="D4736" s="13">
        <v>14400</v>
      </c>
      <c r="E4736" s="13"/>
      <c r="F4736" s="14"/>
      <c r="G4736" s="14"/>
      <c r="H4736" s="14"/>
      <c r="I4736" s="14"/>
    </row>
    <row r="4737" ht="20.7" customHeight="1">
      <c r="A4737" s="10">
        <v>45659</v>
      </c>
      <c r="B4737" t="s" s="11">
        <v>8</v>
      </c>
      <c r="C4737" t="s" s="12">
        <v>8</v>
      </c>
      <c r="D4737" s="15" cm="1">
        <f t="array" ref="D4737">SUM(D4735:D4736)</f>
        <v>14400</v>
      </c>
      <c r="E4737" s="15" cm="1">
        <f t="array" ref="E4737">SUM(E4735:E4736)</f>
        <v>14400</v>
      </c>
      <c r="F4737" s="16" cm="1">
        <f t="array" ref="F4737">SUM(F4735:F4736)</f>
        <v>0</v>
      </c>
      <c r="G4737" s="16" cm="1">
        <f t="array" ref="G4737">SUM(G4735:G4736)</f>
        <v>0</v>
      </c>
      <c r="H4737" s="16" cm="1">
        <f t="array" ref="H4737">SUM(H4735:H4736)</f>
        <v>0</v>
      </c>
      <c r="I4737" s="16" cm="1">
        <f t="array" ref="I4737">SUM(I4735:I4736)</f>
        <v>0</v>
      </c>
    </row>
    <row r="4738" ht="21.25" customHeight="1">
      <c r="A4738" s="10">
        <v>45660</v>
      </c>
      <c r="B4738" t="s" s="11">
        <v>5</v>
      </c>
      <c r="C4738" t="s" s="12">
        <v>783</v>
      </c>
      <c r="D4738" s="17"/>
      <c r="E4738" s="17">
        <v>59000</v>
      </c>
      <c r="F4738" s="18"/>
      <c r="G4738" s="18"/>
      <c r="H4738" s="18"/>
      <c r="I4738" s="18"/>
    </row>
    <row r="4739" ht="21.25" customHeight="1">
      <c r="A4739" s="10">
        <v>45660</v>
      </c>
      <c r="B4739" t="s" s="11">
        <v>10</v>
      </c>
      <c r="C4739" t="s" s="12">
        <v>783</v>
      </c>
      <c r="D4739" s="13">
        <v>59000</v>
      </c>
      <c r="E4739" s="13"/>
      <c r="F4739" s="14"/>
      <c r="G4739" s="14"/>
      <c r="H4739" s="14"/>
      <c r="I4739" s="14"/>
    </row>
    <row r="4740" ht="20.7" customHeight="1">
      <c r="A4740" s="10">
        <v>45660</v>
      </c>
      <c r="B4740" t="s" s="11">
        <v>8</v>
      </c>
      <c r="C4740" t="s" s="12">
        <v>8</v>
      </c>
      <c r="D4740" s="15" cm="1">
        <f t="array" ref="D4740">SUM(D4738:D4739)</f>
        <v>59000</v>
      </c>
      <c r="E4740" s="15" cm="1">
        <f t="array" ref="E4740">SUM(E4738:E4739)</f>
        <v>59000</v>
      </c>
      <c r="F4740" s="16" cm="1">
        <f t="array" ref="F4740">SUM(F4738:F4739)</f>
        <v>0</v>
      </c>
      <c r="G4740" s="16" cm="1">
        <f t="array" ref="G4740">SUM(G4738:G4739)</f>
        <v>0</v>
      </c>
      <c r="H4740" s="16" cm="1">
        <f t="array" ref="H4740">SUM(H4738:H4739)</f>
        <v>0</v>
      </c>
      <c r="I4740" s="16" cm="1">
        <f t="array" ref="I4740">SUM(I4738:I4739)</f>
        <v>0</v>
      </c>
    </row>
    <row r="4741" ht="20.35" customHeight="1">
      <c r="A4741" s="10">
        <v>45660</v>
      </c>
      <c r="B4741" t="s" s="11">
        <v>5</v>
      </c>
      <c r="C4741" t="s" s="12">
        <v>604</v>
      </c>
      <c r="D4741" s="17"/>
      <c r="E4741" s="17">
        <v>10000</v>
      </c>
      <c r="F4741" s="18"/>
      <c r="G4741" s="18"/>
      <c r="H4741" s="18"/>
      <c r="I4741" s="18"/>
    </row>
    <row r="4742" ht="20.35" customHeight="1">
      <c r="A4742" s="10">
        <v>45660</v>
      </c>
      <c r="B4742" t="s" s="11">
        <v>93</v>
      </c>
      <c r="C4742" t="s" s="12">
        <v>604</v>
      </c>
      <c r="D4742" s="13">
        <v>10000</v>
      </c>
      <c r="E4742" s="13"/>
      <c r="F4742" s="14"/>
      <c r="G4742" s="14"/>
      <c r="H4742" s="14"/>
      <c r="I4742" s="14"/>
    </row>
    <row r="4743" ht="20.7" customHeight="1">
      <c r="A4743" s="10">
        <v>45660</v>
      </c>
      <c r="B4743" t="s" s="11">
        <v>8</v>
      </c>
      <c r="C4743" t="s" s="12">
        <v>8</v>
      </c>
      <c r="D4743" s="15" cm="1">
        <f t="array" ref="D4743">SUM(D4741:D4742)</f>
        <v>10000</v>
      </c>
      <c r="E4743" s="15" cm="1">
        <f t="array" ref="E4743">SUM(E4741:E4742)</f>
        <v>10000</v>
      </c>
      <c r="F4743" s="16" cm="1">
        <f t="array" ref="F4743">SUM(F4741:F4742)</f>
        <v>0</v>
      </c>
      <c r="G4743" s="16" cm="1">
        <f t="array" ref="G4743">SUM(G4741:G4742)</f>
        <v>0</v>
      </c>
      <c r="H4743" s="16" cm="1">
        <f t="array" ref="H4743">SUM(H4741:H4742)</f>
        <v>0</v>
      </c>
      <c r="I4743" s="16" cm="1">
        <f t="array" ref="I4743">SUM(I4741:I4742)</f>
        <v>0</v>
      </c>
    </row>
    <row r="4744" ht="20.35" customHeight="1">
      <c r="A4744" s="10">
        <v>45660</v>
      </c>
      <c r="B4744" t="s" s="11">
        <v>93</v>
      </c>
      <c r="C4744" t="s" s="12">
        <v>13</v>
      </c>
      <c r="D4744" s="17"/>
      <c r="E4744" s="17">
        <v>8900</v>
      </c>
      <c r="F4744" s="18"/>
      <c r="G4744" s="18"/>
      <c r="H4744" s="18"/>
      <c r="I4744" s="18"/>
    </row>
    <row r="4745" ht="20.35" customHeight="1">
      <c r="A4745" s="10">
        <v>45660</v>
      </c>
      <c r="B4745" t="s" s="11">
        <v>10</v>
      </c>
      <c r="C4745" t="s" s="12">
        <v>13</v>
      </c>
      <c r="D4745" s="13">
        <v>8900</v>
      </c>
      <c r="E4745" s="13"/>
      <c r="F4745" s="14"/>
      <c r="G4745" s="14"/>
      <c r="H4745" s="14"/>
      <c r="I4745" s="14"/>
    </row>
    <row r="4746" ht="20.7" customHeight="1">
      <c r="A4746" s="10">
        <v>45660</v>
      </c>
      <c r="B4746" t="s" s="11">
        <v>8</v>
      </c>
      <c r="C4746" t="s" s="12">
        <v>8</v>
      </c>
      <c r="D4746" s="15" cm="1">
        <f t="array" ref="D4746">SUM(D4744:D4745)</f>
        <v>8900</v>
      </c>
      <c r="E4746" s="15" cm="1">
        <f t="array" ref="E4746">SUM(E4744:E4745)</f>
        <v>8900</v>
      </c>
      <c r="F4746" s="16" cm="1">
        <f t="array" ref="F4746">SUM(F4744:F4745)</f>
        <v>0</v>
      </c>
      <c r="G4746" s="16" cm="1">
        <f t="array" ref="G4746">SUM(G4744:G4745)</f>
        <v>0</v>
      </c>
      <c r="H4746" s="16" cm="1">
        <f t="array" ref="H4746">SUM(H4744:H4745)</f>
        <v>0</v>
      </c>
      <c r="I4746" s="16" cm="1">
        <f t="array" ref="I4746">SUM(I4744:I4745)</f>
        <v>0</v>
      </c>
    </row>
    <row r="4747" ht="20.35" customHeight="1">
      <c r="A4747" s="10">
        <v>45660</v>
      </c>
      <c r="B4747" t="s" s="11">
        <v>5</v>
      </c>
      <c r="C4747" t="s" s="12">
        <v>604</v>
      </c>
      <c r="D4747" s="17"/>
      <c r="E4747" s="17">
        <v>37000</v>
      </c>
      <c r="F4747" s="18"/>
      <c r="G4747" s="18"/>
      <c r="H4747" s="18"/>
      <c r="I4747" s="18"/>
    </row>
    <row r="4748" ht="20.35" customHeight="1">
      <c r="A4748" s="10">
        <v>45660</v>
      </c>
      <c r="B4748" t="s" s="11">
        <v>93</v>
      </c>
      <c r="C4748" t="s" s="12">
        <v>604</v>
      </c>
      <c r="D4748" s="13">
        <v>37000</v>
      </c>
      <c r="E4748" s="13"/>
      <c r="F4748" s="14"/>
      <c r="G4748" s="14"/>
      <c r="H4748" s="14"/>
      <c r="I4748" s="14"/>
    </row>
    <row r="4749" ht="20.7" customHeight="1">
      <c r="A4749" s="10">
        <v>45660</v>
      </c>
      <c r="B4749" t="s" s="11">
        <v>8</v>
      </c>
      <c r="C4749" t="s" s="12">
        <v>8</v>
      </c>
      <c r="D4749" s="15" cm="1">
        <f t="array" ref="D4749">SUM(D4747:D4748)</f>
        <v>37000</v>
      </c>
      <c r="E4749" s="15" cm="1">
        <f t="array" ref="E4749">SUM(E4747:E4748)</f>
        <v>37000</v>
      </c>
      <c r="F4749" s="16" cm="1">
        <f t="array" ref="F4749">SUM(F4747:F4748)</f>
        <v>0</v>
      </c>
      <c r="G4749" s="16" cm="1">
        <f t="array" ref="G4749">SUM(G4747:G4748)</f>
        <v>0</v>
      </c>
      <c r="H4749" s="16" cm="1">
        <f t="array" ref="H4749">SUM(H4747:H4748)</f>
        <v>0</v>
      </c>
      <c r="I4749" s="16" cm="1">
        <f t="array" ref="I4749">SUM(I4747:I4748)</f>
        <v>0</v>
      </c>
    </row>
    <row r="4750" ht="20.35" customHeight="1">
      <c r="A4750" s="10">
        <v>45660</v>
      </c>
      <c r="B4750" t="s" s="11">
        <v>93</v>
      </c>
      <c r="C4750" t="s" s="12">
        <v>784</v>
      </c>
      <c r="D4750" s="17"/>
      <c r="E4750" s="17">
        <v>37000</v>
      </c>
      <c r="F4750" s="18"/>
      <c r="G4750" s="18"/>
      <c r="H4750" s="18"/>
      <c r="I4750" s="18"/>
    </row>
    <row r="4751" ht="20.35" customHeight="1">
      <c r="A4751" s="10">
        <v>45660</v>
      </c>
      <c r="B4751" t="s" s="11">
        <v>10</v>
      </c>
      <c r="C4751" t="s" s="12">
        <v>784</v>
      </c>
      <c r="D4751" s="13">
        <v>37000</v>
      </c>
      <c r="E4751" s="13"/>
      <c r="F4751" s="14"/>
      <c r="G4751" s="14"/>
      <c r="H4751" s="14"/>
      <c r="I4751" s="14"/>
    </row>
    <row r="4752" ht="20.7" customHeight="1">
      <c r="A4752" s="10">
        <v>45660</v>
      </c>
      <c r="B4752" t="s" s="11">
        <v>8</v>
      </c>
      <c r="C4752" t="s" s="12">
        <v>8</v>
      </c>
      <c r="D4752" s="15" cm="1">
        <f t="array" ref="D4752">SUM(D4750:D4751)</f>
        <v>37000</v>
      </c>
      <c r="E4752" s="15" cm="1">
        <f t="array" ref="E4752">SUM(E4750:E4751)</f>
        <v>37000</v>
      </c>
      <c r="F4752" s="16" cm="1">
        <f t="array" ref="F4752">SUM(F4750:F4751)</f>
        <v>0</v>
      </c>
      <c r="G4752" s="16" cm="1">
        <f t="array" ref="G4752">SUM(G4750:G4751)</f>
        <v>0</v>
      </c>
      <c r="H4752" s="16" cm="1">
        <f t="array" ref="H4752">SUM(H4750:H4751)</f>
        <v>0</v>
      </c>
      <c r="I4752" s="16" cm="1">
        <f t="array" ref="I4752">SUM(I4750:I4751)</f>
        <v>0</v>
      </c>
    </row>
    <row r="4753" ht="20.35" customHeight="1">
      <c r="A4753" s="10">
        <v>45660</v>
      </c>
      <c r="B4753" t="s" s="11">
        <v>5</v>
      </c>
      <c r="C4753" t="s" s="12">
        <v>785</v>
      </c>
      <c r="D4753" s="17"/>
      <c r="E4753" s="17">
        <v>10000</v>
      </c>
      <c r="F4753" s="18"/>
      <c r="G4753" s="18"/>
      <c r="H4753" s="18"/>
      <c r="I4753" s="18"/>
    </row>
    <row r="4754" ht="20.35" customHeight="1">
      <c r="A4754" s="10">
        <v>45660</v>
      </c>
      <c r="B4754" t="s" s="11">
        <v>786</v>
      </c>
      <c r="C4754" t="s" s="12">
        <v>785</v>
      </c>
      <c r="D4754" s="13">
        <v>10000</v>
      </c>
      <c r="E4754" s="13"/>
      <c r="F4754" s="14"/>
      <c r="G4754" s="14"/>
      <c r="H4754" s="14"/>
      <c r="I4754" s="14"/>
    </row>
    <row r="4755" ht="20.7" customHeight="1">
      <c r="A4755" s="10">
        <v>45660</v>
      </c>
      <c r="B4755" t="s" s="11">
        <v>8</v>
      </c>
      <c r="C4755" t="s" s="12">
        <v>8</v>
      </c>
      <c r="D4755" s="15" cm="1">
        <f t="array" ref="D4755">SUM(D4753:D4754)</f>
        <v>10000</v>
      </c>
      <c r="E4755" s="15" cm="1">
        <f t="array" ref="E4755">SUM(E4753:E4754)</f>
        <v>10000</v>
      </c>
      <c r="F4755" s="16" cm="1">
        <f t="array" ref="F4755">SUM(F4753:F4754)</f>
        <v>0</v>
      </c>
      <c r="G4755" s="16" cm="1">
        <f t="array" ref="G4755">SUM(G4753:G4754)</f>
        <v>0</v>
      </c>
      <c r="H4755" s="16" cm="1">
        <f t="array" ref="H4755">SUM(H4753:H4754)</f>
        <v>0</v>
      </c>
      <c r="I4755" s="16" cm="1">
        <f t="array" ref="I4755">SUM(I4753:I4754)</f>
        <v>0</v>
      </c>
    </row>
    <row r="4756" ht="20.35" customHeight="1">
      <c r="A4756" s="10">
        <v>45660</v>
      </c>
      <c r="B4756" t="s" s="11">
        <v>5</v>
      </c>
      <c r="C4756" t="s" s="12">
        <v>787</v>
      </c>
      <c r="D4756" s="17"/>
      <c r="E4756" s="17">
        <v>10000</v>
      </c>
      <c r="F4756" s="18"/>
      <c r="G4756" s="18"/>
      <c r="H4756" s="18"/>
      <c r="I4756" s="18"/>
    </row>
    <row r="4757" ht="20.35" customHeight="1">
      <c r="A4757" s="10">
        <v>45660</v>
      </c>
      <c r="B4757" t="s" s="11">
        <v>788</v>
      </c>
      <c r="C4757" t="s" s="12">
        <v>787</v>
      </c>
      <c r="D4757" s="13">
        <v>10000</v>
      </c>
      <c r="E4757" s="13"/>
      <c r="F4757" s="14"/>
      <c r="G4757" s="14"/>
      <c r="H4757" s="14"/>
      <c r="I4757" s="14"/>
    </row>
    <row r="4758" ht="20.7" customHeight="1">
      <c r="A4758" s="10">
        <v>45660</v>
      </c>
      <c r="B4758" t="s" s="11">
        <v>8</v>
      </c>
      <c r="C4758" t="s" s="12">
        <v>8</v>
      </c>
      <c r="D4758" s="15" cm="1">
        <f t="array" ref="D4758">SUM(D4756:D4757)</f>
        <v>10000</v>
      </c>
      <c r="E4758" s="15" cm="1">
        <f t="array" ref="E4758">SUM(E4756:E4757)</f>
        <v>10000</v>
      </c>
      <c r="F4758" s="16" cm="1">
        <f t="array" ref="F4758">SUM(F4756:F4757)</f>
        <v>0</v>
      </c>
      <c r="G4758" s="16" cm="1">
        <f t="array" ref="G4758">SUM(G4756:G4757)</f>
        <v>0</v>
      </c>
      <c r="H4758" s="16" cm="1">
        <f t="array" ref="H4758">SUM(H4756:H4757)</f>
        <v>0</v>
      </c>
      <c r="I4758" s="16" cm="1">
        <f t="array" ref="I4758">SUM(I4756:I4757)</f>
        <v>0</v>
      </c>
    </row>
    <row r="4759" ht="20.35" customHeight="1">
      <c r="A4759" s="10">
        <v>45660</v>
      </c>
      <c r="B4759" t="s" s="11">
        <v>5</v>
      </c>
      <c r="C4759" t="s" s="12">
        <v>439</v>
      </c>
      <c r="D4759" s="17"/>
      <c r="E4759" s="17">
        <v>10000</v>
      </c>
      <c r="F4759" s="18"/>
      <c r="G4759" s="18"/>
      <c r="H4759" s="18"/>
      <c r="I4759" s="18"/>
    </row>
    <row r="4760" ht="20.35" customHeight="1">
      <c r="A4760" s="10">
        <v>45660</v>
      </c>
      <c r="B4760" t="s" s="11">
        <v>121</v>
      </c>
      <c r="C4760" t="s" s="12">
        <v>439</v>
      </c>
      <c r="D4760" s="13">
        <v>10000</v>
      </c>
      <c r="E4760" s="13"/>
      <c r="F4760" s="14"/>
      <c r="G4760" s="14"/>
      <c r="H4760" s="14"/>
      <c r="I4760" s="14"/>
    </row>
    <row r="4761" ht="20.7" customHeight="1">
      <c r="A4761" s="10">
        <v>45660</v>
      </c>
      <c r="B4761" t="s" s="11">
        <v>8</v>
      </c>
      <c r="C4761" t="s" s="12">
        <v>8</v>
      </c>
      <c r="D4761" s="15" cm="1">
        <f t="array" ref="D4761">SUM(D4759:D4760)</f>
        <v>10000</v>
      </c>
      <c r="E4761" s="15" cm="1">
        <f t="array" ref="E4761">SUM(E4759:E4760)</f>
        <v>10000</v>
      </c>
      <c r="F4761" s="16" cm="1">
        <f t="array" ref="F4761">SUM(F4759:F4760)</f>
        <v>0</v>
      </c>
      <c r="G4761" s="16" cm="1">
        <f t="array" ref="G4761">SUM(G4759:G4760)</f>
        <v>0</v>
      </c>
      <c r="H4761" s="16" cm="1">
        <f t="array" ref="H4761">SUM(H4759:H4760)</f>
        <v>0</v>
      </c>
      <c r="I4761" s="16" cm="1">
        <f t="array" ref="I4761">SUM(I4759:I4760)</f>
        <v>0</v>
      </c>
    </row>
    <row r="4762" ht="20.35" customHeight="1">
      <c r="A4762" s="10">
        <v>45660</v>
      </c>
      <c r="B4762" t="s" s="11">
        <v>121</v>
      </c>
      <c r="C4762" t="s" s="12">
        <v>787</v>
      </c>
      <c r="D4762" s="17"/>
      <c r="E4762" s="17">
        <v>9989</v>
      </c>
      <c r="F4762" s="18"/>
      <c r="G4762" s="18"/>
      <c r="H4762" s="18"/>
      <c r="I4762" s="18"/>
    </row>
    <row r="4763" ht="20.05" customHeight="1">
      <c r="A4763" s="10">
        <v>45660</v>
      </c>
      <c r="B4763" t="s" s="11">
        <v>91</v>
      </c>
      <c r="C4763" t="s" s="12">
        <v>787</v>
      </c>
      <c r="D4763" s="19"/>
      <c r="E4763" s="19">
        <v>11</v>
      </c>
      <c r="F4763" s="20"/>
      <c r="G4763" s="20"/>
      <c r="H4763" s="20"/>
      <c r="I4763" s="20"/>
    </row>
    <row r="4764" ht="20.35" customHeight="1">
      <c r="A4764" s="10">
        <v>45660</v>
      </c>
      <c r="B4764" t="s" s="11">
        <v>788</v>
      </c>
      <c r="C4764" t="s" s="12">
        <v>787</v>
      </c>
      <c r="D4764" s="13">
        <v>10000</v>
      </c>
      <c r="E4764" s="13"/>
      <c r="F4764" s="14"/>
      <c r="G4764" s="14"/>
      <c r="H4764" s="14"/>
      <c r="I4764" s="14"/>
    </row>
    <row r="4765" ht="20.7" customHeight="1">
      <c r="A4765" s="10">
        <v>45660</v>
      </c>
      <c r="B4765" t="s" s="11">
        <v>8</v>
      </c>
      <c r="C4765" t="s" s="12">
        <v>8</v>
      </c>
      <c r="D4765" s="15" cm="1">
        <f t="array" ref="D4765">SUM(D4762:D4764)</f>
        <v>10000</v>
      </c>
      <c r="E4765" s="15" cm="1">
        <f t="array" ref="E4765">SUM(E4762:E4764)</f>
        <v>10000</v>
      </c>
      <c r="F4765" s="16" cm="1">
        <f t="array" ref="F4765">SUM(F4762:F4764)</f>
        <v>0</v>
      </c>
      <c r="G4765" s="16" cm="1">
        <f t="array" ref="G4765">SUM(G4762:G4764)</f>
        <v>0</v>
      </c>
      <c r="H4765" s="16" cm="1">
        <f t="array" ref="H4765">SUM(H4762:H4764)</f>
        <v>0</v>
      </c>
      <c r="I4765" s="16" cm="1">
        <f t="array" ref="I4765">SUM(I4762:I4764)</f>
        <v>0</v>
      </c>
    </row>
    <row r="4766" ht="20.65" customHeight="1">
      <c r="A4766" s="10">
        <v>45660</v>
      </c>
      <c r="B4766" t="s" s="11">
        <v>91</v>
      </c>
      <c r="C4766" t="s" s="12">
        <v>767</v>
      </c>
      <c r="D4766" s="17"/>
      <c r="E4766" s="17">
        <v>1</v>
      </c>
      <c r="F4766" s="18"/>
      <c r="G4766" s="18"/>
      <c r="H4766" s="18"/>
      <c r="I4766" s="18"/>
    </row>
    <row r="4767" ht="20.65" customHeight="1">
      <c r="A4767" s="10">
        <v>45660</v>
      </c>
      <c r="B4767" t="s" s="11">
        <v>5</v>
      </c>
      <c r="C4767" t="s" s="12">
        <v>767</v>
      </c>
      <c r="D4767" s="13">
        <v>1</v>
      </c>
      <c r="E4767" s="13"/>
      <c r="F4767" s="14"/>
      <c r="G4767" s="14"/>
      <c r="H4767" s="14"/>
      <c r="I4767" s="14"/>
    </row>
    <row r="4768" ht="20.7" customHeight="1">
      <c r="A4768" s="10">
        <v>45660</v>
      </c>
      <c r="B4768" t="s" s="11">
        <v>8</v>
      </c>
      <c r="C4768" t="s" s="12">
        <v>8</v>
      </c>
      <c r="D4768" s="15" cm="1">
        <f t="array" ref="D4768">SUM(D4766:D4767)</f>
        <v>1</v>
      </c>
      <c r="E4768" s="15" cm="1">
        <f t="array" ref="E4768">SUM(E4766:E4767)</f>
        <v>1</v>
      </c>
      <c r="F4768" s="16" cm="1">
        <f t="array" ref="F4768">SUM(F4766:F4767)</f>
        <v>0</v>
      </c>
      <c r="G4768" s="16" cm="1">
        <f t="array" ref="G4768">SUM(G4766:G4767)</f>
        <v>0</v>
      </c>
      <c r="H4768" s="16" cm="1">
        <f t="array" ref="H4768">SUM(H4766:H4767)</f>
        <v>0</v>
      </c>
      <c r="I4768" s="16" cm="1">
        <f t="array" ref="I4768">SUM(I4766:I4767)</f>
        <v>0</v>
      </c>
    </row>
    <row r="4769" ht="20.35" customHeight="1">
      <c r="A4769" s="10">
        <v>45660</v>
      </c>
      <c r="B4769" t="s" s="11">
        <v>788</v>
      </c>
      <c r="C4769" t="s" s="12">
        <v>96</v>
      </c>
      <c r="D4769" s="17"/>
      <c r="E4769" s="17">
        <v>10000</v>
      </c>
      <c r="F4769" s="18"/>
      <c r="G4769" s="18"/>
      <c r="H4769" s="18"/>
      <c r="I4769" s="18"/>
    </row>
    <row r="4770" ht="20.35" customHeight="1">
      <c r="A4770" s="10">
        <v>45660</v>
      </c>
      <c r="B4770" t="s" s="11">
        <v>5</v>
      </c>
      <c r="C4770" t="s" s="12">
        <v>96</v>
      </c>
      <c r="D4770" s="13">
        <v>10000</v>
      </c>
      <c r="E4770" s="13"/>
      <c r="F4770" s="14"/>
      <c r="G4770" s="14"/>
      <c r="H4770" s="14"/>
      <c r="I4770" s="14"/>
    </row>
    <row r="4771" ht="20.7" customHeight="1">
      <c r="A4771" s="10">
        <v>45660</v>
      </c>
      <c r="B4771" t="s" s="11">
        <v>8</v>
      </c>
      <c r="C4771" t="s" s="12">
        <v>8</v>
      </c>
      <c r="D4771" s="15" cm="1">
        <f t="array" ref="D4771">SUM(D4769:D4770)</f>
        <v>10000</v>
      </c>
      <c r="E4771" s="15" cm="1">
        <f t="array" ref="E4771">SUM(E4769:E4770)</f>
        <v>10000</v>
      </c>
      <c r="F4771" s="16" cm="1">
        <f t="array" ref="F4771">SUM(F4769:F4770)</f>
        <v>0</v>
      </c>
      <c r="G4771" s="16" cm="1">
        <f t="array" ref="G4771">SUM(G4769:G4770)</f>
        <v>0</v>
      </c>
      <c r="H4771" s="16" cm="1">
        <f t="array" ref="H4771">SUM(H4769:H4770)</f>
        <v>0</v>
      </c>
      <c r="I4771" s="16" cm="1">
        <f t="array" ref="I4771">SUM(I4769:I4770)</f>
        <v>0</v>
      </c>
    </row>
    <row r="4772" ht="20.35" customHeight="1">
      <c r="A4772" s="10">
        <v>45660</v>
      </c>
      <c r="B4772" t="s" s="11">
        <v>5</v>
      </c>
      <c r="C4772" t="s" s="12">
        <v>439</v>
      </c>
      <c r="D4772" s="17"/>
      <c r="E4772" s="17">
        <v>10000</v>
      </c>
      <c r="F4772" s="18"/>
      <c r="G4772" s="18"/>
      <c r="H4772" s="18"/>
      <c r="I4772" s="18"/>
    </row>
    <row r="4773" ht="20.35" customHeight="1">
      <c r="A4773" s="10">
        <v>45660</v>
      </c>
      <c r="B4773" t="s" s="11">
        <v>121</v>
      </c>
      <c r="C4773" t="s" s="12">
        <v>439</v>
      </c>
      <c r="D4773" s="13">
        <v>10000</v>
      </c>
      <c r="E4773" s="13"/>
      <c r="F4773" s="14"/>
      <c r="G4773" s="14"/>
      <c r="H4773" s="14"/>
      <c r="I4773" s="14"/>
    </row>
    <row r="4774" ht="20.7" customHeight="1">
      <c r="A4774" s="10">
        <v>45660</v>
      </c>
      <c r="B4774" t="s" s="11">
        <v>8</v>
      </c>
      <c r="C4774" t="s" s="12">
        <v>8</v>
      </c>
      <c r="D4774" s="15" cm="1">
        <f t="array" ref="D4774">SUM(D4772:D4773)</f>
        <v>10000</v>
      </c>
      <c r="E4774" s="15" cm="1">
        <f t="array" ref="E4774">SUM(E4772:E4773)</f>
        <v>10000</v>
      </c>
      <c r="F4774" s="16" cm="1">
        <f t="array" ref="F4774">SUM(F4772:F4773)</f>
        <v>0</v>
      </c>
      <c r="G4774" s="16" cm="1">
        <f t="array" ref="G4774">SUM(G4772:G4773)</f>
        <v>0</v>
      </c>
      <c r="H4774" s="16" cm="1">
        <f t="array" ref="H4774">SUM(H4772:H4773)</f>
        <v>0</v>
      </c>
      <c r="I4774" s="16" cm="1">
        <f t="array" ref="I4774">SUM(I4772:I4773)</f>
        <v>0</v>
      </c>
    </row>
    <row r="4775" ht="20.35" customHeight="1">
      <c r="A4775" s="10">
        <v>45660</v>
      </c>
      <c r="B4775" t="s" s="11">
        <v>121</v>
      </c>
      <c r="C4775" t="s" s="12">
        <v>789</v>
      </c>
      <c r="D4775" s="17"/>
      <c r="E4775" s="17">
        <v>10000</v>
      </c>
      <c r="F4775" s="18"/>
      <c r="G4775" s="18"/>
      <c r="H4775" s="18"/>
      <c r="I4775" s="18"/>
    </row>
    <row r="4776" ht="20.35" customHeight="1">
      <c r="A4776" s="10">
        <v>45660</v>
      </c>
      <c r="B4776" t="s" s="11">
        <v>790</v>
      </c>
      <c r="C4776" t="s" s="12">
        <v>789</v>
      </c>
      <c r="D4776" s="13">
        <v>10000</v>
      </c>
      <c r="E4776" s="13"/>
      <c r="F4776" s="14"/>
      <c r="G4776" s="14"/>
      <c r="H4776" s="14"/>
      <c r="I4776" s="14"/>
    </row>
    <row r="4777" ht="20.7" customHeight="1">
      <c r="A4777" s="10">
        <v>45660</v>
      </c>
      <c r="B4777" t="s" s="11">
        <v>8</v>
      </c>
      <c r="C4777" t="s" s="12">
        <v>8</v>
      </c>
      <c r="D4777" s="15" cm="1">
        <f t="array" ref="D4777">SUM(D4775:D4776)</f>
        <v>10000</v>
      </c>
      <c r="E4777" s="15" cm="1">
        <f t="array" ref="E4777">SUM(E4775:E4776)</f>
        <v>10000</v>
      </c>
      <c r="F4777" s="16" cm="1">
        <f t="array" ref="F4777">SUM(F4775:F4776)</f>
        <v>0</v>
      </c>
      <c r="G4777" s="16" cm="1">
        <f t="array" ref="G4777">SUM(G4775:G4776)</f>
        <v>0</v>
      </c>
      <c r="H4777" s="16" cm="1">
        <f t="array" ref="H4777">SUM(H4775:H4776)</f>
        <v>0</v>
      </c>
      <c r="I4777" s="16" cm="1">
        <f t="array" ref="I4777">SUM(I4775:I4776)</f>
        <v>0</v>
      </c>
    </row>
    <row r="4778" ht="20.35" customHeight="1">
      <c r="A4778" s="10">
        <v>45660</v>
      </c>
      <c r="B4778" t="s" s="11">
        <v>5</v>
      </c>
      <c r="C4778" t="s" s="12">
        <v>791</v>
      </c>
      <c r="D4778" s="17"/>
      <c r="E4778" s="17">
        <v>100000</v>
      </c>
      <c r="F4778" s="18"/>
      <c r="G4778" s="18"/>
      <c r="H4778" s="18"/>
      <c r="I4778" s="18"/>
    </row>
    <row r="4779" ht="20.35" customHeight="1">
      <c r="A4779" s="10">
        <v>45660</v>
      </c>
      <c r="B4779" t="s" s="11">
        <v>121</v>
      </c>
      <c r="C4779" t="s" s="12">
        <v>791</v>
      </c>
      <c r="D4779" s="13">
        <v>100000</v>
      </c>
      <c r="E4779" s="13"/>
      <c r="F4779" s="14"/>
      <c r="G4779" s="14"/>
      <c r="H4779" s="14"/>
      <c r="I4779" s="14"/>
    </row>
    <row r="4780" ht="20.7" customHeight="1">
      <c r="A4780" s="10">
        <v>45660</v>
      </c>
      <c r="B4780" t="s" s="11">
        <v>8</v>
      </c>
      <c r="C4780" t="s" s="12">
        <v>8</v>
      </c>
      <c r="D4780" s="15" cm="1">
        <f t="array" ref="D4780">SUM(D4778:D4779)</f>
        <v>100000</v>
      </c>
      <c r="E4780" s="15" cm="1">
        <f t="array" ref="E4780">SUM(E4778:E4779)</f>
        <v>100000</v>
      </c>
      <c r="F4780" s="16" cm="1">
        <f t="array" ref="F4780">SUM(F4778:F4779)</f>
        <v>0</v>
      </c>
      <c r="G4780" s="16" cm="1">
        <f t="array" ref="G4780">SUM(G4778:G4779)</f>
        <v>0</v>
      </c>
      <c r="H4780" s="16" cm="1">
        <f t="array" ref="H4780">SUM(H4778:H4779)</f>
        <v>0</v>
      </c>
      <c r="I4780" s="16" cm="1">
        <f t="array" ref="I4780">SUM(I4778:I4779)</f>
        <v>0</v>
      </c>
    </row>
    <row r="4781" ht="20.35" customHeight="1">
      <c r="A4781" s="10">
        <v>45660</v>
      </c>
      <c r="B4781" t="s" s="11">
        <v>5</v>
      </c>
      <c r="C4781" t="s" s="12">
        <v>792</v>
      </c>
      <c r="D4781" s="17"/>
      <c r="E4781" s="17">
        <v>20000</v>
      </c>
      <c r="F4781" s="18"/>
      <c r="G4781" s="18"/>
      <c r="H4781" s="18"/>
      <c r="I4781" s="18"/>
    </row>
    <row r="4782" ht="20.35" customHeight="1">
      <c r="A4782" s="10">
        <v>45660</v>
      </c>
      <c r="B4782" t="s" s="11">
        <v>121</v>
      </c>
      <c r="C4782" t="s" s="12">
        <v>792</v>
      </c>
      <c r="D4782" s="13">
        <v>20000</v>
      </c>
      <c r="E4782" s="13"/>
      <c r="F4782" s="14"/>
      <c r="G4782" s="14"/>
      <c r="H4782" s="14"/>
      <c r="I4782" s="14"/>
    </row>
    <row r="4783" ht="20.7" customHeight="1">
      <c r="A4783" s="10">
        <v>45660</v>
      </c>
      <c r="B4783" t="s" s="11">
        <v>8</v>
      </c>
      <c r="C4783" t="s" s="12">
        <v>8</v>
      </c>
      <c r="D4783" s="15" cm="1">
        <f t="array" ref="D4783">SUM(D4781:D4782)</f>
        <v>20000</v>
      </c>
      <c r="E4783" s="15" cm="1">
        <f t="array" ref="E4783">SUM(E4781:E4782)</f>
        <v>20000</v>
      </c>
      <c r="F4783" s="16" cm="1">
        <f t="array" ref="F4783">SUM(F4781:F4782)</f>
        <v>0</v>
      </c>
      <c r="G4783" s="16" cm="1">
        <f t="array" ref="G4783">SUM(G4781:G4782)</f>
        <v>0</v>
      </c>
      <c r="H4783" s="16" cm="1">
        <f t="array" ref="H4783">SUM(H4781:H4782)</f>
        <v>0</v>
      </c>
      <c r="I4783" s="16" cm="1">
        <f t="array" ref="I4783">SUM(I4781:I4782)</f>
        <v>0</v>
      </c>
    </row>
    <row r="4784" ht="21.25" customHeight="1">
      <c r="A4784" s="10">
        <v>45660</v>
      </c>
      <c r="B4784" t="s" s="11">
        <v>121</v>
      </c>
      <c r="C4784" t="s" s="12">
        <v>793</v>
      </c>
      <c r="D4784" s="17"/>
      <c r="E4784" s="17">
        <v>18963</v>
      </c>
      <c r="F4784" s="18"/>
      <c r="G4784" s="18"/>
      <c r="H4784" s="18"/>
      <c r="I4784" s="18"/>
    </row>
    <row r="4785" ht="21.25" customHeight="1">
      <c r="A4785" s="10">
        <v>45660</v>
      </c>
      <c r="B4785" t="s" s="11">
        <v>441</v>
      </c>
      <c r="C4785" t="s" s="12">
        <v>793</v>
      </c>
      <c r="D4785" s="13">
        <v>18963</v>
      </c>
      <c r="E4785" s="13"/>
      <c r="F4785" s="14"/>
      <c r="G4785" s="14"/>
      <c r="H4785" s="14"/>
      <c r="I4785" s="14"/>
    </row>
    <row r="4786" ht="20.7" customHeight="1">
      <c r="A4786" s="10">
        <v>45660</v>
      </c>
      <c r="B4786" t="s" s="11">
        <v>8</v>
      </c>
      <c r="C4786" t="s" s="12">
        <v>8</v>
      </c>
      <c r="D4786" s="15" cm="1">
        <f t="array" ref="D4786">SUM(D4784:D4785)</f>
        <v>18963</v>
      </c>
      <c r="E4786" s="15" cm="1">
        <f t="array" ref="E4786">SUM(E4784:E4785)</f>
        <v>18963</v>
      </c>
      <c r="F4786" s="16" cm="1">
        <f t="array" ref="F4786">SUM(F4784:F4785)</f>
        <v>0</v>
      </c>
      <c r="G4786" s="16" cm="1">
        <f t="array" ref="G4786">SUM(G4784:G4785)</f>
        <v>0</v>
      </c>
      <c r="H4786" s="16" cm="1">
        <f t="array" ref="H4786">SUM(H4784:H4785)</f>
        <v>0</v>
      </c>
      <c r="I4786" s="16" cm="1">
        <f t="array" ref="I4786">SUM(I4784:I4785)</f>
        <v>0</v>
      </c>
    </row>
    <row r="4787" ht="21.25" customHeight="1">
      <c r="A4787" s="10">
        <v>45660</v>
      </c>
      <c r="B4787" t="s" s="11">
        <v>21</v>
      </c>
      <c r="C4787" t="s" s="12">
        <v>794</v>
      </c>
      <c r="D4787" s="17"/>
      <c r="E4787" s="17">
        <v>1500</v>
      </c>
      <c r="F4787" s="18"/>
      <c r="G4787" s="18"/>
      <c r="H4787" s="18"/>
      <c r="I4787" s="18"/>
    </row>
    <row r="4788" ht="21.25" customHeight="1">
      <c r="A4788" s="10">
        <v>45660</v>
      </c>
      <c r="B4788" t="s" s="11">
        <v>16</v>
      </c>
      <c r="C4788" t="s" s="12">
        <v>794</v>
      </c>
      <c r="D4788" s="13">
        <v>1500</v>
      </c>
      <c r="E4788" s="13"/>
      <c r="F4788" s="14"/>
      <c r="G4788" s="14"/>
      <c r="H4788" s="14"/>
      <c r="I4788" s="14"/>
    </row>
    <row r="4789" ht="20.7" customHeight="1">
      <c r="A4789" s="10">
        <v>45660</v>
      </c>
      <c r="B4789" t="s" s="11">
        <v>8</v>
      </c>
      <c r="C4789" t="s" s="12">
        <v>8</v>
      </c>
      <c r="D4789" s="15" cm="1">
        <f t="array" ref="D4789">SUM(D4787:D4788)</f>
        <v>1500</v>
      </c>
      <c r="E4789" s="15" cm="1">
        <f t="array" ref="E4789">SUM(E4787:E4788)</f>
        <v>1500</v>
      </c>
      <c r="F4789" s="16" cm="1">
        <f t="array" ref="F4789">SUM(F4787:F4788)</f>
        <v>0</v>
      </c>
      <c r="G4789" s="16" cm="1">
        <f t="array" ref="G4789">SUM(G4787:G4788)</f>
        <v>0</v>
      </c>
      <c r="H4789" s="16" cm="1">
        <f t="array" ref="H4789">SUM(H4787:H4788)</f>
        <v>0</v>
      </c>
      <c r="I4789" s="16" cm="1">
        <f t="array" ref="I4789">SUM(I4787:I4788)</f>
        <v>0</v>
      </c>
    </row>
    <row r="4790" ht="20.65" customHeight="1">
      <c r="A4790" s="10">
        <v>45660</v>
      </c>
      <c r="B4790" t="s" s="11">
        <v>5</v>
      </c>
      <c r="C4790" t="s" s="12">
        <v>795</v>
      </c>
      <c r="D4790" s="17"/>
      <c r="E4790" s="17">
        <v>53600</v>
      </c>
      <c r="F4790" s="18"/>
      <c r="G4790" s="18"/>
      <c r="H4790" s="18"/>
      <c r="I4790" s="18"/>
    </row>
    <row r="4791" ht="20.35" customHeight="1">
      <c r="A4791" s="10">
        <v>45660</v>
      </c>
      <c r="B4791" t="s" s="11">
        <v>10</v>
      </c>
      <c r="C4791" t="s" s="12">
        <v>795</v>
      </c>
      <c r="D4791" s="19">
        <v>26800</v>
      </c>
      <c r="E4791" s="19"/>
      <c r="F4791" s="20"/>
      <c r="G4791" s="20"/>
      <c r="H4791" s="20"/>
      <c r="I4791" s="20"/>
    </row>
    <row r="4792" ht="20.65" customHeight="1">
      <c r="A4792" s="10">
        <v>45660</v>
      </c>
      <c r="B4792" t="s" s="11">
        <v>12</v>
      </c>
      <c r="C4792" t="s" s="12">
        <v>795</v>
      </c>
      <c r="D4792" s="13">
        <v>26800</v>
      </c>
      <c r="E4792" s="13"/>
      <c r="F4792" s="14"/>
      <c r="G4792" s="14"/>
      <c r="H4792" s="14"/>
      <c r="I4792" s="14"/>
    </row>
    <row r="4793" ht="20.7" customHeight="1">
      <c r="A4793" s="10">
        <v>45660</v>
      </c>
      <c r="B4793" t="s" s="11">
        <v>8</v>
      </c>
      <c r="C4793" t="s" s="12">
        <v>8</v>
      </c>
      <c r="D4793" s="15" cm="1">
        <f t="array" ref="D4793">SUM(D4790:D4792)</f>
        <v>53600</v>
      </c>
      <c r="E4793" s="15" cm="1">
        <f t="array" ref="E4793">SUM(E4790:E4792)</f>
        <v>53600</v>
      </c>
      <c r="F4793" s="16" cm="1">
        <f t="array" ref="F4793">SUM(F4790:F4792)</f>
        <v>0</v>
      </c>
      <c r="G4793" s="16" cm="1">
        <f t="array" ref="G4793">SUM(G4790:G4792)</f>
        <v>0</v>
      </c>
      <c r="H4793" s="16" cm="1">
        <f t="array" ref="H4793">SUM(H4790:H4792)</f>
        <v>0</v>
      </c>
      <c r="I4793" s="16" cm="1">
        <f t="array" ref="I4793">SUM(I4790:I4792)</f>
        <v>0</v>
      </c>
    </row>
    <row r="4794" ht="20.35" customHeight="1">
      <c r="A4794" s="10">
        <v>45661</v>
      </c>
      <c r="B4794" t="s" s="11">
        <v>10</v>
      </c>
      <c r="C4794" t="s" s="12">
        <v>796</v>
      </c>
      <c r="D4794" s="17"/>
      <c r="E4794" s="17">
        <v>37000</v>
      </c>
      <c r="F4794" s="18"/>
      <c r="G4794" s="18"/>
      <c r="H4794" s="18"/>
      <c r="I4794" s="18"/>
    </row>
    <row r="4795" ht="20.35" customHeight="1">
      <c r="A4795" s="10">
        <v>45661</v>
      </c>
      <c r="B4795" t="s" s="11">
        <v>93</v>
      </c>
      <c r="C4795" t="s" s="12">
        <v>796</v>
      </c>
      <c r="D4795" s="13">
        <v>37000</v>
      </c>
      <c r="E4795" s="13"/>
      <c r="F4795" s="14"/>
      <c r="G4795" s="14"/>
      <c r="H4795" s="14"/>
      <c r="I4795" s="14"/>
    </row>
    <row r="4796" ht="20.7" customHeight="1">
      <c r="A4796" s="10">
        <v>45661</v>
      </c>
      <c r="B4796" t="s" s="11">
        <v>8</v>
      </c>
      <c r="C4796" t="s" s="12">
        <v>8</v>
      </c>
      <c r="D4796" s="15" cm="1">
        <f t="array" ref="D4796">SUM(D4794:D4795)</f>
        <v>37000</v>
      </c>
      <c r="E4796" s="15" cm="1">
        <f t="array" ref="E4796">SUM(E4794:E4795)</f>
        <v>37000</v>
      </c>
      <c r="F4796" s="16" cm="1">
        <f t="array" ref="F4796">SUM(F4794:F4795)</f>
        <v>0</v>
      </c>
      <c r="G4796" s="16" cm="1">
        <f t="array" ref="G4796">SUM(G4794:G4795)</f>
        <v>0</v>
      </c>
      <c r="H4796" s="16" cm="1">
        <f t="array" ref="H4796">SUM(H4794:H4795)</f>
        <v>0</v>
      </c>
      <c r="I4796" s="16" cm="1">
        <f t="array" ref="I4796">SUM(I4794:I4795)</f>
        <v>0</v>
      </c>
    </row>
    <row r="4797" ht="20.35" customHeight="1">
      <c r="A4797" s="10">
        <v>45661</v>
      </c>
      <c r="B4797" t="s" s="11">
        <v>5</v>
      </c>
      <c r="C4797" t="s" s="12">
        <v>17</v>
      </c>
      <c r="D4797" s="17">
        <v>100</v>
      </c>
      <c r="E4797" s="17"/>
      <c r="F4797" s="18"/>
      <c r="G4797" s="18"/>
      <c r="H4797" s="18"/>
      <c r="I4797" s="18"/>
    </row>
    <row r="4798" ht="20.35" customHeight="1">
      <c r="A4798" s="10">
        <v>45661</v>
      </c>
      <c r="B4798" t="s" s="11">
        <v>18</v>
      </c>
      <c r="C4798" t="s" s="12">
        <v>17</v>
      </c>
      <c r="D4798" s="13"/>
      <c r="E4798" s="13">
        <v>100</v>
      </c>
      <c r="F4798" s="14"/>
      <c r="G4798" s="14"/>
      <c r="H4798" s="14"/>
      <c r="I4798" s="14"/>
    </row>
    <row r="4799" ht="20.7" customHeight="1">
      <c r="A4799" s="10">
        <v>45661</v>
      </c>
      <c r="B4799" t="s" s="11">
        <v>8</v>
      </c>
      <c r="C4799" t="s" s="12">
        <v>8</v>
      </c>
      <c r="D4799" s="15" cm="1">
        <f t="array" ref="D4799">SUM(D4797:D4798)</f>
        <v>100</v>
      </c>
      <c r="E4799" s="15" cm="1">
        <f t="array" ref="E4799">SUM(E4797:E4798)</f>
        <v>100</v>
      </c>
      <c r="F4799" s="16" cm="1">
        <f t="array" ref="F4799">SUM(F4797:F4798)</f>
        <v>0</v>
      </c>
      <c r="G4799" s="16" cm="1">
        <f t="array" ref="G4799">SUM(G4797:G4798)</f>
        <v>0</v>
      </c>
      <c r="H4799" s="16" cm="1">
        <f t="array" ref="H4799">SUM(H4797:H4798)</f>
        <v>0</v>
      </c>
      <c r="I4799" s="16" cm="1">
        <f t="array" ref="I4799">SUM(I4797:I4798)</f>
        <v>0</v>
      </c>
    </row>
    <row r="4800" ht="20.35" customHeight="1">
      <c r="A4800" s="10">
        <v>45661</v>
      </c>
      <c r="B4800" t="s" s="11">
        <v>5</v>
      </c>
      <c r="C4800" t="s" s="12">
        <v>53</v>
      </c>
      <c r="D4800" s="17"/>
      <c r="E4800" s="17">
        <v>4900</v>
      </c>
      <c r="F4800" s="18"/>
      <c r="G4800" s="18"/>
      <c r="H4800" s="18"/>
      <c r="I4800" s="18"/>
    </row>
    <row r="4801" ht="20.35" customHeight="1">
      <c r="A4801" s="10">
        <v>45661</v>
      </c>
      <c r="B4801" t="s" s="11">
        <v>12</v>
      </c>
      <c r="C4801" t="s" s="12">
        <v>53</v>
      </c>
      <c r="D4801" s="13">
        <v>4900</v>
      </c>
      <c r="E4801" s="13"/>
      <c r="F4801" s="14"/>
      <c r="G4801" s="14"/>
      <c r="H4801" s="14"/>
      <c r="I4801" s="14"/>
    </row>
    <row r="4802" ht="20.7" customHeight="1">
      <c r="A4802" s="10">
        <v>45661</v>
      </c>
      <c r="B4802" t="s" s="11">
        <v>8</v>
      </c>
      <c r="C4802" t="s" s="12">
        <v>8</v>
      </c>
      <c r="D4802" s="15" cm="1">
        <f t="array" ref="D4802">SUM(D4800:D4801)</f>
        <v>4900</v>
      </c>
      <c r="E4802" s="15" cm="1">
        <f t="array" ref="E4802">SUM(E4800:E4801)</f>
        <v>4900</v>
      </c>
      <c r="F4802" s="16" cm="1">
        <f t="array" ref="F4802">SUM(F4800:F4801)</f>
        <v>0</v>
      </c>
      <c r="G4802" s="16" cm="1">
        <f t="array" ref="G4802">SUM(G4800:G4801)</f>
        <v>0</v>
      </c>
      <c r="H4802" s="16" cm="1">
        <f t="array" ref="H4802">SUM(H4800:H4801)</f>
        <v>0</v>
      </c>
      <c r="I4802" s="16" cm="1">
        <f t="array" ref="I4802">SUM(I4800:I4801)</f>
        <v>0</v>
      </c>
    </row>
    <row r="4803" ht="20.35" customHeight="1">
      <c r="A4803" s="10">
        <v>45661</v>
      </c>
      <c r="B4803" t="s" s="11">
        <v>5</v>
      </c>
      <c r="C4803" t="s" s="12">
        <v>17</v>
      </c>
      <c r="D4803" s="17">
        <v>100</v>
      </c>
      <c r="E4803" s="17"/>
      <c r="F4803" s="18"/>
      <c r="G4803" s="18"/>
      <c r="H4803" s="18"/>
      <c r="I4803" s="18"/>
    </row>
    <row r="4804" ht="20.35" customHeight="1">
      <c r="A4804" s="10">
        <v>45661</v>
      </c>
      <c r="B4804" t="s" s="11">
        <v>18</v>
      </c>
      <c r="C4804" t="s" s="12">
        <v>17</v>
      </c>
      <c r="D4804" s="13"/>
      <c r="E4804" s="13">
        <v>100</v>
      </c>
      <c r="F4804" s="14"/>
      <c r="G4804" s="14"/>
      <c r="H4804" s="14"/>
      <c r="I4804" s="14"/>
    </row>
    <row r="4805" ht="20.7" customHeight="1">
      <c r="A4805" s="10">
        <v>45661</v>
      </c>
      <c r="B4805" t="s" s="11">
        <v>8</v>
      </c>
      <c r="C4805" t="s" s="12">
        <v>8</v>
      </c>
      <c r="D4805" s="15" cm="1">
        <f t="array" ref="D4805">SUM(D4803:D4804)</f>
        <v>100</v>
      </c>
      <c r="E4805" s="15" cm="1">
        <f t="array" ref="E4805">SUM(E4803:E4804)</f>
        <v>100</v>
      </c>
      <c r="F4805" s="16" cm="1">
        <f t="array" ref="F4805">SUM(F4803:F4804)</f>
        <v>0</v>
      </c>
      <c r="G4805" s="16" cm="1">
        <f t="array" ref="G4805">SUM(G4803:G4804)</f>
        <v>0</v>
      </c>
      <c r="H4805" s="16" cm="1">
        <f t="array" ref="H4805">SUM(H4803:H4804)</f>
        <v>0</v>
      </c>
      <c r="I4805" s="16" cm="1">
        <f t="array" ref="I4805">SUM(I4803:I4804)</f>
        <v>0</v>
      </c>
    </row>
    <row r="4806" ht="20.65" customHeight="1">
      <c r="A4806" s="10">
        <v>45661</v>
      </c>
      <c r="B4806" t="s" s="11">
        <v>5</v>
      </c>
      <c r="C4806" t="s" s="12">
        <v>797</v>
      </c>
      <c r="D4806" s="17"/>
      <c r="E4806" s="17">
        <v>5000</v>
      </c>
      <c r="F4806" s="18"/>
      <c r="G4806" s="18"/>
      <c r="H4806" s="18"/>
      <c r="I4806" s="18"/>
    </row>
    <row r="4807" ht="20.65" customHeight="1">
      <c r="A4807" s="10">
        <v>45661</v>
      </c>
      <c r="B4807" t="s" s="11">
        <v>12</v>
      </c>
      <c r="C4807" t="s" s="12">
        <v>797</v>
      </c>
      <c r="D4807" s="13">
        <v>5000</v>
      </c>
      <c r="E4807" s="13"/>
      <c r="F4807" s="14"/>
      <c r="G4807" s="14"/>
      <c r="H4807" s="14"/>
      <c r="I4807" s="14"/>
    </row>
    <row r="4808" ht="20.7" customHeight="1">
      <c r="A4808" s="10">
        <v>45661</v>
      </c>
      <c r="B4808" t="s" s="11">
        <v>8</v>
      </c>
      <c r="C4808" t="s" s="12">
        <v>8</v>
      </c>
      <c r="D4808" s="15" cm="1">
        <f t="array" ref="D4808">SUM(D4806:D4807)</f>
        <v>5000</v>
      </c>
      <c r="E4808" s="15" cm="1">
        <f t="array" ref="E4808">SUM(E4806:E4807)</f>
        <v>5000</v>
      </c>
      <c r="F4808" s="16" cm="1">
        <f t="array" ref="F4808">SUM(F4806:F4807)</f>
        <v>0</v>
      </c>
      <c r="G4808" s="16" cm="1">
        <f t="array" ref="G4808">SUM(G4806:G4807)</f>
        <v>0</v>
      </c>
      <c r="H4808" s="16" cm="1">
        <f t="array" ref="H4808">SUM(H4806:H4807)</f>
        <v>0</v>
      </c>
      <c r="I4808" s="16" cm="1">
        <f t="array" ref="I4808">SUM(I4806:I4807)</f>
        <v>0</v>
      </c>
    </row>
    <row r="4809" ht="20.35" customHeight="1">
      <c r="A4809" s="10">
        <v>45661</v>
      </c>
      <c r="B4809" t="s" s="11">
        <v>21</v>
      </c>
      <c r="C4809" t="s" s="12">
        <v>798</v>
      </c>
      <c r="D4809" s="17">
        <v>12809</v>
      </c>
      <c r="E4809" s="17"/>
      <c r="F4809" s="18"/>
      <c r="G4809" s="18"/>
      <c r="H4809" s="18"/>
      <c r="I4809" s="18"/>
    </row>
    <row r="4810" ht="20.35" customHeight="1">
      <c r="A4810" s="10">
        <v>45661</v>
      </c>
      <c r="B4810" t="s" s="11">
        <v>10</v>
      </c>
      <c r="C4810" t="s" s="12">
        <v>798</v>
      </c>
      <c r="D4810" s="13"/>
      <c r="E4810" s="13">
        <v>12809</v>
      </c>
      <c r="F4810" s="14"/>
      <c r="G4810" s="14"/>
      <c r="H4810" s="14"/>
      <c r="I4810" s="14"/>
    </row>
    <row r="4811" ht="20.7" customHeight="1">
      <c r="A4811" s="10">
        <v>45661</v>
      </c>
      <c r="B4811" t="s" s="11">
        <v>8</v>
      </c>
      <c r="C4811" t="s" s="12">
        <v>8</v>
      </c>
      <c r="D4811" s="15" cm="1">
        <f t="array" ref="D4811">SUM(D4809:D4810)</f>
        <v>12809</v>
      </c>
      <c r="E4811" s="15" cm="1">
        <f t="array" ref="E4811">SUM(E4809:E4810)</f>
        <v>12809</v>
      </c>
      <c r="F4811" s="16" cm="1">
        <f t="array" ref="F4811">SUM(F4809:F4810)</f>
        <v>0</v>
      </c>
      <c r="G4811" s="16" cm="1">
        <f t="array" ref="G4811">SUM(G4809:G4810)</f>
        <v>0</v>
      </c>
      <c r="H4811" s="16" cm="1">
        <f t="array" ref="H4811">SUM(H4809:H4810)</f>
        <v>0</v>
      </c>
      <c r="I4811" s="16" cm="1">
        <f t="array" ref="I4811">SUM(I4809:I4810)</f>
        <v>0</v>
      </c>
    </row>
    <row r="4812" ht="21.25" customHeight="1">
      <c r="A4812" s="10">
        <v>45661</v>
      </c>
      <c r="B4812" t="s" s="11">
        <v>5</v>
      </c>
      <c r="C4812" t="s" s="12">
        <v>799</v>
      </c>
      <c r="D4812" s="17">
        <v>4</v>
      </c>
      <c r="E4812" s="17"/>
      <c r="F4812" s="18"/>
      <c r="G4812" s="18"/>
      <c r="H4812" s="18"/>
      <c r="I4812" s="18"/>
    </row>
    <row r="4813" ht="21.25" customHeight="1">
      <c r="A4813" s="10">
        <v>45661</v>
      </c>
      <c r="B4813" t="s" s="11">
        <v>91</v>
      </c>
      <c r="C4813" t="s" s="12">
        <v>799</v>
      </c>
      <c r="D4813" s="13"/>
      <c r="E4813" s="13">
        <v>4</v>
      </c>
      <c r="F4813" s="14"/>
      <c r="G4813" s="14"/>
      <c r="H4813" s="14"/>
      <c r="I4813" s="14"/>
    </row>
    <row r="4814" ht="20.7" customHeight="1">
      <c r="A4814" s="10">
        <v>45661</v>
      </c>
      <c r="B4814" t="s" s="11">
        <v>8</v>
      </c>
      <c r="C4814" t="s" s="12">
        <v>8</v>
      </c>
      <c r="D4814" s="15" cm="1">
        <f t="array" ref="D4814">SUM(D4812:D4813)</f>
        <v>4</v>
      </c>
      <c r="E4814" s="15" cm="1">
        <f t="array" ref="E4814">SUM(E4812:E4813)</f>
        <v>4</v>
      </c>
      <c r="F4814" s="16" cm="1">
        <f t="array" ref="F4814">SUM(F4812:F4813)</f>
        <v>0</v>
      </c>
      <c r="G4814" s="16" cm="1">
        <f t="array" ref="G4814">SUM(G4812:G4813)</f>
        <v>0</v>
      </c>
      <c r="H4814" s="16" cm="1">
        <f t="array" ref="H4814">SUM(H4812:H4813)</f>
        <v>0</v>
      </c>
      <c r="I4814" s="16" cm="1">
        <f t="array" ref="I4814">SUM(I4812:I4813)</f>
        <v>0</v>
      </c>
    </row>
    <row r="4815" ht="21.25" customHeight="1">
      <c r="A4815" s="10">
        <v>45661</v>
      </c>
      <c r="B4815" t="s" s="11">
        <v>5</v>
      </c>
      <c r="C4815" t="s" s="12">
        <v>799</v>
      </c>
      <c r="D4815" s="17">
        <v>4</v>
      </c>
      <c r="E4815" s="17"/>
      <c r="F4815" s="18"/>
      <c r="G4815" s="18"/>
      <c r="H4815" s="18"/>
      <c r="I4815" s="18"/>
    </row>
    <row r="4816" ht="21.25" customHeight="1">
      <c r="A4816" s="10">
        <v>45661</v>
      </c>
      <c r="B4816" t="s" s="11">
        <v>91</v>
      </c>
      <c r="C4816" t="s" s="12">
        <v>799</v>
      </c>
      <c r="D4816" s="13"/>
      <c r="E4816" s="13">
        <v>4</v>
      </c>
      <c r="F4816" s="14"/>
      <c r="G4816" s="14"/>
      <c r="H4816" s="14"/>
      <c r="I4816" s="14"/>
    </row>
    <row r="4817" ht="20.7" customHeight="1">
      <c r="A4817" s="10">
        <v>45661</v>
      </c>
      <c r="B4817" t="s" s="11">
        <v>8</v>
      </c>
      <c r="C4817" t="s" s="12">
        <v>8</v>
      </c>
      <c r="D4817" s="15" cm="1">
        <f t="array" ref="D4817">SUM(D4815:D4816)</f>
        <v>4</v>
      </c>
      <c r="E4817" s="15" cm="1">
        <f t="array" ref="E4817">SUM(E4815:E4816)</f>
        <v>4</v>
      </c>
      <c r="F4817" s="16" cm="1">
        <f t="array" ref="F4817">SUM(F4815:F4816)</f>
        <v>0</v>
      </c>
      <c r="G4817" s="16" cm="1">
        <f t="array" ref="G4817">SUM(G4815:G4816)</f>
        <v>0</v>
      </c>
      <c r="H4817" s="16" cm="1">
        <f t="array" ref="H4817">SUM(H4815:H4816)</f>
        <v>0</v>
      </c>
      <c r="I4817" s="16" cm="1">
        <f t="array" ref="I4817">SUM(I4815:I4816)</f>
        <v>0</v>
      </c>
    </row>
    <row r="4818" ht="21.25" customHeight="1">
      <c r="A4818" s="10">
        <v>45661</v>
      </c>
      <c r="B4818" t="s" s="11">
        <v>5</v>
      </c>
      <c r="C4818" t="s" s="12">
        <v>800</v>
      </c>
      <c r="D4818" s="17">
        <v>1</v>
      </c>
      <c r="E4818" s="17"/>
      <c r="F4818" s="18"/>
      <c r="G4818" s="18"/>
      <c r="H4818" s="18"/>
      <c r="I4818" s="18"/>
    </row>
    <row r="4819" ht="21.25" customHeight="1">
      <c r="A4819" s="10">
        <v>45661</v>
      </c>
      <c r="B4819" t="s" s="11">
        <v>91</v>
      </c>
      <c r="C4819" t="s" s="12">
        <v>800</v>
      </c>
      <c r="D4819" s="13"/>
      <c r="E4819" s="13">
        <v>1</v>
      </c>
      <c r="F4819" s="14"/>
      <c r="G4819" s="14"/>
      <c r="H4819" s="14"/>
      <c r="I4819" s="14"/>
    </row>
    <row r="4820" ht="20.7" customHeight="1">
      <c r="A4820" s="10">
        <v>45661</v>
      </c>
      <c r="B4820" t="s" s="11">
        <v>8</v>
      </c>
      <c r="C4820" t="s" s="12">
        <v>8</v>
      </c>
      <c r="D4820" s="15" cm="1">
        <f t="array" ref="D4820">SUM(D4818:D4819)</f>
        <v>1</v>
      </c>
      <c r="E4820" s="15" cm="1">
        <f t="array" ref="E4820">SUM(E4818:E4819)</f>
        <v>1</v>
      </c>
      <c r="F4820" s="16" cm="1">
        <f t="array" ref="F4820">SUM(F4818:F4819)</f>
        <v>0</v>
      </c>
      <c r="G4820" s="16" cm="1">
        <f t="array" ref="G4820">SUM(G4818:G4819)</f>
        <v>0</v>
      </c>
      <c r="H4820" s="16" cm="1">
        <f t="array" ref="H4820">SUM(H4818:H4819)</f>
        <v>0</v>
      </c>
      <c r="I4820" s="16" cm="1">
        <f t="array" ref="I4820">SUM(I4818:I4819)</f>
        <v>0</v>
      </c>
    </row>
    <row r="4821" ht="21.25" customHeight="1">
      <c r="A4821" s="10">
        <v>45661</v>
      </c>
      <c r="B4821" t="s" s="11">
        <v>93</v>
      </c>
      <c r="C4821" t="s" s="12">
        <v>801</v>
      </c>
      <c r="D4821" s="17">
        <v>25500</v>
      </c>
      <c r="E4821" s="17"/>
      <c r="F4821" s="18"/>
      <c r="G4821" s="18"/>
      <c r="H4821" s="18"/>
      <c r="I4821" s="18"/>
    </row>
    <row r="4822" ht="21.25" customHeight="1">
      <c r="A4822" s="10">
        <v>45661</v>
      </c>
      <c r="B4822" t="s" s="11">
        <v>91</v>
      </c>
      <c r="C4822" t="s" s="12">
        <v>801</v>
      </c>
      <c r="D4822" s="13"/>
      <c r="E4822" s="13">
        <v>25500</v>
      </c>
      <c r="F4822" s="14"/>
      <c r="G4822" s="14"/>
      <c r="H4822" s="14"/>
      <c r="I4822" s="14"/>
    </row>
    <row r="4823" ht="20.7" customHeight="1">
      <c r="A4823" s="10">
        <v>45661</v>
      </c>
      <c r="B4823" t="s" s="11">
        <v>8</v>
      </c>
      <c r="C4823" t="s" s="12">
        <v>8</v>
      </c>
      <c r="D4823" s="15" cm="1">
        <f t="array" ref="D4823">SUM(D4821:D4822)</f>
        <v>25500</v>
      </c>
      <c r="E4823" s="15" cm="1">
        <f t="array" ref="E4823">SUM(E4821:E4822)</f>
        <v>25500</v>
      </c>
      <c r="F4823" s="16" cm="1">
        <f t="array" ref="F4823">SUM(F4821:F4822)</f>
        <v>0</v>
      </c>
      <c r="G4823" s="16" cm="1">
        <f t="array" ref="G4823">SUM(G4821:G4822)</f>
        <v>0</v>
      </c>
      <c r="H4823" s="16" cm="1">
        <f t="array" ref="H4823">SUM(H4821:H4822)</f>
        <v>0</v>
      </c>
      <c r="I4823" s="16" cm="1">
        <f t="array" ref="I4823">SUM(I4821:I4822)</f>
        <v>0</v>
      </c>
    </row>
    <row r="4824" ht="21.25" customHeight="1">
      <c r="A4824" s="10">
        <v>45663</v>
      </c>
      <c r="B4824" t="s" s="11">
        <v>5</v>
      </c>
      <c r="C4824" t="s" s="12">
        <v>253</v>
      </c>
      <c r="D4824" s="17"/>
      <c r="E4824" s="17">
        <v>7890</v>
      </c>
      <c r="F4824" s="18"/>
      <c r="G4824" s="18"/>
      <c r="H4824" s="18"/>
      <c r="I4824" s="18"/>
    </row>
    <row r="4825" ht="21.25" customHeight="1">
      <c r="A4825" s="10">
        <v>45663</v>
      </c>
      <c r="B4825" t="s" s="11">
        <v>10</v>
      </c>
      <c r="C4825" t="s" s="12">
        <v>253</v>
      </c>
      <c r="D4825" s="13">
        <v>7890</v>
      </c>
      <c r="E4825" s="13"/>
      <c r="F4825" s="14"/>
      <c r="G4825" s="14"/>
      <c r="H4825" s="14"/>
      <c r="I4825" s="14"/>
    </row>
    <row r="4826" ht="20.7" customHeight="1">
      <c r="A4826" s="10">
        <v>45663</v>
      </c>
      <c r="B4826" t="s" s="11">
        <v>8</v>
      </c>
      <c r="C4826" t="s" s="12">
        <v>8</v>
      </c>
      <c r="D4826" s="15" cm="1">
        <f t="array" ref="D4826">SUM(D4824:D4825)</f>
        <v>7890</v>
      </c>
      <c r="E4826" s="15" cm="1">
        <f t="array" ref="E4826">SUM(E4824:E4825)</f>
        <v>7890</v>
      </c>
      <c r="F4826" s="16" cm="1">
        <f t="array" ref="F4826">SUM(F4824:F4825)</f>
        <v>0</v>
      </c>
      <c r="G4826" s="16" cm="1">
        <f t="array" ref="G4826">SUM(G4824:G4825)</f>
        <v>0</v>
      </c>
      <c r="H4826" s="16" cm="1">
        <f t="array" ref="H4826">SUM(H4824:H4825)</f>
        <v>0</v>
      </c>
      <c r="I4826" s="16" cm="1">
        <f t="array" ref="I4826">SUM(I4824:I4825)</f>
        <v>0</v>
      </c>
    </row>
    <row r="4827" ht="20.35" customHeight="1">
      <c r="A4827" s="10">
        <v>45663</v>
      </c>
      <c r="B4827" t="s" s="11">
        <v>121</v>
      </c>
      <c r="C4827" t="s" s="12">
        <v>802</v>
      </c>
      <c r="D4827" s="17"/>
      <c r="E4827" s="17">
        <v>100000</v>
      </c>
      <c r="F4827" s="18"/>
      <c r="G4827" s="18"/>
      <c r="H4827" s="18"/>
      <c r="I4827" s="18"/>
    </row>
    <row r="4828" ht="20.35" customHeight="1">
      <c r="A4828" s="10">
        <v>45663</v>
      </c>
      <c r="B4828" t="s" s="11">
        <v>81</v>
      </c>
      <c r="C4828" t="s" s="12">
        <v>802</v>
      </c>
      <c r="D4828" s="13">
        <v>100000</v>
      </c>
      <c r="E4828" s="13"/>
      <c r="F4828" s="14"/>
      <c r="G4828" s="14"/>
      <c r="H4828" s="14"/>
      <c r="I4828" s="14"/>
    </row>
    <row r="4829" ht="20.7" customHeight="1">
      <c r="A4829" s="10">
        <v>45663</v>
      </c>
      <c r="B4829" t="s" s="11">
        <v>8</v>
      </c>
      <c r="C4829" t="s" s="12">
        <v>8</v>
      </c>
      <c r="D4829" s="15" cm="1">
        <f t="array" ref="D4829">SUM(D4827:D4828)</f>
        <v>100000</v>
      </c>
      <c r="E4829" s="15" cm="1">
        <f t="array" ref="E4829">SUM(E4827:E4828)</f>
        <v>100000</v>
      </c>
      <c r="F4829" s="16" cm="1">
        <f t="array" ref="F4829">SUM(F4827:F4828)</f>
        <v>0</v>
      </c>
      <c r="G4829" s="16" cm="1">
        <f t="array" ref="G4829">SUM(G4827:G4828)</f>
        <v>0</v>
      </c>
      <c r="H4829" s="16" cm="1">
        <f t="array" ref="H4829">SUM(H4827:H4828)</f>
        <v>0</v>
      </c>
      <c r="I4829" s="16" cm="1">
        <f t="array" ref="I4829">SUM(I4827:I4828)</f>
        <v>0</v>
      </c>
    </row>
    <row r="4830" ht="20.35" customHeight="1">
      <c r="A4830" s="10">
        <v>45663</v>
      </c>
      <c r="B4830" t="s" s="11">
        <v>89</v>
      </c>
      <c r="C4830" t="s" s="12">
        <v>803</v>
      </c>
      <c r="D4830" s="17"/>
      <c r="E4830" s="17"/>
      <c r="F4830" s="18"/>
      <c r="G4830" s="18"/>
      <c r="H4830" s="18"/>
      <c r="I4830" s="18"/>
    </row>
    <row r="4831" ht="20.05" customHeight="1">
      <c r="A4831" s="10">
        <v>45663</v>
      </c>
      <c r="B4831" t="s" s="11">
        <v>89</v>
      </c>
      <c r="C4831" t="s" s="12">
        <v>804</v>
      </c>
      <c r="D4831" s="19"/>
      <c r="E4831" s="19">
        <v>13000</v>
      </c>
      <c r="F4831" s="20"/>
      <c r="G4831" s="20"/>
      <c r="H4831" s="20"/>
      <c r="I4831" s="20"/>
    </row>
    <row r="4832" ht="20.05" customHeight="1">
      <c r="A4832" s="10">
        <v>45663</v>
      </c>
      <c r="B4832" t="s" s="11">
        <v>89</v>
      </c>
      <c r="C4832" t="s" s="12">
        <v>804</v>
      </c>
      <c r="D4832" s="19"/>
      <c r="E4832" s="19">
        <v>7500</v>
      </c>
      <c r="F4832" s="20"/>
      <c r="G4832" s="20"/>
      <c r="H4832" s="20"/>
      <c r="I4832" s="20"/>
    </row>
    <row r="4833" ht="20.05" customHeight="1">
      <c r="A4833" s="10">
        <v>45663</v>
      </c>
      <c r="B4833" t="s" s="11">
        <v>89</v>
      </c>
      <c r="C4833" t="s" s="12">
        <v>805</v>
      </c>
      <c r="D4833" s="19"/>
      <c r="E4833" s="19">
        <v>17000</v>
      </c>
      <c r="F4833" s="20"/>
      <c r="G4833" s="20"/>
      <c r="H4833" s="20"/>
      <c r="I4833" s="20"/>
    </row>
    <row r="4834" ht="20.05" customHeight="1">
      <c r="A4834" s="10">
        <v>45663</v>
      </c>
      <c r="B4834" t="s" s="11">
        <v>89</v>
      </c>
      <c r="C4834" t="s" s="12">
        <v>806</v>
      </c>
      <c r="D4834" s="19"/>
      <c r="E4834" s="19">
        <v>4750</v>
      </c>
      <c r="F4834" s="20"/>
      <c r="G4834" s="20"/>
      <c r="H4834" s="20"/>
      <c r="I4834" s="20"/>
    </row>
    <row r="4835" ht="20.05" customHeight="1">
      <c r="A4835" s="10">
        <v>45663</v>
      </c>
      <c r="B4835" t="s" s="11">
        <v>89</v>
      </c>
      <c r="C4835" t="s" s="12">
        <v>806</v>
      </c>
      <c r="D4835" s="19"/>
      <c r="E4835" s="19">
        <v>7500</v>
      </c>
      <c r="F4835" s="20"/>
      <c r="G4835" s="20"/>
      <c r="H4835" s="20"/>
      <c r="I4835" s="20"/>
    </row>
    <row r="4836" ht="20.05" customHeight="1">
      <c r="A4836" s="10">
        <v>45663</v>
      </c>
      <c r="B4836" t="s" s="11">
        <v>89</v>
      </c>
      <c r="C4836" t="s" s="12">
        <v>806</v>
      </c>
      <c r="D4836" s="19"/>
      <c r="E4836" s="19">
        <v>7400</v>
      </c>
      <c r="F4836" s="20"/>
      <c r="G4836" s="20"/>
      <c r="H4836" s="20"/>
      <c r="I4836" s="20"/>
    </row>
    <row r="4837" ht="20.05" customHeight="1">
      <c r="A4837" s="10">
        <v>45663</v>
      </c>
      <c r="B4837" t="s" s="11">
        <v>89</v>
      </c>
      <c r="C4837" t="s" s="12">
        <v>806</v>
      </c>
      <c r="D4837" s="19"/>
      <c r="E4837" s="19">
        <v>61000</v>
      </c>
      <c r="F4837" s="20"/>
      <c r="G4837" s="20"/>
      <c r="H4837" s="20"/>
      <c r="I4837" s="20"/>
    </row>
    <row r="4838" ht="20.05" customHeight="1">
      <c r="A4838" s="10">
        <v>45663</v>
      </c>
      <c r="B4838" t="s" s="11">
        <v>89</v>
      </c>
      <c r="C4838" t="s" s="12">
        <v>806</v>
      </c>
      <c r="D4838" s="19"/>
      <c r="E4838" s="19">
        <v>2000</v>
      </c>
      <c r="F4838" s="20"/>
      <c r="G4838" s="20"/>
      <c r="H4838" s="20"/>
      <c r="I4838" s="20"/>
    </row>
    <row r="4839" ht="20.05" customHeight="1">
      <c r="A4839" s="10">
        <v>45663</v>
      </c>
      <c r="B4839" t="s" s="11">
        <v>89</v>
      </c>
      <c r="C4839" t="s" s="12">
        <v>806</v>
      </c>
      <c r="D4839" s="19"/>
      <c r="E4839" s="19">
        <v>20000</v>
      </c>
      <c r="F4839" s="20"/>
      <c r="G4839" s="20"/>
      <c r="H4839" s="20"/>
      <c r="I4839" s="20"/>
    </row>
    <row r="4840" ht="20.05" customHeight="1">
      <c r="A4840" s="10">
        <v>45663</v>
      </c>
      <c r="B4840" t="s" s="11">
        <v>89</v>
      </c>
      <c r="C4840" t="s" s="12">
        <v>420</v>
      </c>
      <c r="D4840" s="19"/>
      <c r="E4840" s="19">
        <v>13000</v>
      </c>
      <c r="F4840" s="20"/>
      <c r="G4840" s="20"/>
      <c r="H4840" s="20"/>
      <c r="I4840" s="20"/>
    </row>
    <row r="4841" ht="20.05" customHeight="1">
      <c r="A4841" s="10">
        <v>45663</v>
      </c>
      <c r="B4841" t="s" s="11">
        <v>89</v>
      </c>
      <c r="C4841" t="s" s="12">
        <v>420</v>
      </c>
      <c r="D4841" s="19"/>
      <c r="E4841" s="19">
        <v>7500</v>
      </c>
      <c r="F4841" s="20"/>
      <c r="G4841" s="20"/>
      <c r="H4841" s="20"/>
      <c r="I4841" s="20"/>
    </row>
    <row r="4842" ht="20.05" customHeight="1">
      <c r="A4842" s="10">
        <v>45663</v>
      </c>
      <c r="B4842" t="s" s="11">
        <v>89</v>
      </c>
      <c r="C4842" t="s" s="12">
        <v>420</v>
      </c>
      <c r="D4842" s="19"/>
      <c r="E4842" s="19">
        <v>34933</v>
      </c>
      <c r="F4842" s="20"/>
      <c r="G4842" s="20"/>
      <c r="H4842" s="20"/>
      <c r="I4842" s="20"/>
    </row>
    <row r="4843" ht="20.05" customHeight="1">
      <c r="A4843" s="10">
        <v>45663</v>
      </c>
      <c r="B4843" t="s" s="11">
        <v>89</v>
      </c>
      <c r="C4843" t="s" s="12">
        <v>807</v>
      </c>
      <c r="D4843" s="19"/>
      <c r="E4843" s="19">
        <v>19200</v>
      </c>
      <c r="F4843" s="20"/>
      <c r="G4843" s="20"/>
      <c r="H4843" s="20"/>
      <c r="I4843" s="20"/>
    </row>
    <row r="4844" ht="20.05" customHeight="1">
      <c r="A4844" s="10">
        <v>45663</v>
      </c>
      <c r="B4844" t="s" s="11">
        <v>89</v>
      </c>
      <c r="C4844" t="s" s="12">
        <v>808</v>
      </c>
      <c r="D4844" s="19"/>
      <c r="E4844" s="19">
        <v>13000</v>
      </c>
      <c r="F4844" s="20"/>
      <c r="G4844" s="20"/>
      <c r="H4844" s="20"/>
      <c r="I4844" s="20"/>
    </row>
    <row r="4845" ht="20.05" customHeight="1">
      <c r="A4845" s="10">
        <v>45663</v>
      </c>
      <c r="B4845" t="s" s="11">
        <v>89</v>
      </c>
      <c r="C4845" t="s" s="12">
        <v>808</v>
      </c>
      <c r="D4845" s="19"/>
      <c r="E4845" s="19">
        <v>7500</v>
      </c>
      <c r="F4845" s="20"/>
      <c r="G4845" s="20"/>
      <c r="H4845" s="20"/>
      <c r="I4845" s="20"/>
    </row>
    <row r="4846" ht="20.05" customHeight="1">
      <c r="A4846" s="10">
        <v>45663</v>
      </c>
      <c r="B4846" t="s" s="11">
        <v>89</v>
      </c>
      <c r="C4846" t="s" s="12">
        <v>809</v>
      </c>
      <c r="D4846" s="19"/>
      <c r="E4846" s="19">
        <v>61000</v>
      </c>
      <c r="F4846" s="20"/>
      <c r="G4846" s="20"/>
      <c r="H4846" s="20"/>
      <c r="I4846" s="20"/>
    </row>
    <row r="4847" ht="20.05" customHeight="1">
      <c r="A4847" s="10">
        <v>45663</v>
      </c>
      <c r="B4847" t="s" s="11">
        <v>89</v>
      </c>
      <c r="C4847" t="s" s="12">
        <v>809</v>
      </c>
      <c r="D4847" s="19"/>
      <c r="E4847" s="19">
        <v>2000</v>
      </c>
      <c r="F4847" s="20"/>
      <c r="G4847" s="20"/>
      <c r="H4847" s="20"/>
      <c r="I4847" s="20"/>
    </row>
    <row r="4848" ht="20.05" customHeight="1">
      <c r="A4848" s="10">
        <v>45663</v>
      </c>
      <c r="B4848" t="s" s="11">
        <v>89</v>
      </c>
      <c r="C4848" t="s" s="12">
        <v>809</v>
      </c>
      <c r="D4848" s="19"/>
      <c r="E4848" s="19">
        <v>99460</v>
      </c>
      <c r="F4848" s="20"/>
      <c r="G4848" s="20"/>
      <c r="H4848" s="20"/>
      <c r="I4848" s="20"/>
    </row>
    <row r="4849" ht="20.05" customHeight="1">
      <c r="A4849" s="10">
        <v>45663</v>
      </c>
      <c r="B4849" t="s" s="11">
        <v>89</v>
      </c>
      <c r="C4849" t="s" s="12">
        <v>809</v>
      </c>
      <c r="D4849" s="19"/>
      <c r="E4849" s="19">
        <v>20000</v>
      </c>
      <c r="F4849" s="20"/>
      <c r="G4849" s="20"/>
      <c r="H4849" s="20"/>
      <c r="I4849" s="20"/>
    </row>
    <row r="4850" ht="20.05" customHeight="1">
      <c r="A4850" s="10">
        <v>45663</v>
      </c>
      <c r="B4850" t="s" s="11">
        <v>89</v>
      </c>
      <c r="C4850" t="s" s="12">
        <v>810</v>
      </c>
      <c r="D4850" s="19"/>
      <c r="E4850" s="19">
        <v>61000</v>
      </c>
      <c r="F4850" s="20"/>
      <c r="G4850" s="20"/>
      <c r="H4850" s="20"/>
      <c r="I4850" s="20"/>
    </row>
    <row r="4851" ht="20.05" customHeight="1">
      <c r="A4851" s="10">
        <v>45663</v>
      </c>
      <c r="B4851" t="s" s="11">
        <v>89</v>
      </c>
      <c r="C4851" t="s" s="12">
        <v>810</v>
      </c>
      <c r="D4851" s="19"/>
      <c r="E4851" s="19">
        <v>2000</v>
      </c>
      <c r="F4851" s="20"/>
      <c r="G4851" s="20"/>
      <c r="H4851" s="20"/>
      <c r="I4851" s="20"/>
    </row>
    <row r="4852" ht="20.05" customHeight="1">
      <c r="A4852" s="10">
        <v>45663</v>
      </c>
      <c r="B4852" t="s" s="11">
        <v>89</v>
      </c>
      <c r="C4852" t="s" s="12">
        <v>811</v>
      </c>
      <c r="D4852" s="19"/>
      <c r="E4852" s="19">
        <v>124287</v>
      </c>
      <c r="F4852" s="20"/>
      <c r="G4852" s="20"/>
      <c r="H4852" s="20"/>
      <c r="I4852" s="20"/>
    </row>
    <row r="4853" ht="20.35" customHeight="1">
      <c r="A4853" s="10">
        <v>45663</v>
      </c>
      <c r="B4853" t="s" s="11">
        <v>10</v>
      </c>
      <c r="C4853" t="s" s="12">
        <v>811</v>
      </c>
      <c r="D4853" s="13">
        <v>605030</v>
      </c>
      <c r="E4853" s="13"/>
      <c r="F4853" s="14"/>
      <c r="G4853" s="14"/>
      <c r="H4853" s="14"/>
      <c r="I4853" s="14"/>
    </row>
    <row r="4854" ht="20.7" customHeight="1">
      <c r="A4854" s="10">
        <v>45663</v>
      </c>
      <c r="B4854" t="s" s="11">
        <v>8</v>
      </c>
      <c r="C4854" t="s" s="12">
        <v>8</v>
      </c>
      <c r="D4854" s="15" cm="1">
        <f t="array" ref="D4854">SUM(D4830:D4853)</f>
        <v>605030</v>
      </c>
      <c r="E4854" s="15" cm="1">
        <f t="array" ref="E4854">SUM(E4830:E4853)</f>
        <v>605030</v>
      </c>
      <c r="F4854" s="16" cm="1">
        <f t="array" ref="F4854">SUM(F4830:F4853)</f>
        <v>0</v>
      </c>
      <c r="G4854" s="16" cm="1">
        <f t="array" ref="G4854">SUM(G4830:G4853)</f>
        <v>0</v>
      </c>
      <c r="H4854" s="16" cm="1">
        <f t="array" ref="H4854">SUM(H4830:H4853)</f>
        <v>0</v>
      </c>
      <c r="I4854" s="16" cm="1">
        <f t="array" ref="I4854">SUM(I4830:I4853)</f>
        <v>0</v>
      </c>
    </row>
    <row r="4855" ht="21.25" customHeight="1">
      <c r="A4855" s="10">
        <v>45663</v>
      </c>
      <c r="B4855" t="s" s="11">
        <v>5</v>
      </c>
      <c r="C4855" t="s" s="12">
        <v>812</v>
      </c>
      <c r="D4855" s="17">
        <v>10000</v>
      </c>
      <c r="E4855" s="17"/>
      <c r="F4855" s="18"/>
      <c r="G4855" s="18"/>
      <c r="H4855" s="18"/>
      <c r="I4855" s="18"/>
    </row>
    <row r="4856" ht="21.25" customHeight="1">
      <c r="A4856" s="10">
        <v>45663</v>
      </c>
      <c r="B4856" t="s" s="11">
        <v>790</v>
      </c>
      <c r="C4856" t="s" s="12">
        <v>812</v>
      </c>
      <c r="D4856" s="13"/>
      <c r="E4856" s="13">
        <v>10000</v>
      </c>
      <c r="F4856" s="14"/>
      <c r="G4856" s="14"/>
      <c r="H4856" s="14"/>
      <c r="I4856" s="14"/>
    </row>
    <row r="4857" ht="20.7" customHeight="1">
      <c r="A4857" s="10">
        <v>45663</v>
      </c>
      <c r="B4857" t="s" s="11">
        <v>8</v>
      </c>
      <c r="C4857" t="s" s="12">
        <v>8</v>
      </c>
      <c r="D4857" s="15" cm="1">
        <f t="array" ref="D4857">SUM(D4855:D4856)</f>
        <v>10000</v>
      </c>
      <c r="E4857" s="15" cm="1">
        <f t="array" ref="E4857">SUM(E4855:E4856)</f>
        <v>10000</v>
      </c>
      <c r="F4857" s="16" cm="1">
        <f t="array" ref="F4857">SUM(F4855:F4856)</f>
        <v>0</v>
      </c>
      <c r="G4857" s="16" cm="1">
        <f t="array" ref="G4857">SUM(G4855:G4856)</f>
        <v>0</v>
      </c>
      <c r="H4857" s="16" cm="1">
        <f t="array" ref="H4857">SUM(H4855:H4856)</f>
        <v>0</v>
      </c>
      <c r="I4857" s="16" cm="1">
        <f t="array" ref="I4857">SUM(I4855:I4856)</f>
        <v>0</v>
      </c>
    </row>
    <row r="4858" ht="21.25" customHeight="1">
      <c r="A4858" s="10">
        <v>45663</v>
      </c>
      <c r="B4858" t="s" s="11">
        <v>5</v>
      </c>
      <c r="C4858" t="s" s="12">
        <v>813</v>
      </c>
      <c r="D4858" s="17"/>
      <c r="E4858" s="17">
        <v>25521</v>
      </c>
      <c r="F4858" s="18"/>
      <c r="G4858" s="18"/>
      <c r="H4858" s="18"/>
      <c r="I4858" s="18"/>
    </row>
    <row r="4859" ht="21.25" customHeight="1">
      <c r="A4859" s="10">
        <v>45663</v>
      </c>
      <c r="B4859" t="s" s="11">
        <v>814</v>
      </c>
      <c r="C4859" t="s" s="12">
        <v>813</v>
      </c>
      <c r="D4859" s="13">
        <v>25521</v>
      </c>
      <c r="E4859" s="13"/>
      <c r="F4859" s="14"/>
      <c r="G4859" s="14"/>
      <c r="H4859" s="14"/>
      <c r="I4859" s="14"/>
    </row>
    <row r="4860" ht="20.7" customHeight="1">
      <c r="A4860" s="10">
        <v>45663</v>
      </c>
      <c r="B4860" t="s" s="11">
        <v>8</v>
      </c>
      <c r="C4860" t="s" s="12">
        <v>8</v>
      </c>
      <c r="D4860" s="15" cm="1">
        <f t="array" ref="D4860">SUM(D4858:D4859)</f>
        <v>25521</v>
      </c>
      <c r="E4860" s="15" cm="1">
        <f t="array" ref="E4860">SUM(E4858:E4859)</f>
        <v>25521</v>
      </c>
      <c r="F4860" s="16" cm="1">
        <f t="array" ref="F4860">SUM(F4858:F4859)</f>
        <v>0</v>
      </c>
      <c r="G4860" s="16" cm="1">
        <f t="array" ref="G4860">SUM(G4858:G4859)</f>
        <v>0</v>
      </c>
      <c r="H4860" s="16" cm="1">
        <f t="array" ref="H4860">SUM(H4858:H4859)</f>
        <v>0</v>
      </c>
      <c r="I4860" s="16" cm="1">
        <f t="array" ref="I4860">SUM(I4858:I4859)</f>
        <v>0</v>
      </c>
    </row>
    <row r="4861" ht="20.35" customHeight="1">
      <c r="A4861" s="10">
        <v>45663</v>
      </c>
      <c r="B4861" t="s" s="11">
        <v>5</v>
      </c>
      <c r="C4861" t="s" s="12">
        <v>815</v>
      </c>
      <c r="D4861" s="17"/>
      <c r="E4861" s="17">
        <v>671</v>
      </c>
      <c r="F4861" s="18"/>
      <c r="G4861" s="18"/>
      <c r="H4861" s="18"/>
      <c r="I4861" s="18"/>
    </row>
    <row r="4862" ht="20.35" customHeight="1">
      <c r="A4862" s="10">
        <v>45663</v>
      </c>
      <c r="B4862" t="s" s="11">
        <v>814</v>
      </c>
      <c r="C4862" t="s" s="12">
        <v>815</v>
      </c>
      <c r="D4862" s="13">
        <v>671</v>
      </c>
      <c r="E4862" s="13"/>
      <c r="F4862" s="14"/>
      <c r="G4862" s="14"/>
      <c r="H4862" s="14"/>
      <c r="I4862" s="14"/>
    </row>
    <row r="4863" ht="20.7" customHeight="1">
      <c r="A4863" s="10">
        <v>45663</v>
      </c>
      <c r="B4863" t="s" s="11">
        <v>8</v>
      </c>
      <c r="C4863" t="s" s="12">
        <v>8</v>
      </c>
      <c r="D4863" s="15" cm="1">
        <f t="array" ref="D4863">SUM(D4861:D4862)</f>
        <v>671</v>
      </c>
      <c r="E4863" s="15" cm="1">
        <f t="array" ref="E4863">SUM(E4861:E4862)</f>
        <v>671</v>
      </c>
      <c r="F4863" s="16" cm="1">
        <f t="array" ref="F4863">SUM(F4861:F4862)</f>
        <v>0</v>
      </c>
      <c r="G4863" s="16" cm="1">
        <f t="array" ref="G4863">SUM(G4861:G4862)</f>
        <v>0</v>
      </c>
      <c r="H4863" s="16" cm="1">
        <f t="array" ref="H4863">SUM(H4861:H4862)</f>
        <v>0</v>
      </c>
      <c r="I4863" s="16" cm="1">
        <f t="array" ref="I4863">SUM(I4861:I4862)</f>
        <v>0</v>
      </c>
    </row>
    <row r="4864" ht="20.35" customHeight="1">
      <c r="A4864" s="10">
        <v>45664</v>
      </c>
      <c r="B4864" t="s" s="11">
        <v>91</v>
      </c>
      <c r="C4864" t="s" s="12">
        <v>690</v>
      </c>
      <c r="D4864" s="17"/>
      <c r="E4864" s="17">
        <v>1</v>
      </c>
      <c r="F4864" s="18"/>
      <c r="G4864" s="18"/>
      <c r="H4864" s="18"/>
      <c r="I4864" s="18"/>
    </row>
    <row r="4865" ht="20.35" customHeight="1">
      <c r="A4865" s="10">
        <v>45664</v>
      </c>
      <c r="B4865" t="s" s="11">
        <v>814</v>
      </c>
      <c r="C4865" t="s" s="12">
        <v>690</v>
      </c>
      <c r="D4865" s="13">
        <v>1</v>
      </c>
      <c r="E4865" s="13"/>
      <c r="F4865" s="14"/>
      <c r="G4865" s="14"/>
      <c r="H4865" s="14"/>
      <c r="I4865" s="14"/>
    </row>
    <row r="4866" ht="20.7" customHeight="1">
      <c r="A4866" s="10">
        <v>45664</v>
      </c>
      <c r="B4866" t="s" s="11">
        <v>8</v>
      </c>
      <c r="C4866" t="s" s="12">
        <v>8</v>
      </c>
      <c r="D4866" s="15" cm="1">
        <f t="array" ref="D4866">SUM(D4864:D4865)</f>
        <v>1</v>
      </c>
      <c r="E4866" s="15" cm="1">
        <f t="array" ref="E4866">SUM(E4864:E4865)</f>
        <v>1</v>
      </c>
      <c r="F4866" s="16" cm="1">
        <f t="array" ref="F4866">SUM(F4864:F4865)</f>
        <v>0</v>
      </c>
      <c r="G4866" s="16" cm="1">
        <f t="array" ref="G4866">SUM(G4864:G4865)</f>
        <v>0</v>
      </c>
      <c r="H4866" s="16" cm="1">
        <f t="array" ref="H4866">SUM(H4864:H4865)</f>
        <v>0</v>
      </c>
      <c r="I4866" s="16" cm="1">
        <f t="array" ref="I4866">SUM(I4864:I4865)</f>
        <v>0</v>
      </c>
    </row>
    <row r="4867" ht="21.25" customHeight="1">
      <c r="A4867" s="10">
        <v>45664</v>
      </c>
      <c r="B4867" t="s" s="11">
        <v>91</v>
      </c>
      <c r="C4867" t="s" s="12">
        <v>816</v>
      </c>
      <c r="D4867" s="17"/>
      <c r="E4867" s="17">
        <v>7</v>
      </c>
      <c r="F4867" s="18"/>
      <c r="G4867" s="18"/>
      <c r="H4867" s="18"/>
      <c r="I4867" s="18"/>
    </row>
    <row r="4868" ht="21.25" customHeight="1">
      <c r="A4868" s="10">
        <v>45664</v>
      </c>
      <c r="B4868" t="s" s="11">
        <v>121</v>
      </c>
      <c r="C4868" t="s" s="12">
        <v>816</v>
      </c>
      <c r="D4868" s="13">
        <v>7</v>
      </c>
      <c r="E4868" s="13"/>
      <c r="F4868" s="14"/>
      <c r="G4868" s="14"/>
      <c r="H4868" s="14"/>
      <c r="I4868" s="14"/>
    </row>
    <row r="4869" ht="20.7" customHeight="1">
      <c r="A4869" s="10">
        <v>45664</v>
      </c>
      <c r="B4869" t="s" s="11">
        <v>8</v>
      </c>
      <c r="C4869" t="s" s="12">
        <v>8</v>
      </c>
      <c r="D4869" s="15" cm="1">
        <f t="array" ref="D4869">SUM(D4867:D4868)</f>
        <v>7</v>
      </c>
      <c r="E4869" s="15" cm="1">
        <f t="array" ref="E4869">SUM(E4867:E4868)</f>
        <v>7</v>
      </c>
      <c r="F4869" s="16" cm="1">
        <f t="array" ref="F4869">SUM(F4867:F4868)</f>
        <v>0</v>
      </c>
      <c r="G4869" s="16" cm="1">
        <f t="array" ref="G4869">SUM(G4867:G4868)</f>
        <v>0</v>
      </c>
      <c r="H4869" s="16" cm="1">
        <f t="array" ref="H4869">SUM(H4867:H4868)</f>
        <v>0</v>
      </c>
      <c r="I4869" s="16" cm="1">
        <f t="array" ref="I4869">SUM(I4867:I4868)</f>
        <v>0</v>
      </c>
    </row>
    <row r="4870" ht="21.25" customHeight="1">
      <c r="A4870" s="10">
        <v>45664</v>
      </c>
      <c r="B4870" t="s" s="11">
        <v>5</v>
      </c>
      <c r="C4870" t="s" s="12">
        <v>816</v>
      </c>
      <c r="D4870" s="17"/>
      <c r="E4870" s="17">
        <v>7</v>
      </c>
      <c r="F4870" s="18"/>
      <c r="G4870" s="18"/>
      <c r="H4870" s="18"/>
      <c r="I4870" s="18"/>
    </row>
    <row r="4871" ht="21.25" customHeight="1">
      <c r="A4871" s="10">
        <v>45664</v>
      </c>
      <c r="B4871" t="s" s="11">
        <v>814</v>
      </c>
      <c r="C4871" t="s" s="12">
        <v>816</v>
      </c>
      <c r="D4871" s="13">
        <v>7</v>
      </c>
      <c r="E4871" s="13"/>
      <c r="F4871" s="14"/>
      <c r="G4871" s="14"/>
      <c r="H4871" s="14"/>
      <c r="I4871" s="14"/>
    </row>
    <row r="4872" ht="20.7" customHeight="1">
      <c r="A4872" s="10">
        <v>45664</v>
      </c>
      <c r="B4872" t="s" s="11">
        <v>8</v>
      </c>
      <c r="C4872" t="s" s="12">
        <v>8</v>
      </c>
      <c r="D4872" s="15" cm="1">
        <f t="array" ref="D4872">SUM(D4870:D4871)</f>
        <v>7</v>
      </c>
      <c r="E4872" s="15" cm="1">
        <f t="array" ref="E4872">SUM(E4870:E4871)</f>
        <v>7</v>
      </c>
      <c r="F4872" s="16" cm="1">
        <f t="array" ref="F4872">SUM(F4870:F4871)</f>
        <v>0</v>
      </c>
      <c r="G4872" s="16" cm="1">
        <f t="array" ref="G4872">SUM(G4870:G4871)</f>
        <v>0</v>
      </c>
      <c r="H4872" s="16" cm="1">
        <f t="array" ref="H4872">SUM(H4870:H4871)</f>
        <v>0</v>
      </c>
      <c r="I4872" s="16" cm="1">
        <f t="array" ref="I4872">SUM(I4870:I4871)</f>
        <v>0</v>
      </c>
    </row>
    <row r="4873" ht="21.25" customHeight="1">
      <c r="A4873" s="10">
        <v>45664</v>
      </c>
      <c r="B4873" t="s" s="11">
        <v>5</v>
      </c>
      <c r="C4873" t="s" s="12">
        <v>817</v>
      </c>
      <c r="D4873" s="17"/>
      <c r="E4873" s="17">
        <v>52000</v>
      </c>
      <c r="F4873" s="18"/>
      <c r="G4873" s="18"/>
      <c r="H4873" s="18"/>
      <c r="I4873" s="18"/>
    </row>
    <row r="4874" ht="20.9" customHeight="1">
      <c r="A4874" s="10">
        <v>45664</v>
      </c>
      <c r="B4874" t="s" s="11">
        <v>89</v>
      </c>
      <c r="C4874" t="s" s="12">
        <v>817</v>
      </c>
      <c r="D4874" s="19">
        <v>25000</v>
      </c>
      <c r="E4874" s="19"/>
      <c r="F4874" s="20"/>
      <c r="G4874" s="20"/>
      <c r="H4874" s="20"/>
      <c r="I4874" s="20"/>
    </row>
    <row r="4875" ht="21.25" customHeight="1">
      <c r="A4875" s="10">
        <v>45664</v>
      </c>
      <c r="B4875" t="s" s="11">
        <v>12</v>
      </c>
      <c r="C4875" t="s" s="12">
        <v>817</v>
      </c>
      <c r="D4875" s="13">
        <v>27000</v>
      </c>
      <c r="E4875" s="13"/>
      <c r="F4875" s="14"/>
      <c r="G4875" s="14"/>
      <c r="H4875" s="14"/>
      <c r="I4875" s="14"/>
    </row>
    <row r="4876" ht="20.7" customHeight="1">
      <c r="A4876" s="10">
        <v>45664</v>
      </c>
      <c r="B4876" t="s" s="11">
        <v>8</v>
      </c>
      <c r="C4876" t="s" s="12">
        <v>8</v>
      </c>
      <c r="D4876" s="15" cm="1">
        <f t="array" ref="D4876">SUM(D4873:D4875)</f>
        <v>52000</v>
      </c>
      <c r="E4876" s="15" cm="1">
        <f t="array" ref="E4876">SUM(E4873:E4875)</f>
        <v>52000</v>
      </c>
      <c r="F4876" s="16" cm="1">
        <f t="array" ref="F4876">SUM(F4873:F4875)</f>
        <v>0</v>
      </c>
      <c r="G4876" s="16" cm="1">
        <f t="array" ref="G4876">SUM(G4873:G4875)</f>
        <v>0</v>
      </c>
      <c r="H4876" s="16" cm="1">
        <f t="array" ref="H4876">SUM(H4873:H4875)</f>
        <v>0</v>
      </c>
      <c r="I4876" s="16" cm="1">
        <f t="array" ref="I4876">SUM(I4873:I4875)</f>
        <v>0</v>
      </c>
    </row>
    <row r="4877" ht="21.25" customHeight="1">
      <c r="A4877" s="10">
        <v>45664</v>
      </c>
      <c r="B4877" t="s" s="11">
        <v>5</v>
      </c>
      <c r="C4877" t="s" s="12">
        <v>818</v>
      </c>
      <c r="D4877" s="17"/>
      <c r="E4877" s="17">
        <v>5000</v>
      </c>
      <c r="F4877" s="18"/>
      <c r="G4877" s="18"/>
      <c r="H4877" s="18"/>
      <c r="I4877" s="18"/>
    </row>
    <row r="4878" ht="21.25" customHeight="1">
      <c r="A4878" s="10">
        <v>45664</v>
      </c>
      <c r="B4878" t="s" s="11">
        <v>10</v>
      </c>
      <c r="C4878" t="s" s="12">
        <v>818</v>
      </c>
      <c r="D4878" s="13">
        <v>5000</v>
      </c>
      <c r="E4878" s="13"/>
      <c r="F4878" s="14"/>
      <c r="G4878" s="14"/>
      <c r="H4878" s="14"/>
      <c r="I4878" s="14"/>
    </row>
    <row r="4879" ht="20.7" customHeight="1">
      <c r="A4879" s="10">
        <v>45664</v>
      </c>
      <c r="B4879" t="s" s="11">
        <v>8</v>
      </c>
      <c r="C4879" t="s" s="12">
        <v>8</v>
      </c>
      <c r="D4879" s="15" cm="1">
        <f t="array" ref="D4879">SUM(D4877:D4878)</f>
        <v>5000</v>
      </c>
      <c r="E4879" s="15" cm="1">
        <f t="array" ref="E4879">SUM(E4877:E4878)</f>
        <v>5000</v>
      </c>
      <c r="F4879" s="16" cm="1">
        <f t="array" ref="F4879">SUM(F4877:F4878)</f>
        <v>0</v>
      </c>
      <c r="G4879" s="16" cm="1">
        <f t="array" ref="G4879">SUM(G4877:G4878)</f>
        <v>0</v>
      </c>
      <c r="H4879" s="16" cm="1">
        <f t="array" ref="H4879">SUM(H4877:H4878)</f>
        <v>0</v>
      </c>
      <c r="I4879" s="16" cm="1">
        <f t="array" ref="I4879">SUM(I4877:I4878)</f>
        <v>0</v>
      </c>
    </row>
    <row r="4880" ht="21.25" customHeight="1">
      <c r="A4880" s="10">
        <v>45664</v>
      </c>
      <c r="B4880" t="s" s="11">
        <v>89</v>
      </c>
      <c r="C4880" t="s" s="12">
        <v>817</v>
      </c>
      <c r="D4880" s="17"/>
      <c r="E4880" s="17">
        <v>25000</v>
      </c>
      <c r="F4880" s="18"/>
      <c r="G4880" s="18"/>
      <c r="H4880" s="18"/>
      <c r="I4880" s="18"/>
    </row>
    <row r="4881" ht="21.25" customHeight="1">
      <c r="A4881" s="10">
        <v>45664</v>
      </c>
      <c r="B4881" t="s" s="11">
        <v>93</v>
      </c>
      <c r="C4881" t="s" s="12">
        <v>817</v>
      </c>
      <c r="D4881" s="13">
        <v>25000</v>
      </c>
      <c r="E4881" s="13"/>
      <c r="F4881" s="14"/>
      <c r="G4881" s="14"/>
      <c r="H4881" s="14"/>
      <c r="I4881" s="14"/>
    </row>
    <row r="4882" ht="20.7" customHeight="1">
      <c r="A4882" s="10">
        <v>45664</v>
      </c>
      <c r="B4882" t="s" s="11">
        <v>8</v>
      </c>
      <c r="C4882" t="s" s="12">
        <v>8</v>
      </c>
      <c r="D4882" s="15" cm="1">
        <f t="array" ref="D4882">SUM(D4880:D4881)</f>
        <v>25000</v>
      </c>
      <c r="E4882" s="15" cm="1">
        <f t="array" ref="E4882">SUM(E4880:E4881)</f>
        <v>25000</v>
      </c>
      <c r="F4882" s="16" cm="1">
        <f t="array" ref="F4882">SUM(F4880:F4881)</f>
        <v>0</v>
      </c>
      <c r="G4882" s="16" cm="1">
        <f t="array" ref="G4882">SUM(G4880:G4881)</f>
        <v>0</v>
      </c>
      <c r="H4882" s="16" cm="1">
        <f t="array" ref="H4882">SUM(H4880:H4881)</f>
        <v>0</v>
      </c>
      <c r="I4882" s="16" cm="1">
        <f t="array" ref="I4882">SUM(I4880:I4881)</f>
        <v>0</v>
      </c>
    </row>
    <row r="4883" ht="21.25" customHeight="1">
      <c r="A4883" s="10">
        <v>45664</v>
      </c>
      <c r="B4883" t="s" s="11">
        <v>5</v>
      </c>
      <c r="C4883" t="s" s="12">
        <v>799</v>
      </c>
      <c r="D4883" s="17">
        <v>3</v>
      </c>
      <c r="E4883" s="17"/>
      <c r="F4883" s="18"/>
      <c r="G4883" s="18"/>
      <c r="H4883" s="18"/>
      <c r="I4883" s="18"/>
    </row>
    <row r="4884" ht="21.25" customHeight="1">
      <c r="A4884" s="10">
        <v>45664</v>
      </c>
      <c r="B4884" t="s" s="11">
        <v>91</v>
      </c>
      <c r="C4884" t="s" s="12">
        <v>799</v>
      </c>
      <c r="D4884" s="13"/>
      <c r="E4884" s="13">
        <v>3</v>
      </c>
      <c r="F4884" s="14"/>
      <c r="G4884" s="14"/>
      <c r="H4884" s="14"/>
      <c r="I4884" s="14"/>
    </row>
    <row r="4885" ht="20.7" customHeight="1">
      <c r="A4885" s="10">
        <v>45664</v>
      </c>
      <c r="B4885" t="s" s="11">
        <v>8</v>
      </c>
      <c r="C4885" t="s" s="12">
        <v>8</v>
      </c>
      <c r="D4885" s="15" cm="1">
        <f t="array" ref="D4885">SUM(D4883:D4884)</f>
        <v>3</v>
      </c>
      <c r="E4885" s="15" cm="1">
        <f t="array" ref="E4885">SUM(E4883:E4884)</f>
        <v>3</v>
      </c>
      <c r="F4885" s="16" cm="1">
        <f t="array" ref="F4885">SUM(F4883:F4884)</f>
        <v>0</v>
      </c>
      <c r="G4885" s="16" cm="1">
        <f t="array" ref="G4885">SUM(G4883:G4884)</f>
        <v>0</v>
      </c>
      <c r="H4885" s="16" cm="1">
        <f t="array" ref="H4885">SUM(H4883:H4884)</f>
        <v>0</v>
      </c>
      <c r="I4885" s="16" cm="1">
        <f t="array" ref="I4885">SUM(I4883:I4884)</f>
        <v>0</v>
      </c>
    </row>
    <row r="4886" ht="21.25" customHeight="1">
      <c r="A4886" s="10">
        <v>45665</v>
      </c>
      <c r="B4886" t="s" s="11">
        <v>5</v>
      </c>
      <c r="C4886" t="s" s="12">
        <v>799</v>
      </c>
      <c r="D4886" s="17"/>
      <c r="E4886" s="17">
        <v>3</v>
      </c>
      <c r="F4886" s="18"/>
      <c r="G4886" s="18"/>
      <c r="H4886" s="18"/>
      <c r="I4886" s="18"/>
    </row>
    <row r="4887" ht="21.25" customHeight="1">
      <c r="A4887" s="10">
        <v>45665</v>
      </c>
      <c r="B4887" t="s" s="11">
        <v>814</v>
      </c>
      <c r="C4887" t="s" s="12">
        <v>799</v>
      </c>
      <c r="D4887" s="13">
        <v>3</v>
      </c>
      <c r="E4887" s="13"/>
      <c r="F4887" s="14"/>
      <c r="G4887" s="14"/>
      <c r="H4887" s="14"/>
      <c r="I4887" s="14"/>
    </row>
    <row r="4888" ht="20.7" customHeight="1">
      <c r="A4888" s="10">
        <v>45665</v>
      </c>
      <c r="B4888" t="s" s="11">
        <v>8</v>
      </c>
      <c r="C4888" t="s" s="12">
        <v>8</v>
      </c>
      <c r="D4888" s="15" cm="1">
        <f t="array" ref="D4888">SUM(D4886:D4887)</f>
        <v>3</v>
      </c>
      <c r="E4888" s="15" cm="1">
        <f t="array" ref="E4888">SUM(E4886:E4887)</f>
        <v>3</v>
      </c>
      <c r="F4888" s="16" cm="1">
        <f t="array" ref="F4888">SUM(F4886:F4887)</f>
        <v>0</v>
      </c>
      <c r="G4888" s="16" cm="1">
        <f t="array" ref="G4888">SUM(G4886:G4887)</f>
        <v>0</v>
      </c>
      <c r="H4888" s="16" cm="1">
        <f t="array" ref="H4888">SUM(H4886:H4887)</f>
        <v>0</v>
      </c>
      <c r="I4888" s="16" cm="1">
        <f t="array" ref="I4888">SUM(I4886:I4887)</f>
        <v>0</v>
      </c>
    </row>
    <row r="4889" ht="21.25" customHeight="1">
      <c r="A4889" s="10">
        <v>45665</v>
      </c>
      <c r="B4889" t="s" s="11">
        <v>5</v>
      </c>
      <c r="C4889" t="s" s="12">
        <v>819</v>
      </c>
      <c r="D4889" s="17">
        <v>1</v>
      </c>
      <c r="E4889" s="17"/>
      <c r="F4889" s="18"/>
      <c r="G4889" s="18"/>
      <c r="H4889" s="18"/>
      <c r="I4889" s="18"/>
    </row>
    <row r="4890" ht="21.25" customHeight="1">
      <c r="A4890" s="10">
        <v>45665</v>
      </c>
      <c r="B4890" t="s" s="11">
        <v>91</v>
      </c>
      <c r="C4890" t="s" s="12">
        <v>819</v>
      </c>
      <c r="D4890" s="13"/>
      <c r="E4890" s="13">
        <v>1</v>
      </c>
      <c r="F4890" s="14"/>
      <c r="G4890" s="14"/>
      <c r="H4890" s="14"/>
      <c r="I4890" s="14"/>
    </row>
    <row r="4891" ht="20.7" customHeight="1">
      <c r="A4891" s="10">
        <v>45665</v>
      </c>
      <c r="B4891" t="s" s="11">
        <v>8</v>
      </c>
      <c r="C4891" t="s" s="12">
        <v>8</v>
      </c>
      <c r="D4891" s="15" cm="1">
        <f t="array" ref="D4891">SUM(D4889:D4890)</f>
        <v>1</v>
      </c>
      <c r="E4891" s="15" cm="1">
        <f t="array" ref="E4891">SUM(E4889:E4890)</f>
        <v>1</v>
      </c>
      <c r="F4891" s="16" cm="1">
        <f t="array" ref="F4891">SUM(F4889:F4890)</f>
        <v>0</v>
      </c>
      <c r="G4891" s="16" cm="1">
        <f t="array" ref="G4891">SUM(G4889:G4890)</f>
        <v>0</v>
      </c>
      <c r="H4891" s="16" cm="1">
        <f t="array" ref="H4891">SUM(H4889:H4890)</f>
        <v>0</v>
      </c>
      <c r="I4891" s="16" cm="1">
        <f t="array" ref="I4891">SUM(I4889:I4890)</f>
        <v>0</v>
      </c>
    </row>
    <row r="4892" ht="21.25" customHeight="1">
      <c r="A4892" s="10">
        <v>45665</v>
      </c>
      <c r="B4892" t="s" s="11">
        <v>5</v>
      </c>
      <c r="C4892" t="s" s="12">
        <v>819</v>
      </c>
      <c r="D4892" s="17"/>
      <c r="E4892" s="17">
        <v>1</v>
      </c>
      <c r="F4892" s="18"/>
      <c r="G4892" s="18"/>
      <c r="H4892" s="18"/>
      <c r="I4892" s="18"/>
    </row>
    <row r="4893" ht="21.25" customHeight="1">
      <c r="A4893" s="10">
        <v>45665</v>
      </c>
      <c r="B4893" t="s" s="11">
        <v>814</v>
      </c>
      <c r="C4893" t="s" s="12">
        <v>819</v>
      </c>
      <c r="D4893" s="13">
        <v>1</v>
      </c>
      <c r="E4893" s="13"/>
      <c r="F4893" s="14"/>
      <c r="G4893" s="14"/>
      <c r="H4893" s="14"/>
      <c r="I4893" s="14"/>
    </row>
    <row r="4894" ht="20.7" customHeight="1">
      <c r="A4894" s="10">
        <v>45665</v>
      </c>
      <c r="B4894" t="s" s="11">
        <v>8</v>
      </c>
      <c r="C4894" t="s" s="12">
        <v>8</v>
      </c>
      <c r="D4894" s="15" cm="1">
        <f t="array" ref="D4894">SUM(D4892:D4893)</f>
        <v>1</v>
      </c>
      <c r="E4894" s="15" cm="1">
        <f t="array" ref="E4894">SUM(E4892:E4893)</f>
        <v>1</v>
      </c>
      <c r="F4894" s="16" cm="1">
        <f t="array" ref="F4894">SUM(F4892:F4893)</f>
        <v>0</v>
      </c>
      <c r="G4894" s="16" cm="1">
        <f t="array" ref="G4894">SUM(G4892:G4893)</f>
        <v>0</v>
      </c>
      <c r="H4894" s="16" cm="1">
        <f t="array" ref="H4894">SUM(H4892:H4893)</f>
        <v>0</v>
      </c>
      <c r="I4894" s="16" cm="1">
        <f t="array" ref="I4894">SUM(I4892:I4893)</f>
        <v>0</v>
      </c>
    </row>
    <row r="4895" ht="20.65" customHeight="1">
      <c r="A4895" s="10">
        <v>45665</v>
      </c>
      <c r="B4895" t="s" s="11">
        <v>814</v>
      </c>
      <c r="C4895" t="s" s="12">
        <v>820</v>
      </c>
      <c r="D4895" s="17">
        <v>1</v>
      </c>
      <c r="E4895" s="17"/>
      <c r="F4895" s="18"/>
      <c r="G4895" s="18"/>
      <c r="H4895" s="18"/>
      <c r="I4895" s="18"/>
    </row>
    <row r="4896" ht="20.65" customHeight="1">
      <c r="A4896" s="10">
        <v>45665</v>
      </c>
      <c r="B4896" t="s" s="11">
        <v>91</v>
      </c>
      <c r="C4896" t="s" s="12">
        <v>820</v>
      </c>
      <c r="D4896" s="13"/>
      <c r="E4896" s="13">
        <v>1</v>
      </c>
      <c r="F4896" s="14"/>
      <c r="G4896" s="14"/>
      <c r="H4896" s="14"/>
      <c r="I4896" s="14"/>
    </row>
    <row r="4897" ht="20.7" customHeight="1">
      <c r="A4897" s="10">
        <v>45665</v>
      </c>
      <c r="B4897" t="s" s="11">
        <v>8</v>
      </c>
      <c r="C4897" t="s" s="12">
        <v>8</v>
      </c>
      <c r="D4897" s="15" cm="1">
        <f t="array" ref="D4897">SUM(D4895:D4896)</f>
        <v>1</v>
      </c>
      <c r="E4897" s="15" cm="1">
        <f t="array" ref="E4897">SUM(E4895:E4896)</f>
        <v>1</v>
      </c>
      <c r="F4897" s="16" cm="1">
        <f t="array" ref="F4897">SUM(F4895:F4896)</f>
        <v>0</v>
      </c>
      <c r="G4897" s="16" cm="1">
        <f t="array" ref="G4897">SUM(G4895:G4896)</f>
        <v>0</v>
      </c>
      <c r="H4897" s="16" cm="1">
        <f t="array" ref="H4897">SUM(H4895:H4896)</f>
        <v>0</v>
      </c>
      <c r="I4897" s="16" cm="1">
        <f t="array" ref="I4897">SUM(I4895:I4896)</f>
        <v>0</v>
      </c>
    </row>
    <row r="4898" ht="21.25" customHeight="1">
      <c r="A4898" s="10">
        <v>45665</v>
      </c>
      <c r="B4898" t="s" s="11">
        <v>81</v>
      </c>
      <c r="C4898" t="s" s="12">
        <v>821</v>
      </c>
      <c r="D4898" s="17"/>
      <c r="E4898" s="17">
        <v>100000</v>
      </c>
      <c r="F4898" s="18"/>
      <c r="G4898" s="18"/>
      <c r="H4898" s="18"/>
      <c r="I4898" s="18"/>
    </row>
    <row r="4899" ht="21.25" customHeight="1">
      <c r="A4899" s="10">
        <v>45665</v>
      </c>
      <c r="B4899" t="s" s="11">
        <v>822</v>
      </c>
      <c r="C4899" t="s" s="12">
        <v>821</v>
      </c>
      <c r="D4899" s="13">
        <v>100000</v>
      </c>
      <c r="E4899" s="13"/>
      <c r="F4899" s="14"/>
      <c r="G4899" s="14"/>
      <c r="H4899" s="14"/>
      <c r="I4899" s="14"/>
    </row>
    <row r="4900" ht="20.7" customHeight="1">
      <c r="A4900" s="10">
        <v>45665</v>
      </c>
      <c r="B4900" t="s" s="11">
        <v>8</v>
      </c>
      <c r="C4900" t="s" s="12">
        <v>8</v>
      </c>
      <c r="D4900" s="15" cm="1">
        <f t="array" ref="D4900">SUM(D4898:D4899)</f>
        <v>100000</v>
      </c>
      <c r="E4900" s="15" cm="1">
        <f t="array" ref="E4900">SUM(E4898:E4899)</f>
        <v>100000</v>
      </c>
      <c r="F4900" s="16" cm="1">
        <f t="array" ref="F4900">SUM(F4898:F4899)</f>
        <v>0</v>
      </c>
      <c r="G4900" s="16" cm="1">
        <f t="array" ref="G4900">SUM(G4898:G4899)</f>
        <v>0</v>
      </c>
      <c r="H4900" s="16" cm="1">
        <f t="array" ref="H4900">SUM(H4898:H4899)</f>
        <v>0</v>
      </c>
      <c r="I4900" s="16" cm="1">
        <f t="array" ref="I4900">SUM(I4898:I4899)</f>
        <v>0</v>
      </c>
    </row>
    <row r="4901" ht="21.25" customHeight="1">
      <c r="A4901" s="10">
        <v>45665</v>
      </c>
      <c r="B4901" t="s" s="11">
        <v>91</v>
      </c>
      <c r="C4901" t="s" s="12">
        <v>816</v>
      </c>
      <c r="D4901" s="17"/>
      <c r="E4901" s="17">
        <v>7</v>
      </c>
      <c r="F4901" s="18"/>
      <c r="G4901" s="18"/>
      <c r="H4901" s="18"/>
      <c r="I4901" s="18"/>
    </row>
    <row r="4902" ht="21.25" customHeight="1">
      <c r="A4902" s="10">
        <v>45665</v>
      </c>
      <c r="B4902" t="s" s="11">
        <v>121</v>
      </c>
      <c r="C4902" t="s" s="12">
        <v>816</v>
      </c>
      <c r="D4902" s="13">
        <v>7</v>
      </c>
      <c r="E4902" s="13"/>
      <c r="F4902" s="14"/>
      <c r="G4902" s="14"/>
      <c r="H4902" s="14"/>
      <c r="I4902" s="14"/>
    </row>
    <row r="4903" ht="20.7" customHeight="1">
      <c r="A4903" s="10">
        <v>45665</v>
      </c>
      <c r="B4903" t="s" s="11">
        <v>8</v>
      </c>
      <c r="C4903" t="s" s="12">
        <v>8</v>
      </c>
      <c r="D4903" s="15" cm="1">
        <f t="array" ref="D4903">SUM(D4901:D4902)</f>
        <v>7</v>
      </c>
      <c r="E4903" s="15" cm="1">
        <f t="array" ref="E4903">SUM(E4901:E4902)</f>
        <v>7</v>
      </c>
      <c r="F4903" s="16" cm="1">
        <f t="array" ref="F4903">SUM(F4901:F4902)</f>
        <v>0</v>
      </c>
      <c r="G4903" s="16" cm="1">
        <f t="array" ref="G4903">SUM(G4901:G4902)</f>
        <v>0</v>
      </c>
      <c r="H4903" s="16" cm="1">
        <f t="array" ref="H4903">SUM(H4901:H4902)</f>
        <v>0</v>
      </c>
      <c r="I4903" s="16" cm="1">
        <f t="array" ref="I4903">SUM(I4901:I4902)</f>
        <v>0</v>
      </c>
    </row>
    <row r="4904" ht="21.25" customHeight="1">
      <c r="A4904" s="10">
        <v>45665</v>
      </c>
      <c r="B4904" t="s" s="11">
        <v>5</v>
      </c>
      <c r="C4904" t="s" s="12">
        <v>816</v>
      </c>
      <c r="D4904" s="17"/>
      <c r="E4904" s="17">
        <v>7</v>
      </c>
      <c r="F4904" s="18"/>
      <c r="G4904" s="18"/>
      <c r="H4904" s="18"/>
      <c r="I4904" s="18"/>
    </row>
    <row r="4905" ht="21.25" customHeight="1">
      <c r="A4905" s="10">
        <v>45665</v>
      </c>
      <c r="B4905" t="s" s="11">
        <v>814</v>
      </c>
      <c r="C4905" t="s" s="12">
        <v>816</v>
      </c>
      <c r="D4905" s="13">
        <v>7</v>
      </c>
      <c r="E4905" s="13"/>
      <c r="F4905" s="14"/>
      <c r="G4905" s="14"/>
      <c r="H4905" s="14"/>
      <c r="I4905" s="14"/>
    </row>
    <row r="4906" ht="20.7" customHeight="1">
      <c r="A4906" s="10">
        <v>45665</v>
      </c>
      <c r="B4906" t="s" s="11">
        <v>8</v>
      </c>
      <c r="C4906" t="s" s="12">
        <v>8</v>
      </c>
      <c r="D4906" s="15" cm="1">
        <f t="array" ref="D4906">SUM(D4904:D4905)</f>
        <v>7</v>
      </c>
      <c r="E4906" s="15" cm="1">
        <f t="array" ref="E4906">SUM(E4904:E4905)</f>
        <v>7</v>
      </c>
      <c r="F4906" s="16" cm="1">
        <f t="array" ref="F4906">SUM(F4904:F4905)</f>
        <v>0</v>
      </c>
      <c r="G4906" s="16" cm="1">
        <f t="array" ref="G4906">SUM(G4904:G4905)</f>
        <v>0</v>
      </c>
      <c r="H4906" s="16" cm="1">
        <f t="array" ref="H4906">SUM(H4904:H4905)</f>
        <v>0</v>
      </c>
      <c r="I4906" s="16" cm="1">
        <f t="array" ref="I4906">SUM(I4904:I4905)</f>
        <v>0</v>
      </c>
    </row>
    <row r="4907" ht="20.35" customHeight="1">
      <c r="A4907" s="10">
        <v>45665</v>
      </c>
      <c r="B4907" t="s" s="11">
        <v>121</v>
      </c>
      <c r="C4907" t="s" s="12">
        <v>96</v>
      </c>
      <c r="D4907" s="17"/>
      <c r="E4907" s="17">
        <v>7</v>
      </c>
      <c r="F4907" s="18"/>
      <c r="G4907" s="18"/>
      <c r="H4907" s="18"/>
      <c r="I4907" s="18"/>
    </row>
    <row r="4908" ht="20.35" customHeight="1">
      <c r="A4908" s="10">
        <v>45665</v>
      </c>
      <c r="B4908" t="s" s="11">
        <v>5</v>
      </c>
      <c r="C4908" t="s" s="12">
        <v>96</v>
      </c>
      <c r="D4908" s="13">
        <v>7</v>
      </c>
      <c r="E4908" s="13"/>
      <c r="F4908" s="14"/>
      <c r="G4908" s="14"/>
      <c r="H4908" s="14"/>
      <c r="I4908" s="14"/>
    </row>
    <row r="4909" ht="20.7" customHeight="1">
      <c r="A4909" s="10">
        <v>45665</v>
      </c>
      <c r="B4909" t="s" s="11">
        <v>8</v>
      </c>
      <c r="C4909" t="s" s="12">
        <v>8</v>
      </c>
      <c r="D4909" s="15" cm="1">
        <f t="array" ref="D4909">SUM(D4907:D4908)</f>
        <v>7</v>
      </c>
      <c r="E4909" s="15" cm="1">
        <f t="array" ref="E4909">SUM(E4907:E4908)</f>
        <v>7</v>
      </c>
      <c r="F4909" s="16" cm="1">
        <f t="array" ref="F4909">SUM(F4907:F4908)</f>
        <v>0</v>
      </c>
      <c r="G4909" s="16" cm="1">
        <f t="array" ref="G4909">SUM(G4907:G4908)</f>
        <v>0</v>
      </c>
      <c r="H4909" s="16" cm="1">
        <f t="array" ref="H4909">SUM(H4907:H4908)</f>
        <v>0</v>
      </c>
      <c r="I4909" s="16" cm="1">
        <f t="array" ref="I4909">SUM(I4907:I4908)</f>
        <v>0</v>
      </c>
    </row>
    <row r="4910" ht="21.25" customHeight="1">
      <c r="A4910" s="10">
        <v>45665</v>
      </c>
      <c r="B4910" t="s" s="11">
        <v>21</v>
      </c>
      <c r="C4910" t="s" s="12">
        <v>823</v>
      </c>
      <c r="D4910" s="17"/>
      <c r="E4910" s="17">
        <v>3000</v>
      </c>
      <c r="F4910" s="18"/>
      <c r="G4910" s="18"/>
      <c r="H4910" s="18"/>
      <c r="I4910" s="18"/>
    </row>
    <row r="4911" ht="21.25" customHeight="1">
      <c r="A4911" s="10">
        <v>45665</v>
      </c>
      <c r="B4911" t="s" s="11">
        <v>16</v>
      </c>
      <c r="C4911" t="s" s="12">
        <v>823</v>
      </c>
      <c r="D4911" s="13">
        <v>3000</v>
      </c>
      <c r="E4911" s="13"/>
      <c r="F4911" s="14"/>
      <c r="G4911" s="14"/>
      <c r="H4911" s="14"/>
      <c r="I4911" s="14"/>
    </row>
    <row r="4912" ht="20.7" customHeight="1">
      <c r="A4912" s="10">
        <v>45665</v>
      </c>
      <c r="B4912" t="s" s="11">
        <v>8</v>
      </c>
      <c r="C4912" t="s" s="12">
        <v>8</v>
      </c>
      <c r="D4912" s="15" cm="1">
        <f t="array" ref="D4912">SUM(D4910:D4911)</f>
        <v>3000</v>
      </c>
      <c r="E4912" s="15" cm="1">
        <f t="array" ref="E4912">SUM(E4910:E4911)</f>
        <v>3000</v>
      </c>
      <c r="F4912" s="16" cm="1">
        <f t="array" ref="F4912">SUM(F4910:F4911)</f>
        <v>0</v>
      </c>
      <c r="G4912" s="16" cm="1">
        <f t="array" ref="G4912">SUM(G4910:G4911)</f>
        <v>0</v>
      </c>
      <c r="H4912" s="16" cm="1">
        <f t="array" ref="H4912">SUM(H4910:H4911)</f>
        <v>0</v>
      </c>
      <c r="I4912" s="16" cm="1">
        <f t="array" ref="I4912">SUM(I4910:I4911)</f>
        <v>0</v>
      </c>
    </row>
    <row r="4913" ht="20.35" customHeight="1">
      <c r="A4913" s="10">
        <v>45666</v>
      </c>
      <c r="B4913" t="s" s="11">
        <v>5</v>
      </c>
      <c r="C4913" t="s" s="12">
        <v>17</v>
      </c>
      <c r="D4913" s="17">
        <v>100</v>
      </c>
      <c r="E4913" s="17"/>
      <c r="F4913" s="18"/>
      <c r="G4913" s="18"/>
      <c r="H4913" s="18"/>
      <c r="I4913" s="18"/>
    </row>
    <row r="4914" ht="20.35" customHeight="1">
      <c r="A4914" s="10">
        <v>45666</v>
      </c>
      <c r="B4914" t="s" s="11">
        <v>18</v>
      </c>
      <c r="C4914" t="s" s="12">
        <v>17</v>
      </c>
      <c r="D4914" s="13"/>
      <c r="E4914" s="13">
        <v>100</v>
      </c>
      <c r="F4914" s="14"/>
      <c r="G4914" s="14"/>
      <c r="H4914" s="14"/>
      <c r="I4914" s="14"/>
    </row>
    <row r="4915" ht="20.7" customHeight="1">
      <c r="A4915" s="10">
        <v>45666</v>
      </c>
      <c r="B4915" t="s" s="11">
        <v>8</v>
      </c>
      <c r="C4915" t="s" s="12">
        <v>8</v>
      </c>
      <c r="D4915" s="15" cm="1">
        <f t="array" ref="D4915">SUM(D4913:D4914)</f>
        <v>100</v>
      </c>
      <c r="E4915" s="15" cm="1">
        <f t="array" ref="E4915">SUM(E4913:E4914)</f>
        <v>100</v>
      </c>
      <c r="F4915" s="16" cm="1">
        <f t="array" ref="F4915">SUM(F4913:F4914)</f>
        <v>0</v>
      </c>
      <c r="G4915" s="16" cm="1">
        <f t="array" ref="G4915">SUM(G4913:G4914)</f>
        <v>0</v>
      </c>
      <c r="H4915" s="16" cm="1">
        <f t="array" ref="H4915">SUM(H4913:H4914)</f>
        <v>0</v>
      </c>
      <c r="I4915" s="16" cm="1">
        <f t="array" ref="I4915">SUM(I4913:I4914)</f>
        <v>0</v>
      </c>
    </row>
    <row r="4916" ht="20.35" customHeight="1">
      <c r="A4916" s="10">
        <v>45666</v>
      </c>
      <c r="B4916" t="s" s="11">
        <v>5</v>
      </c>
      <c r="C4916" t="s" s="12">
        <v>735</v>
      </c>
      <c r="D4916" s="17"/>
      <c r="E4916" s="17">
        <v>10000</v>
      </c>
      <c r="F4916" s="18"/>
      <c r="G4916" s="18"/>
      <c r="H4916" s="18"/>
      <c r="I4916" s="18"/>
    </row>
    <row r="4917" ht="20.35" customHeight="1">
      <c r="A4917" s="10">
        <v>45666</v>
      </c>
      <c r="B4917" t="s" s="11">
        <v>28</v>
      </c>
      <c r="C4917" t="s" s="12">
        <v>735</v>
      </c>
      <c r="D4917" s="13">
        <v>10000</v>
      </c>
      <c r="E4917" s="13"/>
      <c r="F4917" s="14"/>
      <c r="G4917" s="14"/>
      <c r="H4917" s="14"/>
      <c r="I4917" s="14"/>
    </row>
    <row r="4918" ht="20.7" customHeight="1">
      <c r="A4918" s="10">
        <v>45666</v>
      </c>
      <c r="B4918" t="s" s="11">
        <v>8</v>
      </c>
      <c r="C4918" t="s" s="12">
        <v>8</v>
      </c>
      <c r="D4918" s="15" cm="1">
        <f t="array" ref="D4918">SUM(D4916:D4917)</f>
        <v>10000</v>
      </c>
      <c r="E4918" s="15" cm="1">
        <f t="array" ref="E4918">SUM(E4916:E4917)</f>
        <v>10000</v>
      </c>
      <c r="F4918" s="16" cm="1">
        <f t="array" ref="F4918">SUM(F4916:F4917)</f>
        <v>0</v>
      </c>
      <c r="G4918" s="16" cm="1">
        <f t="array" ref="G4918">SUM(G4916:G4917)</f>
        <v>0</v>
      </c>
      <c r="H4918" s="16" cm="1">
        <f t="array" ref="H4918">SUM(H4916:H4917)</f>
        <v>0</v>
      </c>
      <c r="I4918" s="16" cm="1">
        <f t="array" ref="I4918">SUM(I4916:I4917)</f>
        <v>0</v>
      </c>
    </row>
    <row r="4919" ht="20.65" customHeight="1">
      <c r="A4919" s="10">
        <v>45666</v>
      </c>
      <c r="B4919" t="s" s="11">
        <v>28</v>
      </c>
      <c r="C4919" t="s" s="12">
        <v>218</v>
      </c>
      <c r="D4919" s="17"/>
      <c r="E4919" s="17">
        <v>5000</v>
      </c>
      <c r="F4919" s="18"/>
      <c r="G4919" s="18"/>
      <c r="H4919" s="18"/>
      <c r="I4919" s="18"/>
    </row>
    <row r="4920" ht="20.65" customHeight="1">
      <c r="A4920" s="10">
        <v>45666</v>
      </c>
      <c r="B4920" t="s" s="11">
        <v>12</v>
      </c>
      <c r="C4920" t="s" s="12">
        <v>218</v>
      </c>
      <c r="D4920" s="13">
        <v>5000</v>
      </c>
      <c r="E4920" s="13"/>
      <c r="F4920" s="14"/>
      <c r="G4920" s="14"/>
      <c r="H4920" s="14"/>
      <c r="I4920" s="14"/>
    </row>
    <row r="4921" ht="20.7" customHeight="1">
      <c r="A4921" s="10">
        <v>45666</v>
      </c>
      <c r="B4921" t="s" s="11">
        <v>8</v>
      </c>
      <c r="C4921" t="s" s="12">
        <v>8</v>
      </c>
      <c r="D4921" s="15" cm="1">
        <f t="array" ref="D4921">SUM(D4919:D4920)</f>
        <v>5000</v>
      </c>
      <c r="E4921" s="15" cm="1">
        <f t="array" ref="E4921">SUM(E4919:E4920)</f>
        <v>5000</v>
      </c>
      <c r="F4921" s="16" cm="1">
        <f t="array" ref="F4921">SUM(F4919:F4920)</f>
        <v>0</v>
      </c>
      <c r="G4921" s="16" cm="1">
        <f t="array" ref="G4921">SUM(G4919:G4920)</f>
        <v>0</v>
      </c>
      <c r="H4921" s="16" cm="1">
        <f t="array" ref="H4921">SUM(H4919:H4920)</f>
        <v>0</v>
      </c>
      <c r="I4921" s="16" cm="1">
        <f t="array" ref="I4921">SUM(I4919:I4920)</f>
        <v>0</v>
      </c>
    </row>
    <row r="4922" ht="20.65" customHeight="1">
      <c r="A4922" s="10">
        <v>45666</v>
      </c>
      <c r="B4922" t="s" s="11">
        <v>814</v>
      </c>
      <c r="C4922" t="s" s="12">
        <v>820</v>
      </c>
      <c r="D4922" s="17">
        <v>1</v>
      </c>
      <c r="E4922" s="17"/>
      <c r="F4922" s="18"/>
      <c r="G4922" s="18"/>
      <c r="H4922" s="18"/>
      <c r="I4922" s="18"/>
    </row>
    <row r="4923" ht="20.65" customHeight="1">
      <c r="A4923" s="10">
        <v>45666</v>
      </c>
      <c r="B4923" t="s" s="11">
        <v>91</v>
      </c>
      <c r="C4923" t="s" s="12">
        <v>820</v>
      </c>
      <c r="D4923" s="13"/>
      <c r="E4923" s="13">
        <v>1</v>
      </c>
      <c r="F4923" s="14"/>
      <c r="G4923" s="14"/>
      <c r="H4923" s="14"/>
      <c r="I4923" s="14"/>
    </row>
    <row r="4924" ht="20.7" customHeight="1">
      <c r="A4924" s="10">
        <v>45666</v>
      </c>
      <c r="B4924" t="s" s="11">
        <v>8</v>
      </c>
      <c r="C4924" t="s" s="12">
        <v>8</v>
      </c>
      <c r="D4924" s="15" cm="1">
        <f t="array" ref="D4924">SUM(D4922:D4923)</f>
        <v>1</v>
      </c>
      <c r="E4924" s="15" cm="1">
        <f t="array" ref="E4924">SUM(E4922:E4923)</f>
        <v>1</v>
      </c>
      <c r="F4924" s="16" cm="1">
        <f t="array" ref="F4924">SUM(F4922:F4923)</f>
        <v>0</v>
      </c>
      <c r="G4924" s="16" cm="1">
        <f t="array" ref="G4924">SUM(G4922:G4923)</f>
        <v>0</v>
      </c>
      <c r="H4924" s="16" cm="1">
        <f t="array" ref="H4924">SUM(H4922:H4923)</f>
        <v>0</v>
      </c>
      <c r="I4924" s="16" cm="1">
        <f t="array" ref="I4924">SUM(I4922:I4923)</f>
        <v>0</v>
      </c>
    </row>
    <row r="4925" ht="21.25" customHeight="1">
      <c r="A4925" s="10">
        <v>45667</v>
      </c>
      <c r="B4925" t="s" s="11">
        <v>5</v>
      </c>
      <c r="C4925" t="s" s="12">
        <v>824</v>
      </c>
      <c r="D4925" s="17">
        <v>1</v>
      </c>
      <c r="E4925" s="17"/>
      <c r="F4925" s="18"/>
      <c r="G4925" s="18"/>
      <c r="H4925" s="18"/>
      <c r="I4925" s="18"/>
    </row>
    <row r="4926" ht="21.25" customHeight="1">
      <c r="A4926" s="10">
        <v>45667</v>
      </c>
      <c r="B4926" t="s" s="11">
        <v>91</v>
      </c>
      <c r="C4926" t="s" s="12">
        <v>824</v>
      </c>
      <c r="D4926" s="13"/>
      <c r="E4926" s="13">
        <v>1</v>
      </c>
      <c r="F4926" s="14"/>
      <c r="G4926" s="14"/>
      <c r="H4926" s="14"/>
      <c r="I4926" s="14"/>
    </row>
    <row r="4927" ht="20.7" customHeight="1">
      <c r="A4927" s="10">
        <v>45667</v>
      </c>
      <c r="B4927" t="s" s="11">
        <v>8</v>
      </c>
      <c r="C4927" t="s" s="12">
        <v>8</v>
      </c>
      <c r="D4927" s="15">
        <v>1</v>
      </c>
      <c r="E4927" s="15">
        <v>1</v>
      </c>
      <c r="F4927" s="16" cm="1">
        <f t="array" ref="F4927">SUM(F4925:F4926)</f>
        <v>0</v>
      </c>
      <c r="G4927" s="16" cm="1">
        <f t="array" ref="G4927">SUM(G4925:G4926)</f>
        <v>0</v>
      </c>
      <c r="H4927" s="16" cm="1">
        <f t="array" ref="H4927">SUM(H4925:H4926)</f>
        <v>0</v>
      </c>
      <c r="I4927" s="16" cm="1">
        <f t="array" ref="I4927">SUM(I4925:I4926)</f>
        <v>0</v>
      </c>
    </row>
    <row r="4928" ht="21.25" customHeight="1">
      <c r="A4928" s="10">
        <v>45667</v>
      </c>
      <c r="B4928" t="s" s="11">
        <v>5</v>
      </c>
      <c r="C4928" t="s" s="12">
        <v>824</v>
      </c>
      <c r="D4928" s="17"/>
      <c r="E4928" s="17">
        <v>1</v>
      </c>
      <c r="F4928" s="18"/>
      <c r="G4928" s="18"/>
      <c r="H4928" s="18"/>
      <c r="I4928" s="18"/>
    </row>
    <row r="4929" ht="21.25" customHeight="1">
      <c r="A4929" s="10">
        <v>45667</v>
      </c>
      <c r="B4929" t="s" s="11">
        <v>814</v>
      </c>
      <c r="C4929" t="s" s="12">
        <v>824</v>
      </c>
      <c r="D4929" s="13">
        <v>1</v>
      </c>
      <c r="E4929" s="13"/>
      <c r="F4929" s="14"/>
      <c r="G4929" s="14"/>
      <c r="H4929" s="14"/>
      <c r="I4929" s="14"/>
    </row>
    <row r="4930" ht="20.7" customHeight="1">
      <c r="A4930" s="10">
        <v>45667</v>
      </c>
      <c r="B4930" t="s" s="11">
        <v>8</v>
      </c>
      <c r="C4930" t="s" s="12">
        <v>8</v>
      </c>
      <c r="D4930" s="15" cm="1">
        <f t="array" ref="D4930">SUM(D4928:D4929)</f>
        <v>1</v>
      </c>
      <c r="E4930" s="15" cm="1">
        <f t="array" ref="E4930">SUM(E4928:E4929)</f>
        <v>1</v>
      </c>
      <c r="F4930" s="16" cm="1">
        <f t="array" ref="F4930">SUM(F4928:F4929)</f>
        <v>0</v>
      </c>
      <c r="G4930" s="16" cm="1">
        <f t="array" ref="G4930">SUM(G4928:G4929)</f>
        <v>0</v>
      </c>
      <c r="H4930" s="16" cm="1">
        <f t="array" ref="H4930">SUM(H4928:H4929)</f>
        <v>0</v>
      </c>
      <c r="I4930" s="16" cm="1">
        <f t="array" ref="I4930">SUM(I4928:I4929)</f>
        <v>0</v>
      </c>
    </row>
    <row r="4931" ht="20.65" customHeight="1">
      <c r="A4931" s="10">
        <v>45667</v>
      </c>
      <c r="B4931" t="s" s="11">
        <v>814</v>
      </c>
      <c r="C4931" t="s" s="12">
        <v>820</v>
      </c>
      <c r="D4931" s="17">
        <v>1</v>
      </c>
      <c r="E4931" s="17"/>
      <c r="F4931" s="18"/>
      <c r="G4931" s="18"/>
      <c r="H4931" s="18"/>
      <c r="I4931" s="18"/>
    </row>
    <row r="4932" ht="20.65" customHeight="1">
      <c r="A4932" s="10">
        <v>45667</v>
      </c>
      <c r="B4932" t="s" s="11">
        <v>91</v>
      </c>
      <c r="C4932" t="s" s="12">
        <v>820</v>
      </c>
      <c r="D4932" s="13"/>
      <c r="E4932" s="13">
        <v>1</v>
      </c>
      <c r="F4932" s="14"/>
      <c r="G4932" s="14"/>
      <c r="H4932" s="14"/>
      <c r="I4932" s="14"/>
    </row>
    <row r="4933" ht="20.7" customHeight="1">
      <c r="A4933" s="10">
        <v>45667</v>
      </c>
      <c r="B4933" t="s" s="11">
        <v>8</v>
      </c>
      <c r="C4933" t="s" s="12">
        <v>8</v>
      </c>
      <c r="D4933" s="15" cm="1">
        <f t="array" ref="D4933">SUM(D4931:D4932)</f>
        <v>1</v>
      </c>
      <c r="E4933" s="15" cm="1">
        <f t="array" ref="E4933">SUM(E4931:E4932)</f>
        <v>1</v>
      </c>
      <c r="F4933" s="16" cm="1">
        <f t="array" ref="F4933">SUM(F4931:F4932)</f>
        <v>0</v>
      </c>
      <c r="G4933" s="16" cm="1">
        <f t="array" ref="G4933">SUM(G4931:G4932)</f>
        <v>0</v>
      </c>
      <c r="H4933" s="16" cm="1">
        <f t="array" ref="H4933">SUM(H4931:H4932)</f>
        <v>0</v>
      </c>
      <c r="I4933" s="16" cm="1">
        <f t="array" ref="I4933">SUM(I4931:I4932)</f>
        <v>0</v>
      </c>
    </row>
    <row r="4934" ht="20.35" customHeight="1">
      <c r="A4934" s="10">
        <v>45667</v>
      </c>
      <c r="B4934" t="s" s="11">
        <v>5</v>
      </c>
      <c r="C4934" t="s" s="12">
        <v>53</v>
      </c>
      <c r="D4934" s="17"/>
      <c r="E4934" s="17">
        <v>15560</v>
      </c>
      <c r="F4934" s="18"/>
      <c r="G4934" s="18"/>
      <c r="H4934" s="18"/>
      <c r="I4934" s="18"/>
    </row>
    <row r="4935" ht="20.35" customHeight="1">
      <c r="A4935" s="10">
        <v>45667</v>
      </c>
      <c r="B4935" t="s" s="11">
        <v>12</v>
      </c>
      <c r="C4935" t="s" s="12">
        <v>53</v>
      </c>
      <c r="D4935" s="13">
        <v>15560</v>
      </c>
      <c r="E4935" s="13"/>
      <c r="F4935" s="14"/>
      <c r="G4935" s="14"/>
      <c r="H4935" s="14"/>
      <c r="I4935" s="14"/>
    </row>
    <row r="4936" ht="20.7" customHeight="1">
      <c r="A4936" s="10">
        <v>45667</v>
      </c>
      <c r="B4936" t="s" s="11">
        <v>8</v>
      </c>
      <c r="C4936" t="s" s="12">
        <v>8</v>
      </c>
      <c r="D4936" s="15" cm="1">
        <f t="array" ref="D4936">SUM(D4934:D4935)</f>
        <v>15560</v>
      </c>
      <c r="E4936" s="15" cm="1">
        <f t="array" ref="E4936">SUM(E4934:E4935)</f>
        <v>15560</v>
      </c>
      <c r="F4936" s="16" cm="1">
        <f t="array" ref="F4936">SUM(F4934:F4935)</f>
        <v>0</v>
      </c>
      <c r="G4936" s="16" cm="1">
        <f t="array" ref="G4936">SUM(G4934:G4935)</f>
        <v>0</v>
      </c>
      <c r="H4936" s="16" cm="1">
        <f t="array" ref="H4936">SUM(H4934:H4935)</f>
        <v>0</v>
      </c>
      <c r="I4936" s="16" cm="1">
        <f t="array" ref="I4936">SUM(I4934:I4935)</f>
        <v>0</v>
      </c>
    </row>
    <row r="4937" ht="20.35" customHeight="1">
      <c r="A4937" s="10">
        <v>45667</v>
      </c>
      <c r="B4937" t="s" s="11">
        <v>5</v>
      </c>
      <c r="C4937" t="s" s="12">
        <v>17</v>
      </c>
      <c r="D4937" s="17">
        <v>500</v>
      </c>
      <c r="E4937" s="17"/>
      <c r="F4937" s="18"/>
      <c r="G4937" s="18"/>
      <c r="H4937" s="18"/>
      <c r="I4937" s="18"/>
    </row>
    <row r="4938" ht="20.35" customHeight="1">
      <c r="A4938" s="10">
        <v>45667</v>
      </c>
      <c r="B4938" t="s" s="11">
        <v>18</v>
      </c>
      <c r="C4938" t="s" s="12">
        <v>17</v>
      </c>
      <c r="D4938" s="13"/>
      <c r="E4938" s="13">
        <v>500</v>
      </c>
      <c r="F4938" s="14"/>
      <c r="G4938" s="14"/>
      <c r="H4938" s="14"/>
      <c r="I4938" s="14"/>
    </row>
    <row r="4939" ht="20.7" customHeight="1">
      <c r="A4939" s="10">
        <v>45667</v>
      </c>
      <c r="B4939" t="s" s="11">
        <v>8</v>
      </c>
      <c r="C4939" t="s" s="12">
        <v>8</v>
      </c>
      <c r="D4939" s="15" cm="1">
        <f t="array" ref="D4939">SUM(D4937:D4938)</f>
        <v>500</v>
      </c>
      <c r="E4939" s="15" cm="1">
        <f t="array" ref="E4939">SUM(E4937:E4938)</f>
        <v>500</v>
      </c>
      <c r="F4939" s="16" cm="1">
        <f t="array" ref="F4939">SUM(F4937:F4938)</f>
        <v>0</v>
      </c>
      <c r="G4939" s="16" cm="1">
        <f t="array" ref="G4939">SUM(G4937:G4938)</f>
        <v>0</v>
      </c>
      <c r="H4939" s="16" cm="1">
        <f t="array" ref="H4939">SUM(H4937:H4938)</f>
        <v>0</v>
      </c>
      <c r="I4939" s="16" cm="1">
        <f t="array" ref="I4939">SUM(I4937:I4938)</f>
        <v>0</v>
      </c>
    </row>
    <row r="4940" ht="20.35" customHeight="1">
      <c r="A4940" s="10">
        <v>45667</v>
      </c>
      <c r="B4940" t="s" s="11">
        <v>5</v>
      </c>
      <c r="C4940" t="s" s="12">
        <v>17</v>
      </c>
      <c r="D4940" s="17"/>
      <c r="E4940" s="17">
        <v>500</v>
      </c>
      <c r="F4940" s="18"/>
      <c r="G4940" s="18"/>
      <c r="H4940" s="18"/>
      <c r="I4940" s="18"/>
    </row>
    <row r="4941" ht="20.35" customHeight="1">
      <c r="A4941" s="10">
        <v>45667</v>
      </c>
      <c r="B4941" t="s" s="11">
        <v>814</v>
      </c>
      <c r="C4941" t="s" s="12">
        <v>17</v>
      </c>
      <c r="D4941" s="13">
        <v>500</v>
      </c>
      <c r="E4941" s="13"/>
      <c r="F4941" s="14"/>
      <c r="G4941" s="14"/>
      <c r="H4941" s="14"/>
      <c r="I4941" s="14"/>
    </row>
    <row r="4942" ht="20.7" customHeight="1">
      <c r="A4942" s="10">
        <v>45667</v>
      </c>
      <c r="B4942" t="s" s="11">
        <v>8</v>
      </c>
      <c r="C4942" t="s" s="12">
        <v>8</v>
      </c>
      <c r="D4942" s="15" cm="1">
        <f t="array" ref="D4942">SUM(D4940:D4941)</f>
        <v>500</v>
      </c>
      <c r="E4942" s="15" cm="1">
        <f t="array" ref="E4942">SUM(E4940:E4941)</f>
        <v>500</v>
      </c>
      <c r="F4942" s="16" cm="1">
        <f t="array" ref="F4942">SUM(F4940:F4941)</f>
        <v>0</v>
      </c>
      <c r="G4942" s="16" cm="1">
        <f t="array" ref="G4942">SUM(G4940:G4941)</f>
        <v>0</v>
      </c>
      <c r="H4942" s="16" cm="1">
        <f t="array" ref="H4942">SUM(H4940:H4941)</f>
        <v>0</v>
      </c>
      <c r="I4942" s="16" cm="1">
        <f t="array" ref="I4942">SUM(I4940:I4941)</f>
        <v>0</v>
      </c>
    </row>
    <row r="4943" ht="20.35" customHeight="1">
      <c r="A4943" s="10">
        <v>45667</v>
      </c>
      <c r="B4943" t="s" s="11">
        <v>5</v>
      </c>
      <c r="C4943" t="s" s="12">
        <v>17</v>
      </c>
      <c r="D4943" s="17"/>
      <c r="E4943" s="17">
        <v>100</v>
      </c>
      <c r="F4943" s="18"/>
      <c r="G4943" s="18"/>
      <c r="H4943" s="18"/>
      <c r="I4943" s="18"/>
    </row>
    <row r="4944" ht="20.35" customHeight="1">
      <c r="A4944" s="10">
        <v>45667</v>
      </c>
      <c r="B4944" t="s" s="11">
        <v>814</v>
      </c>
      <c r="C4944" t="s" s="12">
        <v>17</v>
      </c>
      <c r="D4944" s="13">
        <v>100</v>
      </c>
      <c r="E4944" s="13"/>
      <c r="F4944" s="14"/>
      <c r="G4944" s="14"/>
      <c r="H4944" s="14"/>
      <c r="I4944" s="14"/>
    </row>
    <row r="4945" ht="20.7" customHeight="1">
      <c r="A4945" s="10">
        <v>45667</v>
      </c>
      <c r="B4945" t="s" s="11">
        <v>8</v>
      </c>
      <c r="C4945" t="s" s="12">
        <v>8</v>
      </c>
      <c r="D4945" s="15" cm="1">
        <f t="array" ref="D4945">SUM(D4943:D4944)</f>
        <v>100</v>
      </c>
      <c r="E4945" s="15" cm="1">
        <f t="array" ref="E4945">SUM(E4943:E4944)</f>
        <v>100</v>
      </c>
      <c r="F4945" s="16" cm="1">
        <f t="array" ref="F4945">SUM(F4943:F4944)</f>
        <v>0</v>
      </c>
      <c r="G4945" s="16" cm="1">
        <f t="array" ref="G4945">SUM(G4943:G4944)</f>
        <v>0</v>
      </c>
      <c r="H4945" s="16" cm="1">
        <f t="array" ref="H4945">SUM(H4943:H4944)</f>
        <v>0</v>
      </c>
      <c r="I4945" s="16" cm="1">
        <f t="array" ref="I4945">SUM(I4943:I4944)</f>
        <v>0</v>
      </c>
    </row>
    <row r="4946" ht="20.65" customHeight="1">
      <c r="A4946" s="10">
        <v>45668</v>
      </c>
      <c r="B4946" t="s" s="11">
        <v>814</v>
      </c>
      <c r="C4946" t="s" s="12">
        <v>820</v>
      </c>
      <c r="D4946" s="17">
        <v>1</v>
      </c>
      <c r="E4946" s="17"/>
      <c r="F4946" s="18"/>
      <c r="G4946" s="18"/>
      <c r="H4946" s="18"/>
      <c r="I4946" s="18"/>
    </row>
    <row r="4947" ht="20.65" customHeight="1">
      <c r="A4947" s="10">
        <v>45668</v>
      </c>
      <c r="B4947" t="s" s="11">
        <v>91</v>
      </c>
      <c r="C4947" t="s" s="12">
        <v>820</v>
      </c>
      <c r="D4947" s="13"/>
      <c r="E4947" s="13">
        <v>1</v>
      </c>
      <c r="F4947" s="14"/>
      <c r="G4947" s="14"/>
      <c r="H4947" s="14"/>
      <c r="I4947" s="14"/>
    </row>
    <row r="4948" ht="20.7" customHeight="1">
      <c r="A4948" s="10">
        <v>45668</v>
      </c>
      <c r="B4948" t="s" s="11">
        <v>8</v>
      </c>
      <c r="C4948" t="s" s="12">
        <v>8</v>
      </c>
      <c r="D4948" s="15" cm="1">
        <f t="array" ref="D4948">SUM(D4946:D4947)</f>
        <v>1</v>
      </c>
      <c r="E4948" s="15" cm="1">
        <f t="array" ref="E4948">SUM(E4946:E4947)</f>
        <v>1</v>
      </c>
      <c r="F4948" s="16" cm="1">
        <f t="array" ref="F4948">SUM(F4946:F4947)</f>
        <v>0</v>
      </c>
      <c r="G4948" s="16" cm="1">
        <f t="array" ref="G4948">SUM(G4946:G4947)</f>
        <v>0</v>
      </c>
      <c r="H4948" s="16" cm="1">
        <f t="array" ref="H4948">SUM(H4946:H4947)</f>
        <v>0</v>
      </c>
      <c r="I4948" s="16" cm="1">
        <f t="array" ref="I4948">SUM(I4946:I4947)</f>
        <v>0</v>
      </c>
    </row>
    <row r="4949" ht="20.65" customHeight="1">
      <c r="A4949" s="10">
        <v>45669</v>
      </c>
      <c r="B4949" t="s" s="11">
        <v>814</v>
      </c>
      <c r="C4949" t="s" s="12">
        <v>820</v>
      </c>
      <c r="D4949" s="17">
        <v>1</v>
      </c>
      <c r="E4949" s="17"/>
      <c r="F4949" s="18"/>
      <c r="G4949" s="18"/>
      <c r="H4949" s="18"/>
      <c r="I4949" s="18"/>
    </row>
    <row r="4950" ht="20.65" customHeight="1">
      <c r="A4950" s="10">
        <v>45669</v>
      </c>
      <c r="B4950" t="s" s="11">
        <v>91</v>
      </c>
      <c r="C4950" t="s" s="12">
        <v>820</v>
      </c>
      <c r="D4950" s="13"/>
      <c r="E4950" s="13">
        <v>1</v>
      </c>
      <c r="F4950" s="14"/>
      <c r="G4950" s="14"/>
      <c r="H4950" s="14"/>
      <c r="I4950" s="14"/>
    </row>
    <row r="4951" ht="20.7" customHeight="1">
      <c r="A4951" s="10">
        <v>45669</v>
      </c>
      <c r="B4951" t="s" s="11">
        <v>8</v>
      </c>
      <c r="C4951" t="s" s="12">
        <v>8</v>
      </c>
      <c r="D4951" s="15" cm="1">
        <f t="array" ref="D4951">SUM(D4949:D4950)</f>
        <v>1</v>
      </c>
      <c r="E4951" s="15" cm="1">
        <f t="array" ref="E4951">SUM(E4949:E4950)</f>
        <v>1</v>
      </c>
      <c r="F4951" s="16" cm="1">
        <f t="array" ref="F4951">SUM(F4949:F4950)</f>
        <v>0</v>
      </c>
      <c r="G4951" s="16" cm="1">
        <f t="array" ref="G4951">SUM(G4949:G4950)</f>
        <v>0</v>
      </c>
      <c r="H4951" s="16" cm="1">
        <f t="array" ref="H4951">SUM(H4949:H4950)</f>
        <v>0</v>
      </c>
      <c r="I4951" s="16" cm="1">
        <f t="array" ref="I4951">SUM(I4949:I4950)</f>
        <v>0</v>
      </c>
    </row>
    <row r="4952" ht="20.65" customHeight="1">
      <c r="A4952" s="10">
        <v>45670</v>
      </c>
      <c r="B4952" t="s" s="11">
        <v>814</v>
      </c>
      <c r="C4952" t="s" s="12">
        <v>820</v>
      </c>
      <c r="D4952" s="17">
        <v>1</v>
      </c>
      <c r="E4952" s="17"/>
      <c r="F4952" s="18"/>
      <c r="G4952" s="18"/>
      <c r="H4952" s="18"/>
      <c r="I4952" s="18"/>
    </row>
    <row r="4953" ht="20.65" customHeight="1">
      <c r="A4953" s="10">
        <v>45670</v>
      </c>
      <c r="B4953" t="s" s="11">
        <v>91</v>
      </c>
      <c r="C4953" t="s" s="12">
        <v>820</v>
      </c>
      <c r="D4953" s="13"/>
      <c r="E4953" s="13">
        <v>1</v>
      </c>
      <c r="F4953" s="14"/>
      <c r="G4953" s="14"/>
      <c r="H4953" s="14"/>
      <c r="I4953" s="14"/>
    </row>
    <row r="4954" ht="20.7" customHeight="1">
      <c r="A4954" s="10">
        <v>45670</v>
      </c>
      <c r="B4954" t="s" s="11">
        <v>8</v>
      </c>
      <c r="C4954" t="s" s="12">
        <v>8</v>
      </c>
      <c r="D4954" s="15" cm="1">
        <f t="array" ref="D4954">SUM(D4952:D4953)</f>
        <v>1</v>
      </c>
      <c r="E4954" s="15" cm="1">
        <f t="array" ref="E4954">SUM(E4952:E4953)</f>
        <v>1</v>
      </c>
      <c r="F4954" s="16" cm="1">
        <f t="array" ref="F4954">SUM(F4952:F4953)</f>
        <v>0</v>
      </c>
      <c r="G4954" s="16" cm="1">
        <f t="array" ref="G4954">SUM(G4952:G4953)</f>
        <v>0</v>
      </c>
      <c r="H4954" s="16" cm="1">
        <f t="array" ref="H4954">SUM(H4952:H4953)</f>
        <v>0</v>
      </c>
      <c r="I4954" s="16" cm="1">
        <f t="array" ref="I4954">SUM(I4952:I4953)</f>
        <v>0</v>
      </c>
    </row>
    <row r="4955" ht="20.35" customHeight="1">
      <c r="A4955" s="10">
        <v>45670</v>
      </c>
      <c r="B4955" t="s" s="11">
        <v>5</v>
      </c>
      <c r="C4955" t="s" s="12">
        <v>169</v>
      </c>
      <c r="D4955" s="17"/>
      <c r="E4955" s="17">
        <v>6000</v>
      </c>
      <c r="F4955" s="18"/>
      <c r="G4955" s="18"/>
      <c r="H4955" s="18"/>
      <c r="I4955" s="18"/>
    </row>
    <row r="4956" ht="20.35" customHeight="1">
      <c r="A4956" s="10">
        <v>45670</v>
      </c>
      <c r="B4956" t="s" s="11">
        <v>12</v>
      </c>
      <c r="C4956" t="s" s="12">
        <v>169</v>
      </c>
      <c r="D4956" s="13">
        <v>6000</v>
      </c>
      <c r="E4956" s="13"/>
      <c r="F4956" s="14"/>
      <c r="G4956" s="14"/>
      <c r="H4956" s="14"/>
      <c r="I4956" s="14"/>
    </row>
    <row r="4957" ht="20.7" customHeight="1">
      <c r="A4957" s="10">
        <v>45670</v>
      </c>
      <c r="B4957" t="s" s="11">
        <v>8</v>
      </c>
      <c r="C4957" t="s" s="12">
        <v>8</v>
      </c>
      <c r="D4957" s="15" cm="1">
        <f t="array" ref="D4957">SUM(D4955:D4956)</f>
        <v>6000</v>
      </c>
      <c r="E4957" s="15" cm="1">
        <f t="array" ref="E4957">SUM(E4955:E4956)</f>
        <v>6000</v>
      </c>
      <c r="F4957" s="16" cm="1">
        <f t="array" ref="F4957">SUM(F4955:F4956)</f>
        <v>0</v>
      </c>
      <c r="G4957" s="16" cm="1">
        <f t="array" ref="G4957">SUM(G4955:G4956)</f>
        <v>0</v>
      </c>
      <c r="H4957" s="16" cm="1">
        <f t="array" ref="H4957">SUM(H4955:H4956)</f>
        <v>0</v>
      </c>
      <c r="I4957" s="16" cm="1">
        <f t="array" ref="I4957">SUM(I4955:I4956)</f>
        <v>0</v>
      </c>
    </row>
    <row r="4958" ht="21.25" customHeight="1">
      <c r="A4958" s="10">
        <v>45670</v>
      </c>
      <c r="B4958" t="s" s="11">
        <v>5</v>
      </c>
      <c r="C4958" t="s" s="12">
        <v>799</v>
      </c>
      <c r="D4958" s="17">
        <v>4</v>
      </c>
      <c r="E4958" s="17"/>
      <c r="F4958" s="18"/>
      <c r="G4958" s="18"/>
      <c r="H4958" s="18"/>
      <c r="I4958" s="18"/>
    </row>
    <row r="4959" ht="21.25" customHeight="1">
      <c r="A4959" s="10">
        <v>45670</v>
      </c>
      <c r="B4959" t="s" s="11">
        <v>91</v>
      </c>
      <c r="C4959" t="s" s="12">
        <v>799</v>
      </c>
      <c r="D4959" s="13"/>
      <c r="E4959" s="13">
        <v>4</v>
      </c>
      <c r="F4959" s="14"/>
      <c r="G4959" s="14"/>
      <c r="H4959" s="14"/>
      <c r="I4959" s="14"/>
    </row>
    <row r="4960" ht="20.7" customHeight="1">
      <c r="A4960" s="10">
        <v>45670</v>
      </c>
      <c r="B4960" t="s" s="11">
        <v>8</v>
      </c>
      <c r="C4960" t="s" s="12">
        <v>8</v>
      </c>
      <c r="D4960" s="15" cm="1">
        <f t="array" ref="D4960">SUM(D4958:D4959)</f>
        <v>4</v>
      </c>
      <c r="E4960" s="15" cm="1">
        <f t="array" ref="E4960">SUM(E4958:E4959)</f>
        <v>4</v>
      </c>
      <c r="F4960" s="16" cm="1">
        <f t="array" ref="F4960">SUM(F4958:F4959)</f>
        <v>0</v>
      </c>
      <c r="G4960" s="16" cm="1">
        <f t="array" ref="G4960">SUM(G4958:G4959)</f>
        <v>0</v>
      </c>
      <c r="H4960" s="16" cm="1">
        <f t="array" ref="H4960">SUM(H4958:H4959)</f>
        <v>0</v>
      </c>
      <c r="I4960" s="16" cm="1">
        <f t="array" ref="I4960">SUM(I4958:I4959)</f>
        <v>0</v>
      </c>
    </row>
    <row r="4961" ht="20.35" customHeight="1">
      <c r="A4961" s="10">
        <v>45670</v>
      </c>
      <c r="B4961" t="s" s="11">
        <v>93</v>
      </c>
      <c r="C4961" t="s" s="12">
        <v>20</v>
      </c>
      <c r="D4961" s="17"/>
      <c r="E4961" s="17">
        <v>10000</v>
      </c>
      <c r="F4961" s="18"/>
      <c r="G4961" s="18"/>
      <c r="H4961" s="18"/>
      <c r="I4961" s="18"/>
    </row>
    <row r="4962" ht="20.35" customHeight="1">
      <c r="A4962" s="10">
        <v>45670</v>
      </c>
      <c r="B4962" t="s" s="11">
        <v>89</v>
      </c>
      <c r="C4962" t="s" s="12">
        <v>20</v>
      </c>
      <c r="D4962" s="13">
        <v>10000</v>
      </c>
      <c r="E4962" s="13"/>
      <c r="F4962" s="14"/>
      <c r="G4962" s="14"/>
      <c r="H4962" s="14"/>
      <c r="I4962" s="14"/>
    </row>
    <row r="4963" ht="20.7" customHeight="1">
      <c r="A4963" s="10">
        <v>45670</v>
      </c>
      <c r="B4963" t="s" s="11">
        <v>8</v>
      </c>
      <c r="C4963" t="s" s="12">
        <v>8</v>
      </c>
      <c r="D4963" s="15" cm="1">
        <f t="array" ref="D4963">SUM(D4961:D4962)</f>
        <v>10000</v>
      </c>
      <c r="E4963" s="15" cm="1">
        <f t="array" ref="E4963">SUM(E4961:E4962)</f>
        <v>10000</v>
      </c>
      <c r="F4963" s="16" cm="1">
        <f t="array" ref="F4963">SUM(F4961:F4962)</f>
        <v>0</v>
      </c>
      <c r="G4963" s="16" cm="1">
        <f t="array" ref="G4963">SUM(G4961:G4962)</f>
        <v>0</v>
      </c>
      <c r="H4963" s="16" cm="1">
        <f t="array" ref="H4963">SUM(H4961:H4962)</f>
        <v>0</v>
      </c>
      <c r="I4963" s="16" cm="1">
        <f t="array" ref="I4963">SUM(I4961:I4962)</f>
        <v>0</v>
      </c>
    </row>
    <row r="4964" ht="21.25" customHeight="1">
      <c r="A4964" s="10">
        <v>45670</v>
      </c>
      <c r="B4964" t="s" s="11">
        <v>21</v>
      </c>
      <c r="C4964" t="s" s="12">
        <v>782</v>
      </c>
      <c r="D4964" s="17"/>
      <c r="E4964" s="17">
        <v>1600</v>
      </c>
      <c r="F4964" s="18"/>
      <c r="G4964" s="18"/>
      <c r="H4964" s="18"/>
      <c r="I4964" s="18"/>
    </row>
    <row r="4965" ht="21.25" customHeight="1">
      <c r="A4965" s="10">
        <v>45670</v>
      </c>
      <c r="B4965" t="s" s="11">
        <v>16</v>
      </c>
      <c r="C4965" t="s" s="12">
        <v>782</v>
      </c>
      <c r="D4965" s="13">
        <v>1600</v>
      </c>
      <c r="E4965" s="13"/>
      <c r="F4965" s="14"/>
      <c r="G4965" s="14"/>
      <c r="H4965" s="14"/>
      <c r="I4965" s="14"/>
    </row>
    <row r="4966" ht="20.7" customHeight="1">
      <c r="A4966" s="10">
        <v>45670</v>
      </c>
      <c r="B4966" t="s" s="11">
        <v>8</v>
      </c>
      <c r="C4966" t="s" s="12">
        <v>8</v>
      </c>
      <c r="D4966" s="15" cm="1">
        <f t="array" ref="D4966">SUM(D4964:D4965)</f>
        <v>1600</v>
      </c>
      <c r="E4966" s="15" cm="1">
        <f t="array" ref="E4966">SUM(E4964:E4965)</f>
        <v>1600</v>
      </c>
      <c r="F4966" s="16" cm="1">
        <f t="array" ref="F4966">SUM(F4964:F4965)</f>
        <v>0</v>
      </c>
      <c r="G4966" s="16" cm="1">
        <f t="array" ref="G4966">SUM(G4964:G4965)</f>
        <v>0</v>
      </c>
      <c r="H4966" s="16" cm="1">
        <f t="array" ref="H4966">SUM(H4964:H4965)</f>
        <v>0</v>
      </c>
      <c r="I4966" s="16" cm="1">
        <f t="array" ref="I4966">SUM(I4964:I4965)</f>
        <v>0</v>
      </c>
    </row>
    <row r="4967" ht="20.35" customHeight="1">
      <c r="A4967" s="10">
        <v>45671</v>
      </c>
      <c r="B4967" t="s" s="11">
        <v>5</v>
      </c>
      <c r="C4967" t="s" s="12">
        <v>225</v>
      </c>
      <c r="D4967" s="17"/>
      <c r="E4967" s="17">
        <v>27700</v>
      </c>
      <c r="F4967" s="18"/>
      <c r="G4967" s="18"/>
      <c r="H4967" s="18"/>
      <c r="I4967" s="18"/>
    </row>
    <row r="4968" ht="20.35" customHeight="1">
      <c r="A4968" s="10">
        <v>45671</v>
      </c>
      <c r="B4968" t="s" s="11">
        <v>12</v>
      </c>
      <c r="C4968" t="s" s="12">
        <v>225</v>
      </c>
      <c r="D4968" s="13">
        <v>27700</v>
      </c>
      <c r="E4968" s="13"/>
      <c r="F4968" s="14"/>
      <c r="G4968" s="14"/>
      <c r="H4968" s="14"/>
      <c r="I4968" s="14"/>
    </row>
    <row r="4969" ht="20.7" customHeight="1">
      <c r="A4969" s="10">
        <v>45671</v>
      </c>
      <c r="B4969" t="s" s="11">
        <v>8</v>
      </c>
      <c r="C4969" t="s" s="12">
        <v>8</v>
      </c>
      <c r="D4969" s="15" cm="1">
        <f t="array" ref="D4969">SUM(D4967:D4968)</f>
        <v>27700</v>
      </c>
      <c r="E4969" s="15" cm="1">
        <f t="array" ref="E4969">SUM(E4967:E4968)</f>
        <v>27700</v>
      </c>
      <c r="F4969" s="16" cm="1">
        <f t="array" ref="F4969">SUM(F4967:F4968)</f>
        <v>0</v>
      </c>
      <c r="G4969" s="16" cm="1">
        <f t="array" ref="G4969">SUM(G4967:G4968)</f>
        <v>0</v>
      </c>
      <c r="H4969" s="16" cm="1">
        <f t="array" ref="H4969">SUM(H4967:H4968)</f>
        <v>0</v>
      </c>
      <c r="I4969" s="16" cm="1">
        <f t="array" ref="I4969">SUM(I4967:I4968)</f>
        <v>0</v>
      </c>
    </row>
    <row r="4970" ht="20.35" customHeight="1">
      <c r="A4970" s="10">
        <v>45671</v>
      </c>
      <c r="B4970" t="s" s="11">
        <v>5</v>
      </c>
      <c r="C4970" t="s" s="12">
        <v>225</v>
      </c>
      <c r="D4970" s="17"/>
      <c r="E4970" s="17">
        <v>5000</v>
      </c>
      <c r="F4970" s="18"/>
      <c r="G4970" s="18"/>
      <c r="H4970" s="18"/>
      <c r="I4970" s="18"/>
    </row>
    <row r="4971" ht="20.35" customHeight="1">
      <c r="A4971" s="10">
        <v>45671</v>
      </c>
      <c r="B4971" t="s" s="11">
        <v>12</v>
      </c>
      <c r="C4971" t="s" s="12">
        <v>225</v>
      </c>
      <c r="D4971" s="13">
        <v>5000</v>
      </c>
      <c r="E4971" s="13"/>
      <c r="F4971" s="14"/>
      <c r="G4971" s="14"/>
      <c r="H4971" s="14"/>
      <c r="I4971" s="14"/>
    </row>
    <row r="4972" ht="20.7" customHeight="1">
      <c r="A4972" s="10">
        <v>45671</v>
      </c>
      <c r="B4972" t="s" s="11">
        <v>8</v>
      </c>
      <c r="C4972" t="s" s="12">
        <v>8</v>
      </c>
      <c r="D4972" s="15" cm="1">
        <f t="array" ref="D4972">SUM(D4970:D4971)</f>
        <v>5000</v>
      </c>
      <c r="E4972" s="15" cm="1">
        <f t="array" ref="E4972">SUM(E4970:E4971)</f>
        <v>5000</v>
      </c>
      <c r="F4972" s="16" cm="1">
        <f t="array" ref="F4972">SUM(F4970:F4971)</f>
        <v>0</v>
      </c>
      <c r="G4972" s="16" cm="1">
        <f t="array" ref="G4972">SUM(G4970:G4971)</f>
        <v>0</v>
      </c>
      <c r="H4972" s="16" cm="1">
        <f t="array" ref="H4972">SUM(H4970:H4971)</f>
        <v>0</v>
      </c>
      <c r="I4972" s="16" cm="1">
        <f t="array" ref="I4972">SUM(I4970:I4971)</f>
        <v>0</v>
      </c>
    </row>
    <row r="4973" ht="21.25" customHeight="1">
      <c r="A4973" s="10">
        <v>45671</v>
      </c>
      <c r="B4973" t="s" s="11">
        <v>5</v>
      </c>
      <c r="C4973" t="s" s="12">
        <v>799</v>
      </c>
      <c r="D4973" s="17">
        <v>2</v>
      </c>
      <c r="E4973" s="17"/>
      <c r="F4973" s="18"/>
      <c r="G4973" s="18"/>
      <c r="H4973" s="18"/>
      <c r="I4973" s="18"/>
    </row>
    <row r="4974" ht="21.25" customHeight="1">
      <c r="A4974" s="10">
        <v>45671</v>
      </c>
      <c r="B4974" t="s" s="11">
        <v>91</v>
      </c>
      <c r="C4974" t="s" s="12">
        <v>799</v>
      </c>
      <c r="D4974" s="13"/>
      <c r="E4974" s="13">
        <v>2</v>
      </c>
      <c r="F4974" s="14"/>
      <c r="G4974" s="14"/>
      <c r="H4974" s="14"/>
      <c r="I4974" s="14"/>
    </row>
    <row r="4975" ht="20.7" customHeight="1">
      <c r="A4975" s="10">
        <v>45671</v>
      </c>
      <c r="B4975" t="s" s="11">
        <v>8</v>
      </c>
      <c r="C4975" t="s" s="12">
        <v>8</v>
      </c>
      <c r="D4975" s="15" cm="1">
        <f t="array" ref="D4975">SUM(D4973:D4974)</f>
        <v>2</v>
      </c>
      <c r="E4975" s="15" cm="1">
        <f t="array" ref="E4975">SUM(E4973:E4974)</f>
        <v>2</v>
      </c>
      <c r="F4975" s="16" cm="1">
        <f t="array" ref="F4975">SUM(F4973:F4974)</f>
        <v>0</v>
      </c>
      <c r="G4975" s="16" cm="1">
        <f t="array" ref="G4975">SUM(G4973:G4974)</f>
        <v>0</v>
      </c>
      <c r="H4975" s="16" cm="1">
        <f t="array" ref="H4975">SUM(H4973:H4974)</f>
        <v>0</v>
      </c>
      <c r="I4975" s="16" cm="1">
        <f t="array" ref="I4975">SUM(I4973:I4974)</f>
        <v>0</v>
      </c>
    </row>
    <row r="4976" ht="20.65" customHeight="1">
      <c r="A4976" s="10">
        <v>45671</v>
      </c>
      <c r="B4976" t="s" s="11">
        <v>5</v>
      </c>
      <c r="C4976" t="s" s="12">
        <v>820</v>
      </c>
      <c r="D4976" s="17">
        <v>1</v>
      </c>
      <c r="E4976" s="17"/>
      <c r="F4976" s="18"/>
      <c r="G4976" s="18"/>
      <c r="H4976" s="18"/>
      <c r="I4976" s="18"/>
    </row>
    <row r="4977" ht="20.65" customHeight="1">
      <c r="A4977" s="10">
        <v>45671</v>
      </c>
      <c r="B4977" t="s" s="11">
        <v>91</v>
      </c>
      <c r="C4977" t="s" s="12">
        <v>820</v>
      </c>
      <c r="D4977" s="13"/>
      <c r="E4977" s="13">
        <v>1</v>
      </c>
      <c r="F4977" s="14"/>
      <c r="G4977" s="14"/>
      <c r="H4977" s="14"/>
      <c r="I4977" s="14"/>
    </row>
    <row r="4978" ht="20.7" customHeight="1">
      <c r="A4978" s="10">
        <v>45671</v>
      </c>
      <c r="B4978" t="s" s="11">
        <v>8</v>
      </c>
      <c r="C4978" t="s" s="12">
        <v>8</v>
      </c>
      <c r="D4978" s="15" cm="1">
        <f t="array" ref="D4978">SUM(D4976:D4977)</f>
        <v>1</v>
      </c>
      <c r="E4978" s="15" cm="1">
        <f t="array" ref="E4978">SUM(E4976:E4977)</f>
        <v>1</v>
      </c>
      <c r="F4978" s="16" cm="1">
        <f t="array" ref="F4978">SUM(F4976:F4977)</f>
        <v>0</v>
      </c>
      <c r="G4978" s="16" cm="1">
        <f t="array" ref="G4978">SUM(G4976:G4977)</f>
        <v>0</v>
      </c>
      <c r="H4978" s="16" cm="1">
        <f t="array" ref="H4978">SUM(H4976:H4977)</f>
        <v>0</v>
      </c>
      <c r="I4978" s="16" cm="1">
        <f t="array" ref="I4978">SUM(I4976:I4977)</f>
        <v>0</v>
      </c>
    </row>
    <row r="4979" ht="20.65" customHeight="1">
      <c r="A4979" s="10">
        <v>45671</v>
      </c>
      <c r="B4979" t="s" s="11">
        <v>814</v>
      </c>
      <c r="C4979" t="s" s="12">
        <v>820</v>
      </c>
      <c r="D4979" s="17">
        <v>1</v>
      </c>
      <c r="E4979" s="17"/>
      <c r="F4979" s="18"/>
      <c r="G4979" s="18"/>
      <c r="H4979" s="18"/>
      <c r="I4979" s="18"/>
    </row>
    <row r="4980" ht="20.65" customHeight="1">
      <c r="A4980" s="10">
        <v>45671</v>
      </c>
      <c r="B4980" t="s" s="11">
        <v>91</v>
      </c>
      <c r="C4980" t="s" s="12">
        <v>820</v>
      </c>
      <c r="D4980" s="13"/>
      <c r="E4980" s="13">
        <v>1</v>
      </c>
      <c r="F4980" s="14"/>
      <c r="G4980" s="14"/>
      <c r="H4980" s="14"/>
      <c r="I4980" s="14"/>
    </row>
    <row r="4981" ht="20.7" customHeight="1">
      <c r="A4981" s="10">
        <v>45671</v>
      </c>
      <c r="B4981" t="s" s="11">
        <v>8</v>
      </c>
      <c r="C4981" t="s" s="12">
        <v>8</v>
      </c>
      <c r="D4981" s="15" cm="1">
        <f t="array" ref="D4981">SUM(D4979:D4980)</f>
        <v>1</v>
      </c>
      <c r="E4981" s="15" cm="1">
        <f t="array" ref="E4981">SUM(E4979:E4980)</f>
        <v>1</v>
      </c>
      <c r="F4981" s="16" cm="1">
        <f t="array" ref="F4981">SUM(F4979:F4980)</f>
        <v>0</v>
      </c>
      <c r="G4981" s="16" cm="1">
        <f t="array" ref="G4981">SUM(G4979:G4980)</f>
        <v>0</v>
      </c>
      <c r="H4981" s="16" cm="1">
        <f t="array" ref="H4981">SUM(H4979:H4980)</f>
        <v>0</v>
      </c>
      <c r="I4981" s="16" cm="1">
        <f t="array" ref="I4981">SUM(I4979:I4980)</f>
        <v>0</v>
      </c>
    </row>
    <row r="4982" ht="20.65" customHeight="1">
      <c r="A4982" s="10">
        <v>45671</v>
      </c>
      <c r="B4982" t="s" s="11">
        <v>5</v>
      </c>
      <c r="C4982" t="s" s="12">
        <v>820</v>
      </c>
      <c r="D4982" s="17"/>
      <c r="E4982" s="17">
        <v>7</v>
      </c>
      <c r="F4982" s="18"/>
      <c r="G4982" s="18"/>
      <c r="H4982" s="18"/>
      <c r="I4982" s="18"/>
    </row>
    <row r="4983" ht="20.65" customHeight="1">
      <c r="A4983" s="10">
        <v>45671</v>
      </c>
      <c r="B4983" t="s" s="11">
        <v>814</v>
      </c>
      <c r="C4983" t="s" s="12">
        <v>820</v>
      </c>
      <c r="D4983" s="13">
        <v>7</v>
      </c>
      <c r="E4983" s="13"/>
      <c r="F4983" s="14"/>
      <c r="G4983" s="14"/>
      <c r="H4983" s="14"/>
      <c r="I4983" s="14"/>
    </row>
    <row r="4984" ht="20.7" customHeight="1">
      <c r="A4984" s="10">
        <v>45671</v>
      </c>
      <c r="B4984" t="s" s="11">
        <v>8</v>
      </c>
      <c r="C4984" t="s" s="12">
        <v>8</v>
      </c>
      <c r="D4984" s="15" cm="1">
        <f t="array" ref="D4984">SUM(D4982:D4983)</f>
        <v>7</v>
      </c>
      <c r="E4984" s="15" cm="1">
        <f t="array" ref="E4984">SUM(E4982:E4983)</f>
        <v>7</v>
      </c>
      <c r="F4984" s="16" cm="1">
        <f t="array" ref="F4984">SUM(F4982:F4983)</f>
        <v>0</v>
      </c>
      <c r="G4984" s="16" cm="1">
        <f t="array" ref="G4984">SUM(G4982:G4983)</f>
        <v>0</v>
      </c>
      <c r="H4984" s="16" cm="1">
        <f t="array" ref="H4984">SUM(H4982:H4983)</f>
        <v>0</v>
      </c>
      <c r="I4984" s="16" cm="1">
        <f t="array" ref="I4984">SUM(I4982:I4983)</f>
        <v>0</v>
      </c>
    </row>
    <row r="4985" ht="20.35" customHeight="1">
      <c r="A4985" s="10">
        <v>45671</v>
      </c>
      <c r="B4985" t="s" s="11">
        <v>5</v>
      </c>
      <c r="C4985" t="s" s="12">
        <v>169</v>
      </c>
      <c r="D4985" s="17"/>
      <c r="E4985" s="17">
        <v>8500</v>
      </c>
      <c r="F4985" s="18"/>
      <c r="G4985" s="18"/>
      <c r="H4985" s="18"/>
      <c r="I4985" s="18"/>
    </row>
    <row r="4986" ht="20.35" customHeight="1">
      <c r="A4986" s="10">
        <v>45671</v>
      </c>
      <c r="B4986" t="s" s="11">
        <v>12</v>
      </c>
      <c r="C4986" t="s" s="12">
        <v>169</v>
      </c>
      <c r="D4986" s="13">
        <v>8500</v>
      </c>
      <c r="E4986" s="13"/>
      <c r="F4986" s="14"/>
      <c r="G4986" s="14"/>
      <c r="H4986" s="14"/>
      <c r="I4986" s="14"/>
    </row>
    <row r="4987" ht="20.7" customHeight="1">
      <c r="A4987" s="10">
        <v>45671</v>
      </c>
      <c r="B4987" t="s" s="11">
        <v>8</v>
      </c>
      <c r="C4987" t="s" s="12">
        <v>8</v>
      </c>
      <c r="D4987" s="15" cm="1">
        <f t="array" ref="D4987">SUM(D4985:D4986)</f>
        <v>8500</v>
      </c>
      <c r="E4987" s="15" cm="1">
        <f t="array" ref="E4987">SUM(E4985:E4986)</f>
        <v>8500</v>
      </c>
      <c r="F4987" s="16" cm="1">
        <f t="array" ref="F4987">SUM(F4985:F4986)</f>
        <v>0</v>
      </c>
      <c r="G4987" s="16" cm="1">
        <f t="array" ref="G4987">SUM(G4985:G4986)</f>
        <v>0</v>
      </c>
      <c r="H4987" s="16" cm="1">
        <f t="array" ref="H4987">SUM(H4985:H4986)</f>
        <v>0</v>
      </c>
      <c r="I4987" s="16" cm="1">
        <f t="array" ref="I4987">SUM(I4985:I4986)</f>
        <v>0</v>
      </c>
    </row>
    <row r="4988" ht="20.35" customHeight="1">
      <c r="A4988" s="10">
        <v>45671</v>
      </c>
      <c r="B4988" t="s" s="11">
        <v>91</v>
      </c>
      <c r="C4988" t="s" s="12">
        <v>17</v>
      </c>
      <c r="D4988" s="17"/>
      <c r="E4988" s="17">
        <v>100</v>
      </c>
      <c r="F4988" s="18"/>
      <c r="G4988" s="18"/>
      <c r="H4988" s="18"/>
      <c r="I4988" s="18"/>
    </row>
    <row r="4989" ht="20.35" customHeight="1">
      <c r="A4989" s="10">
        <v>45671</v>
      </c>
      <c r="B4989" t="s" s="11">
        <v>5</v>
      </c>
      <c r="C4989" t="s" s="12">
        <v>17</v>
      </c>
      <c r="D4989" s="13">
        <v>100</v>
      </c>
      <c r="E4989" s="13"/>
      <c r="F4989" s="14"/>
      <c r="G4989" s="14"/>
      <c r="H4989" s="14"/>
      <c r="I4989" s="14"/>
    </row>
    <row r="4990" ht="20.7" customHeight="1">
      <c r="A4990" s="10">
        <v>45671</v>
      </c>
      <c r="B4990" t="s" s="11">
        <v>8</v>
      </c>
      <c r="C4990" t="s" s="12">
        <v>8</v>
      </c>
      <c r="D4990" s="15" cm="1">
        <f t="array" ref="D4990">SUM(D4988:D4989)</f>
        <v>100</v>
      </c>
      <c r="E4990" s="15" cm="1">
        <f t="array" ref="E4990">SUM(E4988:E4989)</f>
        <v>100</v>
      </c>
      <c r="F4990" s="16" cm="1">
        <f t="array" ref="F4990">SUM(F4988:F4989)</f>
        <v>0</v>
      </c>
      <c r="G4990" s="16" cm="1">
        <f t="array" ref="G4990">SUM(G4988:G4989)</f>
        <v>0</v>
      </c>
      <c r="H4990" s="16" cm="1">
        <f t="array" ref="H4990">SUM(H4988:H4989)</f>
        <v>0</v>
      </c>
      <c r="I4990" s="16" cm="1">
        <f t="array" ref="I4990">SUM(I4988:I4989)</f>
        <v>0</v>
      </c>
    </row>
    <row r="4991" ht="20.35" customHeight="1">
      <c r="A4991" s="10">
        <v>45671</v>
      </c>
      <c r="B4991" t="s" s="11">
        <v>91</v>
      </c>
      <c r="C4991" t="s" s="12">
        <v>17</v>
      </c>
      <c r="D4991" s="17"/>
      <c r="E4991" s="17">
        <v>100</v>
      </c>
      <c r="F4991" s="18"/>
      <c r="G4991" s="18"/>
      <c r="H4991" s="18"/>
      <c r="I4991" s="18"/>
    </row>
    <row r="4992" ht="20.35" customHeight="1">
      <c r="A4992" s="10">
        <v>45671</v>
      </c>
      <c r="B4992" t="s" s="11">
        <v>5</v>
      </c>
      <c r="C4992" t="s" s="12">
        <v>17</v>
      </c>
      <c r="D4992" s="13">
        <v>100</v>
      </c>
      <c r="E4992" s="13"/>
      <c r="F4992" s="14"/>
      <c r="G4992" s="14"/>
      <c r="H4992" s="14"/>
      <c r="I4992" s="14"/>
    </row>
    <row r="4993" ht="20.7" customHeight="1">
      <c r="A4993" s="10">
        <v>45671</v>
      </c>
      <c r="B4993" t="s" s="11">
        <v>8</v>
      </c>
      <c r="C4993" t="s" s="12">
        <v>8</v>
      </c>
      <c r="D4993" s="15" cm="1">
        <f t="array" ref="D4993">SUM(D4991:D4992)</f>
        <v>100</v>
      </c>
      <c r="E4993" s="15" cm="1">
        <f t="array" ref="E4993">SUM(E4991:E4992)</f>
        <v>100</v>
      </c>
      <c r="F4993" s="16" cm="1">
        <f t="array" ref="F4993">SUM(F4991:F4992)</f>
        <v>0</v>
      </c>
      <c r="G4993" s="16" cm="1">
        <f t="array" ref="G4993">SUM(G4991:G4992)</f>
        <v>0</v>
      </c>
      <c r="H4993" s="16" cm="1">
        <f t="array" ref="H4993">SUM(H4991:H4992)</f>
        <v>0</v>
      </c>
      <c r="I4993" s="16" cm="1">
        <f t="array" ref="I4993">SUM(I4991:I4992)</f>
        <v>0</v>
      </c>
    </row>
    <row r="4994" ht="21.25" customHeight="1">
      <c r="A4994" s="10">
        <v>45671</v>
      </c>
      <c r="B4994" t="s" s="11">
        <v>21</v>
      </c>
      <c r="C4994" t="s" s="12">
        <v>782</v>
      </c>
      <c r="D4994" s="17"/>
      <c r="E4994" s="17">
        <v>2500</v>
      </c>
      <c r="F4994" s="18"/>
      <c r="G4994" s="18"/>
      <c r="H4994" s="18"/>
      <c r="I4994" s="18"/>
    </row>
    <row r="4995" ht="21.25" customHeight="1">
      <c r="A4995" s="10">
        <v>45671</v>
      </c>
      <c r="B4995" t="s" s="11">
        <v>16</v>
      </c>
      <c r="C4995" t="s" s="12">
        <v>782</v>
      </c>
      <c r="D4995" s="13">
        <v>2500</v>
      </c>
      <c r="E4995" s="13"/>
      <c r="F4995" s="14"/>
      <c r="G4995" s="14"/>
      <c r="H4995" s="14"/>
      <c r="I4995" s="14"/>
    </row>
    <row r="4996" ht="20.7" customHeight="1">
      <c r="A4996" s="10">
        <v>45671</v>
      </c>
      <c r="B4996" t="s" s="11">
        <v>8</v>
      </c>
      <c r="C4996" t="s" s="12">
        <v>8</v>
      </c>
      <c r="D4996" s="15" cm="1">
        <f t="array" ref="D4996">SUM(D4994:D4995)</f>
        <v>2500</v>
      </c>
      <c r="E4996" s="15" cm="1">
        <f t="array" ref="E4996">SUM(E4994:E4995)</f>
        <v>2500</v>
      </c>
      <c r="F4996" s="16" cm="1">
        <f t="array" ref="F4996">SUM(F4994:F4995)</f>
        <v>0</v>
      </c>
      <c r="G4996" s="16" cm="1">
        <f t="array" ref="G4996">SUM(G4994:G4995)</f>
        <v>0</v>
      </c>
      <c r="H4996" s="16" cm="1">
        <f t="array" ref="H4996">SUM(H4994:H4995)</f>
        <v>0</v>
      </c>
      <c r="I4996" s="16" cm="1">
        <f t="array" ref="I4996">SUM(I4994:I4995)</f>
        <v>0</v>
      </c>
    </row>
    <row r="4997" ht="20.35" customHeight="1">
      <c r="A4997" s="10">
        <v>45672</v>
      </c>
      <c r="B4997" t="s" s="11">
        <v>5</v>
      </c>
      <c r="C4997" t="s" s="12">
        <v>17</v>
      </c>
      <c r="D4997" s="17"/>
      <c r="E4997" s="17">
        <v>200</v>
      </c>
      <c r="F4997" s="18"/>
      <c r="G4997" s="18"/>
      <c r="H4997" s="18"/>
      <c r="I4997" s="18"/>
    </row>
    <row r="4998" ht="20.35" customHeight="1">
      <c r="A4998" s="10">
        <v>45672</v>
      </c>
      <c r="B4998" t="s" s="11">
        <v>814</v>
      </c>
      <c r="C4998" t="s" s="12">
        <v>17</v>
      </c>
      <c r="D4998" s="13">
        <v>200</v>
      </c>
      <c r="E4998" s="13"/>
      <c r="F4998" s="14"/>
      <c r="G4998" s="14"/>
      <c r="H4998" s="14"/>
      <c r="I4998" s="14"/>
    </row>
    <row r="4999" ht="20.7" customHeight="1">
      <c r="A4999" s="10">
        <v>45672</v>
      </c>
      <c r="B4999" t="s" s="11">
        <v>8</v>
      </c>
      <c r="C4999" t="s" s="12">
        <v>8</v>
      </c>
      <c r="D4999" s="15" cm="1">
        <f t="array" ref="D4999">SUM(D4997:D4998)</f>
        <v>200</v>
      </c>
      <c r="E4999" s="15" cm="1">
        <f t="array" ref="E4999">SUM(E4997:E4998)</f>
        <v>200</v>
      </c>
      <c r="F4999" s="16" cm="1">
        <f t="array" ref="F4999">SUM(F4997:F4998)</f>
        <v>0</v>
      </c>
      <c r="G4999" s="16" cm="1">
        <f t="array" ref="G4999">SUM(G4997:G4998)</f>
        <v>0</v>
      </c>
      <c r="H4999" s="16" cm="1">
        <f t="array" ref="H4999">SUM(H4997:H4998)</f>
        <v>0</v>
      </c>
      <c r="I4999" s="16" cm="1">
        <f t="array" ref="I4999">SUM(I4997:I4998)</f>
        <v>0</v>
      </c>
    </row>
    <row r="5000" ht="20.65" customHeight="1">
      <c r="A5000" s="10">
        <v>45672</v>
      </c>
      <c r="B5000" t="s" s="11">
        <v>814</v>
      </c>
      <c r="C5000" t="s" s="12">
        <v>820</v>
      </c>
      <c r="D5000" s="17">
        <v>1</v>
      </c>
      <c r="E5000" s="17"/>
      <c r="F5000" s="18"/>
      <c r="G5000" s="18"/>
      <c r="H5000" s="18"/>
      <c r="I5000" s="18"/>
    </row>
    <row r="5001" ht="20.65" customHeight="1">
      <c r="A5001" s="10">
        <v>45672</v>
      </c>
      <c r="B5001" t="s" s="11">
        <v>91</v>
      </c>
      <c r="C5001" t="s" s="12">
        <v>820</v>
      </c>
      <c r="D5001" s="13"/>
      <c r="E5001" s="13">
        <v>1</v>
      </c>
      <c r="F5001" s="14"/>
      <c r="G5001" s="14"/>
      <c r="H5001" s="14"/>
      <c r="I5001" s="14"/>
    </row>
    <row r="5002" ht="20.7" customHeight="1">
      <c r="A5002" s="10">
        <v>45672</v>
      </c>
      <c r="B5002" t="s" s="11">
        <v>8</v>
      </c>
      <c r="C5002" t="s" s="12">
        <v>8</v>
      </c>
      <c r="D5002" s="15" cm="1">
        <f t="array" ref="D5002">SUM(D5000:D5001)</f>
        <v>1</v>
      </c>
      <c r="E5002" s="15" cm="1">
        <f t="array" ref="E5002">SUM(E5000:E5001)</f>
        <v>1</v>
      </c>
      <c r="F5002" s="16" cm="1">
        <f t="array" ref="F5002">SUM(F5000:F5001)</f>
        <v>0</v>
      </c>
      <c r="G5002" s="16" cm="1">
        <f t="array" ref="G5002">SUM(G5000:G5001)</f>
        <v>0</v>
      </c>
      <c r="H5002" s="16" cm="1">
        <f t="array" ref="H5002">SUM(H5000:H5001)</f>
        <v>0</v>
      </c>
      <c r="I5002" s="16" cm="1">
        <f t="array" ref="I5002">SUM(I5000:I5001)</f>
        <v>0</v>
      </c>
    </row>
    <row r="5003" ht="20.65" customHeight="1">
      <c r="A5003" s="10">
        <v>45673</v>
      </c>
      <c r="B5003" t="s" s="11">
        <v>814</v>
      </c>
      <c r="C5003" t="s" s="12">
        <v>820</v>
      </c>
      <c r="D5003" s="17">
        <v>1</v>
      </c>
      <c r="E5003" s="17"/>
      <c r="F5003" s="18"/>
      <c r="G5003" s="18"/>
      <c r="H5003" s="18"/>
      <c r="I5003" s="18"/>
    </row>
    <row r="5004" ht="20.65" customHeight="1">
      <c r="A5004" s="10">
        <v>45673</v>
      </c>
      <c r="B5004" t="s" s="11">
        <v>91</v>
      </c>
      <c r="C5004" t="s" s="12">
        <v>820</v>
      </c>
      <c r="D5004" s="13"/>
      <c r="E5004" s="13">
        <v>1</v>
      </c>
      <c r="F5004" s="14"/>
      <c r="G5004" s="14"/>
      <c r="H5004" s="14"/>
      <c r="I5004" s="14"/>
    </row>
    <row r="5005" ht="20.7" customHeight="1">
      <c r="A5005" s="10">
        <v>45673</v>
      </c>
      <c r="B5005" t="s" s="11">
        <v>8</v>
      </c>
      <c r="C5005" t="s" s="12">
        <v>8</v>
      </c>
      <c r="D5005" s="15" cm="1">
        <f t="array" ref="D5005">SUM(D5003:D5004)</f>
        <v>1</v>
      </c>
      <c r="E5005" s="15" cm="1">
        <f t="array" ref="E5005">SUM(E5003:E5004)</f>
        <v>1</v>
      </c>
      <c r="F5005" s="16" cm="1">
        <f t="array" ref="F5005">SUM(F5003:F5004)</f>
        <v>0</v>
      </c>
      <c r="G5005" s="16" cm="1">
        <f t="array" ref="G5005">SUM(G5003:G5004)</f>
        <v>0</v>
      </c>
      <c r="H5005" s="16" cm="1">
        <f t="array" ref="H5005">SUM(H5003:H5004)</f>
        <v>0</v>
      </c>
      <c r="I5005" s="16" cm="1">
        <f t="array" ref="I5005">SUM(I5003:I5004)</f>
        <v>0</v>
      </c>
    </row>
    <row r="5006" ht="20.35" customHeight="1">
      <c r="A5006" s="10">
        <v>45673</v>
      </c>
      <c r="B5006" t="s" s="11">
        <v>5</v>
      </c>
      <c r="C5006" t="s" s="12">
        <v>53</v>
      </c>
      <c r="D5006" s="17"/>
      <c r="E5006" s="17">
        <v>1600</v>
      </c>
      <c r="F5006" s="18"/>
      <c r="G5006" s="18"/>
      <c r="H5006" s="18"/>
      <c r="I5006" s="18"/>
    </row>
    <row r="5007" ht="20.35" customHeight="1">
      <c r="A5007" s="10">
        <v>45673</v>
      </c>
      <c r="B5007" t="s" s="11">
        <v>12</v>
      </c>
      <c r="C5007" t="s" s="12">
        <v>53</v>
      </c>
      <c r="D5007" s="13">
        <v>1600</v>
      </c>
      <c r="E5007" s="13"/>
      <c r="F5007" s="14"/>
      <c r="G5007" s="14"/>
      <c r="H5007" s="14"/>
      <c r="I5007" s="14"/>
    </row>
    <row r="5008" ht="20.7" customHeight="1">
      <c r="A5008" s="10">
        <v>45673</v>
      </c>
      <c r="B5008" t="s" s="11">
        <v>8</v>
      </c>
      <c r="C5008" t="s" s="12">
        <v>8</v>
      </c>
      <c r="D5008" s="15" cm="1">
        <f t="array" ref="D5008">SUM(D5006:D5007)</f>
        <v>1600</v>
      </c>
      <c r="E5008" s="15" cm="1">
        <f t="array" ref="E5008">SUM(E5006:E5007)</f>
        <v>1600</v>
      </c>
      <c r="F5008" s="16" cm="1">
        <f t="array" ref="F5008">SUM(F5006:F5007)</f>
        <v>0</v>
      </c>
      <c r="G5008" s="16" cm="1">
        <f t="array" ref="G5008">SUM(G5006:G5007)</f>
        <v>0</v>
      </c>
      <c r="H5008" s="16" cm="1">
        <f t="array" ref="H5008">SUM(H5006:H5007)</f>
        <v>0</v>
      </c>
      <c r="I5008" s="16" cm="1">
        <f t="array" ref="I5008">SUM(I5006:I5007)</f>
        <v>0</v>
      </c>
    </row>
    <row r="5009" ht="21.25" customHeight="1">
      <c r="A5009" s="10">
        <v>45673</v>
      </c>
      <c r="B5009" t="s" s="11">
        <v>5</v>
      </c>
      <c r="C5009" t="s" s="12">
        <v>799</v>
      </c>
      <c r="D5009" s="17">
        <v>2</v>
      </c>
      <c r="E5009" s="17"/>
      <c r="F5009" s="18"/>
      <c r="G5009" s="18"/>
      <c r="H5009" s="18"/>
      <c r="I5009" s="18"/>
    </row>
    <row r="5010" ht="21.25" customHeight="1">
      <c r="A5010" s="10">
        <v>45673</v>
      </c>
      <c r="B5010" t="s" s="11">
        <v>91</v>
      </c>
      <c r="C5010" t="s" s="12">
        <v>799</v>
      </c>
      <c r="D5010" s="13"/>
      <c r="E5010" s="13">
        <v>2</v>
      </c>
      <c r="F5010" s="14"/>
      <c r="G5010" s="14"/>
      <c r="H5010" s="14"/>
      <c r="I5010" s="14"/>
    </row>
    <row r="5011" ht="20.7" customHeight="1">
      <c r="A5011" s="10">
        <v>45673</v>
      </c>
      <c r="B5011" t="s" s="11">
        <v>8</v>
      </c>
      <c r="C5011" t="s" s="12">
        <v>8</v>
      </c>
      <c r="D5011" s="15" cm="1">
        <f t="array" ref="D5011">SUM(D5009:D5010)</f>
        <v>2</v>
      </c>
      <c r="E5011" s="15" cm="1">
        <f t="array" ref="E5011">SUM(E5009:E5010)</f>
        <v>2</v>
      </c>
      <c r="F5011" s="16" cm="1">
        <f t="array" ref="F5011">SUM(F5009:F5010)</f>
        <v>0</v>
      </c>
      <c r="G5011" s="16" cm="1">
        <f t="array" ref="G5011">SUM(G5009:G5010)</f>
        <v>0</v>
      </c>
      <c r="H5011" s="16" cm="1">
        <f t="array" ref="H5011">SUM(H5009:H5010)</f>
        <v>0</v>
      </c>
      <c r="I5011" s="16" cm="1">
        <f t="array" ref="I5011">SUM(I5009:I5010)</f>
        <v>0</v>
      </c>
    </row>
    <row r="5012" ht="21.25" customHeight="1">
      <c r="A5012" s="10">
        <v>45673</v>
      </c>
      <c r="B5012" t="s" s="11">
        <v>5</v>
      </c>
      <c r="C5012" t="s" s="12">
        <v>799</v>
      </c>
      <c r="D5012" s="17"/>
      <c r="E5012" s="17">
        <v>2</v>
      </c>
      <c r="F5012" s="18"/>
      <c r="G5012" s="18"/>
      <c r="H5012" s="18"/>
      <c r="I5012" s="18"/>
    </row>
    <row r="5013" ht="21.25" customHeight="1">
      <c r="A5013" s="10">
        <v>45673</v>
      </c>
      <c r="B5013" t="s" s="11">
        <v>814</v>
      </c>
      <c r="C5013" t="s" s="12">
        <v>799</v>
      </c>
      <c r="D5013" s="13">
        <v>2</v>
      </c>
      <c r="E5013" s="13"/>
      <c r="F5013" s="14"/>
      <c r="G5013" s="14"/>
      <c r="H5013" s="14"/>
      <c r="I5013" s="14"/>
    </row>
    <row r="5014" ht="20.7" customHeight="1">
      <c r="A5014" s="10">
        <v>45673</v>
      </c>
      <c r="B5014" t="s" s="11">
        <v>8</v>
      </c>
      <c r="C5014" t="s" s="12">
        <v>8</v>
      </c>
      <c r="D5014" s="15" cm="1">
        <f t="array" ref="D5014">SUM(D5012:D5013)</f>
        <v>2</v>
      </c>
      <c r="E5014" s="15" cm="1">
        <f t="array" ref="E5014">SUM(E5012:E5013)</f>
        <v>2</v>
      </c>
      <c r="F5014" s="16" cm="1">
        <f t="array" ref="F5014">SUM(F5012:F5013)</f>
        <v>0</v>
      </c>
      <c r="G5014" s="16" cm="1">
        <f t="array" ref="G5014">SUM(G5012:G5013)</f>
        <v>0</v>
      </c>
      <c r="H5014" s="16" cm="1">
        <f t="array" ref="H5014">SUM(H5012:H5013)</f>
        <v>0</v>
      </c>
      <c r="I5014" s="16" cm="1">
        <f t="array" ref="I5014">SUM(I5012:I5013)</f>
        <v>0</v>
      </c>
    </row>
    <row r="5015" ht="20.35" customHeight="1">
      <c r="A5015" s="10">
        <v>45673</v>
      </c>
      <c r="B5015" t="s" s="11">
        <v>107</v>
      </c>
      <c r="C5015" t="s" s="12">
        <v>36</v>
      </c>
      <c r="D5015" s="17">
        <v>50000</v>
      </c>
      <c r="E5015" s="17"/>
      <c r="F5015" s="18"/>
      <c r="G5015" s="18"/>
      <c r="H5015" s="18"/>
      <c r="I5015" s="18"/>
    </row>
    <row r="5016" ht="20.35" customHeight="1">
      <c r="A5016" s="10">
        <v>45673</v>
      </c>
      <c r="B5016" t="s" s="11">
        <v>21</v>
      </c>
      <c r="C5016" t="s" s="12">
        <v>36</v>
      </c>
      <c r="D5016" s="13"/>
      <c r="E5016" s="13">
        <v>50000</v>
      </c>
      <c r="F5016" s="14"/>
      <c r="G5016" s="14"/>
      <c r="H5016" s="14"/>
      <c r="I5016" s="14"/>
    </row>
    <row r="5017" ht="20.7" customHeight="1">
      <c r="A5017" s="10">
        <v>45673</v>
      </c>
      <c r="B5017" t="s" s="11">
        <v>8</v>
      </c>
      <c r="C5017" t="s" s="12">
        <v>8</v>
      </c>
      <c r="D5017" s="15" cm="1">
        <f t="array" ref="D5017">SUM(D5015:D5016)</f>
        <v>50000</v>
      </c>
      <c r="E5017" s="15" cm="1">
        <f t="array" ref="E5017">SUM(E5015:E5016)</f>
        <v>50000</v>
      </c>
      <c r="F5017" s="16" cm="1">
        <f t="array" ref="F5017">SUM(F5015:F5016)</f>
        <v>0</v>
      </c>
      <c r="G5017" s="16" cm="1">
        <f t="array" ref="G5017">SUM(G5015:G5016)</f>
        <v>0</v>
      </c>
      <c r="H5017" s="16" cm="1">
        <f t="array" ref="H5017">SUM(H5015:H5016)</f>
        <v>0</v>
      </c>
      <c r="I5017" s="16" cm="1">
        <f t="array" ref="I5017">SUM(I5015:I5016)</f>
        <v>0</v>
      </c>
    </row>
    <row r="5018" ht="20.65" customHeight="1">
      <c r="A5018" s="10">
        <v>45674</v>
      </c>
      <c r="B5018" t="s" s="11">
        <v>814</v>
      </c>
      <c r="C5018" t="s" s="12">
        <v>820</v>
      </c>
      <c r="D5018" s="17">
        <v>1</v>
      </c>
      <c r="E5018" s="17"/>
      <c r="F5018" s="18"/>
      <c r="G5018" s="18"/>
      <c r="H5018" s="18"/>
      <c r="I5018" s="18"/>
    </row>
    <row r="5019" ht="20.65" customHeight="1">
      <c r="A5019" s="10">
        <v>45674</v>
      </c>
      <c r="B5019" t="s" s="11">
        <v>91</v>
      </c>
      <c r="C5019" t="s" s="12">
        <v>820</v>
      </c>
      <c r="D5019" s="13"/>
      <c r="E5019" s="13">
        <v>1</v>
      </c>
      <c r="F5019" s="14"/>
      <c r="G5019" s="14"/>
      <c r="H5019" s="14"/>
      <c r="I5019" s="14"/>
    </row>
    <row r="5020" ht="20.7" customHeight="1">
      <c r="A5020" s="10">
        <v>45674</v>
      </c>
      <c r="B5020" t="s" s="11">
        <v>8</v>
      </c>
      <c r="C5020" t="s" s="12">
        <v>8</v>
      </c>
      <c r="D5020" s="15" cm="1">
        <f t="array" ref="D5020">SUM(D5018:D5019)</f>
        <v>1</v>
      </c>
      <c r="E5020" s="15" cm="1">
        <f t="array" ref="E5020">SUM(E5018:E5019)</f>
        <v>1</v>
      </c>
      <c r="F5020" s="16" cm="1">
        <f t="array" ref="F5020">SUM(F5018:F5019)</f>
        <v>0</v>
      </c>
      <c r="G5020" s="16" cm="1">
        <f t="array" ref="G5020">SUM(G5018:G5019)</f>
        <v>0</v>
      </c>
      <c r="H5020" s="16" cm="1">
        <f t="array" ref="H5020">SUM(H5018:H5019)</f>
        <v>0</v>
      </c>
      <c r="I5020" s="16" cm="1">
        <f t="array" ref="I5020">SUM(I5018:I5019)</f>
        <v>0</v>
      </c>
    </row>
    <row r="5021" ht="20.35" customHeight="1">
      <c r="A5021" s="10">
        <v>45674</v>
      </c>
      <c r="B5021" t="s" s="11">
        <v>93</v>
      </c>
      <c r="C5021" t="s" s="12">
        <v>825</v>
      </c>
      <c r="D5021" s="17"/>
      <c r="E5021" s="17">
        <v>72000</v>
      </c>
      <c r="F5021" s="18"/>
      <c r="G5021" s="18"/>
      <c r="H5021" s="18"/>
      <c r="I5021" s="18"/>
    </row>
    <row r="5022" ht="20.35" customHeight="1">
      <c r="A5022" s="10">
        <v>45674</v>
      </c>
      <c r="B5022" t="s" s="11">
        <v>10</v>
      </c>
      <c r="C5022" t="s" s="12">
        <v>825</v>
      </c>
      <c r="D5022" s="13">
        <v>72000</v>
      </c>
      <c r="E5022" s="13"/>
      <c r="F5022" s="14"/>
      <c r="G5022" s="14"/>
      <c r="H5022" s="14"/>
      <c r="I5022" s="14"/>
    </row>
    <row r="5023" ht="20.7" customHeight="1">
      <c r="A5023" s="10">
        <v>45674</v>
      </c>
      <c r="B5023" t="s" s="11">
        <v>8</v>
      </c>
      <c r="C5023" t="s" s="12">
        <v>8</v>
      </c>
      <c r="D5023" s="15" cm="1">
        <f t="array" ref="D5023">SUM(D5021:D5022)</f>
        <v>72000</v>
      </c>
      <c r="E5023" s="15" cm="1">
        <f t="array" ref="E5023">SUM(E5021:E5022)</f>
        <v>72000</v>
      </c>
      <c r="F5023" s="16" cm="1">
        <f t="array" ref="F5023">SUM(F5021:F5022)</f>
        <v>0</v>
      </c>
      <c r="G5023" s="16" cm="1">
        <f t="array" ref="G5023">SUM(G5021:G5022)</f>
        <v>0</v>
      </c>
      <c r="H5023" s="16" cm="1">
        <f t="array" ref="H5023">SUM(H5021:H5022)</f>
        <v>0</v>
      </c>
      <c r="I5023" s="16" cm="1">
        <f t="array" ref="I5023">SUM(I5021:I5022)</f>
        <v>0</v>
      </c>
    </row>
    <row r="5024" ht="20.35" customHeight="1">
      <c r="A5024" s="10">
        <v>45674</v>
      </c>
      <c r="B5024" t="s" s="11">
        <v>107</v>
      </c>
      <c r="C5024" t="s" s="12">
        <v>826</v>
      </c>
      <c r="D5024" s="17"/>
      <c r="E5024" s="17">
        <v>12590</v>
      </c>
      <c r="F5024" s="18"/>
      <c r="G5024" s="18"/>
      <c r="H5024" s="18"/>
      <c r="I5024" s="18"/>
    </row>
    <row r="5025" ht="20.35" customHeight="1">
      <c r="A5025" s="10">
        <v>45674</v>
      </c>
      <c r="B5025" t="s" s="11">
        <v>10</v>
      </c>
      <c r="C5025" t="s" s="12">
        <v>826</v>
      </c>
      <c r="D5025" s="13">
        <v>12590</v>
      </c>
      <c r="E5025" s="13"/>
      <c r="F5025" s="14"/>
      <c r="G5025" s="14"/>
      <c r="H5025" s="14"/>
      <c r="I5025" s="14"/>
    </row>
    <row r="5026" ht="20.7" customHeight="1">
      <c r="A5026" s="10">
        <v>45674</v>
      </c>
      <c r="B5026" t="s" s="11">
        <v>8</v>
      </c>
      <c r="C5026" t="s" s="12">
        <v>8</v>
      </c>
      <c r="D5026" s="15" cm="1">
        <f t="array" ref="D5026">SUM(D5024:D5025)</f>
        <v>12590</v>
      </c>
      <c r="E5026" s="15" cm="1">
        <f t="array" ref="E5026">SUM(E5024:E5025)</f>
        <v>12590</v>
      </c>
      <c r="F5026" s="16" cm="1">
        <f t="array" ref="F5026">SUM(F5024:F5025)</f>
        <v>0</v>
      </c>
      <c r="G5026" s="16" cm="1">
        <f t="array" ref="G5026">SUM(G5024:G5025)</f>
        <v>0</v>
      </c>
      <c r="H5026" s="16" cm="1">
        <f t="array" ref="H5026">SUM(H5024:H5025)</f>
        <v>0</v>
      </c>
      <c r="I5026" s="16" cm="1">
        <f t="array" ref="I5026">SUM(I5024:I5025)</f>
        <v>0</v>
      </c>
    </row>
    <row r="5027" ht="20.35" customHeight="1">
      <c r="A5027" s="10">
        <v>45674</v>
      </c>
      <c r="B5027" t="s" s="11">
        <v>107</v>
      </c>
      <c r="C5027" t="s" s="12">
        <v>827</v>
      </c>
      <c r="D5027" s="17"/>
      <c r="E5027" s="17">
        <v>8800</v>
      </c>
      <c r="F5027" s="18"/>
      <c r="G5027" s="18"/>
      <c r="H5027" s="18"/>
      <c r="I5027" s="18"/>
    </row>
    <row r="5028" ht="20.35" customHeight="1">
      <c r="A5028" s="10">
        <v>45674</v>
      </c>
      <c r="B5028" t="s" s="11">
        <v>10</v>
      </c>
      <c r="C5028" t="s" s="12">
        <v>827</v>
      </c>
      <c r="D5028" s="13">
        <v>8800</v>
      </c>
      <c r="E5028" s="13"/>
      <c r="F5028" s="14"/>
      <c r="G5028" s="14"/>
      <c r="H5028" s="14"/>
      <c r="I5028" s="14"/>
    </row>
    <row r="5029" ht="20.7" customHeight="1">
      <c r="A5029" s="10">
        <v>45674</v>
      </c>
      <c r="B5029" t="s" s="11">
        <v>8</v>
      </c>
      <c r="C5029" t="s" s="12">
        <v>8</v>
      </c>
      <c r="D5029" s="15" cm="1">
        <f t="array" ref="D5029">SUM(D5027:D5028)</f>
        <v>8800</v>
      </c>
      <c r="E5029" s="15" cm="1">
        <f t="array" ref="E5029">SUM(E5027:E5028)</f>
        <v>8800</v>
      </c>
      <c r="F5029" s="16" cm="1">
        <f t="array" ref="F5029">SUM(F5027:F5028)</f>
        <v>0</v>
      </c>
      <c r="G5029" s="16" cm="1">
        <f t="array" ref="G5029">SUM(G5027:G5028)</f>
        <v>0</v>
      </c>
      <c r="H5029" s="16" cm="1">
        <f t="array" ref="H5029">SUM(H5027:H5028)</f>
        <v>0</v>
      </c>
      <c r="I5029" s="16" cm="1">
        <f t="array" ref="I5029">SUM(I5027:I5028)</f>
        <v>0</v>
      </c>
    </row>
    <row r="5030" ht="20.35" customHeight="1">
      <c r="A5030" s="10">
        <v>45674</v>
      </c>
      <c r="B5030" t="s" s="11">
        <v>107</v>
      </c>
      <c r="C5030" t="s" s="12">
        <v>828</v>
      </c>
      <c r="D5030" s="17"/>
      <c r="E5030" s="17">
        <v>40000</v>
      </c>
      <c r="F5030" s="18"/>
      <c r="G5030" s="18"/>
      <c r="H5030" s="18"/>
      <c r="I5030" s="18"/>
    </row>
    <row r="5031" ht="20.35" customHeight="1">
      <c r="A5031" s="10">
        <v>45674</v>
      </c>
      <c r="B5031" t="s" s="11">
        <v>10</v>
      </c>
      <c r="C5031" t="s" s="12">
        <v>828</v>
      </c>
      <c r="D5031" s="13">
        <v>40000</v>
      </c>
      <c r="E5031" s="13"/>
      <c r="F5031" s="14"/>
      <c r="G5031" s="14"/>
      <c r="H5031" s="14"/>
      <c r="I5031" s="14"/>
    </row>
    <row r="5032" ht="20.7" customHeight="1">
      <c r="A5032" s="10">
        <v>45674</v>
      </c>
      <c r="B5032" t="s" s="11">
        <v>8</v>
      </c>
      <c r="C5032" t="s" s="12">
        <v>8</v>
      </c>
      <c r="D5032" s="15" cm="1">
        <f t="array" ref="D5032">SUM(D5030:D5031)</f>
        <v>40000</v>
      </c>
      <c r="E5032" s="15" cm="1">
        <f t="array" ref="E5032">SUM(E5030:E5031)</f>
        <v>40000</v>
      </c>
      <c r="F5032" s="16" cm="1">
        <f t="array" ref="F5032">SUM(F5030:F5031)</f>
        <v>0</v>
      </c>
      <c r="G5032" s="16" cm="1">
        <f t="array" ref="G5032">SUM(G5030:G5031)</f>
        <v>0</v>
      </c>
      <c r="H5032" s="16" cm="1">
        <f t="array" ref="H5032">SUM(H5030:H5031)</f>
        <v>0</v>
      </c>
      <c r="I5032" s="16" cm="1">
        <f t="array" ref="I5032">SUM(I5030:I5031)</f>
        <v>0</v>
      </c>
    </row>
    <row r="5033" ht="20.35" customHeight="1">
      <c r="A5033" s="10">
        <v>45674</v>
      </c>
      <c r="B5033" t="s" s="11">
        <v>107</v>
      </c>
      <c r="C5033" t="s" s="12">
        <v>829</v>
      </c>
      <c r="D5033" s="17"/>
      <c r="E5033" s="17">
        <v>20000</v>
      </c>
      <c r="F5033" s="18"/>
      <c r="G5033" s="18"/>
      <c r="H5033" s="18"/>
      <c r="I5033" s="18"/>
    </row>
    <row r="5034" ht="20.35" customHeight="1">
      <c r="A5034" s="10">
        <v>45674</v>
      </c>
      <c r="B5034" t="s" s="11">
        <v>10</v>
      </c>
      <c r="C5034" t="s" s="12">
        <v>829</v>
      </c>
      <c r="D5034" s="13">
        <v>20000</v>
      </c>
      <c r="E5034" s="13"/>
      <c r="F5034" s="14"/>
      <c r="G5034" s="14"/>
      <c r="H5034" s="14"/>
      <c r="I5034" s="14"/>
    </row>
    <row r="5035" ht="20.7" customHeight="1">
      <c r="A5035" s="10">
        <v>45674</v>
      </c>
      <c r="B5035" t="s" s="11">
        <v>8</v>
      </c>
      <c r="C5035" t="s" s="12">
        <v>8</v>
      </c>
      <c r="D5035" s="15" cm="1">
        <f t="array" ref="D5035">SUM(D5033:D5034)</f>
        <v>20000</v>
      </c>
      <c r="E5035" s="15" cm="1">
        <f t="array" ref="E5035">SUM(E5033:E5034)</f>
        <v>20000</v>
      </c>
      <c r="F5035" s="16" cm="1">
        <f t="array" ref="F5035">SUM(F5033:F5034)</f>
        <v>0</v>
      </c>
      <c r="G5035" s="16" cm="1">
        <f t="array" ref="G5035">SUM(G5033:G5034)</f>
        <v>0</v>
      </c>
      <c r="H5035" s="16" cm="1">
        <f t="array" ref="H5035">SUM(H5033:H5034)</f>
        <v>0</v>
      </c>
      <c r="I5035" s="16" cm="1">
        <f t="array" ref="I5035">SUM(I5033:I5034)</f>
        <v>0</v>
      </c>
    </row>
    <row r="5036" ht="20.35" customHeight="1">
      <c r="A5036" s="10">
        <v>45674</v>
      </c>
      <c r="B5036" t="s" s="11">
        <v>93</v>
      </c>
      <c r="C5036" t="s" s="12">
        <v>830</v>
      </c>
      <c r="D5036" s="17"/>
      <c r="E5036" s="17">
        <v>2800</v>
      </c>
      <c r="F5036" s="18"/>
      <c r="G5036" s="18"/>
      <c r="H5036" s="18"/>
      <c r="I5036" s="18"/>
    </row>
    <row r="5037" ht="20.35" customHeight="1">
      <c r="A5037" s="10">
        <v>45674</v>
      </c>
      <c r="B5037" t="s" s="11">
        <v>10</v>
      </c>
      <c r="C5037" t="s" s="12">
        <v>830</v>
      </c>
      <c r="D5037" s="13">
        <v>2800</v>
      </c>
      <c r="E5037" s="13"/>
      <c r="F5037" s="14"/>
      <c r="G5037" s="14"/>
      <c r="H5037" s="14"/>
      <c r="I5037" s="14"/>
    </row>
    <row r="5038" ht="20.7" customHeight="1">
      <c r="A5038" s="10">
        <v>45674</v>
      </c>
      <c r="B5038" t="s" s="11">
        <v>8</v>
      </c>
      <c r="C5038" t="s" s="12">
        <v>8</v>
      </c>
      <c r="D5038" s="15" cm="1">
        <f t="array" ref="D5038">SUM(D5036:D5037)</f>
        <v>2800</v>
      </c>
      <c r="E5038" s="15" cm="1">
        <f t="array" ref="E5038">SUM(E5036:E5037)</f>
        <v>2800</v>
      </c>
      <c r="F5038" s="16" cm="1">
        <f t="array" ref="F5038">SUM(F5036:F5037)</f>
        <v>0</v>
      </c>
      <c r="G5038" s="16" cm="1">
        <f t="array" ref="G5038">SUM(G5036:G5037)</f>
        <v>0</v>
      </c>
      <c r="H5038" s="16" cm="1">
        <f t="array" ref="H5038">SUM(H5036:H5037)</f>
        <v>0</v>
      </c>
      <c r="I5038" s="16" cm="1">
        <f t="array" ref="I5038">SUM(I5036:I5037)</f>
        <v>0</v>
      </c>
    </row>
    <row r="5039" ht="20.35" customHeight="1">
      <c r="A5039" s="10">
        <v>45674</v>
      </c>
      <c r="B5039" t="s" s="11">
        <v>93</v>
      </c>
      <c r="C5039" t="s" s="12">
        <v>20</v>
      </c>
      <c r="D5039" s="17">
        <v>10000</v>
      </c>
      <c r="E5039" s="17"/>
      <c r="F5039" s="18"/>
      <c r="G5039" s="18"/>
      <c r="H5039" s="18"/>
      <c r="I5039" s="18"/>
    </row>
    <row r="5040" ht="20.35" customHeight="1">
      <c r="A5040" s="10">
        <v>45674</v>
      </c>
      <c r="B5040" t="s" s="11">
        <v>89</v>
      </c>
      <c r="C5040" t="s" s="12">
        <v>20</v>
      </c>
      <c r="D5040" s="13"/>
      <c r="E5040" s="13">
        <v>10000</v>
      </c>
      <c r="F5040" s="14"/>
      <c r="G5040" s="14"/>
      <c r="H5040" s="14"/>
      <c r="I5040" s="14"/>
    </row>
    <row r="5041" ht="20.7" customHeight="1">
      <c r="A5041" s="10">
        <v>45674</v>
      </c>
      <c r="B5041" t="s" s="11">
        <v>8</v>
      </c>
      <c r="C5041" t="s" s="12">
        <v>8</v>
      </c>
      <c r="D5041" s="15" cm="1">
        <f t="array" ref="D5041">SUM(D5039:D5040)</f>
        <v>10000</v>
      </c>
      <c r="E5041" s="15" cm="1">
        <f t="array" ref="E5041">SUM(E5039:E5040)</f>
        <v>10000</v>
      </c>
      <c r="F5041" s="16" cm="1">
        <f t="array" ref="F5041">SUM(F5039:F5040)</f>
        <v>0</v>
      </c>
      <c r="G5041" s="16" cm="1">
        <f t="array" ref="G5041">SUM(G5039:G5040)</f>
        <v>0</v>
      </c>
      <c r="H5041" s="16" cm="1">
        <f t="array" ref="H5041">SUM(H5039:H5040)</f>
        <v>0</v>
      </c>
      <c r="I5041" s="16" cm="1">
        <f t="array" ref="I5041">SUM(I5039:I5040)</f>
        <v>0</v>
      </c>
    </row>
    <row r="5042" ht="20.35" customHeight="1">
      <c r="A5042" s="10">
        <v>45674</v>
      </c>
      <c r="B5042" t="s" s="11">
        <v>107</v>
      </c>
      <c r="C5042" t="s" s="12">
        <v>831</v>
      </c>
      <c r="D5042" s="17">
        <v>59700</v>
      </c>
      <c r="E5042" s="17"/>
      <c r="F5042" s="18"/>
      <c r="G5042" s="18"/>
      <c r="H5042" s="18"/>
      <c r="I5042" s="18"/>
    </row>
    <row r="5043" ht="20.35" customHeight="1">
      <c r="A5043" s="10">
        <v>45674</v>
      </c>
      <c r="B5043" t="s" s="11">
        <v>10</v>
      </c>
      <c r="C5043" t="s" s="12">
        <v>831</v>
      </c>
      <c r="D5043" s="13"/>
      <c r="E5043" s="13">
        <v>59700</v>
      </c>
      <c r="F5043" s="14"/>
      <c r="G5043" s="14"/>
      <c r="H5043" s="14"/>
      <c r="I5043" s="14"/>
    </row>
    <row r="5044" ht="20.7" customHeight="1">
      <c r="A5044" s="10">
        <v>45674</v>
      </c>
      <c r="B5044" t="s" s="11">
        <v>8</v>
      </c>
      <c r="C5044" t="s" s="12">
        <v>8</v>
      </c>
      <c r="D5044" s="15" cm="1">
        <f t="array" ref="D5044">SUM(D5042:D5043)</f>
        <v>59700</v>
      </c>
      <c r="E5044" s="15" cm="1">
        <f t="array" ref="E5044">SUM(E5042:E5043)</f>
        <v>59700</v>
      </c>
      <c r="F5044" s="16" cm="1">
        <f t="array" ref="F5044">SUM(F5042:F5043)</f>
        <v>0</v>
      </c>
      <c r="G5044" s="16" cm="1">
        <f t="array" ref="G5044">SUM(G5042:G5043)</f>
        <v>0</v>
      </c>
      <c r="H5044" s="16" cm="1">
        <f t="array" ref="H5044">SUM(H5042:H5043)</f>
        <v>0</v>
      </c>
      <c r="I5044" s="16" cm="1">
        <f t="array" ref="I5044">SUM(I5042:I5043)</f>
        <v>0</v>
      </c>
    </row>
    <row r="5045" ht="21.25" customHeight="1">
      <c r="A5045" s="10">
        <v>45674</v>
      </c>
      <c r="B5045" t="s" s="11">
        <v>21</v>
      </c>
      <c r="C5045" t="s" s="12">
        <v>763</v>
      </c>
      <c r="D5045" s="17"/>
      <c r="E5045" s="17">
        <v>2800</v>
      </c>
      <c r="F5045" s="18"/>
      <c r="G5045" s="18"/>
      <c r="H5045" s="18"/>
      <c r="I5045" s="18"/>
    </row>
    <row r="5046" ht="21.25" customHeight="1">
      <c r="A5046" s="10">
        <v>45674</v>
      </c>
      <c r="B5046" t="s" s="11">
        <v>16</v>
      </c>
      <c r="C5046" t="s" s="12">
        <v>763</v>
      </c>
      <c r="D5046" s="13">
        <v>2800</v>
      </c>
      <c r="E5046" s="13"/>
      <c r="F5046" s="14"/>
      <c r="G5046" s="14"/>
      <c r="H5046" s="14"/>
      <c r="I5046" s="14"/>
    </row>
    <row r="5047" ht="20.7" customHeight="1">
      <c r="A5047" s="10">
        <v>45674</v>
      </c>
      <c r="B5047" t="s" s="11">
        <v>8</v>
      </c>
      <c r="C5047" t="s" s="12">
        <v>8</v>
      </c>
      <c r="D5047" s="15" cm="1">
        <f t="array" ref="D5047">SUM(D5045:D5046)</f>
        <v>2800</v>
      </c>
      <c r="E5047" s="15" cm="1">
        <f t="array" ref="E5047">SUM(E5045:E5046)</f>
        <v>2800</v>
      </c>
      <c r="F5047" s="16" cm="1">
        <f t="array" ref="F5047">SUM(F5045:F5046)</f>
        <v>0</v>
      </c>
      <c r="G5047" s="16" cm="1">
        <f t="array" ref="G5047">SUM(G5045:G5046)</f>
        <v>0</v>
      </c>
      <c r="H5047" s="16" cm="1">
        <f t="array" ref="H5047">SUM(H5045:H5046)</f>
        <v>0</v>
      </c>
      <c r="I5047" s="16" cm="1">
        <f t="array" ref="I5047">SUM(I5045:I5046)</f>
        <v>0</v>
      </c>
    </row>
    <row r="5048" ht="20.65" customHeight="1">
      <c r="A5048" s="10">
        <v>45675</v>
      </c>
      <c r="B5048" t="s" s="11">
        <v>814</v>
      </c>
      <c r="C5048" t="s" s="12">
        <v>820</v>
      </c>
      <c r="D5048" s="17">
        <v>1</v>
      </c>
      <c r="E5048" s="17"/>
      <c r="F5048" s="18"/>
      <c r="G5048" s="18"/>
      <c r="H5048" s="18"/>
      <c r="I5048" s="18"/>
    </row>
    <row r="5049" ht="20.65" customHeight="1">
      <c r="A5049" s="10">
        <v>45675</v>
      </c>
      <c r="B5049" t="s" s="11">
        <v>91</v>
      </c>
      <c r="C5049" t="s" s="12">
        <v>820</v>
      </c>
      <c r="D5049" s="13"/>
      <c r="E5049" s="13">
        <v>1</v>
      </c>
      <c r="F5049" s="14"/>
      <c r="G5049" s="14"/>
      <c r="H5049" s="14"/>
      <c r="I5049" s="14"/>
    </row>
    <row r="5050" ht="20.7" customHeight="1">
      <c r="A5050" s="10">
        <v>45675</v>
      </c>
      <c r="B5050" t="s" s="11">
        <v>8</v>
      </c>
      <c r="C5050" t="s" s="12">
        <v>8</v>
      </c>
      <c r="D5050" s="15" cm="1">
        <f t="array" ref="D5050">SUM(D5048:D5049)</f>
        <v>1</v>
      </c>
      <c r="E5050" s="15" cm="1">
        <f t="array" ref="E5050">SUM(E5048:E5049)</f>
        <v>1</v>
      </c>
      <c r="F5050" s="16" cm="1">
        <f t="array" ref="F5050">SUM(F5048:F5049)</f>
        <v>0</v>
      </c>
      <c r="G5050" s="16" cm="1">
        <f t="array" ref="G5050">SUM(G5048:G5049)</f>
        <v>0</v>
      </c>
      <c r="H5050" s="16" cm="1">
        <f t="array" ref="H5050">SUM(H5048:H5049)</f>
        <v>0</v>
      </c>
      <c r="I5050" s="16" cm="1">
        <f t="array" ref="I5050">SUM(I5048:I5049)</f>
        <v>0</v>
      </c>
    </row>
    <row r="5051" ht="20.35" customHeight="1">
      <c r="A5051" s="10">
        <v>45675</v>
      </c>
      <c r="B5051" t="s" s="11">
        <v>91</v>
      </c>
      <c r="C5051" t="s" s="12">
        <v>17</v>
      </c>
      <c r="D5051" s="17"/>
      <c r="E5051" s="17">
        <v>100</v>
      </c>
      <c r="F5051" s="18"/>
      <c r="G5051" s="18"/>
      <c r="H5051" s="18"/>
      <c r="I5051" s="18"/>
    </row>
    <row r="5052" ht="20.35" customHeight="1">
      <c r="A5052" s="10">
        <v>45675</v>
      </c>
      <c r="B5052" t="s" s="11">
        <v>5</v>
      </c>
      <c r="C5052" t="s" s="12">
        <v>17</v>
      </c>
      <c r="D5052" s="13">
        <v>100</v>
      </c>
      <c r="E5052" s="13"/>
      <c r="F5052" s="14"/>
      <c r="G5052" s="14"/>
      <c r="H5052" s="14"/>
      <c r="I5052" s="14"/>
    </row>
    <row r="5053" ht="20.7" customHeight="1">
      <c r="A5053" s="10">
        <v>45675</v>
      </c>
      <c r="B5053" t="s" s="11">
        <v>8</v>
      </c>
      <c r="C5053" t="s" s="12">
        <v>8</v>
      </c>
      <c r="D5053" s="15" cm="1">
        <f t="array" ref="D5053">SUM(D5051:D5052)</f>
        <v>100</v>
      </c>
      <c r="E5053" s="15" cm="1">
        <f t="array" ref="E5053">SUM(E5051:E5052)</f>
        <v>100</v>
      </c>
      <c r="F5053" s="16" cm="1">
        <f t="array" ref="F5053">SUM(F5051:F5052)</f>
        <v>0</v>
      </c>
      <c r="G5053" s="16" cm="1">
        <f t="array" ref="G5053">SUM(G5051:G5052)</f>
        <v>0</v>
      </c>
      <c r="H5053" s="16" cm="1">
        <f t="array" ref="H5053">SUM(H5051:H5052)</f>
        <v>0</v>
      </c>
      <c r="I5053" s="16" cm="1">
        <f t="array" ref="I5053">SUM(I5051:I5052)</f>
        <v>0</v>
      </c>
    </row>
    <row r="5054" ht="21.25" customHeight="1">
      <c r="A5054" s="10">
        <v>45675</v>
      </c>
      <c r="B5054" t="s" s="11">
        <v>12</v>
      </c>
      <c r="C5054" t="s" s="12">
        <v>715</v>
      </c>
      <c r="D5054" s="17">
        <v>70800</v>
      </c>
      <c r="E5054" s="17"/>
      <c r="F5054" s="18"/>
      <c r="G5054" s="18"/>
      <c r="H5054" s="18"/>
      <c r="I5054" s="18"/>
    </row>
    <row r="5055" ht="21.25" customHeight="1">
      <c r="A5055" s="10">
        <v>45675</v>
      </c>
      <c r="B5055" t="s" s="11">
        <v>21</v>
      </c>
      <c r="C5055" t="s" s="12">
        <v>715</v>
      </c>
      <c r="D5055" s="13"/>
      <c r="E5055" s="13">
        <v>70800</v>
      </c>
      <c r="F5055" s="14"/>
      <c r="G5055" s="14"/>
      <c r="H5055" s="14"/>
      <c r="I5055" s="14"/>
    </row>
    <row r="5056" ht="20.7" customHeight="1">
      <c r="A5056" s="10">
        <v>45675</v>
      </c>
      <c r="B5056" t="s" s="11">
        <v>8</v>
      </c>
      <c r="C5056" t="s" s="12">
        <v>8</v>
      </c>
      <c r="D5056" s="15" cm="1">
        <f t="array" ref="D5056">SUM(D5054:D5055)</f>
        <v>70800</v>
      </c>
      <c r="E5056" s="15" cm="1">
        <f t="array" ref="E5056">SUM(E5054:E5055)</f>
        <v>70800</v>
      </c>
      <c r="F5056" s="16" cm="1">
        <f t="array" ref="F5056">SUM(F5054:F5055)</f>
        <v>0</v>
      </c>
      <c r="G5056" s="16" cm="1">
        <f t="array" ref="G5056">SUM(G5054:G5055)</f>
        <v>0</v>
      </c>
      <c r="H5056" s="16" cm="1">
        <f t="array" ref="H5056">SUM(H5054:H5055)</f>
        <v>0</v>
      </c>
      <c r="I5056" s="16" cm="1">
        <f t="array" ref="I5056">SUM(I5054:I5055)</f>
        <v>0</v>
      </c>
    </row>
    <row r="5057" ht="20.65" customHeight="1">
      <c r="A5057" s="10">
        <v>45676</v>
      </c>
      <c r="B5057" t="s" s="11">
        <v>814</v>
      </c>
      <c r="C5057" t="s" s="12">
        <v>820</v>
      </c>
      <c r="D5057" s="17">
        <v>1</v>
      </c>
      <c r="E5057" s="17"/>
      <c r="F5057" s="18"/>
      <c r="G5057" s="18"/>
      <c r="H5057" s="18"/>
      <c r="I5057" s="18"/>
    </row>
    <row r="5058" ht="20.65" customHeight="1">
      <c r="A5058" s="10">
        <v>45676</v>
      </c>
      <c r="B5058" t="s" s="11">
        <v>91</v>
      </c>
      <c r="C5058" t="s" s="12">
        <v>820</v>
      </c>
      <c r="D5058" s="13"/>
      <c r="E5058" s="13">
        <v>1</v>
      </c>
      <c r="F5058" s="14"/>
      <c r="G5058" s="14"/>
      <c r="H5058" s="14"/>
      <c r="I5058" s="14"/>
    </row>
    <row r="5059" ht="20.7" customHeight="1">
      <c r="A5059" s="10">
        <v>45676</v>
      </c>
      <c r="B5059" t="s" s="11">
        <v>8</v>
      </c>
      <c r="C5059" t="s" s="12">
        <v>8</v>
      </c>
      <c r="D5059" s="15" cm="1">
        <f t="array" ref="D5059">SUM(D5057:D5058)</f>
        <v>1</v>
      </c>
      <c r="E5059" s="15" cm="1">
        <f t="array" ref="E5059">SUM(E5057:E5058)</f>
        <v>1</v>
      </c>
      <c r="F5059" s="16" cm="1">
        <f t="array" ref="F5059">SUM(F5057:F5058)</f>
        <v>0</v>
      </c>
      <c r="G5059" s="16" cm="1">
        <f t="array" ref="G5059">SUM(G5057:G5058)</f>
        <v>0</v>
      </c>
      <c r="H5059" s="16" cm="1">
        <f t="array" ref="H5059">SUM(H5057:H5058)</f>
        <v>0</v>
      </c>
      <c r="I5059" s="16" cm="1">
        <f t="array" ref="I5059">SUM(I5057:I5058)</f>
        <v>0</v>
      </c>
    </row>
    <row r="5060" ht="20.35" customHeight="1">
      <c r="A5060" s="10">
        <v>45676</v>
      </c>
      <c r="B5060" t="s" s="11">
        <v>107</v>
      </c>
      <c r="C5060" t="s" s="12">
        <v>225</v>
      </c>
      <c r="D5060" s="17"/>
      <c r="E5060" s="17">
        <v>22100</v>
      </c>
      <c r="F5060" s="18"/>
      <c r="G5060" s="18"/>
      <c r="H5060" s="18"/>
      <c r="I5060" s="18"/>
    </row>
    <row r="5061" ht="20.35" customHeight="1">
      <c r="A5061" s="10">
        <v>45676</v>
      </c>
      <c r="B5061" t="s" s="11">
        <v>12</v>
      </c>
      <c r="C5061" t="s" s="12">
        <v>225</v>
      </c>
      <c r="D5061" s="13">
        <v>22100</v>
      </c>
      <c r="E5061" s="13"/>
      <c r="F5061" s="14"/>
      <c r="G5061" s="14"/>
      <c r="H5061" s="14"/>
      <c r="I5061" s="14"/>
    </row>
    <row r="5062" ht="20.7" customHeight="1">
      <c r="A5062" s="10">
        <v>45676</v>
      </c>
      <c r="B5062" t="s" s="11">
        <v>8</v>
      </c>
      <c r="C5062" t="s" s="12">
        <v>8</v>
      </c>
      <c r="D5062" s="15" cm="1">
        <f t="array" ref="D5062">SUM(D5060:D5061)</f>
        <v>22100</v>
      </c>
      <c r="E5062" s="15" cm="1">
        <f t="array" ref="E5062">SUM(E5060:E5061)</f>
        <v>22100</v>
      </c>
      <c r="F5062" s="16" cm="1">
        <f t="array" ref="F5062">SUM(F5060:F5061)</f>
        <v>0</v>
      </c>
      <c r="G5062" s="16" cm="1">
        <f t="array" ref="G5062">SUM(G5060:G5061)</f>
        <v>0</v>
      </c>
      <c r="H5062" s="16" cm="1">
        <f t="array" ref="H5062">SUM(H5060:H5061)</f>
        <v>0</v>
      </c>
      <c r="I5062" s="16" cm="1">
        <f t="array" ref="I5062">SUM(I5060:I5061)</f>
        <v>0</v>
      </c>
    </row>
    <row r="5063" ht="20.35" customHeight="1">
      <c r="A5063" s="10">
        <v>45676</v>
      </c>
      <c r="B5063" t="s" s="11">
        <v>107</v>
      </c>
      <c r="C5063" t="s" s="12">
        <v>209</v>
      </c>
      <c r="D5063" s="17">
        <v>13800</v>
      </c>
      <c r="E5063" s="17"/>
      <c r="F5063" s="18"/>
      <c r="G5063" s="18"/>
      <c r="H5063" s="18"/>
      <c r="I5063" s="18"/>
    </row>
    <row r="5064" ht="20.35" customHeight="1">
      <c r="A5064" s="10">
        <v>45676</v>
      </c>
      <c r="B5064" t="s" s="11">
        <v>93</v>
      </c>
      <c r="C5064" t="s" s="12">
        <v>209</v>
      </c>
      <c r="D5064" s="13"/>
      <c r="E5064" s="13">
        <v>13800</v>
      </c>
      <c r="F5064" s="14"/>
      <c r="G5064" s="14"/>
      <c r="H5064" s="14"/>
      <c r="I5064" s="14"/>
    </row>
    <row r="5065" ht="20.7" customHeight="1">
      <c r="A5065" s="10">
        <v>45676</v>
      </c>
      <c r="B5065" t="s" s="11">
        <v>8</v>
      </c>
      <c r="C5065" t="s" s="12">
        <v>8</v>
      </c>
      <c r="D5065" s="15" cm="1">
        <f t="array" ref="D5065">SUM(D5063:D5064)</f>
        <v>13800</v>
      </c>
      <c r="E5065" s="15" cm="1">
        <f t="array" ref="E5065">SUM(E5063:E5064)</f>
        <v>13800</v>
      </c>
      <c r="F5065" s="16" cm="1">
        <f t="array" ref="F5065">SUM(F5063:F5064)</f>
        <v>0</v>
      </c>
      <c r="G5065" s="16" cm="1">
        <f t="array" ref="G5065">SUM(G5063:G5064)</f>
        <v>0</v>
      </c>
      <c r="H5065" s="16" cm="1">
        <f t="array" ref="H5065">SUM(H5063:H5064)</f>
        <v>0</v>
      </c>
      <c r="I5065" s="16" cm="1">
        <f t="array" ref="I5065">SUM(I5063:I5064)</f>
        <v>0</v>
      </c>
    </row>
    <row r="5066" ht="20.35" customHeight="1">
      <c r="A5066" s="10">
        <v>45676</v>
      </c>
      <c r="B5066" t="s" s="11">
        <v>107</v>
      </c>
      <c r="C5066" t="s" s="12">
        <v>832</v>
      </c>
      <c r="D5066" s="17"/>
      <c r="E5066" s="17">
        <v>15000</v>
      </c>
      <c r="F5066" s="18"/>
      <c r="G5066" s="18"/>
      <c r="H5066" s="18"/>
      <c r="I5066" s="18"/>
    </row>
    <row r="5067" ht="20.35" customHeight="1">
      <c r="A5067" s="10">
        <v>45676</v>
      </c>
      <c r="B5067" t="s" s="11">
        <v>10</v>
      </c>
      <c r="C5067" t="s" s="12">
        <v>832</v>
      </c>
      <c r="D5067" s="13">
        <v>15000</v>
      </c>
      <c r="E5067" s="13"/>
      <c r="F5067" s="14"/>
      <c r="G5067" s="14"/>
      <c r="H5067" s="14"/>
      <c r="I5067" s="14"/>
    </row>
    <row r="5068" ht="20.7" customHeight="1">
      <c r="A5068" s="10">
        <v>45676</v>
      </c>
      <c r="B5068" t="s" s="11">
        <v>8</v>
      </c>
      <c r="C5068" t="s" s="12">
        <v>8</v>
      </c>
      <c r="D5068" s="15" cm="1">
        <f t="array" ref="D5068">SUM(D5066:D5067)</f>
        <v>15000</v>
      </c>
      <c r="E5068" s="15" cm="1">
        <f t="array" ref="E5068">SUM(E5066:E5067)</f>
        <v>15000</v>
      </c>
      <c r="F5068" s="16" cm="1">
        <f t="array" ref="F5068">SUM(F5066:F5067)</f>
        <v>0</v>
      </c>
      <c r="G5068" s="16" cm="1">
        <f t="array" ref="G5068">SUM(G5066:G5067)</f>
        <v>0</v>
      </c>
      <c r="H5068" s="16" cm="1">
        <f t="array" ref="H5068">SUM(H5066:H5067)</f>
        <v>0</v>
      </c>
      <c r="I5068" s="16" cm="1">
        <f t="array" ref="I5068">SUM(I5066:I5067)</f>
        <v>0</v>
      </c>
    </row>
    <row r="5069" ht="20.35" customHeight="1">
      <c r="A5069" s="10">
        <v>45676</v>
      </c>
      <c r="B5069" t="s" s="11">
        <v>107</v>
      </c>
      <c r="C5069" t="s" s="12">
        <v>468</v>
      </c>
      <c r="D5069" s="17"/>
      <c r="E5069" s="17">
        <v>3500</v>
      </c>
      <c r="F5069" s="18"/>
      <c r="G5069" s="18"/>
      <c r="H5069" s="18"/>
      <c r="I5069" s="18"/>
    </row>
    <row r="5070" ht="20.35" customHeight="1">
      <c r="A5070" s="10">
        <v>45676</v>
      </c>
      <c r="B5070" t="s" s="11">
        <v>12</v>
      </c>
      <c r="C5070" t="s" s="12">
        <v>468</v>
      </c>
      <c r="D5070" s="13">
        <v>3500</v>
      </c>
      <c r="E5070" s="13"/>
      <c r="F5070" s="14"/>
      <c r="G5070" s="14"/>
      <c r="H5070" s="14"/>
      <c r="I5070" s="14"/>
    </row>
    <row r="5071" ht="20.7" customHeight="1">
      <c r="A5071" s="10">
        <v>45676</v>
      </c>
      <c r="B5071" t="s" s="11">
        <v>8</v>
      </c>
      <c r="C5071" t="s" s="12">
        <v>8</v>
      </c>
      <c r="D5071" s="15" cm="1">
        <f t="array" ref="D5071">SUM(D5069:D5070)</f>
        <v>3500</v>
      </c>
      <c r="E5071" s="15" cm="1">
        <f t="array" ref="E5071">SUM(E5069:E5070)</f>
        <v>3500</v>
      </c>
      <c r="F5071" s="16" cm="1">
        <f t="array" ref="F5071">SUM(F5069:F5070)</f>
        <v>0</v>
      </c>
      <c r="G5071" s="16" cm="1">
        <f t="array" ref="G5071">SUM(G5069:G5070)</f>
        <v>0</v>
      </c>
      <c r="H5071" s="16" cm="1">
        <f t="array" ref="H5071">SUM(H5069:H5070)</f>
        <v>0</v>
      </c>
      <c r="I5071" s="16" cm="1">
        <f t="array" ref="I5071">SUM(I5069:I5070)</f>
        <v>0</v>
      </c>
    </row>
    <row r="5072" ht="21.25" customHeight="1">
      <c r="A5072" s="10">
        <v>45676</v>
      </c>
      <c r="B5072" t="s" s="11">
        <v>21</v>
      </c>
      <c r="C5072" t="s" s="12">
        <v>782</v>
      </c>
      <c r="D5072" s="17"/>
      <c r="E5072" s="17">
        <v>3000</v>
      </c>
      <c r="F5072" s="18"/>
      <c r="G5072" s="18"/>
      <c r="H5072" s="18"/>
      <c r="I5072" s="18"/>
    </row>
    <row r="5073" ht="21.25" customHeight="1">
      <c r="A5073" s="10">
        <v>45676</v>
      </c>
      <c r="B5073" t="s" s="11">
        <v>16</v>
      </c>
      <c r="C5073" t="s" s="12">
        <v>782</v>
      </c>
      <c r="D5073" s="13">
        <v>3000</v>
      </c>
      <c r="E5073" s="13"/>
      <c r="F5073" s="14"/>
      <c r="G5073" s="14"/>
      <c r="H5073" s="14"/>
      <c r="I5073" s="14"/>
    </row>
    <row r="5074" ht="20.7" customHeight="1">
      <c r="A5074" s="10">
        <v>45676</v>
      </c>
      <c r="B5074" t="s" s="11">
        <v>8</v>
      </c>
      <c r="C5074" t="s" s="12">
        <v>8</v>
      </c>
      <c r="D5074" s="15" cm="1">
        <f t="array" ref="D5074">SUM(D5072:D5073)</f>
        <v>3000</v>
      </c>
      <c r="E5074" s="15" cm="1">
        <f t="array" ref="E5074">SUM(E5072:E5073)</f>
        <v>3000</v>
      </c>
      <c r="F5074" s="16" cm="1">
        <f t="array" ref="F5074">SUM(F5072:F5073)</f>
        <v>0</v>
      </c>
      <c r="G5074" s="16" cm="1">
        <f t="array" ref="G5074">SUM(G5072:G5073)</f>
        <v>0</v>
      </c>
      <c r="H5074" s="16" cm="1">
        <f t="array" ref="H5074">SUM(H5072:H5073)</f>
        <v>0</v>
      </c>
      <c r="I5074" s="16" cm="1">
        <f t="array" ref="I5074">SUM(I5072:I5073)</f>
        <v>0</v>
      </c>
    </row>
    <row r="5075" ht="20.65" customHeight="1">
      <c r="A5075" s="10">
        <v>45677</v>
      </c>
      <c r="B5075" t="s" s="11">
        <v>814</v>
      </c>
      <c r="C5075" t="s" s="12">
        <v>820</v>
      </c>
      <c r="D5075" s="17">
        <v>1</v>
      </c>
      <c r="E5075" s="17"/>
      <c r="F5075" s="18"/>
      <c r="G5075" s="18"/>
      <c r="H5075" s="18"/>
      <c r="I5075" s="18"/>
    </row>
    <row r="5076" ht="20.65" customHeight="1">
      <c r="A5076" s="10">
        <v>45677</v>
      </c>
      <c r="B5076" t="s" s="11">
        <v>91</v>
      </c>
      <c r="C5076" t="s" s="12">
        <v>820</v>
      </c>
      <c r="D5076" s="13"/>
      <c r="E5076" s="13">
        <v>1</v>
      </c>
      <c r="F5076" s="14"/>
      <c r="G5076" s="14"/>
      <c r="H5076" s="14"/>
      <c r="I5076" s="14"/>
    </row>
    <row r="5077" ht="20.7" customHeight="1">
      <c r="A5077" s="10">
        <v>45677</v>
      </c>
      <c r="B5077" t="s" s="11">
        <v>8</v>
      </c>
      <c r="C5077" t="s" s="12">
        <v>8</v>
      </c>
      <c r="D5077" s="15" cm="1">
        <f t="array" ref="D5077">SUM(D5075:D5076)</f>
        <v>1</v>
      </c>
      <c r="E5077" s="15" cm="1">
        <f t="array" ref="E5077">SUM(E5075:E5076)</f>
        <v>1</v>
      </c>
      <c r="F5077" s="16" cm="1">
        <f t="array" ref="F5077">SUM(F5075:F5076)</f>
        <v>0</v>
      </c>
      <c r="G5077" s="16" cm="1">
        <f t="array" ref="G5077">SUM(G5075:G5076)</f>
        <v>0</v>
      </c>
      <c r="H5077" s="16" cm="1">
        <f t="array" ref="H5077">SUM(H5075:H5076)</f>
        <v>0</v>
      </c>
      <c r="I5077" s="16" cm="1">
        <f t="array" ref="I5077">SUM(I5075:I5076)</f>
        <v>0</v>
      </c>
    </row>
    <row r="5078" ht="20.65" customHeight="1">
      <c r="A5078" s="10">
        <v>45677</v>
      </c>
      <c r="B5078" t="s" s="11">
        <v>107</v>
      </c>
      <c r="C5078" t="s" s="12">
        <v>833</v>
      </c>
      <c r="D5078" s="17">
        <v>251</v>
      </c>
      <c r="E5078" s="17"/>
      <c r="F5078" s="18"/>
      <c r="G5078" s="18"/>
      <c r="H5078" s="18"/>
      <c r="I5078" s="18"/>
    </row>
    <row r="5079" ht="20.65" customHeight="1">
      <c r="A5079" s="10">
        <v>45677</v>
      </c>
      <c r="B5079" t="s" s="11">
        <v>91</v>
      </c>
      <c r="C5079" t="s" s="12">
        <v>833</v>
      </c>
      <c r="D5079" s="13"/>
      <c r="E5079" s="13">
        <v>251</v>
      </c>
      <c r="F5079" s="14"/>
      <c r="G5079" s="14"/>
      <c r="H5079" s="14"/>
      <c r="I5079" s="14"/>
    </row>
    <row r="5080" ht="20.7" customHeight="1">
      <c r="A5080" s="10">
        <v>45677</v>
      </c>
      <c r="B5080" t="s" s="11">
        <v>8</v>
      </c>
      <c r="C5080" t="s" s="12">
        <v>8</v>
      </c>
      <c r="D5080" s="15" cm="1">
        <f t="array" ref="D5080">SUM(D5078:D5079)</f>
        <v>251</v>
      </c>
      <c r="E5080" s="15" cm="1">
        <f t="array" ref="E5080">SUM(E5078:E5079)</f>
        <v>251</v>
      </c>
      <c r="F5080" s="16" cm="1">
        <f t="array" ref="F5080">SUM(F5078:F5079)</f>
        <v>0</v>
      </c>
      <c r="G5080" s="16" cm="1">
        <f t="array" ref="G5080">SUM(G5078:G5079)</f>
        <v>0</v>
      </c>
      <c r="H5080" s="16" cm="1">
        <f t="array" ref="H5080">SUM(H5078:H5079)</f>
        <v>0</v>
      </c>
      <c r="I5080" s="16" cm="1">
        <f t="array" ref="I5080">SUM(I5078:I5079)</f>
        <v>0</v>
      </c>
    </row>
    <row r="5081" ht="20.35" customHeight="1">
      <c r="A5081" s="10">
        <v>45677</v>
      </c>
      <c r="B5081" t="s" s="11">
        <v>91</v>
      </c>
      <c r="C5081" t="s" s="12">
        <v>17</v>
      </c>
      <c r="D5081" s="17"/>
      <c r="E5081" s="17">
        <v>100</v>
      </c>
      <c r="F5081" s="18"/>
      <c r="G5081" s="18"/>
      <c r="H5081" s="18"/>
      <c r="I5081" s="18"/>
    </row>
    <row r="5082" ht="20.35" customHeight="1">
      <c r="A5082" s="10">
        <v>45677</v>
      </c>
      <c r="B5082" t="s" s="11">
        <v>5</v>
      </c>
      <c r="C5082" t="s" s="12">
        <v>17</v>
      </c>
      <c r="D5082" s="13">
        <v>100</v>
      </c>
      <c r="E5082" s="13"/>
      <c r="F5082" s="14"/>
      <c r="G5082" s="14"/>
      <c r="H5082" s="14"/>
      <c r="I5082" s="14"/>
    </row>
    <row r="5083" ht="20.7" customHeight="1">
      <c r="A5083" s="10">
        <v>45677</v>
      </c>
      <c r="B5083" t="s" s="11">
        <v>8</v>
      </c>
      <c r="C5083" t="s" s="12">
        <v>8</v>
      </c>
      <c r="D5083" s="15" cm="1">
        <f t="array" ref="D5083">SUM(D5081:D5082)</f>
        <v>100</v>
      </c>
      <c r="E5083" s="15" cm="1">
        <f t="array" ref="E5083">SUM(E5081:E5082)</f>
        <v>100</v>
      </c>
      <c r="F5083" s="16" cm="1">
        <f t="array" ref="F5083">SUM(F5081:F5082)</f>
        <v>0</v>
      </c>
      <c r="G5083" s="16" cm="1">
        <f t="array" ref="G5083">SUM(G5081:G5082)</f>
        <v>0</v>
      </c>
      <c r="H5083" s="16" cm="1">
        <f t="array" ref="H5083">SUM(H5081:H5082)</f>
        <v>0</v>
      </c>
      <c r="I5083" s="16" cm="1">
        <f t="array" ref="I5083">SUM(I5081:I5082)</f>
        <v>0</v>
      </c>
    </row>
    <row r="5084" ht="21.25" customHeight="1">
      <c r="A5084" s="10">
        <v>45677</v>
      </c>
      <c r="B5084" t="s" s="11">
        <v>5</v>
      </c>
      <c r="C5084" t="s" s="12">
        <v>834</v>
      </c>
      <c r="D5084" s="17">
        <v>351</v>
      </c>
      <c r="E5084" s="24"/>
      <c r="F5084" s="18"/>
      <c r="G5084" s="18"/>
      <c r="H5084" s="18"/>
      <c r="I5084" s="18"/>
    </row>
    <row r="5085" ht="21.25" customHeight="1">
      <c r="A5085" s="10">
        <v>45677</v>
      </c>
      <c r="B5085" t="s" s="11">
        <v>814</v>
      </c>
      <c r="C5085" t="s" s="12">
        <v>834</v>
      </c>
      <c r="D5085" s="21"/>
      <c r="E5085" s="13">
        <v>351</v>
      </c>
      <c r="F5085" s="14"/>
      <c r="G5085" s="14"/>
      <c r="H5085" s="14"/>
      <c r="I5085" s="14"/>
    </row>
    <row r="5086" ht="20.7" customHeight="1">
      <c r="A5086" s="10">
        <v>45677</v>
      </c>
      <c r="B5086" t="s" s="11">
        <v>8</v>
      </c>
      <c r="C5086" t="s" s="12">
        <v>8</v>
      </c>
      <c r="D5086" s="15" cm="1">
        <f t="array" ref="D5086">SUM(D5084:D5085)</f>
        <v>351</v>
      </c>
      <c r="E5086" s="15" cm="1">
        <f t="array" ref="E5086">SUM(E5084:E5085)</f>
        <v>351</v>
      </c>
      <c r="F5086" s="16" cm="1">
        <f t="array" ref="F5086">SUM(F5084:F5085)</f>
        <v>0</v>
      </c>
      <c r="G5086" s="16" cm="1">
        <f t="array" ref="G5086">SUM(G5084:G5085)</f>
        <v>0</v>
      </c>
      <c r="H5086" s="16" cm="1">
        <f t="array" ref="H5086">SUM(H5084:H5085)</f>
        <v>0</v>
      </c>
      <c r="I5086" s="16" cm="1">
        <f t="array" ref="I5086">SUM(I5084:I5085)</f>
        <v>0</v>
      </c>
    </row>
    <row r="5087" ht="21.25" customHeight="1">
      <c r="A5087" s="10">
        <v>45677</v>
      </c>
      <c r="B5087" t="s" s="11">
        <v>5</v>
      </c>
      <c r="C5087" t="s" s="12">
        <v>835</v>
      </c>
      <c r="D5087" s="17"/>
      <c r="E5087" s="17">
        <v>702</v>
      </c>
      <c r="F5087" s="18"/>
      <c r="G5087" s="18"/>
      <c r="H5087" s="18"/>
      <c r="I5087" s="18"/>
    </row>
    <row r="5088" ht="21.25" customHeight="1">
      <c r="A5088" s="10">
        <v>45677</v>
      </c>
      <c r="B5088" t="s" s="11">
        <v>814</v>
      </c>
      <c r="C5088" t="s" s="12">
        <v>835</v>
      </c>
      <c r="D5088" s="13">
        <v>702</v>
      </c>
      <c r="E5088" s="13"/>
      <c r="F5088" s="14"/>
      <c r="G5088" s="14"/>
      <c r="H5088" s="14"/>
      <c r="I5088" s="14"/>
    </row>
    <row r="5089" ht="20.7" customHeight="1">
      <c r="A5089" s="10">
        <v>45677</v>
      </c>
      <c r="B5089" t="s" s="11">
        <v>8</v>
      </c>
      <c r="C5089" t="s" s="12">
        <v>8</v>
      </c>
      <c r="D5089" s="15" cm="1">
        <f t="array" ref="D5089">SUM(D5087:D5088)</f>
        <v>702</v>
      </c>
      <c r="E5089" s="15" cm="1">
        <f t="array" ref="E5089">SUM(E5087:E5088)</f>
        <v>702</v>
      </c>
      <c r="F5089" s="16" cm="1">
        <f t="array" ref="F5089">SUM(F5087:F5088)</f>
        <v>0</v>
      </c>
      <c r="G5089" s="16" cm="1">
        <f t="array" ref="G5089">SUM(G5087:G5088)</f>
        <v>0</v>
      </c>
      <c r="H5089" s="16" cm="1">
        <f t="array" ref="H5089">SUM(H5087:H5088)</f>
        <v>0</v>
      </c>
      <c r="I5089" s="16" cm="1">
        <f t="array" ref="I5089">SUM(I5087:I5088)</f>
        <v>0</v>
      </c>
    </row>
    <row r="5090" ht="20.65" customHeight="1">
      <c r="A5090" s="10">
        <v>45677</v>
      </c>
      <c r="B5090" t="s" s="11">
        <v>28</v>
      </c>
      <c r="C5090" t="s" s="12">
        <v>218</v>
      </c>
      <c r="D5090" s="17"/>
      <c r="E5090" s="17">
        <v>5000</v>
      </c>
      <c r="F5090" s="18"/>
      <c r="G5090" s="18"/>
      <c r="H5090" s="18"/>
      <c r="I5090" s="18"/>
    </row>
    <row r="5091" ht="20.65" customHeight="1">
      <c r="A5091" s="10">
        <v>45677</v>
      </c>
      <c r="B5091" t="s" s="11">
        <v>12</v>
      </c>
      <c r="C5091" t="s" s="12">
        <v>218</v>
      </c>
      <c r="D5091" s="13">
        <v>5000</v>
      </c>
      <c r="E5091" s="13"/>
      <c r="F5091" s="14"/>
      <c r="G5091" s="14"/>
      <c r="H5091" s="14"/>
      <c r="I5091" s="14"/>
    </row>
    <row r="5092" ht="20.7" customHeight="1">
      <c r="A5092" s="10">
        <v>45677</v>
      </c>
      <c r="B5092" t="s" s="11">
        <v>8</v>
      </c>
      <c r="C5092" t="s" s="12">
        <v>8</v>
      </c>
      <c r="D5092" s="15" cm="1">
        <f t="array" ref="D5092">SUM(D5090:D5091)</f>
        <v>5000</v>
      </c>
      <c r="E5092" s="15" cm="1">
        <f t="array" ref="E5092">SUM(E5090:E5091)</f>
        <v>5000</v>
      </c>
      <c r="F5092" s="16" cm="1">
        <f t="array" ref="F5092">SUM(F5090:F5091)</f>
        <v>0</v>
      </c>
      <c r="G5092" s="16" cm="1">
        <f t="array" ref="G5092">SUM(G5090:G5091)</f>
        <v>0</v>
      </c>
      <c r="H5092" s="16" cm="1">
        <f t="array" ref="H5092">SUM(H5090:H5091)</f>
        <v>0</v>
      </c>
      <c r="I5092" s="16" cm="1">
        <f t="array" ref="I5092">SUM(I5090:I5091)</f>
        <v>0</v>
      </c>
    </row>
    <row r="5093" ht="20.65" customHeight="1">
      <c r="A5093" s="10">
        <v>45677</v>
      </c>
      <c r="B5093" t="s" s="11">
        <v>93</v>
      </c>
      <c r="C5093" t="s" s="12">
        <v>70</v>
      </c>
      <c r="D5093" s="17">
        <v>50000</v>
      </c>
      <c r="E5093" s="17"/>
      <c r="F5093" s="18"/>
      <c r="G5093" s="18"/>
      <c r="H5093" s="18"/>
      <c r="I5093" s="18"/>
    </row>
    <row r="5094" ht="20.65" customHeight="1">
      <c r="A5094" s="10">
        <v>45677</v>
      </c>
      <c r="B5094" t="s" s="11">
        <v>21</v>
      </c>
      <c r="C5094" t="s" s="12">
        <v>70</v>
      </c>
      <c r="D5094" s="13"/>
      <c r="E5094" s="13">
        <v>50000</v>
      </c>
      <c r="F5094" s="14"/>
      <c r="G5094" s="14"/>
      <c r="H5094" s="14"/>
      <c r="I5094" s="14"/>
    </row>
    <row r="5095" ht="20.7" customHeight="1">
      <c r="A5095" s="10">
        <v>45677</v>
      </c>
      <c r="B5095" t="s" s="11">
        <v>8</v>
      </c>
      <c r="C5095" t="s" s="12">
        <v>8</v>
      </c>
      <c r="D5095" s="15" cm="1">
        <f t="array" ref="D5095">SUM(D5093:D5094)</f>
        <v>50000</v>
      </c>
      <c r="E5095" s="15" cm="1">
        <f t="array" ref="E5095">SUM(E5093:E5094)</f>
        <v>50000</v>
      </c>
      <c r="F5095" s="16" cm="1">
        <f t="array" ref="F5095">SUM(F5093:F5094)</f>
        <v>0</v>
      </c>
      <c r="G5095" s="16" cm="1">
        <f t="array" ref="G5095">SUM(G5093:G5094)</f>
        <v>0</v>
      </c>
      <c r="H5095" s="16" cm="1">
        <f t="array" ref="H5095">SUM(H5093:H5094)</f>
        <v>0</v>
      </c>
      <c r="I5095" s="16" cm="1">
        <f t="array" ref="I5095">SUM(I5093:I5094)</f>
        <v>0</v>
      </c>
    </row>
    <row r="5096" ht="20.35" customHeight="1">
      <c r="A5096" s="10">
        <v>45677</v>
      </c>
      <c r="B5096" t="s" s="11">
        <v>93</v>
      </c>
      <c r="C5096" t="s" s="12">
        <v>96</v>
      </c>
      <c r="D5096" s="17"/>
      <c r="E5096" s="17">
        <v>50000</v>
      </c>
      <c r="F5096" s="18"/>
      <c r="G5096" s="18"/>
      <c r="H5096" s="18"/>
      <c r="I5096" s="18"/>
    </row>
    <row r="5097" ht="20.35" customHeight="1">
      <c r="A5097" s="10">
        <v>45677</v>
      </c>
      <c r="B5097" t="s" s="11">
        <v>5</v>
      </c>
      <c r="C5097" t="s" s="12">
        <v>96</v>
      </c>
      <c r="D5097" s="13">
        <v>50000</v>
      </c>
      <c r="E5097" s="13"/>
      <c r="F5097" s="14"/>
      <c r="G5097" s="14"/>
      <c r="H5097" s="14"/>
      <c r="I5097" s="14"/>
    </row>
    <row r="5098" ht="20.7" customHeight="1">
      <c r="A5098" s="10">
        <v>45677</v>
      </c>
      <c r="B5098" t="s" s="11">
        <v>8</v>
      </c>
      <c r="C5098" t="s" s="12">
        <v>8</v>
      </c>
      <c r="D5098" s="15" cm="1">
        <f t="array" ref="D5098">SUM(D5096:D5097)</f>
        <v>50000</v>
      </c>
      <c r="E5098" s="15" cm="1">
        <f t="array" ref="E5098">SUM(E5096:E5097)</f>
        <v>50000</v>
      </c>
      <c r="F5098" s="16" cm="1">
        <f t="array" ref="F5098">SUM(F5096:F5097)</f>
        <v>0</v>
      </c>
      <c r="G5098" s="16" cm="1">
        <f t="array" ref="G5098">SUM(G5096:G5097)</f>
        <v>0</v>
      </c>
      <c r="H5098" s="16" cm="1">
        <f t="array" ref="H5098">SUM(H5096:H5097)</f>
        <v>0</v>
      </c>
      <c r="I5098" s="16" cm="1">
        <f t="array" ref="I5098">SUM(I5096:I5097)</f>
        <v>0</v>
      </c>
    </row>
    <row r="5099" ht="21.25" customHeight="1">
      <c r="A5099" s="10">
        <v>45677</v>
      </c>
      <c r="B5099" t="s" s="11">
        <v>5</v>
      </c>
      <c r="C5099" t="s" s="12">
        <v>836</v>
      </c>
      <c r="D5099" s="17"/>
      <c r="E5099" s="17">
        <v>15900</v>
      </c>
      <c r="F5099" s="18"/>
      <c r="G5099" s="18"/>
      <c r="H5099" s="18"/>
      <c r="I5099" s="18"/>
    </row>
    <row r="5100" ht="21.25" customHeight="1">
      <c r="A5100" s="10">
        <v>45677</v>
      </c>
      <c r="B5100" t="s" s="11">
        <v>10</v>
      </c>
      <c r="C5100" t="s" s="12">
        <v>836</v>
      </c>
      <c r="D5100" s="13">
        <v>15900</v>
      </c>
      <c r="E5100" s="13"/>
      <c r="F5100" s="14"/>
      <c r="G5100" s="14"/>
      <c r="H5100" s="14"/>
      <c r="I5100" s="14"/>
    </row>
    <row r="5101" ht="20.7" customHeight="1">
      <c r="A5101" s="10">
        <v>45677</v>
      </c>
      <c r="B5101" t="s" s="11">
        <v>8</v>
      </c>
      <c r="C5101" t="s" s="12">
        <v>8</v>
      </c>
      <c r="D5101" s="15" cm="1">
        <f t="array" ref="D5101">SUM(D5099:D5100)</f>
        <v>15900</v>
      </c>
      <c r="E5101" s="15" cm="1">
        <f t="array" ref="E5101">SUM(E5099:E5100)</f>
        <v>15900</v>
      </c>
      <c r="F5101" s="16" cm="1">
        <f t="array" ref="F5101">SUM(F5099:F5100)</f>
        <v>0</v>
      </c>
      <c r="G5101" s="16" cm="1">
        <f t="array" ref="G5101">SUM(G5099:G5100)</f>
        <v>0</v>
      </c>
      <c r="H5101" s="16" cm="1">
        <f t="array" ref="H5101">SUM(H5099:H5100)</f>
        <v>0</v>
      </c>
      <c r="I5101" s="16" cm="1">
        <f t="array" ref="I5101">SUM(I5099:I5100)</f>
        <v>0</v>
      </c>
    </row>
    <row r="5102" ht="21.25" customHeight="1">
      <c r="A5102" s="10">
        <v>45677</v>
      </c>
      <c r="B5102" t="s" s="11">
        <v>5</v>
      </c>
      <c r="C5102" t="s" s="12">
        <v>799</v>
      </c>
      <c r="D5102" s="17">
        <v>2</v>
      </c>
      <c r="E5102" s="17"/>
      <c r="F5102" s="18"/>
      <c r="G5102" s="18"/>
      <c r="H5102" s="18"/>
      <c r="I5102" s="18"/>
    </row>
    <row r="5103" ht="21.25" customHeight="1">
      <c r="A5103" s="10">
        <v>45677</v>
      </c>
      <c r="B5103" t="s" s="11">
        <v>91</v>
      </c>
      <c r="C5103" t="s" s="12">
        <v>799</v>
      </c>
      <c r="D5103" s="13"/>
      <c r="E5103" s="13">
        <v>2</v>
      </c>
      <c r="F5103" s="14"/>
      <c r="G5103" s="14"/>
      <c r="H5103" s="14"/>
      <c r="I5103" s="14"/>
    </row>
    <row r="5104" ht="20.7" customHeight="1">
      <c r="A5104" s="10">
        <v>45677</v>
      </c>
      <c r="B5104" t="s" s="11">
        <v>8</v>
      </c>
      <c r="C5104" t="s" s="12">
        <v>8</v>
      </c>
      <c r="D5104" s="15" cm="1">
        <f t="array" ref="D5104">SUM(D5102:D5103)</f>
        <v>2</v>
      </c>
      <c r="E5104" s="15" cm="1">
        <f t="array" ref="E5104">SUM(E5102:E5103)</f>
        <v>2</v>
      </c>
      <c r="F5104" s="16" cm="1">
        <f t="array" ref="F5104">SUM(F5102:F5103)</f>
        <v>0</v>
      </c>
      <c r="G5104" s="16" cm="1">
        <f t="array" ref="G5104">SUM(G5102:G5103)</f>
        <v>0</v>
      </c>
      <c r="H5104" s="16" cm="1">
        <f t="array" ref="H5104">SUM(H5102:H5103)</f>
        <v>0</v>
      </c>
      <c r="I5104" s="16" cm="1">
        <f t="array" ref="I5104">SUM(I5102:I5103)</f>
        <v>0</v>
      </c>
    </row>
    <row r="5105" ht="21.25" customHeight="1">
      <c r="A5105" s="10">
        <v>45677</v>
      </c>
      <c r="B5105" t="s" s="11">
        <v>5</v>
      </c>
      <c r="C5105" t="s" s="12">
        <v>799</v>
      </c>
      <c r="D5105" s="17"/>
      <c r="E5105" s="17">
        <v>2</v>
      </c>
      <c r="F5105" s="18"/>
      <c r="G5105" s="18"/>
      <c r="H5105" s="18"/>
      <c r="I5105" s="18"/>
    </row>
    <row r="5106" ht="21.25" customHeight="1">
      <c r="A5106" s="10">
        <v>45677</v>
      </c>
      <c r="B5106" t="s" s="11">
        <v>814</v>
      </c>
      <c r="C5106" t="s" s="12">
        <v>799</v>
      </c>
      <c r="D5106" s="13">
        <v>2</v>
      </c>
      <c r="E5106" s="13"/>
      <c r="F5106" s="14"/>
      <c r="G5106" s="14"/>
      <c r="H5106" s="14"/>
      <c r="I5106" s="14"/>
    </row>
    <row r="5107" ht="20.7" customHeight="1">
      <c r="A5107" s="10">
        <v>45677</v>
      </c>
      <c r="B5107" t="s" s="11">
        <v>8</v>
      </c>
      <c r="C5107" t="s" s="12">
        <v>8</v>
      </c>
      <c r="D5107" s="15" cm="1">
        <f t="array" ref="D5107">SUM(D5105:D5106)</f>
        <v>2</v>
      </c>
      <c r="E5107" s="15" cm="1">
        <f t="array" ref="E5107">SUM(E5105:E5106)</f>
        <v>2</v>
      </c>
      <c r="F5107" s="16" cm="1">
        <f t="array" ref="F5107">SUM(F5105:F5106)</f>
        <v>0</v>
      </c>
      <c r="G5107" s="16" cm="1">
        <f t="array" ref="G5107">SUM(G5105:G5106)</f>
        <v>0</v>
      </c>
      <c r="H5107" s="16" cm="1">
        <f t="array" ref="H5107">SUM(H5105:H5106)</f>
        <v>0</v>
      </c>
      <c r="I5107" s="16" cm="1">
        <f t="array" ref="I5107">SUM(I5105:I5106)</f>
        <v>0</v>
      </c>
    </row>
    <row r="5108" ht="21.25" customHeight="1">
      <c r="A5108" s="10">
        <v>45677</v>
      </c>
      <c r="B5108" t="s" s="11">
        <v>21</v>
      </c>
      <c r="C5108" t="s" s="12">
        <v>837</v>
      </c>
      <c r="D5108" s="17"/>
      <c r="E5108" s="17">
        <v>1500</v>
      </c>
      <c r="F5108" s="18"/>
      <c r="G5108" s="18"/>
      <c r="H5108" s="18"/>
      <c r="I5108" s="18"/>
    </row>
    <row r="5109" ht="21.25" customHeight="1">
      <c r="A5109" s="10">
        <v>45677</v>
      </c>
      <c r="B5109" t="s" s="11">
        <v>16</v>
      </c>
      <c r="C5109" t="s" s="12">
        <v>837</v>
      </c>
      <c r="D5109" s="13">
        <v>1500</v>
      </c>
      <c r="E5109" s="13"/>
      <c r="F5109" s="14"/>
      <c r="G5109" s="14"/>
      <c r="H5109" s="14"/>
      <c r="I5109" s="14"/>
    </row>
    <row r="5110" ht="20.7" customHeight="1">
      <c r="A5110" s="10">
        <v>45677</v>
      </c>
      <c r="B5110" t="s" s="11">
        <v>8</v>
      </c>
      <c r="C5110" t="s" s="12">
        <v>8</v>
      </c>
      <c r="D5110" s="15" cm="1">
        <f t="array" ref="D5110">SUM(D5108:D5109)</f>
        <v>1500</v>
      </c>
      <c r="E5110" s="15" cm="1">
        <f t="array" ref="E5110">SUM(E5108:E5109)</f>
        <v>1500</v>
      </c>
      <c r="F5110" s="16" cm="1">
        <f t="array" ref="F5110">SUM(F5108:F5109)</f>
        <v>0</v>
      </c>
      <c r="G5110" s="16" cm="1">
        <f t="array" ref="G5110">SUM(G5108:G5109)</f>
        <v>0</v>
      </c>
      <c r="H5110" s="16" cm="1">
        <f t="array" ref="H5110">SUM(H5108:H5109)</f>
        <v>0</v>
      </c>
      <c r="I5110" s="16" cm="1">
        <f t="array" ref="I5110">SUM(I5108:I5109)</f>
        <v>0</v>
      </c>
    </row>
    <row r="5111" ht="20.35" customHeight="1">
      <c r="A5111" s="10">
        <v>45678</v>
      </c>
      <c r="B5111" t="s" s="11">
        <v>5</v>
      </c>
      <c r="C5111" t="s" s="12">
        <v>604</v>
      </c>
      <c r="D5111" s="17"/>
      <c r="E5111" s="17">
        <v>10000</v>
      </c>
      <c r="F5111" s="18"/>
      <c r="G5111" s="18"/>
      <c r="H5111" s="18"/>
      <c r="I5111" s="18"/>
    </row>
    <row r="5112" ht="20.35" customHeight="1">
      <c r="A5112" s="10">
        <v>45678</v>
      </c>
      <c r="B5112" t="s" s="11">
        <v>93</v>
      </c>
      <c r="C5112" t="s" s="12">
        <v>604</v>
      </c>
      <c r="D5112" s="13">
        <v>10000</v>
      </c>
      <c r="E5112" s="13"/>
      <c r="F5112" s="14"/>
      <c r="G5112" s="14"/>
      <c r="H5112" s="14"/>
      <c r="I5112" s="14"/>
    </row>
    <row r="5113" ht="20.7" customHeight="1">
      <c r="A5113" s="10">
        <v>45678</v>
      </c>
      <c r="B5113" t="s" s="11">
        <v>8</v>
      </c>
      <c r="C5113" t="s" s="12">
        <v>8</v>
      </c>
      <c r="D5113" s="15" cm="1">
        <f t="array" ref="D5113">SUM(D5111:D5112)</f>
        <v>10000</v>
      </c>
      <c r="E5113" s="15" cm="1">
        <f t="array" ref="E5113">SUM(E5111:E5112)</f>
        <v>10000</v>
      </c>
      <c r="F5113" s="16" cm="1">
        <f t="array" ref="F5113">SUM(F5111:F5112)</f>
        <v>0</v>
      </c>
      <c r="G5113" s="16" cm="1">
        <f t="array" ref="G5113">SUM(G5111:G5112)</f>
        <v>0</v>
      </c>
      <c r="H5113" s="16" cm="1">
        <f t="array" ref="H5113">SUM(H5111:H5112)</f>
        <v>0</v>
      </c>
      <c r="I5113" s="16" cm="1">
        <f t="array" ref="I5113">SUM(I5111:I5112)</f>
        <v>0</v>
      </c>
    </row>
    <row r="5114" ht="20.35" customHeight="1">
      <c r="A5114" s="10">
        <v>45678</v>
      </c>
      <c r="B5114" t="s" s="11">
        <v>93</v>
      </c>
      <c r="C5114" t="s" s="12">
        <v>54</v>
      </c>
      <c r="D5114" s="17"/>
      <c r="E5114" s="17">
        <v>3300</v>
      </c>
      <c r="F5114" s="18"/>
      <c r="G5114" s="18"/>
      <c r="H5114" s="18"/>
      <c r="I5114" s="18"/>
    </row>
    <row r="5115" ht="20.35" customHeight="1">
      <c r="A5115" s="10">
        <v>45678</v>
      </c>
      <c r="B5115" t="s" s="11">
        <v>10</v>
      </c>
      <c r="C5115" t="s" s="12">
        <v>54</v>
      </c>
      <c r="D5115" s="13">
        <v>3300</v>
      </c>
      <c r="E5115" s="13"/>
      <c r="F5115" s="14"/>
      <c r="G5115" s="14"/>
      <c r="H5115" s="14"/>
      <c r="I5115" s="14"/>
    </row>
    <row r="5116" ht="20.7" customHeight="1">
      <c r="A5116" s="10">
        <v>45678</v>
      </c>
      <c r="B5116" t="s" s="11">
        <v>8</v>
      </c>
      <c r="C5116" t="s" s="12">
        <v>8</v>
      </c>
      <c r="D5116" s="15" cm="1">
        <f t="array" ref="D5116">SUM(D5114:D5115)</f>
        <v>3300</v>
      </c>
      <c r="E5116" s="15" cm="1">
        <f t="array" ref="E5116">SUM(E5114:E5115)</f>
        <v>3300</v>
      </c>
      <c r="F5116" s="16" cm="1">
        <f t="array" ref="F5116">SUM(F5114:F5115)</f>
        <v>0</v>
      </c>
      <c r="G5116" s="16" cm="1">
        <f t="array" ref="G5116">SUM(G5114:G5115)</f>
        <v>0</v>
      </c>
      <c r="H5116" s="16" cm="1">
        <f t="array" ref="H5116">SUM(H5114:H5115)</f>
        <v>0</v>
      </c>
      <c r="I5116" s="16" cm="1">
        <f t="array" ref="I5116">SUM(I5114:I5115)</f>
        <v>0</v>
      </c>
    </row>
    <row r="5117" ht="20.35" customHeight="1">
      <c r="A5117" s="10">
        <v>45678</v>
      </c>
      <c r="B5117" t="s" s="11">
        <v>107</v>
      </c>
      <c r="C5117" t="s" s="12">
        <v>78</v>
      </c>
      <c r="D5117" s="17">
        <v>72000</v>
      </c>
      <c r="E5117" s="17"/>
      <c r="F5117" s="18"/>
      <c r="G5117" s="18"/>
      <c r="H5117" s="18"/>
      <c r="I5117" s="18"/>
    </row>
    <row r="5118" ht="20.35" customHeight="1">
      <c r="A5118" s="10">
        <v>45678</v>
      </c>
      <c r="B5118" t="s" s="11">
        <v>21</v>
      </c>
      <c r="C5118" t="s" s="12">
        <v>78</v>
      </c>
      <c r="D5118" s="13"/>
      <c r="E5118" s="13">
        <v>72000</v>
      </c>
      <c r="F5118" s="14"/>
      <c r="G5118" s="14"/>
      <c r="H5118" s="14"/>
      <c r="I5118" s="14"/>
    </row>
    <row r="5119" ht="20.7" customHeight="1">
      <c r="A5119" s="10">
        <v>45678</v>
      </c>
      <c r="B5119" t="s" s="11">
        <v>8</v>
      </c>
      <c r="C5119" t="s" s="12">
        <v>8</v>
      </c>
      <c r="D5119" s="15" cm="1">
        <f t="array" ref="D5119">SUM(D5117:D5118)</f>
        <v>72000</v>
      </c>
      <c r="E5119" s="15" cm="1">
        <f t="array" ref="E5119">SUM(E5117:E5118)</f>
        <v>72000</v>
      </c>
      <c r="F5119" s="16" cm="1">
        <f t="array" ref="F5119">SUM(F5117:F5118)</f>
        <v>0</v>
      </c>
      <c r="G5119" s="16" cm="1">
        <f t="array" ref="G5119">SUM(G5117:G5118)</f>
        <v>0</v>
      </c>
      <c r="H5119" s="16" cm="1">
        <f t="array" ref="H5119">SUM(H5117:H5118)</f>
        <v>0</v>
      </c>
      <c r="I5119" s="16" cm="1">
        <f t="array" ref="I5119">SUM(I5117:I5118)</f>
        <v>0</v>
      </c>
    </row>
    <row r="5120" ht="20.35" customHeight="1">
      <c r="A5120" s="10">
        <v>45678</v>
      </c>
      <c r="B5120" t="s" s="11">
        <v>107</v>
      </c>
      <c r="C5120" t="s" s="12">
        <v>838</v>
      </c>
      <c r="D5120" s="17"/>
      <c r="E5120" s="17">
        <v>70700</v>
      </c>
      <c r="F5120" s="18"/>
      <c r="G5120" s="18"/>
      <c r="H5120" s="18"/>
      <c r="I5120" s="18"/>
    </row>
    <row r="5121" ht="20.05" customHeight="1">
      <c r="A5121" s="10">
        <v>45678</v>
      </c>
      <c r="B5121" t="s" s="11">
        <v>21</v>
      </c>
      <c r="C5121" t="s" s="12">
        <v>838</v>
      </c>
      <c r="D5121" s="19">
        <v>70000</v>
      </c>
      <c r="E5121" s="19"/>
      <c r="F5121" s="20"/>
      <c r="G5121" s="20"/>
      <c r="H5121" s="20"/>
      <c r="I5121" s="20"/>
    </row>
    <row r="5122" ht="20.35" customHeight="1">
      <c r="A5122" s="10">
        <v>45678</v>
      </c>
      <c r="B5122" t="s" s="11">
        <v>10</v>
      </c>
      <c r="C5122" t="s" s="12">
        <v>838</v>
      </c>
      <c r="D5122" s="13">
        <v>700</v>
      </c>
      <c r="E5122" s="13"/>
      <c r="F5122" s="14"/>
      <c r="G5122" s="14"/>
      <c r="H5122" s="14"/>
      <c r="I5122" s="14"/>
    </row>
    <row r="5123" ht="20.7" customHeight="1">
      <c r="A5123" s="10">
        <v>45678</v>
      </c>
      <c r="B5123" t="s" s="11">
        <v>8</v>
      </c>
      <c r="C5123" t="s" s="12">
        <v>8</v>
      </c>
      <c r="D5123" s="15" cm="1">
        <f t="array" ref="D5123">SUM(D5120:D5122)</f>
        <v>70700</v>
      </c>
      <c r="E5123" s="15" cm="1">
        <f t="array" ref="E5123">SUM(E5120:E5122)</f>
        <v>70700</v>
      </c>
      <c r="F5123" s="16" cm="1">
        <f t="array" ref="F5123">SUM(F5120:F5122)</f>
        <v>0</v>
      </c>
      <c r="G5123" s="16" cm="1">
        <f t="array" ref="G5123">SUM(G5120:G5122)</f>
        <v>0</v>
      </c>
      <c r="H5123" s="16" cm="1">
        <f t="array" ref="H5123">SUM(H5120:H5122)</f>
        <v>0</v>
      </c>
      <c r="I5123" s="16" cm="1">
        <f t="array" ref="I5123">SUM(I5120:I5122)</f>
        <v>0</v>
      </c>
    </row>
    <row r="5124" ht="20.65" customHeight="1">
      <c r="A5124" s="10">
        <v>45678</v>
      </c>
      <c r="B5124" t="s" s="11">
        <v>12</v>
      </c>
      <c r="C5124" t="s" s="12">
        <v>218</v>
      </c>
      <c r="D5124" s="17">
        <v>5000</v>
      </c>
      <c r="E5124" s="17"/>
      <c r="F5124" s="18"/>
      <c r="G5124" s="18"/>
      <c r="H5124" s="18"/>
      <c r="I5124" s="18"/>
    </row>
    <row r="5125" ht="20.65" customHeight="1">
      <c r="A5125" s="10">
        <v>45678</v>
      </c>
      <c r="B5125" t="s" s="11">
        <v>21</v>
      </c>
      <c r="C5125" t="s" s="12">
        <v>218</v>
      </c>
      <c r="D5125" s="13"/>
      <c r="E5125" s="13">
        <v>5000</v>
      </c>
      <c r="F5125" s="14"/>
      <c r="G5125" s="14"/>
      <c r="H5125" s="14"/>
      <c r="I5125" s="14"/>
    </row>
    <row r="5126" ht="20.7" customHeight="1">
      <c r="A5126" s="10">
        <v>45678</v>
      </c>
      <c r="B5126" t="s" s="11">
        <v>8</v>
      </c>
      <c r="C5126" t="s" s="12">
        <v>8</v>
      </c>
      <c r="D5126" s="15" cm="1">
        <f t="array" ref="D5126">SUM(D5124:D5125)</f>
        <v>5000</v>
      </c>
      <c r="E5126" s="15" cm="1">
        <f t="array" ref="E5126">SUM(E5124:E5125)</f>
        <v>5000</v>
      </c>
      <c r="F5126" s="16" cm="1">
        <f t="array" ref="F5126">SUM(F5124:F5125)</f>
        <v>0</v>
      </c>
      <c r="G5126" s="16" cm="1">
        <f t="array" ref="G5126">SUM(G5124:G5125)</f>
        <v>0</v>
      </c>
      <c r="H5126" s="16" cm="1">
        <f t="array" ref="H5126">SUM(H5124:H5125)</f>
        <v>0</v>
      </c>
      <c r="I5126" s="16" cm="1">
        <f t="array" ref="I5126">SUM(I5124:I5125)</f>
        <v>0</v>
      </c>
    </row>
    <row r="5127" ht="20.35" customHeight="1">
      <c r="A5127" s="10">
        <v>45678</v>
      </c>
      <c r="B5127" t="s" s="11">
        <v>12</v>
      </c>
      <c r="C5127" t="s" s="12">
        <v>468</v>
      </c>
      <c r="D5127" s="17">
        <v>7300</v>
      </c>
      <c r="E5127" s="17"/>
      <c r="F5127" s="18"/>
      <c r="G5127" s="18"/>
      <c r="H5127" s="18"/>
      <c r="I5127" s="18"/>
    </row>
    <row r="5128" ht="20.05" customHeight="1">
      <c r="A5128" s="10">
        <v>45678</v>
      </c>
      <c r="B5128" t="s" s="11">
        <v>21</v>
      </c>
      <c r="C5128" t="s" s="12">
        <v>468</v>
      </c>
      <c r="D5128" s="19">
        <v>3400</v>
      </c>
      <c r="E5128" s="19"/>
      <c r="F5128" s="20"/>
      <c r="G5128" s="20"/>
      <c r="H5128" s="20"/>
      <c r="I5128" s="20"/>
    </row>
    <row r="5129" ht="20.35" customHeight="1">
      <c r="A5129" s="10">
        <v>45678</v>
      </c>
      <c r="B5129" t="s" s="11">
        <v>5</v>
      </c>
      <c r="C5129" t="s" s="12">
        <v>468</v>
      </c>
      <c r="D5129" s="13"/>
      <c r="E5129" s="13">
        <v>10700</v>
      </c>
      <c r="F5129" s="14"/>
      <c r="G5129" s="14"/>
      <c r="H5129" s="14"/>
      <c r="I5129" s="14"/>
    </row>
    <row r="5130" ht="20.7" customHeight="1">
      <c r="A5130" s="10">
        <v>45678</v>
      </c>
      <c r="B5130" t="s" s="11">
        <v>8</v>
      </c>
      <c r="C5130" t="s" s="12">
        <v>8</v>
      </c>
      <c r="D5130" s="15" cm="1">
        <f t="array" ref="D5130">SUM(D5127:D5129)</f>
        <v>10700</v>
      </c>
      <c r="E5130" s="15" cm="1">
        <f t="array" ref="E5130">SUM(E5127:E5129)</f>
        <v>10700</v>
      </c>
      <c r="F5130" s="16" cm="1">
        <f t="array" ref="F5130">SUM(F5127:F5129)</f>
        <v>0</v>
      </c>
      <c r="G5130" s="16" cm="1">
        <f t="array" ref="G5130">SUM(G5127:G5129)</f>
        <v>0</v>
      </c>
      <c r="H5130" s="16" cm="1">
        <f t="array" ref="H5130">SUM(H5127:H5129)</f>
        <v>0</v>
      </c>
      <c r="I5130" s="16" cm="1">
        <f t="array" ref="I5130">SUM(I5127:I5129)</f>
        <v>0</v>
      </c>
    </row>
    <row r="5131" ht="20.35" customHeight="1">
      <c r="A5131" s="10">
        <v>45678</v>
      </c>
      <c r="B5131" t="s" s="11">
        <v>93</v>
      </c>
      <c r="C5131" t="s" s="12">
        <v>839</v>
      </c>
      <c r="D5131" s="17"/>
      <c r="E5131" s="17">
        <v>3600</v>
      </c>
      <c r="F5131" s="18"/>
      <c r="G5131" s="18"/>
      <c r="H5131" s="18"/>
      <c r="I5131" s="18"/>
    </row>
    <row r="5132" ht="20.35" customHeight="1">
      <c r="A5132" s="10">
        <v>45678</v>
      </c>
      <c r="B5132" t="s" s="11">
        <v>21</v>
      </c>
      <c r="C5132" t="s" s="12">
        <v>839</v>
      </c>
      <c r="D5132" s="13">
        <v>3600</v>
      </c>
      <c r="E5132" s="13"/>
      <c r="F5132" s="14"/>
      <c r="G5132" s="14"/>
      <c r="H5132" s="14"/>
      <c r="I5132" s="14"/>
    </row>
    <row r="5133" ht="20.7" customHeight="1">
      <c r="A5133" s="10">
        <v>45678</v>
      </c>
      <c r="B5133" t="s" s="11">
        <v>8</v>
      </c>
      <c r="C5133" t="s" s="12">
        <v>8</v>
      </c>
      <c r="D5133" s="15" cm="1">
        <f t="array" ref="D5133">SUM(D5131:D5132)</f>
        <v>3600</v>
      </c>
      <c r="E5133" s="15" cm="1">
        <f t="array" ref="E5133">SUM(E5131:E5132)</f>
        <v>3600</v>
      </c>
      <c r="F5133" s="16" cm="1">
        <f t="array" ref="F5133">SUM(F5131:F5132)</f>
        <v>0</v>
      </c>
      <c r="G5133" s="16" cm="1">
        <f t="array" ref="G5133">SUM(G5131:G5132)</f>
        <v>0</v>
      </c>
      <c r="H5133" s="16" cm="1">
        <f t="array" ref="H5133">SUM(H5131:H5132)</f>
        <v>0</v>
      </c>
      <c r="I5133" s="16" cm="1">
        <f t="array" ref="I5133">SUM(I5131:I5132)</f>
        <v>0</v>
      </c>
    </row>
    <row r="5134" ht="20.35" customHeight="1">
      <c r="A5134" s="10">
        <v>45678</v>
      </c>
      <c r="B5134" t="s" s="11">
        <v>91</v>
      </c>
      <c r="C5134" t="s" s="12">
        <v>17</v>
      </c>
      <c r="D5134" s="17"/>
      <c r="E5134" s="17">
        <v>100</v>
      </c>
      <c r="F5134" s="18"/>
      <c r="G5134" s="18"/>
      <c r="H5134" s="18"/>
      <c r="I5134" s="18"/>
    </row>
    <row r="5135" ht="20.35" customHeight="1">
      <c r="A5135" s="10">
        <v>45678</v>
      </c>
      <c r="B5135" t="s" s="11">
        <v>5</v>
      </c>
      <c r="C5135" t="s" s="12">
        <v>17</v>
      </c>
      <c r="D5135" s="13">
        <v>100</v>
      </c>
      <c r="E5135" s="13"/>
      <c r="F5135" s="14"/>
      <c r="G5135" s="14"/>
      <c r="H5135" s="14"/>
      <c r="I5135" s="14"/>
    </row>
    <row r="5136" ht="20.7" customHeight="1">
      <c r="A5136" s="10">
        <v>45678</v>
      </c>
      <c r="B5136" t="s" s="11">
        <v>8</v>
      </c>
      <c r="C5136" t="s" s="12">
        <v>8</v>
      </c>
      <c r="D5136" s="15" cm="1">
        <f t="array" ref="D5136">SUM(D5134:D5135)</f>
        <v>100</v>
      </c>
      <c r="E5136" s="15" cm="1">
        <f t="array" ref="E5136">SUM(E5134:E5135)</f>
        <v>100</v>
      </c>
      <c r="F5136" s="16" cm="1">
        <f t="array" ref="F5136">SUM(F5134:F5135)</f>
        <v>0</v>
      </c>
      <c r="G5136" s="16" cm="1">
        <f t="array" ref="G5136">SUM(G5134:G5135)</f>
        <v>0</v>
      </c>
      <c r="H5136" s="16" cm="1">
        <f t="array" ref="H5136">SUM(H5134:H5135)</f>
        <v>0</v>
      </c>
      <c r="I5136" s="16" cm="1">
        <f t="array" ref="I5136">SUM(I5134:I5135)</f>
        <v>0</v>
      </c>
    </row>
    <row r="5137" ht="20.65" customHeight="1">
      <c r="A5137" s="10">
        <v>45678</v>
      </c>
      <c r="B5137" t="s" s="11">
        <v>12</v>
      </c>
      <c r="C5137" t="s" s="12">
        <v>745</v>
      </c>
      <c r="D5137" s="17">
        <v>3500</v>
      </c>
      <c r="E5137" s="17"/>
      <c r="F5137" s="18"/>
      <c r="G5137" s="18"/>
      <c r="H5137" s="18"/>
      <c r="I5137" s="18"/>
    </row>
    <row r="5138" ht="20.65" customHeight="1">
      <c r="A5138" s="10">
        <v>45678</v>
      </c>
      <c r="B5138" t="s" s="11">
        <v>5</v>
      </c>
      <c r="C5138" t="s" s="12">
        <v>745</v>
      </c>
      <c r="D5138" s="13"/>
      <c r="E5138" s="13">
        <v>3500</v>
      </c>
      <c r="F5138" s="14"/>
      <c r="G5138" s="14"/>
      <c r="H5138" s="14"/>
      <c r="I5138" s="14"/>
    </row>
    <row r="5139" ht="20.7" customHeight="1">
      <c r="A5139" s="10">
        <v>45678</v>
      </c>
      <c r="B5139" t="s" s="11">
        <v>8</v>
      </c>
      <c r="C5139" t="s" s="12">
        <v>8</v>
      </c>
      <c r="D5139" s="15" cm="1">
        <f t="array" ref="D5139">SUM(D5137:D5138)</f>
        <v>3500</v>
      </c>
      <c r="E5139" s="15" cm="1">
        <f t="array" ref="E5139">SUM(E5137:E5138)</f>
        <v>3500</v>
      </c>
      <c r="F5139" s="16" cm="1">
        <f t="array" ref="F5139">SUM(F5137:F5138)</f>
        <v>0</v>
      </c>
      <c r="G5139" s="16" cm="1">
        <f t="array" ref="G5139">SUM(G5137:G5138)</f>
        <v>0</v>
      </c>
      <c r="H5139" s="16" cm="1">
        <f t="array" ref="H5139">SUM(H5137:H5138)</f>
        <v>0</v>
      </c>
      <c r="I5139" s="16" cm="1">
        <f t="array" ref="I5139">SUM(I5137:I5138)</f>
        <v>0</v>
      </c>
    </row>
    <row r="5140" ht="21.25" customHeight="1">
      <c r="A5140" s="10">
        <v>45678</v>
      </c>
      <c r="B5140" t="s" s="11">
        <v>5</v>
      </c>
      <c r="C5140" t="s" s="12">
        <v>799</v>
      </c>
      <c r="D5140" s="17">
        <v>1</v>
      </c>
      <c r="E5140" s="17"/>
      <c r="F5140" s="18"/>
      <c r="G5140" s="18"/>
      <c r="H5140" s="18"/>
      <c r="I5140" s="18"/>
    </row>
    <row r="5141" ht="21.25" customHeight="1">
      <c r="A5141" s="10">
        <v>45678</v>
      </c>
      <c r="B5141" t="s" s="11">
        <v>91</v>
      </c>
      <c r="C5141" t="s" s="12">
        <v>799</v>
      </c>
      <c r="D5141" s="13"/>
      <c r="E5141" s="13">
        <v>1</v>
      </c>
      <c r="F5141" s="14"/>
      <c r="G5141" s="14"/>
      <c r="H5141" s="14"/>
      <c r="I5141" s="14"/>
    </row>
    <row r="5142" ht="20.7" customHeight="1">
      <c r="A5142" s="10">
        <v>45678</v>
      </c>
      <c r="B5142" t="s" s="11">
        <v>8</v>
      </c>
      <c r="C5142" t="s" s="12">
        <v>8</v>
      </c>
      <c r="D5142" s="15" cm="1">
        <f t="array" ref="D5142">SUM(D5140:D5141)</f>
        <v>1</v>
      </c>
      <c r="E5142" s="15" cm="1">
        <f t="array" ref="E5142">SUM(E5140:E5141)</f>
        <v>1</v>
      </c>
      <c r="F5142" s="16" cm="1">
        <f t="array" ref="F5142">SUM(F5140:F5141)</f>
        <v>0</v>
      </c>
      <c r="G5142" s="16" cm="1">
        <f t="array" ref="G5142">SUM(G5140:G5141)</f>
        <v>0</v>
      </c>
      <c r="H5142" s="16" cm="1">
        <f t="array" ref="H5142">SUM(H5140:H5141)</f>
        <v>0</v>
      </c>
      <c r="I5142" s="16" cm="1">
        <f t="array" ref="I5142">SUM(I5140:I5141)</f>
        <v>0</v>
      </c>
    </row>
    <row r="5143" ht="20.35" customHeight="1">
      <c r="A5143" s="10">
        <v>45678</v>
      </c>
      <c r="B5143" t="s" s="11">
        <v>5</v>
      </c>
      <c r="C5143" t="s" s="12">
        <v>604</v>
      </c>
      <c r="D5143" s="17"/>
      <c r="E5143" s="17">
        <v>10000</v>
      </c>
      <c r="F5143" s="18"/>
      <c r="G5143" s="18"/>
      <c r="H5143" s="18"/>
      <c r="I5143" s="18"/>
    </row>
    <row r="5144" ht="20.35" customHeight="1">
      <c r="A5144" s="10">
        <v>45678</v>
      </c>
      <c r="B5144" t="s" s="11">
        <v>93</v>
      </c>
      <c r="C5144" t="s" s="12">
        <v>604</v>
      </c>
      <c r="D5144" s="13">
        <v>10000</v>
      </c>
      <c r="E5144" s="13"/>
      <c r="F5144" s="14"/>
      <c r="G5144" s="14"/>
      <c r="H5144" s="14"/>
      <c r="I5144" s="14"/>
    </row>
    <row r="5145" ht="20.7" customHeight="1">
      <c r="A5145" s="10">
        <v>45678</v>
      </c>
      <c r="B5145" t="s" s="11">
        <v>8</v>
      </c>
      <c r="C5145" t="s" s="12">
        <v>8</v>
      </c>
      <c r="D5145" s="15" cm="1">
        <f t="array" ref="D5145">SUM(D5143:D5144)</f>
        <v>10000</v>
      </c>
      <c r="E5145" s="15" cm="1">
        <f t="array" ref="E5145">SUM(E5143:E5144)</f>
        <v>10000</v>
      </c>
      <c r="F5145" s="16" cm="1">
        <f t="array" ref="F5145">SUM(F5143:F5144)</f>
        <v>0</v>
      </c>
      <c r="G5145" s="16" cm="1">
        <f t="array" ref="G5145">SUM(G5143:G5144)</f>
        <v>0</v>
      </c>
      <c r="H5145" s="16" cm="1">
        <f t="array" ref="H5145">SUM(H5143:H5144)</f>
        <v>0</v>
      </c>
      <c r="I5145" s="16" cm="1">
        <f t="array" ref="I5145">SUM(I5143:I5144)</f>
        <v>0</v>
      </c>
    </row>
    <row r="5146" ht="20.35" customHeight="1">
      <c r="A5146" s="10">
        <v>45678</v>
      </c>
      <c r="B5146" t="s" s="11">
        <v>93</v>
      </c>
      <c r="C5146" t="s" s="12">
        <v>840</v>
      </c>
      <c r="D5146" s="17"/>
      <c r="E5146" s="17">
        <v>5950</v>
      </c>
      <c r="F5146" s="18"/>
      <c r="G5146" s="18"/>
      <c r="H5146" s="18"/>
      <c r="I5146" s="18"/>
    </row>
    <row r="5147" ht="20.35" customHeight="1">
      <c r="A5147" s="10">
        <v>45678</v>
      </c>
      <c r="B5147" t="s" s="11">
        <v>12</v>
      </c>
      <c r="C5147" t="s" s="12">
        <v>840</v>
      </c>
      <c r="D5147" s="13">
        <v>5950</v>
      </c>
      <c r="E5147" s="13"/>
      <c r="F5147" s="14"/>
      <c r="G5147" s="14"/>
      <c r="H5147" s="14"/>
      <c r="I5147" s="14"/>
    </row>
    <row r="5148" ht="20.7" customHeight="1">
      <c r="A5148" s="10">
        <v>45678</v>
      </c>
      <c r="B5148" t="s" s="11">
        <v>8</v>
      </c>
      <c r="C5148" t="s" s="12">
        <v>8</v>
      </c>
      <c r="D5148" s="15" cm="1">
        <f t="array" ref="D5148">SUM(D5146:D5147)</f>
        <v>5950</v>
      </c>
      <c r="E5148" s="15" cm="1">
        <f t="array" ref="E5148">SUM(E5146:E5147)</f>
        <v>5950</v>
      </c>
      <c r="F5148" s="16" cm="1">
        <f t="array" ref="F5148">SUM(F5146:F5147)</f>
        <v>0</v>
      </c>
      <c r="G5148" s="16" cm="1">
        <f t="array" ref="G5148">SUM(G5146:G5147)</f>
        <v>0</v>
      </c>
      <c r="H5148" s="16" cm="1">
        <f t="array" ref="H5148">SUM(H5146:H5147)</f>
        <v>0</v>
      </c>
      <c r="I5148" s="16" cm="1">
        <f t="array" ref="I5148">SUM(I5146:I5147)</f>
        <v>0</v>
      </c>
    </row>
    <row r="5149" ht="21.25" customHeight="1">
      <c r="A5149" s="10">
        <v>45678</v>
      </c>
      <c r="B5149" t="s" s="11">
        <v>5</v>
      </c>
      <c r="C5149" t="s" s="12">
        <v>799</v>
      </c>
      <c r="D5149" s="17"/>
      <c r="E5149" s="17">
        <v>101</v>
      </c>
      <c r="F5149" s="18"/>
      <c r="G5149" s="18"/>
      <c r="H5149" s="18"/>
      <c r="I5149" s="18"/>
    </row>
    <row r="5150" ht="21.25" customHeight="1">
      <c r="A5150" s="10">
        <v>45678</v>
      </c>
      <c r="B5150" t="s" s="11">
        <v>814</v>
      </c>
      <c r="C5150" t="s" s="12">
        <v>799</v>
      </c>
      <c r="D5150" s="13">
        <v>101</v>
      </c>
      <c r="E5150" s="13"/>
      <c r="F5150" s="14"/>
      <c r="G5150" s="14"/>
      <c r="H5150" s="14"/>
      <c r="I5150" s="14"/>
    </row>
    <row r="5151" ht="20.7" customHeight="1">
      <c r="A5151" s="10">
        <v>45678</v>
      </c>
      <c r="B5151" t="s" s="11">
        <v>8</v>
      </c>
      <c r="C5151" t="s" s="12">
        <v>8</v>
      </c>
      <c r="D5151" s="15" cm="1">
        <f t="array" ref="D5151">SUM(D5149:D5150)</f>
        <v>101</v>
      </c>
      <c r="E5151" s="15" cm="1">
        <f t="array" ref="E5151">SUM(E5149:E5150)</f>
        <v>101</v>
      </c>
      <c r="F5151" s="16" cm="1">
        <f t="array" ref="F5151">SUM(F5149:F5150)</f>
        <v>0</v>
      </c>
      <c r="G5151" s="16" cm="1">
        <f t="array" ref="G5151">SUM(G5149:G5150)</f>
        <v>0</v>
      </c>
      <c r="H5151" s="16" cm="1">
        <f t="array" ref="H5151">SUM(H5149:H5150)</f>
        <v>0</v>
      </c>
      <c r="I5151" s="16" cm="1">
        <f t="array" ref="I5151">SUM(I5149:I5150)</f>
        <v>0</v>
      </c>
    </row>
    <row r="5152" ht="20.65" customHeight="1">
      <c r="A5152" s="10">
        <v>45678</v>
      </c>
      <c r="B5152" t="s" s="11">
        <v>814</v>
      </c>
      <c r="C5152" t="s" s="12">
        <v>820</v>
      </c>
      <c r="D5152" s="17">
        <v>1</v>
      </c>
      <c r="E5152" s="17"/>
      <c r="F5152" s="18"/>
      <c r="G5152" s="18"/>
      <c r="H5152" s="18"/>
      <c r="I5152" s="18"/>
    </row>
    <row r="5153" ht="20.65" customHeight="1">
      <c r="A5153" s="10">
        <v>45678</v>
      </c>
      <c r="B5153" t="s" s="11">
        <v>91</v>
      </c>
      <c r="C5153" t="s" s="12">
        <v>820</v>
      </c>
      <c r="D5153" s="13"/>
      <c r="E5153" s="13">
        <v>1</v>
      </c>
      <c r="F5153" s="14"/>
      <c r="G5153" s="14"/>
      <c r="H5153" s="14"/>
      <c r="I5153" s="14"/>
    </row>
    <row r="5154" ht="20.7" customHeight="1">
      <c r="A5154" s="10">
        <v>45678</v>
      </c>
      <c r="B5154" t="s" s="11">
        <v>8</v>
      </c>
      <c r="C5154" t="s" s="12">
        <v>8</v>
      </c>
      <c r="D5154" s="15" cm="1">
        <f t="array" ref="D5154">SUM(D5152:D5153)</f>
        <v>1</v>
      </c>
      <c r="E5154" s="15" cm="1">
        <f t="array" ref="E5154">SUM(E5152:E5153)</f>
        <v>1</v>
      </c>
      <c r="F5154" s="16" cm="1">
        <f t="array" ref="F5154">SUM(F5152:F5153)</f>
        <v>0</v>
      </c>
      <c r="G5154" s="16" cm="1">
        <f t="array" ref="G5154">SUM(G5152:G5153)</f>
        <v>0</v>
      </c>
      <c r="H5154" s="16" cm="1">
        <f t="array" ref="H5154">SUM(H5152:H5153)</f>
        <v>0</v>
      </c>
      <c r="I5154" s="16" cm="1">
        <f t="array" ref="I5154">SUM(I5152:I5153)</f>
        <v>0</v>
      </c>
    </row>
    <row r="5155" ht="21.25" customHeight="1">
      <c r="A5155" s="10">
        <v>45679</v>
      </c>
      <c r="B5155" t="s" s="11">
        <v>5</v>
      </c>
      <c r="C5155" t="s" s="12">
        <v>769</v>
      </c>
      <c r="D5155" s="17">
        <v>547200</v>
      </c>
      <c r="E5155" s="17"/>
      <c r="F5155" s="18"/>
      <c r="G5155" s="18"/>
      <c r="H5155" s="18"/>
      <c r="I5155" s="18"/>
    </row>
    <row r="5156" ht="21.25" customHeight="1">
      <c r="A5156" s="10">
        <v>45679</v>
      </c>
      <c r="B5156" t="s" s="11">
        <v>91</v>
      </c>
      <c r="C5156" t="s" s="12">
        <v>769</v>
      </c>
      <c r="D5156" s="13"/>
      <c r="E5156" s="13">
        <v>547200</v>
      </c>
      <c r="F5156" s="14"/>
      <c r="G5156" s="14"/>
      <c r="H5156" s="14"/>
      <c r="I5156" s="14"/>
    </row>
    <row r="5157" ht="20.7" customHeight="1">
      <c r="A5157" s="10">
        <v>45679</v>
      </c>
      <c r="B5157" t="s" s="11">
        <v>8</v>
      </c>
      <c r="C5157" t="s" s="12">
        <v>8</v>
      </c>
      <c r="D5157" s="15" cm="1">
        <f t="array" ref="D5157">SUM(D5155:D5156)</f>
        <v>547200</v>
      </c>
      <c r="E5157" s="15" cm="1">
        <f t="array" ref="E5157">SUM(E5155:E5156)</f>
        <v>547200</v>
      </c>
      <c r="F5157" s="16" cm="1">
        <f t="array" ref="F5157">SUM(F5155:F5156)</f>
        <v>0</v>
      </c>
      <c r="G5157" s="16" cm="1">
        <f t="array" ref="G5157">SUM(G5155:G5156)</f>
        <v>0</v>
      </c>
      <c r="H5157" s="16" cm="1">
        <f t="array" ref="H5157">SUM(H5155:H5156)</f>
        <v>0</v>
      </c>
      <c r="I5157" s="16" cm="1">
        <f t="array" ref="I5157">SUM(I5155:I5156)</f>
        <v>0</v>
      </c>
    </row>
    <row r="5158" ht="20.35" customHeight="1">
      <c r="A5158" s="10">
        <v>45679</v>
      </c>
      <c r="B5158" t="s" s="11">
        <v>5</v>
      </c>
      <c r="C5158" t="s" s="12">
        <v>841</v>
      </c>
      <c r="D5158" s="17"/>
      <c r="E5158" s="17">
        <v>70800</v>
      </c>
      <c r="F5158" s="18"/>
      <c r="G5158" s="18"/>
      <c r="H5158" s="18"/>
      <c r="I5158" s="18"/>
    </row>
    <row r="5159" ht="20.35" customHeight="1">
      <c r="A5159" s="10">
        <v>45679</v>
      </c>
      <c r="B5159" t="s" s="11">
        <v>21</v>
      </c>
      <c r="C5159" t="s" s="12">
        <v>841</v>
      </c>
      <c r="D5159" s="13">
        <v>70800</v>
      </c>
      <c r="E5159" s="13"/>
      <c r="F5159" s="14"/>
      <c r="G5159" s="14"/>
      <c r="H5159" s="14"/>
      <c r="I5159" s="14"/>
    </row>
    <row r="5160" ht="20.7" customHeight="1">
      <c r="A5160" s="10">
        <v>45679</v>
      </c>
      <c r="B5160" t="s" s="11">
        <v>8</v>
      </c>
      <c r="C5160" t="s" s="12">
        <v>8</v>
      </c>
      <c r="D5160" s="15" cm="1">
        <f t="array" ref="D5160">SUM(D5158:D5159)</f>
        <v>70800</v>
      </c>
      <c r="E5160" s="15" cm="1">
        <f t="array" ref="E5160">SUM(E5158:E5159)</f>
        <v>70800</v>
      </c>
      <c r="F5160" s="16" cm="1">
        <f t="array" ref="F5160">SUM(F5158:F5159)</f>
        <v>0</v>
      </c>
      <c r="G5160" s="16" cm="1">
        <f t="array" ref="G5160">SUM(G5158:G5159)</f>
        <v>0</v>
      </c>
      <c r="H5160" s="16" cm="1">
        <f t="array" ref="H5160">SUM(H5158:H5159)</f>
        <v>0</v>
      </c>
      <c r="I5160" s="16" cm="1">
        <f t="array" ref="I5160">SUM(I5158:I5159)</f>
        <v>0</v>
      </c>
    </row>
    <row r="5161" ht="20.35" customHeight="1">
      <c r="A5161" s="10">
        <v>45679</v>
      </c>
      <c r="B5161" t="s" s="11">
        <v>5</v>
      </c>
      <c r="C5161" t="s" s="12">
        <v>36</v>
      </c>
      <c r="D5161" s="17"/>
      <c r="E5161" s="17">
        <v>50000</v>
      </c>
      <c r="F5161" s="18"/>
      <c r="G5161" s="18"/>
      <c r="H5161" s="18"/>
      <c r="I5161" s="18"/>
    </row>
    <row r="5162" ht="20.35" customHeight="1">
      <c r="A5162" s="10">
        <v>45679</v>
      </c>
      <c r="B5162" t="s" s="11">
        <v>21</v>
      </c>
      <c r="C5162" t="s" s="12">
        <v>36</v>
      </c>
      <c r="D5162" s="13">
        <v>50000</v>
      </c>
      <c r="E5162" s="13"/>
      <c r="F5162" s="14"/>
      <c r="G5162" s="14"/>
      <c r="H5162" s="14"/>
      <c r="I5162" s="14"/>
    </row>
    <row r="5163" ht="20.7" customHeight="1">
      <c r="A5163" s="10">
        <v>45679</v>
      </c>
      <c r="B5163" t="s" s="11">
        <v>8</v>
      </c>
      <c r="C5163" t="s" s="12">
        <v>8</v>
      </c>
      <c r="D5163" s="15" cm="1">
        <f t="array" ref="D5163">SUM(D5161:D5162)</f>
        <v>50000</v>
      </c>
      <c r="E5163" s="15" cm="1">
        <f t="array" ref="E5163">SUM(E5161:E5162)</f>
        <v>50000</v>
      </c>
      <c r="F5163" s="16" cm="1">
        <f t="array" ref="F5163">SUM(F5161:F5162)</f>
        <v>0</v>
      </c>
      <c r="G5163" s="16" cm="1">
        <f t="array" ref="G5163">SUM(G5161:G5162)</f>
        <v>0</v>
      </c>
      <c r="H5163" s="16" cm="1">
        <f t="array" ref="H5163">SUM(H5161:H5162)</f>
        <v>0</v>
      </c>
      <c r="I5163" s="16" cm="1">
        <f t="array" ref="I5163">SUM(I5161:I5162)</f>
        <v>0</v>
      </c>
    </row>
    <row r="5164" ht="21.25" customHeight="1">
      <c r="A5164" s="10">
        <v>45679</v>
      </c>
      <c r="B5164" t="s" s="11">
        <v>5</v>
      </c>
      <c r="C5164" t="s" s="12">
        <v>842</v>
      </c>
      <c r="D5164" s="17"/>
      <c r="E5164" s="17">
        <v>373910</v>
      </c>
      <c r="F5164" s="18"/>
      <c r="G5164" s="18"/>
      <c r="H5164" s="18"/>
      <c r="I5164" s="18"/>
    </row>
    <row r="5165" ht="21.25" customHeight="1">
      <c r="A5165" s="10">
        <v>45679</v>
      </c>
      <c r="B5165" t="s" s="11">
        <v>843</v>
      </c>
      <c r="C5165" t="s" s="12">
        <v>842</v>
      </c>
      <c r="D5165" s="13">
        <v>373910</v>
      </c>
      <c r="E5165" s="13"/>
      <c r="F5165" s="14"/>
      <c r="G5165" s="14"/>
      <c r="H5165" s="14"/>
      <c r="I5165" s="14"/>
    </row>
    <row r="5166" ht="20.7" customHeight="1">
      <c r="A5166" s="10">
        <v>45679</v>
      </c>
      <c r="B5166" t="s" s="11">
        <v>8</v>
      </c>
      <c r="C5166" t="s" s="12">
        <v>8</v>
      </c>
      <c r="D5166" s="15" cm="1">
        <f t="array" ref="D5166">SUM(D5164:D5165)</f>
        <v>373910</v>
      </c>
      <c r="E5166" s="15" cm="1">
        <f t="array" ref="E5166">SUM(E5164:E5165)</f>
        <v>373910</v>
      </c>
      <c r="F5166" s="16" cm="1">
        <f t="array" ref="F5166">SUM(F5164:F5165)</f>
        <v>0</v>
      </c>
      <c r="G5166" s="16" cm="1">
        <f t="array" ref="G5166">SUM(G5164:G5165)</f>
        <v>0</v>
      </c>
      <c r="H5166" s="16" cm="1">
        <f t="array" ref="H5166">SUM(H5164:H5165)</f>
        <v>0</v>
      </c>
      <c r="I5166" s="16" cm="1">
        <f t="array" ref="I5166">SUM(I5164:I5165)</f>
        <v>0</v>
      </c>
    </row>
    <row r="5167" ht="21.25" customHeight="1">
      <c r="A5167" s="10">
        <v>45679</v>
      </c>
      <c r="B5167" t="s" s="11">
        <v>5</v>
      </c>
      <c r="C5167" t="s" s="12">
        <v>769</v>
      </c>
      <c r="D5167" s="17"/>
      <c r="E5167" s="17">
        <v>50000</v>
      </c>
      <c r="F5167" s="18"/>
      <c r="G5167" s="18"/>
      <c r="H5167" s="18"/>
      <c r="I5167" s="18"/>
    </row>
    <row r="5168" ht="21.25" customHeight="1">
      <c r="A5168" s="10">
        <v>45679</v>
      </c>
      <c r="B5168" t="s" s="11">
        <v>814</v>
      </c>
      <c r="C5168" t="s" s="12">
        <v>769</v>
      </c>
      <c r="D5168" s="13">
        <v>50000</v>
      </c>
      <c r="E5168" s="13"/>
      <c r="F5168" s="14"/>
      <c r="G5168" s="14"/>
      <c r="H5168" s="14"/>
      <c r="I5168" s="14"/>
    </row>
    <row r="5169" ht="20.7" customHeight="1">
      <c r="A5169" s="10">
        <v>45679</v>
      </c>
      <c r="B5169" t="s" s="11">
        <v>8</v>
      </c>
      <c r="C5169" t="s" s="12">
        <v>8</v>
      </c>
      <c r="D5169" s="15" cm="1">
        <f t="array" ref="D5169">SUM(D5167:D5168)</f>
        <v>50000</v>
      </c>
      <c r="E5169" s="15" cm="1">
        <f t="array" ref="E5169">SUM(E5167:E5168)</f>
        <v>50000</v>
      </c>
      <c r="F5169" s="16" cm="1">
        <f t="array" ref="F5169">SUM(F5167:F5168)</f>
        <v>0</v>
      </c>
      <c r="G5169" s="16" cm="1">
        <f t="array" ref="G5169">SUM(G5167:G5168)</f>
        <v>0</v>
      </c>
      <c r="H5169" s="16" cm="1">
        <f t="array" ref="H5169">SUM(H5167:H5168)</f>
        <v>0</v>
      </c>
      <c r="I5169" s="16" cm="1">
        <f t="array" ref="I5169">SUM(I5167:I5168)</f>
        <v>0</v>
      </c>
    </row>
    <row r="5170" ht="20.65" customHeight="1">
      <c r="A5170" s="10">
        <v>45679</v>
      </c>
      <c r="B5170" t="s" s="11">
        <v>814</v>
      </c>
      <c r="C5170" t="s" s="12">
        <v>820</v>
      </c>
      <c r="D5170" s="17">
        <v>1</v>
      </c>
      <c r="E5170" s="17"/>
      <c r="F5170" s="18"/>
      <c r="G5170" s="18"/>
      <c r="H5170" s="18"/>
      <c r="I5170" s="18"/>
    </row>
    <row r="5171" ht="20.65" customHeight="1">
      <c r="A5171" s="10">
        <v>45679</v>
      </c>
      <c r="B5171" t="s" s="11">
        <v>91</v>
      </c>
      <c r="C5171" t="s" s="12">
        <v>820</v>
      </c>
      <c r="D5171" s="13"/>
      <c r="E5171" s="13">
        <v>1</v>
      </c>
      <c r="F5171" s="14"/>
      <c r="G5171" s="14"/>
      <c r="H5171" s="14"/>
      <c r="I5171" s="14"/>
    </row>
    <row r="5172" ht="20.7" customHeight="1">
      <c r="A5172" s="10">
        <v>45679</v>
      </c>
      <c r="B5172" t="s" s="11">
        <v>8</v>
      </c>
      <c r="C5172" t="s" s="12">
        <v>8</v>
      </c>
      <c r="D5172" s="15" cm="1">
        <f t="array" ref="D5172">SUM(D5170:D5171)</f>
        <v>1</v>
      </c>
      <c r="E5172" s="15" cm="1">
        <f t="array" ref="E5172">SUM(E5170:E5171)</f>
        <v>1</v>
      </c>
      <c r="F5172" s="16" cm="1">
        <f t="array" ref="F5172">SUM(F5170:F5171)</f>
        <v>0</v>
      </c>
      <c r="G5172" s="16" cm="1">
        <f t="array" ref="G5172">SUM(G5170:G5171)</f>
        <v>0</v>
      </c>
      <c r="H5172" s="16" cm="1">
        <f t="array" ref="H5172">SUM(H5170:H5171)</f>
        <v>0</v>
      </c>
      <c r="I5172" s="16" cm="1">
        <f t="array" ref="I5172">SUM(I5170:I5171)</f>
        <v>0</v>
      </c>
    </row>
    <row r="5173" ht="20.35" customHeight="1">
      <c r="A5173" s="10">
        <v>45679</v>
      </c>
      <c r="B5173" t="s" s="11">
        <v>93</v>
      </c>
      <c r="C5173" t="s" s="12">
        <v>96</v>
      </c>
      <c r="D5173" s="17"/>
      <c r="E5173" s="17">
        <v>7150</v>
      </c>
      <c r="F5173" s="18"/>
      <c r="G5173" s="18"/>
      <c r="H5173" s="18"/>
      <c r="I5173" s="18"/>
    </row>
    <row r="5174" ht="20.35" customHeight="1">
      <c r="A5174" s="10">
        <v>45679</v>
      </c>
      <c r="B5174" t="s" s="11">
        <v>5</v>
      </c>
      <c r="C5174" t="s" s="12">
        <v>96</v>
      </c>
      <c r="D5174" s="13">
        <v>7150</v>
      </c>
      <c r="E5174" s="13"/>
      <c r="F5174" s="14"/>
      <c r="G5174" s="14"/>
      <c r="H5174" s="14"/>
      <c r="I5174" s="14"/>
    </row>
    <row r="5175" ht="20.7" customHeight="1">
      <c r="A5175" s="10">
        <v>45679</v>
      </c>
      <c r="B5175" t="s" s="11">
        <v>8</v>
      </c>
      <c r="C5175" t="s" s="12">
        <v>8</v>
      </c>
      <c r="D5175" s="15" cm="1">
        <f t="array" ref="D5175">SUM(D5173:D5174)</f>
        <v>7150</v>
      </c>
      <c r="E5175" s="15" cm="1">
        <f t="array" ref="E5175">SUM(E5173:E5174)</f>
        <v>7150</v>
      </c>
      <c r="F5175" s="16" cm="1">
        <f t="array" ref="F5175">SUM(F5173:F5174)</f>
        <v>0</v>
      </c>
      <c r="G5175" s="16" cm="1">
        <f t="array" ref="G5175">SUM(G5173:G5174)</f>
        <v>0</v>
      </c>
      <c r="H5175" s="16" cm="1">
        <f t="array" ref="H5175">SUM(H5173:H5174)</f>
        <v>0</v>
      </c>
      <c r="I5175" s="16" cm="1">
        <f t="array" ref="I5175">SUM(I5173:I5174)</f>
        <v>0</v>
      </c>
    </row>
    <row r="5176" ht="21.25" customHeight="1">
      <c r="A5176" s="10">
        <v>45679</v>
      </c>
      <c r="B5176" t="s" s="11">
        <v>5</v>
      </c>
      <c r="C5176" t="s" s="12">
        <v>844</v>
      </c>
      <c r="D5176" s="17"/>
      <c r="E5176" s="17">
        <v>7150</v>
      </c>
      <c r="F5176" s="18"/>
      <c r="G5176" s="18"/>
      <c r="H5176" s="18"/>
      <c r="I5176" s="18"/>
    </row>
    <row r="5177" ht="21.25" customHeight="1">
      <c r="A5177" s="10">
        <v>45679</v>
      </c>
      <c r="B5177" t="s" s="11">
        <v>814</v>
      </c>
      <c r="C5177" t="s" s="12">
        <v>844</v>
      </c>
      <c r="D5177" s="13">
        <v>7150</v>
      </c>
      <c r="E5177" s="13"/>
      <c r="F5177" s="14"/>
      <c r="G5177" s="14"/>
      <c r="H5177" s="14"/>
      <c r="I5177" s="14"/>
    </row>
    <row r="5178" ht="20.7" customHeight="1">
      <c r="A5178" s="10">
        <v>45679</v>
      </c>
      <c r="B5178" t="s" s="11">
        <v>8</v>
      </c>
      <c r="C5178" t="s" s="12">
        <v>8</v>
      </c>
      <c r="D5178" s="15" cm="1">
        <f t="array" ref="D5178">SUM(D5176:D5177)</f>
        <v>7150</v>
      </c>
      <c r="E5178" s="15" cm="1">
        <f t="array" ref="E5178">SUM(E5176:E5177)</f>
        <v>7150</v>
      </c>
      <c r="F5178" s="16" cm="1">
        <f t="array" ref="F5178">SUM(F5176:F5177)</f>
        <v>0</v>
      </c>
      <c r="G5178" s="16" cm="1">
        <f t="array" ref="G5178">SUM(G5176:G5177)</f>
        <v>0</v>
      </c>
      <c r="H5178" s="16" cm="1">
        <f t="array" ref="H5178">SUM(H5176:H5177)</f>
        <v>0</v>
      </c>
      <c r="I5178" s="16" cm="1">
        <f t="array" ref="I5178">SUM(I5176:I5177)</f>
        <v>0</v>
      </c>
    </row>
    <row r="5179" ht="20.65" customHeight="1">
      <c r="A5179" s="10">
        <v>45679</v>
      </c>
      <c r="B5179" t="s" s="11">
        <v>814</v>
      </c>
      <c r="C5179" t="s" s="12">
        <v>820</v>
      </c>
      <c r="D5179" s="17">
        <v>4</v>
      </c>
      <c r="E5179" s="17"/>
      <c r="F5179" s="18"/>
      <c r="G5179" s="18"/>
      <c r="H5179" s="18"/>
      <c r="I5179" s="18"/>
    </row>
    <row r="5180" ht="20.65" customHeight="1">
      <c r="A5180" s="10">
        <v>45679</v>
      </c>
      <c r="B5180" t="s" s="11">
        <v>91</v>
      </c>
      <c r="C5180" t="s" s="12">
        <v>820</v>
      </c>
      <c r="D5180" s="13"/>
      <c r="E5180" s="13">
        <v>4</v>
      </c>
      <c r="F5180" s="14"/>
      <c r="G5180" s="14"/>
      <c r="H5180" s="14"/>
      <c r="I5180" s="14"/>
    </row>
    <row r="5181" ht="20.7" customHeight="1">
      <c r="A5181" s="10">
        <v>45679</v>
      </c>
      <c r="B5181" t="s" s="11">
        <v>8</v>
      </c>
      <c r="C5181" t="s" s="12">
        <v>8</v>
      </c>
      <c r="D5181" s="15" cm="1">
        <f t="array" ref="D5181">SUM(D5179:D5180)</f>
        <v>4</v>
      </c>
      <c r="E5181" s="15" cm="1">
        <f t="array" ref="E5181">SUM(E5179:E5180)</f>
        <v>4</v>
      </c>
      <c r="F5181" s="16" cm="1">
        <f t="array" ref="F5181">SUM(F5179:F5180)</f>
        <v>0</v>
      </c>
      <c r="G5181" s="16" cm="1">
        <f t="array" ref="G5181">SUM(G5179:G5180)</f>
        <v>0</v>
      </c>
      <c r="H5181" s="16" cm="1">
        <f t="array" ref="H5181">SUM(H5179:H5180)</f>
        <v>0</v>
      </c>
      <c r="I5181" s="16" cm="1">
        <f t="array" ref="I5181">SUM(I5179:I5180)</f>
        <v>0</v>
      </c>
    </row>
    <row r="5182" ht="20.65" customHeight="1">
      <c r="A5182" s="10">
        <v>45679</v>
      </c>
      <c r="B5182" t="s" s="11">
        <v>843</v>
      </c>
      <c r="C5182" t="s" s="12">
        <v>820</v>
      </c>
      <c r="D5182" s="17">
        <v>20</v>
      </c>
      <c r="E5182" s="17"/>
      <c r="F5182" s="18"/>
      <c r="G5182" s="18"/>
      <c r="H5182" s="18"/>
      <c r="I5182" s="18"/>
    </row>
    <row r="5183" ht="20.65" customHeight="1">
      <c r="A5183" s="10">
        <v>45679</v>
      </c>
      <c r="B5183" t="s" s="11">
        <v>91</v>
      </c>
      <c r="C5183" t="s" s="12">
        <v>820</v>
      </c>
      <c r="D5183" s="13"/>
      <c r="E5183" s="13">
        <v>20</v>
      </c>
      <c r="F5183" s="14"/>
      <c r="G5183" s="14"/>
      <c r="H5183" s="14"/>
      <c r="I5183" s="14"/>
    </row>
    <row r="5184" ht="20.7" customHeight="1">
      <c r="A5184" s="10">
        <v>45679</v>
      </c>
      <c r="B5184" t="s" s="11">
        <v>8</v>
      </c>
      <c r="C5184" t="s" s="12">
        <v>8</v>
      </c>
      <c r="D5184" s="15" cm="1">
        <f t="array" ref="D5184">SUM(D5182:D5183)</f>
        <v>20</v>
      </c>
      <c r="E5184" s="15" cm="1">
        <f t="array" ref="E5184">SUM(E5182:E5183)</f>
        <v>20</v>
      </c>
      <c r="F5184" s="16" cm="1">
        <f t="array" ref="F5184">SUM(F5182:F5183)</f>
        <v>0</v>
      </c>
      <c r="G5184" s="16" cm="1">
        <f t="array" ref="G5184">SUM(G5182:G5183)</f>
        <v>0</v>
      </c>
      <c r="H5184" s="16" cm="1">
        <f t="array" ref="H5184">SUM(H5182:H5183)</f>
        <v>0</v>
      </c>
      <c r="I5184" s="16" cm="1">
        <f t="array" ref="I5184">SUM(I5182:I5183)</f>
        <v>0</v>
      </c>
    </row>
    <row r="5185" ht="20.35" customHeight="1">
      <c r="A5185" s="10">
        <v>45679</v>
      </c>
      <c r="B5185" t="s" s="11">
        <v>5</v>
      </c>
      <c r="C5185" t="s" s="12">
        <v>209</v>
      </c>
      <c r="D5185" s="17"/>
      <c r="E5185" s="17">
        <v>4316</v>
      </c>
      <c r="F5185" s="18"/>
      <c r="G5185" s="18"/>
      <c r="H5185" s="18"/>
      <c r="I5185" s="18"/>
    </row>
    <row r="5186" ht="20.35" customHeight="1">
      <c r="A5186" s="10">
        <v>45679</v>
      </c>
      <c r="B5186" t="s" s="11">
        <v>107</v>
      </c>
      <c r="C5186" t="s" s="12">
        <v>209</v>
      </c>
      <c r="D5186" s="13">
        <v>4316</v>
      </c>
      <c r="E5186" s="13"/>
      <c r="F5186" s="14"/>
      <c r="G5186" s="14"/>
      <c r="H5186" s="14"/>
      <c r="I5186" s="14"/>
    </row>
    <row r="5187" ht="20.7" customHeight="1">
      <c r="A5187" s="10">
        <v>45679</v>
      </c>
      <c r="B5187" t="s" s="11">
        <v>8</v>
      </c>
      <c r="C5187" t="s" s="12">
        <v>8</v>
      </c>
      <c r="D5187" s="15" cm="1">
        <f t="array" ref="D5187">SUM(D5185:D5186)</f>
        <v>4316</v>
      </c>
      <c r="E5187" s="15" cm="1">
        <f t="array" ref="E5187">SUM(E5185:E5186)</f>
        <v>4316</v>
      </c>
      <c r="F5187" s="16" cm="1">
        <f t="array" ref="F5187">SUM(F5185:F5186)</f>
        <v>0</v>
      </c>
      <c r="G5187" s="16" cm="1">
        <f t="array" ref="G5187">SUM(G5185:G5186)</f>
        <v>0</v>
      </c>
      <c r="H5187" s="16" cm="1">
        <f t="array" ref="H5187">SUM(H5185:H5186)</f>
        <v>0</v>
      </c>
      <c r="I5187" s="16" cm="1">
        <f t="array" ref="I5187">SUM(I5185:I5186)</f>
        <v>0</v>
      </c>
    </row>
    <row r="5188" ht="20.35" customHeight="1">
      <c r="A5188" s="10">
        <v>45679</v>
      </c>
      <c r="B5188" t="s" s="11">
        <v>121</v>
      </c>
      <c r="C5188" t="s" s="12">
        <v>209</v>
      </c>
      <c r="D5188" s="17"/>
      <c r="E5188" s="17">
        <v>1055</v>
      </c>
      <c r="F5188" s="18"/>
      <c r="G5188" s="18"/>
      <c r="H5188" s="18"/>
      <c r="I5188" s="18"/>
    </row>
    <row r="5189" ht="20.35" customHeight="1">
      <c r="A5189" s="10">
        <v>45679</v>
      </c>
      <c r="B5189" t="s" s="11">
        <v>107</v>
      </c>
      <c r="C5189" t="s" s="12">
        <v>209</v>
      </c>
      <c r="D5189" s="13">
        <v>1055</v>
      </c>
      <c r="E5189" s="13"/>
      <c r="F5189" s="14"/>
      <c r="G5189" s="14"/>
      <c r="H5189" s="14"/>
      <c r="I5189" s="14"/>
    </row>
    <row r="5190" ht="20.7" customHeight="1">
      <c r="A5190" s="10">
        <v>45679</v>
      </c>
      <c r="B5190" t="s" s="11">
        <v>8</v>
      </c>
      <c r="C5190" t="s" s="12">
        <v>8</v>
      </c>
      <c r="D5190" s="15" cm="1">
        <f t="array" ref="D5190">SUM(D5188:D5189)</f>
        <v>1055</v>
      </c>
      <c r="E5190" s="15" cm="1">
        <f t="array" ref="E5190">SUM(E5188:E5189)</f>
        <v>1055</v>
      </c>
      <c r="F5190" s="16" cm="1">
        <f t="array" ref="F5190">SUM(F5188:F5189)</f>
        <v>0</v>
      </c>
      <c r="G5190" s="16" cm="1">
        <f t="array" ref="G5190">SUM(G5188:G5189)</f>
        <v>0</v>
      </c>
      <c r="H5190" s="16" cm="1">
        <f t="array" ref="H5190">SUM(H5188:H5189)</f>
        <v>0</v>
      </c>
      <c r="I5190" s="16" cm="1">
        <f t="array" ref="I5190">SUM(I5188:I5189)</f>
        <v>0</v>
      </c>
    </row>
    <row r="5191" ht="20.35" customHeight="1">
      <c r="A5191" s="10">
        <v>45679</v>
      </c>
      <c r="B5191" t="s" s="11">
        <v>107</v>
      </c>
      <c r="C5191" t="s" s="12">
        <v>53</v>
      </c>
      <c r="D5191" s="17"/>
      <c r="E5191" s="17">
        <v>9090</v>
      </c>
      <c r="F5191" s="18"/>
      <c r="G5191" s="18"/>
      <c r="H5191" s="18"/>
      <c r="I5191" s="18"/>
    </row>
    <row r="5192" ht="20.35" customHeight="1">
      <c r="A5192" s="10">
        <v>45679</v>
      </c>
      <c r="B5192" t="s" s="11">
        <v>12</v>
      </c>
      <c r="C5192" t="s" s="12">
        <v>53</v>
      </c>
      <c r="D5192" s="13">
        <v>9090</v>
      </c>
      <c r="E5192" s="13"/>
      <c r="F5192" s="14"/>
      <c r="G5192" s="14"/>
      <c r="H5192" s="14"/>
      <c r="I5192" s="14"/>
    </row>
    <row r="5193" ht="20.7" customHeight="1">
      <c r="A5193" s="10">
        <v>45679</v>
      </c>
      <c r="B5193" t="s" s="11">
        <v>8</v>
      </c>
      <c r="C5193" t="s" s="12">
        <v>8</v>
      </c>
      <c r="D5193" s="15" cm="1">
        <f t="array" ref="D5193">SUM(D5191:D5192)</f>
        <v>9090</v>
      </c>
      <c r="E5193" s="15" cm="1">
        <f t="array" ref="E5193">SUM(E5191:E5192)</f>
        <v>9090</v>
      </c>
      <c r="F5193" s="16" cm="1">
        <f t="array" ref="F5193">SUM(F5191:F5192)</f>
        <v>0</v>
      </c>
      <c r="G5193" s="16" cm="1">
        <f t="array" ref="G5193">SUM(G5191:G5192)</f>
        <v>0</v>
      </c>
      <c r="H5193" s="16" cm="1">
        <f t="array" ref="H5193">SUM(H5191:H5192)</f>
        <v>0</v>
      </c>
      <c r="I5193" s="16" cm="1">
        <f t="array" ref="I5193">SUM(I5191:I5192)</f>
        <v>0</v>
      </c>
    </row>
    <row r="5194" ht="20.65" customHeight="1">
      <c r="A5194" s="10">
        <v>45681</v>
      </c>
      <c r="B5194" t="s" s="11">
        <v>814</v>
      </c>
      <c r="C5194" t="s" s="12">
        <v>820</v>
      </c>
      <c r="D5194" s="17">
        <v>4</v>
      </c>
      <c r="E5194" s="17"/>
      <c r="F5194" s="18"/>
      <c r="G5194" s="18"/>
      <c r="H5194" s="18"/>
      <c r="I5194" s="18"/>
    </row>
    <row r="5195" ht="20.65" customHeight="1">
      <c r="A5195" s="10">
        <v>45681</v>
      </c>
      <c r="B5195" t="s" s="11">
        <v>91</v>
      </c>
      <c r="C5195" t="s" s="12">
        <v>820</v>
      </c>
      <c r="D5195" s="13"/>
      <c r="E5195" s="13">
        <v>4</v>
      </c>
      <c r="F5195" s="14"/>
      <c r="G5195" s="14"/>
      <c r="H5195" s="14"/>
      <c r="I5195" s="14"/>
    </row>
    <row r="5196" ht="20.7" customHeight="1">
      <c r="A5196" s="10">
        <v>45681</v>
      </c>
      <c r="B5196" t="s" s="11">
        <v>8</v>
      </c>
      <c r="C5196" t="s" s="12">
        <v>8</v>
      </c>
      <c r="D5196" s="15" cm="1">
        <f t="array" ref="D5196">SUM(D5194:D5195)</f>
        <v>4</v>
      </c>
      <c r="E5196" s="15" cm="1">
        <f t="array" ref="E5196">SUM(E5194:E5195)</f>
        <v>4</v>
      </c>
      <c r="F5196" s="16" cm="1">
        <f t="array" ref="F5196">SUM(F5194:F5195)</f>
        <v>0</v>
      </c>
      <c r="G5196" s="16" cm="1">
        <f t="array" ref="G5196">SUM(G5194:G5195)</f>
        <v>0</v>
      </c>
      <c r="H5196" s="16" cm="1">
        <f t="array" ref="H5196">SUM(H5194:H5195)</f>
        <v>0</v>
      </c>
      <c r="I5196" s="16" cm="1">
        <f t="array" ref="I5196">SUM(I5194:I5195)</f>
        <v>0</v>
      </c>
    </row>
    <row r="5197" ht="20.65" customHeight="1">
      <c r="A5197" s="10">
        <v>45681</v>
      </c>
      <c r="B5197" t="s" s="11">
        <v>843</v>
      </c>
      <c r="C5197" t="s" s="12">
        <v>820</v>
      </c>
      <c r="D5197" s="17">
        <v>20</v>
      </c>
      <c r="E5197" s="17"/>
      <c r="F5197" s="18"/>
      <c r="G5197" s="18"/>
      <c r="H5197" s="18"/>
      <c r="I5197" s="18"/>
    </row>
    <row r="5198" ht="20.65" customHeight="1">
      <c r="A5198" s="10">
        <v>45681</v>
      </c>
      <c r="B5198" t="s" s="11">
        <v>91</v>
      </c>
      <c r="C5198" t="s" s="12">
        <v>820</v>
      </c>
      <c r="D5198" s="13"/>
      <c r="E5198" s="13">
        <v>20</v>
      </c>
      <c r="F5198" s="14"/>
      <c r="G5198" s="14"/>
      <c r="H5198" s="14"/>
      <c r="I5198" s="14"/>
    </row>
    <row r="5199" ht="20.7" customHeight="1">
      <c r="A5199" s="10">
        <v>45681</v>
      </c>
      <c r="B5199" t="s" s="11">
        <v>8</v>
      </c>
      <c r="C5199" t="s" s="12">
        <v>8</v>
      </c>
      <c r="D5199" s="15" cm="1">
        <f t="array" ref="D5199">SUM(D5197:D5198)</f>
        <v>20</v>
      </c>
      <c r="E5199" s="15" cm="1">
        <f t="array" ref="E5199">SUM(E5197:E5198)</f>
        <v>20</v>
      </c>
      <c r="F5199" s="16" cm="1">
        <f t="array" ref="F5199">SUM(F5197:F5198)</f>
        <v>0</v>
      </c>
      <c r="G5199" s="16" cm="1">
        <f t="array" ref="G5199">SUM(G5197:G5198)</f>
        <v>0</v>
      </c>
      <c r="H5199" s="16" cm="1">
        <f t="array" ref="H5199">SUM(H5197:H5198)</f>
        <v>0</v>
      </c>
      <c r="I5199" s="16" cm="1">
        <f t="array" ref="I5199">SUM(I5197:I5198)</f>
        <v>0</v>
      </c>
    </row>
    <row r="5200" ht="20.35" customHeight="1">
      <c r="A5200" s="10">
        <v>45681</v>
      </c>
      <c r="B5200" t="s" s="11">
        <v>843</v>
      </c>
      <c r="C5200" t="s" s="12">
        <v>96</v>
      </c>
      <c r="D5200" s="17"/>
      <c r="E5200" s="17">
        <v>100000</v>
      </c>
      <c r="F5200" s="18"/>
      <c r="G5200" s="18"/>
      <c r="H5200" s="18"/>
      <c r="I5200" s="18"/>
    </row>
    <row r="5201" ht="20.35" customHeight="1">
      <c r="A5201" s="10">
        <v>45681</v>
      </c>
      <c r="B5201" t="s" s="11">
        <v>5</v>
      </c>
      <c r="C5201" t="s" s="12">
        <v>96</v>
      </c>
      <c r="D5201" s="13">
        <v>100000</v>
      </c>
      <c r="E5201" s="13"/>
      <c r="F5201" s="14"/>
      <c r="G5201" s="14"/>
      <c r="H5201" s="14"/>
      <c r="I5201" s="14"/>
    </row>
    <row r="5202" ht="20.7" customHeight="1">
      <c r="A5202" s="10">
        <v>45681</v>
      </c>
      <c r="B5202" t="s" s="11">
        <v>8</v>
      </c>
      <c r="C5202" t="s" s="12">
        <v>8</v>
      </c>
      <c r="D5202" s="15" cm="1">
        <f t="array" ref="D5202">SUM(D5200:D5201)</f>
        <v>100000</v>
      </c>
      <c r="E5202" s="15" cm="1">
        <f t="array" ref="E5202">SUM(E5200:E5201)</f>
        <v>100000</v>
      </c>
      <c r="F5202" s="16" cm="1">
        <f t="array" ref="F5202">SUM(F5200:F5201)</f>
        <v>0</v>
      </c>
      <c r="G5202" s="16" cm="1">
        <f t="array" ref="G5202">SUM(G5200:G5201)</f>
        <v>0</v>
      </c>
      <c r="H5202" s="16" cm="1">
        <f t="array" ref="H5202">SUM(H5200:H5201)</f>
        <v>0</v>
      </c>
      <c r="I5202" s="16" cm="1">
        <f t="array" ref="I5202">SUM(I5200:I5201)</f>
        <v>0</v>
      </c>
    </row>
    <row r="5203" ht="20.35" customHeight="1">
      <c r="A5203" s="10">
        <v>45681</v>
      </c>
      <c r="B5203" t="s" s="11">
        <v>5</v>
      </c>
      <c r="C5203" t="s" s="12">
        <v>439</v>
      </c>
      <c r="D5203" s="17"/>
      <c r="E5203" s="17">
        <v>100000</v>
      </c>
      <c r="F5203" s="18"/>
      <c r="G5203" s="18"/>
      <c r="H5203" s="18"/>
      <c r="I5203" s="18"/>
    </row>
    <row r="5204" ht="20.35" customHeight="1">
      <c r="A5204" s="10">
        <v>45681</v>
      </c>
      <c r="B5204" t="s" s="11">
        <v>121</v>
      </c>
      <c r="C5204" t="s" s="12">
        <v>439</v>
      </c>
      <c r="D5204" s="13">
        <v>100000</v>
      </c>
      <c r="E5204" s="13"/>
      <c r="F5204" s="14"/>
      <c r="G5204" s="14"/>
      <c r="H5204" s="14"/>
      <c r="I5204" s="14"/>
    </row>
    <row r="5205" ht="20.7" customHeight="1">
      <c r="A5205" s="10">
        <v>45681</v>
      </c>
      <c r="B5205" t="s" s="11">
        <v>8</v>
      </c>
      <c r="C5205" t="s" s="12">
        <v>8</v>
      </c>
      <c r="D5205" s="15" cm="1">
        <f t="array" ref="D5205">SUM(D5203:D5204)</f>
        <v>100000</v>
      </c>
      <c r="E5205" s="15" cm="1">
        <f t="array" ref="E5205">SUM(E5203:E5204)</f>
        <v>100000</v>
      </c>
      <c r="F5205" s="16" cm="1">
        <f t="array" ref="F5205">SUM(F5203:F5204)</f>
        <v>0</v>
      </c>
      <c r="G5205" s="16" cm="1">
        <f t="array" ref="G5205">SUM(G5203:G5204)</f>
        <v>0</v>
      </c>
      <c r="H5205" s="16" cm="1">
        <f t="array" ref="H5205">SUM(H5203:H5204)</f>
        <v>0</v>
      </c>
      <c r="I5205" s="16" cm="1">
        <f t="array" ref="I5205">SUM(I5203:I5204)</f>
        <v>0</v>
      </c>
    </row>
    <row r="5206" ht="20.35" customHeight="1">
      <c r="A5206" s="10">
        <v>45681</v>
      </c>
      <c r="B5206" t="s" s="11">
        <v>843</v>
      </c>
      <c r="C5206" t="s" s="12">
        <v>96</v>
      </c>
      <c r="D5206" s="17"/>
      <c r="E5206" s="17">
        <v>100000</v>
      </c>
      <c r="F5206" s="18"/>
      <c r="G5206" s="18"/>
      <c r="H5206" s="18"/>
      <c r="I5206" s="18"/>
    </row>
    <row r="5207" ht="20.35" customHeight="1">
      <c r="A5207" s="10">
        <v>45681</v>
      </c>
      <c r="B5207" t="s" s="11">
        <v>5</v>
      </c>
      <c r="C5207" t="s" s="12">
        <v>96</v>
      </c>
      <c r="D5207" s="13">
        <v>100000</v>
      </c>
      <c r="E5207" s="13"/>
      <c r="F5207" s="14"/>
      <c r="G5207" s="14"/>
      <c r="H5207" s="14"/>
      <c r="I5207" s="14"/>
    </row>
    <row r="5208" ht="20.7" customHeight="1">
      <c r="A5208" s="10">
        <v>45681</v>
      </c>
      <c r="B5208" t="s" s="11">
        <v>8</v>
      </c>
      <c r="C5208" t="s" s="12">
        <v>8</v>
      </c>
      <c r="D5208" s="15" cm="1">
        <f t="array" ref="D5208">SUM(D5206:D5207)</f>
        <v>100000</v>
      </c>
      <c r="E5208" s="15" cm="1">
        <f t="array" ref="E5208">SUM(E5206:E5207)</f>
        <v>100000</v>
      </c>
      <c r="F5208" s="16" cm="1">
        <f t="array" ref="F5208">SUM(F5206:F5207)</f>
        <v>0</v>
      </c>
      <c r="G5208" s="16" cm="1">
        <f t="array" ref="G5208">SUM(G5206:G5207)</f>
        <v>0</v>
      </c>
      <c r="H5208" s="16" cm="1">
        <f t="array" ref="H5208">SUM(H5206:H5207)</f>
        <v>0</v>
      </c>
      <c r="I5208" s="16" cm="1">
        <f t="array" ref="I5208">SUM(I5206:I5207)</f>
        <v>0</v>
      </c>
    </row>
    <row r="5209" ht="20.35" customHeight="1">
      <c r="A5209" s="10">
        <v>45681</v>
      </c>
      <c r="B5209" t="s" s="11">
        <v>5</v>
      </c>
      <c r="C5209" t="s" s="12">
        <v>439</v>
      </c>
      <c r="D5209" s="17"/>
      <c r="E5209" s="17">
        <v>100000</v>
      </c>
      <c r="F5209" s="18"/>
      <c r="G5209" s="18"/>
      <c r="H5209" s="18"/>
      <c r="I5209" s="18"/>
    </row>
    <row r="5210" ht="20.35" customHeight="1">
      <c r="A5210" s="10">
        <v>45681</v>
      </c>
      <c r="B5210" t="s" s="11">
        <v>121</v>
      </c>
      <c r="C5210" t="s" s="12">
        <v>439</v>
      </c>
      <c r="D5210" s="13">
        <v>100000</v>
      </c>
      <c r="E5210" s="13"/>
      <c r="F5210" s="14"/>
      <c r="G5210" s="14"/>
      <c r="H5210" s="14"/>
      <c r="I5210" s="14"/>
    </row>
    <row r="5211" ht="20.7" customHeight="1">
      <c r="A5211" s="10">
        <v>45681</v>
      </c>
      <c r="B5211" t="s" s="11">
        <v>8</v>
      </c>
      <c r="C5211" t="s" s="12">
        <v>8</v>
      </c>
      <c r="D5211" s="15" cm="1">
        <f t="array" ref="D5211">SUM(D5209:D5210)</f>
        <v>100000</v>
      </c>
      <c r="E5211" s="15" cm="1">
        <f t="array" ref="E5211">SUM(E5209:E5210)</f>
        <v>100000</v>
      </c>
      <c r="F5211" s="16" cm="1">
        <f t="array" ref="F5211">SUM(F5209:F5210)</f>
        <v>0</v>
      </c>
      <c r="G5211" s="16" cm="1">
        <f t="array" ref="G5211">SUM(G5209:G5210)</f>
        <v>0</v>
      </c>
      <c r="H5211" s="16" cm="1">
        <f t="array" ref="H5211">SUM(H5209:H5210)</f>
        <v>0</v>
      </c>
      <c r="I5211" s="16" cm="1">
        <f t="array" ref="I5211">SUM(I5209:I5210)</f>
        <v>0</v>
      </c>
    </row>
    <row r="5212" ht="21.25" customHeight="1">
      <c r="A5212" s="10">
        <v>45681</v>
      </c>
      <c r="B5212" t="s" s="11">
        <v>121</v>
      </c>
      <c r="C5212" t="s" s="12">
        <v>845</v>
      </c>
      <c r="D5212" s="17"/>
      <c r="E5212" s="17">
        <v>142200</v>
      </c>
      <c r="F5212" s="18"/>
      <c r="G5212" s="18"/>
      <c r="H5212" s="18"/>
      <c r="I5212" s="18"/>
    </row>
    <row r="5213" ht="21.25" customHeight="1">
      <c r="A5213" s="10">
        <v>45681</v>
      </c>
      <c r="B5213" t="s" s="11">
        <v>86</v>
      </c>
      <c r="C5213" t="s" s="12">
        <v>845</v>
      </c>
      <c r="D5213" s="13">
        <v>142200</v>
      </c>
      <c r="E5213" s="13"/>
      <c r="F5213" s="14"/>
      <c r="G5213" s="14"/>
      <c r="H5213" s="14"/>
      <c r="I5213" s="14"/>
    </row>
    <row r="5214" ht="20.7" customHeight="1">
      <c r="A5214" s="10">
        <v>45681</v>
      </c>
      <c r="B5214" t="s" s="11">
        <v>8</v>
      </c>
      <c r="C5214" t="s" s="12">
        <v>8</v>
      </c>
      <c r="D5214" s="15" cm="1">
        <f t="array" ref="D5214">SUM(D5212:D5213)</f>
        <v>142200</v>
      </c>
      <c r="E5214" s="15" cm="1">
        <f t="array" ref="E5214">SUM(E5212:E5213)</f>
        <v>142200</v>
      </c>
      <c r="F5214" s="16" cm="1">
        <f t="array" ref="F5214">SUM(F5212:F5213)</f>
        <v>0</v>
      </c>
      <c r="G5214" s="16" cm="1">
        <f t="array" ref="G5214">SUM(G5212:G5213)</f>
        <v>0</v>
      </c>
      <c r="H5214" s="16" cm="1">
        <f t="array" ref="H5214">SUM(H5212:H5213)</f>
        <v>0</v>
      </c>
      <c r="I5214" s="16" cm="1">
        <f t="array" ref="I5214">SUM(I5212:I5213)</f>
        <v>0</v>
      </c>
    </row>
    <row r="5215" ht="20.65" customHeight="1">
      <c r="A5215" s="10">
        <v>45681</v>
      </c>
      <c r="B5215" t="s" s="11">
        <v>121</v>
      </c>
      <c r="C5215" t="s" s="12">
        <v>714</v>
      </c>
      <c r="D5215" s="17"/>
      <c r="E5215" s="17">
        <v>4000</v>
      </c>
      <c r="F5215" s="18"/>
      <c r="G5215" s="18"/>
      <c r="H5215" s="18"/>
      <c r="I5215" s="18"/>
    </row>
    <row r="5216" ht="20.65" customHeight="1">
      <c r="A5216" s="10">
        <v>45681</v>
      </c>
      <c r="B5216" t="s" s="11">
        <v>86</v>
      </c>
      <c r="C5216" t="s" s="12">
        <v>714</v>
      </c>
      <c r="D5216" s="13">
        <v>4000</v>
      </c>
      <c r="E5216" s="13"/>
      <c r="F5216" s="14"/>
      <c r="G5216" s="14"/>
      <c r="H5216" s="14"/>
      <c r="I5216" s="14"/>
    </row>
    <row r="5217" ht="20.7" customHeight="1">
      <c r="A5217" s="10">
        <v>45681</v>
      </c>
      <c r="B5217" t="s" s="11">
        <v>8</v>
      </c>
      <c r="C5217" t="s" s="12">
        <v>8</v>
      </c>
      <c r="D5217" s="15" cm="1">
        <f t="array" ref="D5217">SUM(D5215:D5216)</f>
        <v>4000</v>
      </c>
      <c r="E5217" s="15" cm="1">
        <f t="array" ref="E5217">SUM(E5215:E5216)</f>
        <v>4000</v>
      </c>
      <c r="F5217" s="16" cm="1">
        <f t="array" ref="F5217">SUM(F5215:F5216)</f>
        <v>0</v>
      </c>
      <c r="G5217" s="16" cm="1">
        <f t="array" ref="G5217">SUM(G5215:G5216)</f>
        <v>0</v>
      </c>
      <c r="H5217" s="16" cm="1">
        <f t="array" ref="H5217">SUM(H5215:H5216)</f>
        <v>0</v>
      </c>
      <c r="I5217" s="16" cm="1">
        <f t="array" ref="I5217">SUM(I5215:I5216)</f>
        <v>0</v>
      </c>
    </row>
    <row r="5218" ht="20.65" customHeight="1">
      <c r="A5218" s="10">
        <v>45681</v>
      </c>
      <c r="B5218" t="s" s="11">
        <v>121</v>
      </c>
      <c r="C5218" t="s" s="12">
        <v>846</v>
      </c>
      <c r="D5218" s="17"/>
      <c r="E5218" s="17">
        <v>5000</v>
      </c>
      <c r="F5218" s="18"/>
      <c r="G5218" s="18"/>
      <c r="H5218" s="18"/>
      <c r="I5218" s="18"/>
    </row>
    <row r="5219" ht="20.65" customHeight="1">
      <c r="A5219" s="10">
        <v>45681</v>
      </c>
      <c r="B5219" t="s" s="11">
        <v>12</v>
      </c>
      <c r="C5219" t="s" s="12">
        <v>846</v>
      </c>
      <c r="D5219" s="13">
        <v>5000</v>
      </c>
      <c r="E5219" s="13"/>
      <c r="F5219" s="14"/>
      <c r="G5219" s="14"/>
      <c r="H5219" s="14"/>
      <c r="I5219" s="14"/>
    </row>
    <row r="5220" ht="20.7" customHeight="1">
      <c r="A5220" s="10">
        <v>45681</v>
      </c>
      <c r="B5220" t="s" s="11">
        <v>8</v>
      </c>
      <c r="C5220" t="s" s="12">
        <v>8</v>
      </c>
      <c r="D5220" s="15" cm="1">
        <f t="array" ref="D5220">SUM(D5218:D5219)</f>
        <v>5000</v>
      </c>
      <c r="E5220" s="15" cm="1">
        <f t="array" ref="E5220">SUM(E5218:E5219)</f>
        <v>5000</v>
      </c>
      <c r="F5220" s="16" cm="1">
        <f t="array" ref="F5220">SUM(F5218:F5219)</f>
        <v>0</v>
      </c>
      <c r="G5220" s="16" cm="1">
        <f t="array" ref="G5220">SUM(G5218:G5219)</f>
        <v>0</v>
      </c>
      <c r="H5220" s="16" cm="1">
        <f t="array" ref="H5220">SUM(H5218:H5219)</f>
        <v>0</v>
      </c>
      <c r="I5220" s="16" cm="1">
        <f t="array" ref="I5220">SUM(I5218:I5219)</f>
        <v>0</v>
      </c>
    </row>
    <row r="5221" ht="20.65" customHeight="1">
      <c r="A5221" s="10">
        <v>45681</v>
      </c>
      <c r="B5221" t="s" s="11">
        <v>121</v>
      </c>
      <c r="C5221" t="s" s="12">
        <v>847</v>
      </c>
      <c r="D5221" s="17"/>
      <c r="E5221" s="17">
        <v>4300</v>
      </c>
      <c r="F5221" s="18"/>
      <c r="G5221" s="18"/>
      <c r="H5221" s="18"/>
      <c r="I5221" s="18"/>
    </row>
    <row r="5222" ht="20.65" customHeight="1">
      <c r="A5222" s="10">
        <v>45681</v>
      </c>
      <c r="B5222" t="s" s="11">
        <v>12</v>
      </c>
      <c r="C5222" t="s" s="12">
        <v>847</v>
      </c>
      <c r="D5222" s="13">
        <v>4300</v>
      </c>
      <c r="E5222" s="13"/>
      <c r="F5222" s="14"/>
      <c r="G5222" s="14"/>
      <c r="H5222" s="14"/>
      <c r="I5222" s="14"/>
    </row>
    <row r="5223" ht="20.7" customHeight="1">
      <c r="A5223" s="10">
        <v>45681</v>
      </c>
      <c r="B5223" t="s" s="11">
        <v>8</v>
      </c>
      <c r="C5223" t="s" s="12">
        <v>8</v>
      </c>
      <c r="D5223" s="15" cm="1">
        <f t="array" ref="D5223">SUM(D5221:D5222)</f>
        <v>4300</v>
      </c>
      <c r="E5223" s="15" cm="1">
        <f t="array" ref="E5223">SUM(E5221:E5222)</f>
        <v>4300</v>
      </c>
      <c r="F5223" s="16" cm="1">
        <f t="array" ref="F5223">SUM(F5221:F5222)</f>
        <v>0</v>
      </c>
      <c r="G5223" s="16" cm="1">
        <f t="array" ref="G5223">SUM(G5221:G5222)</f>
        <v>0</v>
      </c>
      <c r="H5223" s="16" cm="1">
        <f t="array" ref="H5223">SUM(H5221:H5222)</f>
        <v>0</v>
      </c>
      <c r="I5223" s="16" cm="1">
        <f t="array" ref="I5223">SUM(I5221:I5222)</f>
        <v>0</v>
      </c>
    </row>
    <row r="5224" ht="20.35" customHeight="1">
      <c r="A5224" s="10">
        <v>45681</v>
      </c>
      <c r="B5224" t="s" s="11">
        <v>121</v>
      </c>
      <c r="C5224" t="s" s="12">
        <v>96</v>
      </c>
      <c r="D5224" s="17"/>
      <c r="E5224" s="17">
        <v>44500</v>
      </c>
      <c r="F5224" s="18"/>
      <c r="G5224" s="18"/>
      <c r="H5224" s="18"/>
      <c r="I5224" s="18"/>
    </row>
    <row r="5225" ht="20.35" customHeight="1">
      <c r="A5225" s="10">
        <v>45681</v>
      </c>
      <c r="B5225" t="s" s="11">
        <v>5</v>
      </c>
      <c r="C5225" t="s" s="12">
        <v>96</v>
      </c>
      <c r="D5225" s="13">
        <v>44500</v>
      </c>
      <c r="E5225" s="13"/>
      <c r="F5225" s="14"/>
      <c r="G5225" s="14"/>
      <c r="H5225" s="14"/>
      <c r="I5225" s="14"/>
    </row>
    <row r="5226" ht="20.7" customHeight="1">
      <c r="A5226" s="10">
        <v>45681</v>
      </c>
      <c r="B5226" t="s" s="11">
        <v>8</v>
      </c>
      <c r="C5226" t="s" s="12">
        <v>8</v>
      </c>
      <c r="D5226" s="15" cm="1">
        <f t="array" ref="D5226">SUM(D5224:D5225)</f>
        <v>44500</v>
      </c>
      <c r="E5226" s="15" cm="1">
        <f t="array" ref="E5226">SUM(E5224:E5225)</f>
        <v>44500</v>
      </c>
      <c r="F5226" s="16" cm="1">
        <f t="array" ref="F5226">SUM(F5224:F5225)</f>
        <v>0</v>
      </c>
      <c r="G5226" s="16" cm="1">
        <f t="array" ref="G5226">SUM(G5224:G5225)</f>
        <v>0</v>
      </c>
      <c r="H5226" s="16" cm="1">
        <f t="array" ref="H5226">SUM(H5224:H5225)</f>
        <v>0</v>
      </c>
      <c r="I5226" s="16" cm="1">
        <f t="array" ref="I5226">SUM(I5224:I5225)</f>
        <v>0</v>
      </c>
    </row>
    <row r="5227" ht="20.35" customHeight="1">
      <c r="A5227" s="10">
        <v>45681</v>
      </c>
      <c r="B5227" t="s" s="11">
        <v>5</v>
      </c>
      <c r="C5227" t="s" s="12">
        <v>848</v>
      </c>
      <c r="D5227" s="17"/>
      <c r="E5227" s="17">
        <v>44500</v>
      </c>
      <c r="F5227" s="18"/>
      <c r="G5227" s="18"/>
      <c r="H5227" s="18"/>
      <c r="I5227" s="18"/>
    </row>
    <row r="5228" ht="20.35" customHeight="1">
      <c r="A5228" s="10">
        <v>45681</v>
      </c>
      <c r="B5228" t="s" s="11">
        <v>843</v>
      </c>
      <c r="C5228" t="s" s="12">
        <v>848</v>
      </c>
      <c r="D5228" s="13">
        <v>44500</v>
      </c>
      <c r="E5228" s="13"/>
      <c r="F5228" s="14"/>
      <c r="G5228" s="14"/>
      <c r="H5228" s="14"/>
      <c r="I5228" s="14"/>
    </row>
    <row r="5229" ht="20.7" customHeight="1">
      <c r="A5229" s="10">
        <v>45681</v>
      </c>
      <c r="B5229" t="s" s="11">
        <v>8</v>
      </c>
      <c r="C5229" t="s" s="12">
        <v>8</v>
      </c>
      <c r="D5229" s="15" cm="1">
        <f t="array" ref="D5229">SUM(D5227:D5228)</f>
        <v>44500</v>
      </c>
      <c r="E5229" s="15" cm="1">
        <f t="array" ref="E5229">SUM(E5227:E5228)</f>
        <v>44500</v>
      </c>
      <c r="F5229" s="16" cm="1">
        <f t="array" ref="F5229">SUM(F5227:F5228)</f>
        <v>0</v>
      </c>
      <c r="G5229" s="16" cm="1">
        <f t="array" ref="G5229">SUM(G5227:G5228)</f>
        <v>0</v>
      </c>
      <c r="H5229" s="16" cm="1">
        <f t="array" ref="H5229">SUM(H5227:H5228)</f>
        <v>0</v>
      </c>
      <c r="I5229" s="16" cm="1">
        <f t="array" ref="I5229">SUM(I5227:I5228)</f>
        <v>0</v>
      </c>
    </row>
    <row r="5230" ht="20.35" customHeight="1">
      <c r="A5230" s="10">
        <v>45681</v>
      </c>
      <c r="B5230" t="s" s="11">
        <v>39</v>
      </c>
      <c r="C5230" t="s" s="12">
        <v>64</v>
      </c>
      <c r="D5230" s="17"/>
      <c r="E5230" s="17"/>
      <c r="F5230" s="18">
        <v>50</v>
      </c>
      <c r="G5230" s="18"/>
      <c r="H5230" s="18"/>
      <c r="I5230" s="18"/>
    </row>
    <row r="5231" ht="20.35" customHeight="1">
      <c r="A5231" s="10">
        <v>45681</v>
      </c>
      <c r="B5231" t="s" s="11">
        <v>41</v>
      </c>
      <c r="C5231" t="s" s="12">
        <v>64</v>
      </c>
      <c r="D5231" s="13"/>
      <c r="E5231" s="13"/>
      <c r="F5231" s="14"/>
      <c r="G5231" s="14">
        <v>50</v>
      </c>
      <c r="H5231" s="14"/>
      <c r="I5231" s="14"/>
    </row>
    <row r="5232" ht="20.7" customHeight="1">
      <c r="A5232" s="10">
        <v>45681</v>
      </c>
      <c r="B5232" t="s" s="11">
        <v>8</v>
      </c>
      <c r="C5232" t="s" s="12">
        <v>8</v>
      </c>
      <c r="D5232" s="15" cm="1">
        <f t="array" ref="D5232">SUM(D5230:D5231)</f>
        <v>0</v>
      </c>
      <c r="E5232" s="15" cm="1">
        <f t="array" ref="E5232">SUM(E5230:E5231)</f>
        <v>0</v>
      </c>
      <c r="F5232" s="16" cm="1">
        <f t="array" ref="F5232">SUM(F5230:F5231)</f>
        <v>50</v>
      </c>
      <c r="G5232" s="16" cm="1">
        <f t="array" ref="G5232">SUM(G5230:G5231)</f>
        <v>50</v>
      </c>
      <c r="H5232" s="16" cm="1">
        <f t="array" ref="H5232">SUM(H5230:H5231)</f>
        <v>0</v>
      </c>
      <c r="I5232" s="16" cm="1">
        <f t="array" ref="I5232">SUM(I5230:I5231)</f>
        <v>0</v>
      </c>
    </row>
    <row r="5233" ht="20.35" customHeight="1">
      <c r="A5233" s="10">
        <v>45681</v>
      </c>
      <c r="B5233" t="s" s="11">
        <v>39</v>
      </c>
      <c r="C5233" t="s" s="12">
        <v>68</v>
      </c>
      <c r="D5233" s="17"/>
      <c r="E5233" s="17"/>
      <c r="F5233" s="18"/>
      <c r="G5233" s="18">
        <v>8.49</v>
      </c>
      <c r="H5233" s="18"/>
      <c r="I5233" s="18"/>
    </row>
    <row r="5234" ht="20.35" customHeight="1">
      <c r="A5234" s="10">
        <v>45681</v>
      </c>
      <c r="B5234" t="s" s="11">
        <v>44</v>
      </c>
      <c r="C5234" t="s" s="12">
        <v>68</v>
      </c>
      <c r="D5234" s="13"/>
      <c r="E5234" s="13"/>
      <c r="F5234" s="14">
        <v>8.49</v>
      </c>
      <c r="G5234" s="14"/>
      <c r="H5234" s="14"/>
      <c r="I5234" s="14"/>
    </row>
    <row r="5235" ht="20.7" customHeight="1">
      <c r="A5235" s="10">
        <v>45681</v>
      </c>
      <c r="B5235" t="s" s="11">
        <v>8</v>
      </c>
      <c r="C5235" t="s" s="12">
        <v>8</v>
      </c>
      <c r="D5235" s="15" cm="1">
        <f t="array" ref="D5235">SUM(D5233:D5234)</f>
        <v>0</v>
      </c>
      <c r="E5235" s="15" cm="1">
        <f t="array" ref="E5235">SUM(E5233:E5234)</f>
        <v>0</v>
      </c>
      <c r="F5235" s="16" cm="1">
        <f t="array" ref="F5235">SUM(F5233:F5234)</f>
        <v>8.49</v>
      </c>
      <c r="G5235" s="16" cm="1">
        <f t="array" ref="G5235">SUM(G5233:G5234)</f>
        <v>8.49</v>
      </c>
      <c r="H5235" s="16" cm="1">
        <f t="array" ref="H5235">SUM(H5233:H5234)</f>
        <v>0</v>
      </c>
      <c r="I5235" s="16" cm="1">
        <f t="array" ref="I5235">SUM(I5233:I5234)</f>
        <v>0</v>
      </c>
    </row>
    <row r="5236" ht="20.35" customHeight="1">
      <c r="A5236" s="10">
        <v>45681</v>
      </c>
      <c r="B5236" t="s" s="11">
        <v>814</v>
      </c>
      <c r="C5236" t="s" s="12">
        <v>96</v>
      </c>
      <c r="D5236" s="17"/>
      <c r="E5236" s="17">
        <v>84648</v>
      </c>
      <c r="F5236" s="18"/>
      <c r="G5236" s="18"/>
      <c r="H5236" s="18"/>
      <c r="I5236" s="18"/>
    </row>
    <row r="5237" ht="20.35" customHeight="1">
      <c r="A5237" s="10">
        <v>45681</v>
      </c>
      <c r="B5237" t="s" s="11">
        <v>5</v>
      </c>
      <c r="C5237" t="s" s="12">
        <v>96</v>
      </c>
      <c r="D5237" s="13">
        <v>84648</v>
      </c>
      <c r="E5237" s="13"/>
      <c r="F5237" s="14"/>
      <c r="G5237" s="14"/>
      <c r="H5237" s="14"/>
      <c r="I5237" s="14"/>
    </row>
    <row r="5238" ht="20.7" customHeight="1">
      <c r="A5238" s="10">
        <v>45681</v>
      </c>
      <c r="B5238" t="s" s="11">
        <v>8</v>
      </c>
      <c r="C5238" t="s" s="12">
        <v>8</v>
      </c>
      <c r="D5238" s="15" cm="1">
        <f t="array" ref="D5238">SUM(D5236:D5237)</f>
        <v>84648</v>
      </c>
      <c r="E5238" s="15" cm="1">
        <f t="array" ref="E5238">SUM(E5236:E5237)</f>
        <v>84648</v>
      </c>
      <c r="F5238" s="16" cm="1">
        <f t="array" ref="F5238">SUM(F5236:F5237)</f>
        <v>0</v>
      </c>
      <c r="G5238" s="16" cm="1">
        <f t="array" ref="G5238">SUM(G5236:G5237)</f>
        <v>0</v>
      </c>
      <c r="H5238" s="16" cm="1">
        <f t="array" ref="H5238">SUM(H5236:H5237)</f>
        <v>0</v>
      </c>
      <c r="I5238" s="16" cm="1">
        <f t="array" ref="I5238">SUM(I5236:I5237)</f>
        <v>0</v>
      </c>
    </row>
    <row r="5239" ht="20.35" customHeight="1">
      <c r="A5239" s="10">
        <v>45681</v>
      </c>
      <c r="B5239" t="s" s="11">
        <v>5</v>
      </c>
      <c r="C5239" t="s" s="12">
        <v>848</v>
      </c>
      <c r="D5239" s="17"/>
      <c r="E5239" s="17">
        <v>84648</v>
      </c>
      <c r="F5239" s="18"/>
      <c r="G5239" s="18"/>
      <c r="H5239" s="18"/>
      <c r="I5239" s="18"/>
    </row>
    <row r="5240" ht="20.35" customHeight="1">
      <c r="A5240" s="10">
        <v>45681</v>
      </c>
      <c r="B5240" t="s" s="11">
        <v>843</v>
      </c>
      <c r="C5240" t="s" s="12">
        <v>848</v>
      </c>
      <c r="D5240" s="13">
        <v>84648</v>
      </c>
      <c r="E5240" s="13"/>
      <c r="F5240" s="14"/>
      <c r="G5240" s="14"/>
      <c r="H5240" s="14"/>
      <c r="I5240" s="14"/>
    </row>
    <row r="5241" ht="20.7" customHeight="1">
      <c r="A5241" s="10">
        <v>45681</v>
      </c>
      <c r="B5241" t="s" s="11">
        <v>8</v>
      </c>
      <c r="C5241" t="s" s="12">
        <v>8</v>
      </c>
      <c r="D5241" s="15" cm="1">
        <f t="array" ref="D5241">SUM(D5239:D5240)</f>
        <v>84648</v>
      </c>
      <c r="E5241" s="15" cm="1">
        <f t="array" ref="E5241">SUM(E5239:E5240)</f>
        <v>84648</v>
      </c>
      <c r="F5241" s="16" cm="1">
        <f t="array" ref="F5241">SUM(F5239:F5240)</f>
        <v>0</v>
      </c>
      <c r="G5241" s="16" cm="1">
        <f t="array" ref="G5241">SUM(G5239:G5240)</f>
        <v>0</v>
      </c>
      <c r="H5241" s="16" cm="1">
        <f t="array" ref="H5241">SUM(H5239:H5240)</f>
        <v>0</v>
      </c>
      <c r="I5241" s="16" cm="1">
        <f t="array" ref="I5241">SUM(I5239:I5240)</f>
        <v>0</v>
      </c>
    </row>
    <row r="5242" ht="20.65" customHeight="1">
      <c r="A5242" s="10">
        <v>45682</v>
      </c>
      <c r="B5242" t="s" s="11">
        <v>843</v>
      </c>
      <c r="C5242" t="s" s="12">
        <v>820</v>
      </c>
      <c r="D5242" s="17">
        <v>16</v>
      </c>
      <c r="E5242" s="17"/>
      <c r="F5242" s="18"/>
      <c r="G5242" s="18"/>
      <c r="H5242" s="18"/>
      <c r="I5242" s="18"/>
    </row>
    <row r="5243" ht="20.65" customHeight="1">
      <c r="A5243" s="10">
        <v>45682</v>
      </c>
      <c r="B5243" t="s" s="11">
        <v>91</v>
      </c>
      <c r="C5243" t="s" s="12">
        <v>820</v>
      </c>
      <c r="D5243" s="13"/>
      <c r="E5243" s="13">
        <v>16</v>
      </c>
      <c r="F5243" s="14"/>
      <c r="G5243" s="14"/>
      <c r="H5243" s="14"/>
      <c r="I5243" s="14"/>
    </row>
    <row r="5244" ht="20.7" customHeight="1">
      <c r="A5244" s="10">
        <v>45682</v>
      </c>
      <c r="B5244" t="s" s="11">
        <v>8</v>
      </c>
      <c r="C5244" t="s" s="12">
        <v>8</v>
      </c>
      <c r="D5244" s="15" cm="1">
        <f t="array" ref="D5244">SUM(D5242:D5243)</f>
        <v>16</v>
      </c>
      <c r="E5244" s="15" cm="1">
        <f t="array" ref="E5244">SUM(E5242:E5243)</f>
        <v>16</v>
      </c>
      <c r="F5244" s="16" cm="1">
        <f t="array" ref="F5244">SUM(F5242:F5243)</f>
        <v>0</v>
      </c>
      <c r="G5244" s="16" cm="1">
        <f t="array" ref="G5244">SUM(G5242:G5243)</f>
        <v>0</v>
      </c>
      <c r="H5244" s="16" cm="1">
        <f t="array" ref="H5244">SUM(H5242:H5243)</f>
        <v>0</v>
      </c>
      <c r="I5244" s="16" cm="1">
        <f t="array" ref="I5244">SUM(I5242:I5243)</f>
        <v>0</v>
      </c>
    </row>
    <row r="5245" ht="20.35" customHeight="1">
      <c r="A5245" s="10">
        <v>45682</v>
      </c>
      <c r="B5245" t="s" s="11">
        <v>39</v>
      </c>
      <c r="C5245" t="s" s="12">
        <v>64</v>
      </c>
      <c r="D5245" s="17"/>
      <c r="E5245" s="17"/>
      <c r="F5245" s="18">
        <v>2000</v>
      </c>
      <c r="G5245" s="18"/>
      <c r="H5245" s="18"/>
      <c r="I5245" s="18"/>
    </row>
    <row r="5246" ht="20.35" customHeight="1">
      <c r="A5246" s="10">
        <v>45682</v>
      </c>
      <c r="B5246" t="s" s="11">
        <v>41</v>
      </c>
      <c r="C5246" t="s" s="12">
        <v>64</v>
      </c>
      <c r="D5246" s="13"/>
      <c r="E5246" s="13"/>
      <c r="F5246" s="14"/>
      <c r="G5246" s="14">
        <v>2000</v>
      </c>
      <c r="H5246" s="14"/>
      <c r="I5246" s="14"/>
    </row>
    <row r="5247" ht="20.7" customHeight="1">
      <c r="A5247" s="10">
        <v>45682</v>
      </c>
      <c r="B5247" t="s" s="11">
        <v>8</v>
      </c>
      <c r="C5247" t="s" s="12">
        <v>8</v>
      </c>
      <c r="D5247" s="15" cm="1">
        <f t="array" ref="D5247">SUM(D5245:D5246)</f>
        <v>0</v>
      </c>
      <c r="E5247" s="15" cm="1">
        <f t="array" ref="E5247">SUM(E5245:E5246)</f>
        <v>0</v>
      </c>
      <c r="F5247" s="16" cm="1">
        <f t="array" ref="F5247">SUM(F5245:F5246)</f>
        <v>2000</v>
      </c>
      <c r="G5247" s="16" cm="1">
        <f t="array" ref="G5247">SUM(G5245:G5246)</f>
        <v>2000</v>
      </c>
      <c r="H5247" s="16" cm="1">
        <f t="array" ref="H5247">SUM(H5245:H5246)</f>
        <v>0</v>
      </c>
      <c r="I5247" s="16" cm="1">
        <f t="array" ref="I5247">SUM(I5245:I5246)</f>
        <v>0</v>
      </c>
    </row>
    <row r="5248" ht="20.35" customHeight="1">
      <c r="A5248" s="10">
        <v>45682</v>
      </c>
      <c r="B5248" t="s" s="11">
        <v>39</v>
      </c>
      <c r="C5248" t="s" s="12">
        <v>849</v>
      </c>
      <c r="D5248" s="17"/>
      <c r="E5248" s="17"/>
      <c r="F5248" s="18"/>
      <c r="G5248" s="18">
        <v>2041.51</v>
      </c>
      <c r="H5248" s="18"/>
      <c r="I5248" s="18"/>
    </row>
    <row r="5249" ht="20.05" customHeight="1">
      <c r="A5249" s="10">
        <v>45682</v>
      </c>
      <c r="B5249" t="s" s="11">
        <v>44</v>
      </c>
      <c r="C5249" t="s" s="12">
        <v>849</v>
      </c>
      <c r="D5249" s="19"/>
      <c r="E5249" s="19"/>
      <c r="F5249" s="20">
        <v>2017.49</v>
      </c>
      <c r="G5249" s="20"/>
      <c r="H5249" s="20"/>
      <c r="I5249" s="20"/>
    </row>
    <row r="5250" ht="20.05" customHeight="1">
      <c r="A5250" s="10">
        <v>45682</v>
      </c>
      <c r="B5250" t="s" s="11">
        <v>43</v>
      </c>
      <c r="C5250" t="s" s="12">
        <v>849</v>
      </c>
      <c r="D5250" s="19"/>
      <c r="E5250" s="19"/>
      <c r="F5250" s="20">
        <v>24.02</v>
      </c>
      <c r="G5250" s="20"/>
      <c r="H5250" s="20"/>
      <c r="I5250" s="20"/>
    </row>
    <row r="5251" ht="20.05" customHeight="1">
      <c r="A5251" s="10">
        <v>45682</v>
      </c>
      <c r="B5251" t="s" s="11">
        <v>5</v>
      </c>
      <c r="C5251" t="s" s="12">
        <v>849</v>
      </c>
      <c r="D5251" s="19">
        <v>658767</v>
      </c>
      <c r="E5251" s="19"/>
      <c r="F5251" s="20"/>
      <c r="G5251" s="20"/>
      <c r="H5251" s="20"/>
      <c r="I5251" s="20"/>
    </row>
    <row r="5252" ht="20.35" customHeight="1">
      <c r="A5252" s="10">
        <v>45682</v>
      </c>
      <c r="B5252" t="s" s="11">
        <v>46</v>
      </c>
      <c r="C5252" t="s" s="12">
        <v>849</v>
      </c>
      <c r="D5252" s="13"/>
      <c r="E5252" s="13">
        <v>658767</v>
      </c>
      <c r="F5252" s="14"/>
      <c r="G5252" s="14"/>
      <c r="H5252" s="14"/>
      <c r="I5252" s="14"/>
    </row>
    <row r="5253" ht="20.7" customHeight="1">
      <c r="A5253" s="10">
        <v>45682</v>
      </c>
      <c r="B5253" t="s" s="11">
        <v>8</v>
      </c>
      <c r="C5253" t="s" s="12">
        <v>8</v>
      </c>
      <c r="D5253" s="15" cm="1">
        <f t="array" ref="D5253">SUM(D5248:D5252)</f>
        <v>658767</v>
      </c>
      <c r="E5253" s="15" cm="1">
        <f t="array" ref="E5253">SUM(E5248:E5252)</f>
        <v>658767</v>
      </c>
      <c r="F5253" s="16" cm="1">
        <f t="array" ref="F5253">SUM(F5248:F5252)</f>
        <v>2041.51</v>
      </c>
      <c r="G5253" s="16" cm="1">
        <f t="array" ref="G5253">SUM(G5248:G5252)</f>
        <v>2041.51</v>
      </c>
      <c r="H5253" s="16" cm="1">
        <f t="array" ref="H5253">SUM(H5248:H5252)</f>
        <v>0</v>
      </c>
      <c r="I5253" s="16" cm="1">
        <f t="array" ref="I5253">SUM(I5248:I5252)</f>
        <v>0</v>
      </c>
    </row>
    <row r="5254" ht="20.35" customHeight="1">
      <c r="A5254" s="10">
        <v>45682</v>
      </c>
      <c r="B5254" t="s" s="11">
        <v>5</v>
      </c>
      <c r="C5254" t="s" s="12">
        <v>75</v>
      </c>
      <c r="D5254" s="17"/>
      <c r="E5254" s="17">
        <v>410000</v>
      </c>
      <c r="F5254" s="18"/>
      <c r="G5254" s="18"/>
      <c r="H5254" s="18"/>
      <c r="I5254" s="18"/>
    </row>
    <row r="5255" ht="20.35" customHeight="1">
      <c r="A5255" s="10">
        <v>45682</v>
      </c>
      <c r="B5255" t="s" s="11">
        <v>74</v>
      </c>
      <c r="C5255" t="s" s="12">
        <v>75</v>
      </c>
      <c r="D5255" s="13">
        <v>410000</v>
      </c>
      <c r="E5255" s="13"/>
      <c r="F5255" s="14"/>
      <c r="G5255" s="14"/>
      <c r="H5255" s="14"/>
      <c r="I5255" s="14"/>
    </row>
    <row r="5256" ht="20.7" customHeight="1">
      <c r="A5256" s="10">
        <v>45682</v>
      </c>
      <c r="B5256" t="s" s="11">
        <v>8</v>
      </c>
      <c r="C5256" t="s" s="12">
        <v>8</v>
      </c>
      <c r="D5256" s="15" cm="1">
        <f t="array" ref="D5256">SUM(D5254:D5255)</f>
        <v>410000</v>
      </c>
      <c r="E5256" s="15" cm="1">
        <f t="array" ref="E5256">SUM(E5254:E5255)</f>
        <v>410000</v>
      </c>
      <c r="F5256" s="16" cm="1">
        <f t="array" ref="F5256">SUM(F5254:F5255)</f>
        <v>0</v>
      </c>
      <c r="G5256" s="16" cm="1">
        <f t="array" ref="G5256">SUM(G5254:G5255)</f>
        <v>0</v>
      </c>
      <c r="H5256" s="16" cm="1">
        <f t="array" ref="H5256">SUM(H5254:H5255)</f>
        <v>0</v>
      </c>
      <c r="I5256" s="16" cm="1">
        <f t="array" ref="I5256">SUM(I5254:I5255)</f>
        <v>0</v>
      </c>
    </row>
    <row r="5257" ht="21.25" customHeight="1">
      <c r="A5257" s="10">
        <v>45682</v>
      </c>
      <c r="B5257" t="s" s="11">
        <v>5</v>
      </c>
      <c r="C5257" t="s" s="12">
        <v>850</v>
      </c>
      <c r="D5257" s="17"/>
      <c r="E5257" s="17">
        <v>76390</v>
      </c>
      <c r="F5257" s="18"/>
      <c r="G5257" s="18"/>
      <c r="H5257" s="18"/>
      <c r="I5257" s="18"/>
    </row>
    <row r="5258" ht="21.25" customHeight="1">
      <c r="A5258" s="10">
        <v>45682</v>
      </c>
      <c r="B5258" t="s" s="11">
        <v>86</v>
      </c>
      <c r="C5258" t="s" s="12">
        <v>850</v>
      </c>
      <c r="D5258" s="13">
        <v>76390</v>
      </c>
      <c r="E5258" s="13"/>
      <c r="F5258" s="14"/>
      <c r="G5258" s="14"/>
      <c r="H5258" s="14"/>
      <c r="I5258" s="14"/>
    </row>
    <row r="5259" ht="20.7" customHeight="1">
      <c r="A5259" s="10">
        <v>45682</v>
      </c>
      <c r="B5259" t="s" s="11">
        <v>8</v>
      </c>
      <c r="C5259" t="s" s="12">
        <v>8</v>
      </c>
      <c r="D5259" s="15" cm="1">
        <f t="array" ref="D5259">SUM(D5257:D5258)</f>
        <v>76390</v>
      </c>
      <c r="E5259" s="15" cm="1">
        <f t="array" ref="E5259">SUM(E5257:E5258)</f>
        <v>76390</v>
      </c>
      <c r="F5259" s="16" cm="1">
        <f t="array" ref="F5259">SUM(F5257:F5258)</f>
        <v>0</v>
      </c>
      <c r="G5259" s="16" cm="1">
        <f t="array" ref="G5259">SUM(G5257:G5258)</f>
        <v>0</v>
      </c>
      <c r="H5259" s="16" cm="1">
        <f t="array" ref="H5259">SUM(H5257:H5258)</f>
        <v>0</v>
      </c>
      <c r="I5259" s="16" cm="1">
        <f t="array" ref="I5259">SUM(I5257:I5258)</f>
        <v>0</v>
      </c>
    </row>
    <row r="5260" ht="20.35" customHeight="1">
      <c r="A5260" s="10">
        <v>45682</v>
      </c>
      <c r="B5260" t="s" s="11">
        <v>5</v>
      </c>
      <c r="C5260" t="s" s="12">
        <v>848</v>
      </c>
      <c r="D5260" s="17"/>
      <c r="E5260" s="17">
        <v>70796</v>
      </c>
      <c r="F5260" s="18"/>
      <c r="G5260" s="18"/>
      <c r="H5260" s="18"/>
      <c r="I5260" s="18"/>
    </row>
    <row r="5261" ht="20.35" customHeight="1">
      <c r="A5261" s="10">
        <v>45682</v>
      </c>
      <c r="B5261" t="s" s="11">
        <v>843</v>
      </c>
      <c r="C5261" t="s" s="12">
        <v>848</v>
      </c>
      <c r="D5261" s="13">
        <v>70796</v>
      </c>
      <c r="E5261" s="13"/>
      <c r="F5261" s="14"/>
      <c r="G5261" s="14"/>
      <c r="H5261" s="14"/>
      <c r="I5261" s="14"/>
    </row>
    <row r="5262" ht="20.7" customHeight="1">
      <c r="A5262" s="10">
        <v>45682</v>
      </c>
      <c r="B5262" t="s" s="11">
        <v>8</v>
      </c>
      <c r="C5262" t="s" s="12">
        <v>8</v>
      </c>
      <c r="D5262" s="15" cm="1">
        <f t="array" ref="D5262">SUM(D5260:D5261)</f>
        <v>70796</v>
      </c>
      <c r="E5262" s="15" cm="1">
        <f t="array" ref="E5262">SUM(E5260:E5261)</f>
        <v>70796</v>
      </c>
      <c r="F5262" s="16" cm="1">
        <f t="array" ref="F5262">SUM(F5260:F5261)</f>
        <v>0</v>
      </c>
      <c r="G5262" s="16" cm="1">
        <f t="array" ref="G5262">SUM(G5260:G5261)</f>
        <v>0</v>
      </c>
      <c r="H5262" s="16" cm="1">
        <f t="array" ref="H5262">SUM(H5260:H5261)</f>
        <v>0</v>
      </c>
      <c r="I5262" s="16" cm="1">
        <f t="array" ref="I5262">SUM(I5260:I5261)</f>
        <v>0</v>
      </c>
    </row>
    <row r="5263" ht="20.35" customHeight="1">
      <c r="A5263" s="10">
        <v>45682</v>
      </c>
      <c r="B5263" t="s" s="11">
        <v>5</v>
      </c>
      <c r="C5263" t="s" s="12">
        <v>851</v>
      </c>
      <c r="D5263" s="17"/>
      <c r="E5263" s="17">
        <v>84648</v>
      </c>
      <c r="F5263" s="18"/>
      <c r="G5263" s="18"/>
      <c r="H5263" s="18"/>
      <c r="I5263" s="18"/>
    </row>
    <row r="5264" ht="20.35" customHeight="1">
      <c r="A5264" s="10">
        <v>45682</v>
      </c>
      <c r="B5264" t="s" s="11">
        <v>814</v>
      </c>
      <c r="C5264" t="s" s="12">
        <v>851</v>
      </c>
      <c r="D5264" s="13">
        <v>84648</v>
      </c>
      <c r="E5264" s="13"/>
      <c r="F5264" s="14"/>
      <c r="G5264" s="14"/>
      <c r="H5264" s="14"/>
      <c r="I5264" s="14"/>
    </row>
    <row r="5265" ht="20.7" customHeight="1">
      <c r="A5265" s="10">
        <v>45682</v>
      </c>
      <c r="B5265" t="s" s="11">
        <v>8</v>
      </c>
      <c r="C5265" t="s" s="12">
        <v>8</v>
      </c>
      <c r="D5265" s="15" cm="1">
        <f t="array" ref="D5265">SUM(D5263:D5264)</f>
        <v>84648</v>
      </c>
      <c r="E5265" s="15" cm="1">
        <f t="array" ref="E5265">SUM(E5263:E5264)</f>
        <v>84648</v>
      </c>
      <c r="F5265" s="16" cm="1">
        <f t="array" ref="F5265">SUM(F5263:F5264)</f>
        <v>0</v>
      </c>
      <c r="G5265" s="16" cm="1">
        <f t="array" ref="G5265">SUM(G5263:G5264)</f>
        <v>0</v>
      </c>
      <c r="H5265" s="16" cm="1">
        <f t="array" ref="H5265">SUM(H5263:H5264)</f>
        <v>0</v>
      </c>
      <c r="I5265" s="16" cm="1">
        <f t="array" ref="I5265">SUM(I5263:I5264)</f>
        <v>0</v>
      </c>
    </row>
    <row r="5266" ht="20.35" customHeight="1">
      <c r="A5266" s="10">
        <v>45682</v>
      </c>
      <c r="B5266" t="s" s="11">
        <v>107</v>
      </c>
      <c r="C5266" t="s" s="12">
        <v>96</v>
      </c>
      <c r="D5266" s="17"/>
      <c r="E5266" s="17">
        <v>2110</v>
      </c>
      <c r="F5266" s="18"/>
      <c r="G5266" s="18"/>
      <c r="H5266" s="18"/>
      <c r="I5266" s="18"/>
    </row>
    <row r="5267" ht="20.35" customHeight="1">
      <c r="A5267" s="10">
        <v>45682</v>
      </c>
      <c r="B5267" t="s" s="11">
        <v>5</v>
      </c>
      <c r="C5267" t="s" s="12">
        <v>96</v>
      </c>
      <c r="D5267" s="13">
        <v>2110</v>
      </c>
      <c r="E5267" s="13"/>
      <c r="F5267" s="14"/>
      <c r="G5267" s="14"/>
      <c r="H5267" s="14"/>
      <c r="I5267" s="14"/>
    </row>
    <row r="5268" ht="20.7" customHeight="1">
      <c r="A5268" s="10">
        <v>45682</v>
      </c>
      <c r="B5268" t="s" s="11">
        <v>8</v>
      </c>
      <c r="C5268" t="s" s="12">
        <v>8</v>
      </c>
      <c r="D5268" s="15" cm="1">
        <f t="array" ref="D5268">SUM(D5266:D5267)</f>
        <v>2110</v>
      </c>
      <c r="E5268" s="15" cm="1">
        <f t="array" ref="E5268">SUM(E5266:E5267)</f>
        <v>2110</v>
      </c>
      <c r="F5268" s="16" cm="1">
        <f t="array" ref="F5268">SUM(F5266:F5267)</f>
        <v>0</v>
      </c>
      <c r="G5268" s="16" cm="1">
        <f t="array" ref="G5268">SUM(G5266:G5267)</f>
        <v>0</v>
      </c>
      <c r="H5268" s="16" cm="1">
        <f t="array" ref="H5268">SUM(H5266:H5267)</f>
        <v>0</v>
      </c>
      <c r="I5268" s="16" cm="1">
        <f t="array" ref="I5268">SUM(I5266:I5267)</f>
        <v>0</v>
      </c>
    </row>
    <row r="5269" ht="20.35" customHeight="1">
      <c r="A5269" s="10">
        <v>45682</v>
      </c>
      <c r="B5269" t="s" s="11">
        <v>5</v>
      </c>
      <c r="C5269" t="s" s="12">
        <v>851</v>
      </c>
      <c r="D5269" s="17"/>
      <c r="E5269" s="17">
        <v>2110</v>
      </c>
      <c r="F5269" s="18"/>
      <c r="G5269" s="18"/>
      <c r="H5269" s="18"/>
      <c r="I5269" s="18"/>
    </row>
    <row r="5270" ht="20.35" customHeight="1">
      <c r="A5270" s="10">
        <v>45682</v>
      </c>
      <c r="B5270" t="s" s="11">
        <v>814</v>
      </c>
      <c r="C5270" t="s" s="12">
        <v>851</v>
      </c>
      <c r="D5270" s="13">
        <v>2110</v>
      </c>
      <c r="E5270" s="13"/>
      <c r="F5270" s="14"/>
      <c r="G5270" s="14"/>
      <c r="H5270" s="14"/>
      <c r="I5270" s="14"/>
    </row>
    <row r="5271" ht="20.7" customHeight="1">
      <c r="A5271" s="10">
        <v>45682</v>
      </c>
      <c r="B5271" t="s" s="11">
        <v>8</v>
      </c>
      <c r="C5271" t="s" s="12">
        <v>8</v>
      </c>
      <c r="D5271" s="15" cm="1">
        <f t="array" ref="D5271">SUM(D5269:D5270)</f>
        <v>2110</v>
      </c>
      <c r="E5271" s="15" cm="1">
        <f t="array" ref="E5271">SUM(E5269:E5270)</f>
        <v>2110</v>
      </c>
      <c r="F5271" s="16" cm="1">
        <f t="array" ref="F5271">SUM(F5269:F5270)</f>
        <v>0</v>
      </c>
      <c r="G5271" s="16" cm="1">
        <f t="array" ref="G5271">SUM(G5269:G5270)</f>
        <v>0</v>
      </c>
      <c r="H5271" s="16" cm="1">
        <f t="array" ref="H5271">SUM(H5269:H5270)</f>
        <v>0</v>
      </c>
      <c r="I5271" s="16" cm="1">
        <f t="array" ref="I5271">SUM(I5269:I5270)</f>
        <v>0</v>
      </c>
    </row>
    <row r="5272" ht="20.65" customHeight="1">
      <c r="A5272" s="10">
        <v>45683</v>
      </c>
      <c r="B5272" t="s" s="11">
        <v>814</v>
      </c>
      <c r="C5272" t="s" s="12">
        <v>820</v>
      </c>
      <c r="D5272" s="17">
        <v>4</v>
      </c>
      <c r="E5272" s="17"/>
      <c r="F5272" s="18"/>
      <c r="G5272" s="18"/>
      <c r="H5272" s="18"/>
      <c r="I5272" s="18"/>
    </row>
    <row r="5273" ht="20.65" customHeight="1">
      <c r="A5273" s="10">
        <v>45683</v>
      </c>
      <c r="B5273" t="s" s="11">
        <v>91</v>
      </c>
      <c r="C5273" t="s" s="12">
        <v>820</v>
      </c>
      <c r="D5273" s="13"/>
      <c r="E5273" s="13">
        <v>4</v>
      </c>
      <c r="F5273" s="14"/>
      <c r="G5273" s="14"/>
      <c r="H5273" s="14"/>
      <c r="I5273" s="14"/>
    </row>
    <row r="5274" ht="20.7" customHeight="1">
      <c r="A5274" s="10">
        <v>45683</v>
      </c>
      <c r="B5274" t="s" s="11">
        <v>8</v>
      </c>
      <c r="C5274" t="s" s="12">
        <v>8</v>
      </c>
      <c r="D5274" s="15" cm="1">
        <f t="array" ref="D5274">SUM(D5272:D5273)</f>
        <v>4</v>
      </c>
      <c r="E5274" s="15" cm="1">
        <f t="array" ref="E5274">SUM(E5272:E5273)</f>
        <v>4</v>
      </c>
      <c r="F5274" s="16" cm="1">
        <f t="array" ref="F5274">SUM(F5272:F5273)</f>
        <v>0</v>
      </c>
      <c r="G5274" s="16" cm="1">
        <f t="array" ref="G5274">SUM(G5272:G5273)</f>
        <v>0</v>
      </c>
      <c r="H5274" s="16" cm="1">
        <f t="array" ref="H5274">SUM(H5272:H5273)</f>
        <v>0</v>
      </c>
      <c r="I5274" s="16" cm="1">
        <f t="array" ref="I5274">SUM(I5272:I5273)</f>
        <v>0</v>
      </c>
    </row>
    <row r="5275" ht="20.65" customHeight="1">
      <c r="A5275" s="10">
        <v>45683</v>
      </c>
      <c r="B5275" t="s" s="11">
        <v>843</v>
      </c>
      <c r="C5275" t="s" s="12">
        <v>820</v>
      </c>
      <c r="D5275" s="17">
        <v>20</v>
      </c>
      <c r="E5275" s="17"/>
      <c r="F5275" s="18"/>
      <c r="G5275" s="18"/>
      <c r="H5275" s="18"/>
      <c r="I5275" s="18"/>
    </row>
    <row r="5276" ht="20.65" customHeight="1">
      <c r="A5276" s="10">
        <v>45683</v>
      </c>
      <c r="B5276" t="s" s="11">
        <v>91</v>
      </c>
      <c r="C5276" t="s" s="12">
        <v>820</v>
      </c>
      <c r="D5276" s="13"/>
      <c r="E5276" s="13">
        <v>20</v>
      </c>
      <c r="F5276" s="14"/>
      <c r="G5276" s="14"/>
      <c r="H5276" s="14"/>
      <c r="I5276" s="14"/>
    </row>
    <row r="5277" ht="20.7" customHeight="1">
      <c r="A5277" s="10">
        <v>45683</v>
      </c>
      <c r="B5277" t="s" s="11">
        <v>8</v>
      </c>
      <c r="C5277" t="s" s="12">
        <v>8</v>
      </c>
      <c r="D5277" s="15" cm="1">
        <f t="array" ref="D5277">SUM(D5275:D5276)</f>
        <v>20</v>
      </c>
      <c r="E5277" s="15" cm="1">
        <f t="array" ref="E5277">SUM(E5275:E5276)</f>
        <v>20</v>
      </c>
      <c r="F5277" s="16" cm="1">
        <f t="array" ref="F5277">SUM(F5275:F5276)</f>
        <v>0</v>
      </c>
      <c r="G5277" s="16" cm="1">
        <f t="array" ref="G5277">SUM(G5275:G5276)</f>
        <v>0</v>
      </c>
      <c r="H5277" s="16" cm="1">
        <f t="array" ref="H5277">SUM(H5275:H5276)</f>
        <v>0</v>
      </c>
      <c r="I5277" s="16" cm="1">
        <f t="array" ref="I5277">SUM(I5275:I5276)</f>
        <v>0</v>
      </c>
    </row>
    <row r="5278" ht="20.35" customHeight="1">
      <c r="A5278" s="10">
        <v>45683</v>
      </c>
      <c r="B5278" t="s" s="11">
        <v>663</v>
      </c>
      <c r="C5278" t="s" s="12">
        <v>852</v>
      </c>
      <c r="D5278" s="17"/>
      <c r="E5278" s="17"/>
      <c r="F5278" s="18">
        <v>100</v>
      </c>
      <c r="G5278" s="18"/>
      <c r="H5278" s="18"/>
      <c r="I5278" s="18"/>
    </row>
    <row r="5279" ht="20.35" customHeight="1">
      <c r="A5279" s="10">
        <v>45683</v>
      </c>
      <c r="B5279" t="s" s="11">
        <v>63</v>
      </c>
      <c r="C5279" t="s" s="12">
        <v>852</v>
      </c>
      <c r="D5279" s="13"/>
      <c r="E5279" s="13"/>
      <c r="F5279" s="14"/>
      <c r="G5279" s="14">
        <v>100</v>
      </c>
      <c r="H5279" s="14"/>
      <c r="I5279" s="14"/>
    </row>
    <row r="5280" ht="20.7" customHeight="1">
      <c r="A5280" s="10">
        <v>45683</v>
      </c>
      <c r="B5280" t="s" s="11">
        <v>8</v>
      </c>
      <c r="C5280" t="s" s="12">
        <v>8</v>
      </c>
      <c r="D5280" s="15" cm="1">
        <f t="array" ref="D5280">SUM(D5278:D5279)</f>
        <v>0</v>
      </c>
      <c r="E5280" s="15" cm="1">
        <f t="array" ref="E5280">SUM(E5278:E5279)</f>
        <v>0</v>
      </c>
      <c r="F5280" s="16" cm="1">
        <f t="array" ref="F5280">SUM(F5278:F5279)</f>
        <v>100</v>
      </c>
      <c r="G5280" s="16" cm="1">
        <f t="array" ref="G5280">SUM(G5278:G5279)</f>
        <v>100</v>
      </c>
      <c r="H5280" s="16" cm="1">
        <f t="array" ref="H5280">SUM(H5278:H5279)</f>
        <v>0</v>
      </c>
      <c r="I5280" s="16" cm="1">
        <f t="array" ref="I5280">SUM(I5278:I5279)</f>
        <v>0</v>
      </c>
    </row>
    <row r="5281" ht="20.65" customHeight="1">
      <c r="A5281" s="10">
        <v>45684</v>
      </c>
      <c r="B5281" t="s" s="11">
        <v>814</v>
      </c>
      <c r="C5281" t="s" s="12">
        <v>820</v>
      </c>
      <c r="D5281" s="17">
        <v>4</v>
      </c>
      <c r="E5281" s="17"/>
      <c r="F5281" s="18"/>
      <c r="G5281" s="18"/>
      <c r="H5281" s="18"/>
      <c r="I5281" s="18"/>
    </row>
    <row r="5282" ht="20.65" customHeight="1">
      <c r="A5282" s="10">
        <v>45684</v>
      </c>
      <c r="B5282" t="s" s="11">
        <v>91</v>
      </c>
      <c r="C5282" t="s" s="12">
        <v>820</v>
      </c>
      <c r="D5282" s="13"/>
      <c r="E5282" s="13">
        <v>4</v>
      </c>
      <c r="F5282" s="14"/>
      <c r="G5282" s="14"/>
      <c r="H5282" s="14"/>
      <c r="I5282" s="14"/>
    </row>
    <row r="5283" ht="20.7" customHeight="1">
      <c r="A5283" s="10">
        <v>45684</v>
      </c>
      <c r="B5283" t="s" s="11">
        <v>8</v>
      </c>
      <c r="C5283" t="s" s="12">
        <v>8</v>
      </c>
      <c r="D5283" s="15" cm="1">
        <f t="array" ref="D5283">SUM(D5281:D5282)</f>
        <v>4</v>
      </c>
      <c r="E5283" s="15" cm="1">
        <f t="array" ref="E5283">SUM(E5281:E5282)</f>
        <v>4</v>
      </c>
      <c r="F5283" s="16" cm="1">
        <f t="array" ref="F5283">SUM(F5281:F5282)</f>
        <v>0</v>
      </c>
      <c r="G5283" s="16" cm="1">
        <f t="array" ref="G5283">SUM(G5281:G5282)</f>
        <v>0</v>
      </c>
      <c r="H5283" s="16" cm="1">
        <f t="array" ref="H5283">SUM(H5281:H5282)</f>
        <v>0</v>
      </c>
      <c r="I5283" s="16" cm="1">
        <f t="array" ref="I5283">SUM(I5281:I5282)</f>
        <v>0</v>
      </c>
    </row>
    <row r="5284" ht="20.65" customHeight="1">
      <c r="A5284" s="10">
        <v>45684</v>
      </c>
      <c r="B5284" t="s" s="11">
        <v>843</v>
      </c>
      <c r="C5284" t="s" s="12">
        <v>820</v>
      </c>
      <c r="D5284" s="17">
        <v>20</v>
      </c>
      <c r="E5284" s="17"/>
      <c r="F5284" s="18"/>
      <c r="G5284" s="18"/>
      <c r="H5284" s="18"/>
      <c r="I5284" s="18"/>
    </row>
    <row r="5285" ht="20.65" customHeight="1">
      <c r="A5285" s="10">
        <v>45684</v>
      </c>
      <c r="B5285" t="s" s="11">
        <v>91</v>
      </c>
      <c r="C5285" t="s" s="12">
        <v>820</v>
      </c>
      <c r="D5285" s="13"/>
      <c r="E5285" s="13">
        <v>20</v>
      </c>
      <c r="F5285" s="14"/>
      <c r="G5285" s="14"/>
      <c r="H5285" s="14"/>
      <c r="I5285" s="14"/>
    </row>
    <row r="5286" ht="20.7" customHeight="1">
      <c r="A5286" s="10">
        <v>45684</v>
      </c>
      <c r="B5286" t="s" s="11">
        <v>8</v>
      </c>
      <c r="C5286" t="s" s="12">
        <v>8</v>
      </c>
      <c r="D5286" s="15" cm="1">
        <f t="array" ref="D5286">SUM(D5284:D5285)</f>
        <v>20</v>
      </c>
      <c r="E5286" s="15" cm="1">
        <f t="array" ref="E5286">SUM(E5284:E5285)</f>
        <v>20</v>
      </c>
      <c r="F5286" s="16" cm="1">
        <f t="array" ref="F5286">SUM(F5284:F5285)</f>
        <v>0</v>
      </c>
      <c r="G5286" s="16" cm="1">
        <f t="array" ref="G5286">SUM(G5284:G5285)</f>
        <v>0</v>
      </c>
      <c r="H5286" s="16" cm="1">
        <f t="array" ref="H5286">SUM(H5284:H5285)</f>
        <v>0</v>
      </c>
      <c r="I5286" s="16" cm="1">
        <f t="array" ref="I5286">SUM(I5284:I5285)</f>
        <v>0</v>
      </c>
    </row>
    <row r="5287" ht="20.35" customHeight="1">
      <c r="A5287" s="10">
        <v>45684</v>
      </c>
      <c r="B5287" t="s" s="11">
        <v>5</v>
      </c>
      <c r="C5287" t="s" s="12">
        <v>53</v>
      </c>
      <c r="D5287" s="17"/>
      <c r="E5287" s="17">
        <v>9690</v>
      </c>
      <c r="F5287" s="18"/>
      <c r="G5287" s="18"/>
      <c r="H5287" s="18"/>
      <c r="I5287" s="18"/>
    </row>
    <row r="5288" ht="20.35" customHeight="1">
      <c r="A5288" s="10">
        <v>45684</v>
      </c>
      <c r="B5288" t="s" s="11">
        <v>12</v>
      </c>
      <c r="C5288" t="s" s="12">
        <v>53</v>
      </c>
      <c r="D5288" s="13">
        <v>9690</v>
      </c>
      <c r="E5288" s="13"/>
      <c r="F5288" s="14"/>
      <c r="G5288" s="14"/>
      <c r="H5288" s="14"/>
      <c r="I5288" s="14"/>
    </row>
    <row r="5289" ht="20.7" customHeight="1">
      <c r="A5289" s="10">
        <v>45684</v>
      </c>
      <c r="B5289" t="s" s="11">
        <v>8</v>
      </c>
      <c r="C5289" t="s" s="12">
        <v>8</v>
      </c>
      <c r="D5289" s="15" cm="1">
        <f t="array" ref="D5289">SUM(D5287:D5288)</f>
        <v>9690</v>
      </c>
      <c r="E5289" s="15" cm="1">
        <f t="array" ref="E5289">SUM(E5287:E5288)</f>
        <v>9690</v>
      </c>
      <c r="F5289" s="16" cm="1">
        <f t="array" ref="F5289">SUM(F5287:F5288)</f>
        <v>0</v>
      </c>
      <c r="G5289" s="16" cm="1">
        <f t="array" ref="G5289">SUM(G5287:G5288)</f>
        <v>0</v>
      </c>
      <c r="H5289" s="16" cm="1">
        <f t="array" ref="H5289">SUM(H5287:H5288)</f>
        <v>0</v>
      </c>
      <c r="I5289" s="16" cm="1">
        <f t="array" ref="I5289">SUM(I5287:I5288)</f>
        <v>0</v>
      </c>
    </row>
    <row r="5290" ht="20.35" customHeight="1">
      <c r="A5290" s="10">
        <v>45684</v>
      </c>
      <c r="B5290" t="s" s="11">
        <v>91</v>
      </c>
      <c r="C5290" t="s" s="12">
        <v>17</v>
      </c>
      <c r="D5290" s="17"/>
      <c r="E5290" s="17">
        <v>100</v>
      </c>
      <c r="F5290" s="18"/>
      <c r="G5290" s="18"/>
      <c r="H5290" s="18"/>
      <c r="I5290" s="18"/>
    </row>
    <row r="5291" ht="20.35" customHeight="1">
      <c r="A5291" s="10">
        <v>45684</v>
      </c>
      <c r="B5291" t="s" s="11">
        <v>5</v>
      </c>
      <c r="C5291" t="s" s="12">
        <v>17</v>
      </c>
      <c r="D5291" s="13">
        <v>100</v>
      </c>
      <c r="E5291" s="13"/>
      <c r="F5291" s="14"/>
      <c r="G5291" s="14"/>
      <c r="H5291" s="14"/>
      <c r="I5291" s="14"/>
    </row>
    <row r="5292" ht="20.7" customHeight="1">
      <c r="A5292" s="10">
        <v>45684</v>
      </c>
      <c r="B5292" t="s" s="11">
        <v>8</v>
      </c>
      <c r="C5292" t="s" s="12">
        <v>8</v>
      </c>
      <c r="D5292" s="15" cm="1">
        <f t="array" ref="D5292">SUM(D5290:D5291)</f>
        <v>100</v>
      </c>
      <c r="E5292" s="15" cm="1">
        <f t="array" ref="E5292">SUM(E5290:E5291)</f>
        <v>100</v>
      </c>
      <c r="F5292" s="16" cm="1">
        <f t="array" ref="F5292">SUM(F5290:F5291)</f>
        <v>0</v>
      </c>
      <c r="G5292" s="16" cm="1">
        <f t="array" ref="G5292">SUM(G5290:G5291)</f>
        <v>0</v>
      </c>
      <c r="H5292" s="16" cm="1">
        <f t="array" ref="H5292">SUM(H5290:H5291)</f>
        <v>0</v>
      </c>
      <c r="I5292" s="16" cm="1">
        <f t="array" ref="I5292">SUM(I5290:I5291)</f>
        <v>0</v>
      </c>
    </row>
    <row r="5293" ht="21.25" customHeight="1">
      <c r="A5293" s="10">
        <v>45684</v>
      </c>
      <c r="B5293" t="s" s="11">
        <v>5</v>
      </c>
      <c r="C5293" t="s" s="12">
        <v>799</v>
      </c>
      <c r="D5293" s="17">
        <v>1</v>
      </c>
      <c r="E5293" s="17"/>
      <c r="F5293" s="18"/>
      <c r="G5293" s="18"/>
      <c r="H5293" s="18"/>
      <c r="I5293" s="18"/>
    </row>
    <row r="5294" ht="21.25" customHeight="1">
      <c r="A5294" s="10">
        <v>45684</v>
      </c>
      <c r="B5294" t="s" s="11">
        <v>91</v>
      </c>
      <c r="C5294" t="s" s="12">
        <v>799</v>
      </c>
      <c r="D5294" s="13"/>
      <c r="E5294" s="13">
        <v>1</v>
      </c>
      <c r="F5294" s="14"/>
      <c r="G5294" s="14"/>
      <c r="H5294" s="14"/>
      <c r="I5294" s="14"/>
    </row>
    <row r="5295" ht="20.7" customHeight="1">
      <c r="A5295" s="10">
        <v>45684</v>
      </c>
      <c r="B5295" t="s" s="11">
        <v>8</v>
      </c>
      <c r="C5295" t="s" s="12">
        <v>8</v>
      </c>
      <c r="D5295" s="15" cm="1">
        <f t="array" ref="D5295">SUM(D5293:D5294)</f>
        <v>1</v>
      </c>
      <c r="E5295" s="15" cm="1">
        <f t="array" ref="E5295">SUM(E5293:E5294)</f>
        <v>1</v>
      </c>
      <c r="F5295" s="16" cm="1">
        <f t="array" ref="F5295">SUM(F5293:F5294)</f>
        <v>0</v>
      </c>
      <c r="G5295" s="16" cm="1">
        <f t="array" ref="G5295">SUM(G5293:G5294)</f>
        <v>0</v>
      </c>
      <c r="H5295" s="16" cm="1">
        <f t="array" ref="H5295">SUM(H5293:H5294)</f>
        <v>0</v>
      </c>
      <c r="I5295" s="16" cm="1">
        <f t="array" ref="I5295">SUM(I5293:I5294)</f>
        <v>0</v>
      </c>
    </row>
    <row r="5296" ht="21.25" customHeight="1">
      <c r="A5296" s="10">
        <v>45684</v>
      </c>
      <c r="B5296" t="s" s="11">
        <v>5</v>
      </c>
      <c r="C5296" t="s" s="12">
        <v>799</v>
      </c>
      <c r="D5296" s="17"/>
      <c r="E5296" s="17">
        <v>101</v>
      </c>
      <c r="F5296" s="18"/>
      <c r="G5296" s="18"/>
      <c r="H5296" s="18"/>
      <c r="I5296" s="18"/>
    </row>
    <row r="5297" ht="21.25" customHeight="1">
      <c r="A5297" s="10">
        <v>45684</v>
      </c>
      <c r="B5297" t="s" s="11">
        <v>814</v>
      </c>
      <c r="C5297" t="s" s="12">
        <v>799</v>
      </c>
      <c r="D5297" s="13">
        <v>101</v>
      </c>
      <c r="E5297" s="13"/>
      <c r="F5297" s="14"/>
      <c r="G5297" s="14"/>
      <c r="H5297" s="14"/>
      <c r="I5297" s="14"/>
    </row>
    <row r="5298" ht="20.7" customHeight="1">
      <c r="A5298" s="10">
        <v>45684</v>
      </c>
      <c r="B5298" t="s" s="11">
        <v>8</v>
      </c>
      <c r="C5298" t="s" s="12">
        <v>8</v>
      </c>
      <c r="D5298" s="15" cm="1">
        <f t="array" ref="D5298">SUM(D5296:D5297)</f>
        <v>101</v>
      </c>
      <c r="E5298" s="15" cm="1">
        <f t="array" ref="E5298">SUM(E5296:E5297)</f>
        <v>101</v>
      </c>
      <c r="F5298" s="16" cm="1">
        <f t="array" ref="F5298">SUM(F5296:F5297)</f>
        <v>0</v>
      </c>
      <c r="G5298" s="16" cm="1">
        <f t="array" ref="G5298">SUM(G5296:G5297)</f>
        <v>0</v>
      </c>
      <c r="H5298" s="16" cm="1">
        <f t="array" ref="H5298">SUM(H5296:H5297)</f>
        <v>0</v>
      </c>
      <c r="I5298" s="16" cm="1">
        <f t="array" ref="I5298">SUM(I5296:I5297)</f>
        <v>0</v>
      </c>
    </row>
    <row r="5299" ht="20.65" customHeight="1">
      <c r="A5299" s="10">
        <v>45685</v>
      </c>
      <c r="B5299" t="s" s="11">
        <v>814</v>
      </c>
      <c r="C5299" t="s" s="12">
        <v>820</v>
      </c>
      <c r="D5299" s="17">
        <v>4</v>
      </c>
      <c r="E5299" s="17"/>
      <c r="F5299" s="18"/>
      <c r="G5299" s="18"/>
      <c r="H5299" s="18"/>
      <c r="I5299" s="18"/>
    </row>
    <row r="5300" ht="20.65" customHeight="1">
      <c r="A5300" s="10">
        <v>45685</v>
      </c>
      <c r="B5300" t="s" s="11">
        <v>91</v>
      </c>
      <c r="C5300" t="s" s="12">
        <v>820</v>
      </c>
      <c r="D5300" s="13"/>
      <c r="E5300" s="13">
        <v>4</v>
      </c>
      <c r="F5300" s="14"/>
      <c r="G5300" s="14"/>
      <c r="H5300" s="14"/>
      <c r="I5300" s="14"/>
    </row>
    <row r="5301" ht="20.7" customHeight="1">
      <c r="A5301" s="10">
        <v>45685</v>
      </c>
      <c r="B5301" t="s" s="11">
        <v>8</v>
      </c>
      <c r="C5301" t="s" s="12">
        <v>8</v>
      </c>
      <c r="D5301" s="15" cm="1">
        <f t="array" ref="D5301">SUM(D5299:D5300)</f>
        <v>4</v>
      </c>
      <c r="E5301" s="15" cm="1">
        <f t="array" ref="E5301">SUM(E5299:E5300)</f>
        <v>4</v>
      </c>
      <c r="F5301" s="16" cm="1">
        <f t="array" ref="F5301">SUM(F5299:F5300)</f>
        <v>0</v>
      </c>
      <c r="G5301" s="16" cm="1">
        <f t="array" ref="G5301">SUM(G5299:G5300)</f>
        <v>0</v>
      </c>
      <c r="H5301" s="16" cm="1">
        <f t="array" ref="H5301">SUM(H5299:H5300)</f>
        <v>0</v>
      </c>
      <c r="I5301" s="16" cm="1">
        <f t="array" ref="I5301">SUM(I5299:I5300)</f>
        <v>0</v>
      </c>
    </row>
    <row r="5302" ht="20.65" customHeight="1">
      <c r="A5302" s="10">
        <v>45685</v>
      </c>
      <c r="B5302" t="s" s="11">
        <v>843</v>
      </c>
      <c r="C5302" t="s" s="12">
        <v>820</v>
      </c>
      <c r="D5302" s="17">
        <v>20</v>
      </c>
      <c r="E5302" s="17"/>
      <c r="F5302" s="18"/>
      <c r="G5302" s="18"/>
      <c r="H5302" s="18"/>
      <c r="I5302" s="18"/>
    </row>
    <row r="5303" ht="20.65" customHeight="1">
      <c r="A5303" s="10">
        <v>45685</v>
      </c>
      <c r="B5303" t="s" s="11">
        <v>91</v>
      </c>
      <c r="C5303" t="s" s="12">
        <v>820</v>
      </c>
      <c r="D5303" s="13"/>
      <c r="E5303" s="13">
        <v>20</v>
      </c>
      <c r="F5303" s="14"/>
      <c r="G5303" s="14"/>
      <c r="H5303" s="14"/>
      <c r="I5303" s="14"/>
    </row>
    <row r="5304" ht="20.7" customHeight="1">
      <c r="A5304" s="10">
        <v>45685</v>
      </c>
      <c r="B5304" t="s" s="11">
        <v>8</v>
      </c>
      <c r="C5304" t="s" s="12">
        <v>8</v>
      </c>
      <c r="D5304" s="15" cm="1">
        <f t="array" ref="D5304">SUM(D5302:D5303)</f>
        <v>20</v>
      </c>
      <c r="E5304" s="15" cm="1">
        <f t="array" ref="E5304">SUM(E5302:E5303)</f>
        <v>20</v>
      </c>
      <c r="F5304" s="16" cm="1">
        <f t="array" ref="F5304">SUM(F5302:F5303)</f>
        <v>0</v>
      </c>
      <c r="G5304" s="16" cm="1">
        <f t="array" ref="G5304">SUM(G5302:G5303)</f>
        <v>0</v>
      </c>
      <c r="H5304" s="16" cm="1">
        <f t="array" ref="H5304">SUM(H5302:H5303)</f>
        <v>0</v>
      </c>
      <c r="I5304" s="16" cm="1">
        <f t="array" ref="I5304">SUM(I5302:I5303)</f>
        <v>0</v>
      </c>
    </row>
    <row r="5305" ht="20.65" customHeight="1">
      <c r="A5305" s="10">
        <v>45686</v>
      </c>
      <c r="B5305" t="s" s="11">
        <v>814</v>
      </c>
      <c r="C5305" t="s" s="12">
        <v>820</v>
      </c>
      <c r="D5305" s="17">
        <v>4</v>
      </c>
      <c r="E5305" s="17"/>
      <c r="F5305" s="18"/>
      <c r="G5305" s="18"/>
      <c r="H5305" s="18"/>
      <c r="I5305" s="18"/>
    </row>
    <row r="5306" ht="20.65" customHeight="1">
      <c r="A5306" s="10">
        <v>45686</v>
      </c>
      <c r="B5306" t="s" s="11">
        <v>91</v>
      </c>
      <c r="C5306" t="s" s="12">
        <v>820</v>
      </c>
      <c r="D5306" s="13"/>
      <c r="E5306" s="13">
        <v>4</v>
      </c>
      <c r="F5306" s="14"/>
      <c r="G5306" s="14"/>
      <c r="H5306" s="14"/>
      <c r="I5306" s="14"/>
    </row>
    <row r="5307" ht="20.7" customHeight="1">
      <c r="A5307" s="10">
        <v>45686</v>
      </c>
      <c r="B5307" t="s" s="11">
        <v>8</v>
      </c>
      <c r="C5307" t="s" s="12">
        <v>8</v>
      </c>
      <c r="D5307" s="15" cm="1">
        <f t="array" ref="D5307">SUM(D5305:D5306)</f>
        <v>4</v>
      </c>
      <c r="E5307" s="15" cm="1">
        <f t="array" ref="E5307">SUM(E5305:E5306)</f>
        <v>4</v>
      </c>
      <c r="F5307" s="16" cm="1">
        <f t="array" ref="F5307">SUM(F5305:F5306)</f>
        <v>0</v>
      </c>
      <c r="G5307" s="16" cm="1">
        <f t="array" ref="G5307">SUM(G5305:G5306)</f>
        <v>0</v>
      </c>
      <c r="H5307" s="16" cm="1">
        <f t="array" ref="H5307">SUM(H5305:H5306)</f>
        <v>0</v>
      </c>
      <c r="I5307" s="16" cm="1">
        <f t="array" ref="I5307">SUM(I5305:I5306)</f>
        <v>0</v>
      </c>
    </row>
    <row r="5308" ht="20.65" customHeight="1">
      <c r="A5308" s="10">
        <v>45686</v>
      </c>
      <c r="B5308" t="s" s="11">
        <v>843</v>
      </c>
      <c r="C5308" t="s" s="12">
        <v>820</v>
      </c>
      <c r="D5308" s="17">
        <v>20</v>
      </c>
      <c r="E5308" s="17"/>
      <c r="F5308" s="18"/>
      <c r="G5308" s="18"/>
      <c r="H5308" s="18"/>
      <c r="I5308" s="18"/>
    </row>
    <row r="5309" ht="20.65" customHeight="1">
      <c r="A5309" s="10">
        <v>45686</v>
      </c>
      <c r="B5309" t="s" s="11">
        <v>91</v>
      </c>
      <c r="C5309" t="s" s="12">
        <v>820</v>
      </c>
      <c r="D5309" s="13"/>
      <c r="E5309" s="13">
        <v>20</v>
      </c>
      <c r="F5309" s="14"/>
      <c r="G5309" s="14"/>
      <c r="H5309" s="14"/>
      <c r="I5309" s="14"/>
    </row>
    <row r="5310" ht="20.7" customHeight="1">
      <c r="A5310" s="10">
        <v>45686</v>
      </c>
      <c r="B5310" t="s" s="11">
        <v>8</v>
      </c>
      <c r="C5310" t="s" s="12">
        <v>8</v>
      </c>
      <c r="D5310" s="15" cm="1">
        <f t="array" ref="D5310">SUM(D5308:D5309)</f>
        <v>20</v>
      </c>
      <c r="E5310" s="15" cm="1">
        <f t="array" ref="E5310">SUM(E5308:E5309)</f>
        <v>20</v>
      </c>
      <c r="F5310" s="16" cm="1">
        <f t="array" ref="F5310">SUM(F5308:F5309)</f>
        <v>0</v>
      </c>
      <c r="G5310" s="16" cm="1">
        <f t="array" ref="G5310">SUM(G5308:G5309)</f>
        <v>0</v>
      </c>
      <c r="H5310" s="16" cm="1">
        <f t="array" ref="H5310">SUM(H5308:H5309)</f>
        <v>0</v>
      </c>
      <c r="I5310" s="16" cm="1">
        <f t="array" ref="I5310">SUM(I5308:I5309)</f>
        <v>0</v>
      </c>
    </row>
    <row r="5311" ht="20.35" customHeight="1">
      <c r="A5311" s="10">
        <v>45686</v>
      </c>
      <c r="B5311" t="s" s="11">
        <v>843</v>
      </c>
      <c r="C5311" t="s" s="12">
        <v>848</v>
      </c>
      <c r="D5311" s="17"/>
      <c r="E5311" s="17">
        <v>120000</v>
      </c>
      <c r="F5311" s="18"/>
      <c r="G5311" s="18"/>
      <c r="H5311" s="18"/>
      <c r="I5311" s="18"/>
    </row>
    <row r="5312" ht="20.35" customHeight="1">
      <c r="A5312" s="10">
        <v>45686</v>
      </c>
      <c r="B5312" t="s" s="11">
        <v>5</v>
      </c>
      <c r="C5312" t="s" s="12">
        <v>848</v>
      </c>
      <c r="D5312" s="13">
        <v>120000</v>
      </c>
      <c r="E5312" s="13"/>
      <c r="F5312" s="14"/>
      <c r="G5312" s="14"/>
      <c r="H5312" s="14"/>
      <c r="I5312" s="14"/>
    </row>
    <row r="5313" ht="20.7" customHeight="1">
      <c r="A5313" s="10">
        <v>45686</v>
      </c>
      <c r="B5313" t="s" s="11">
        <v>8</v>
      </c>
      <c r="C5313" t="s" s="12">
        <v>8</v>
      </c>
      <c r="D5313" s="15" cm="1">
        <f t="array" ref="D5313">SUM(D5311:D5312)</f>
        <v>120000</v>
      </c>
      <c r="E5313" s="15" cm="1">
        <f t="array" ref="E5313">SUM(E5311:E5312)</f>
        <v>120000</v>
      </c>
      <c r="F5313" s="16" cm="1">
        <f t="array" ref="F5313">SUM(F5311:F5312)</f>
        <v>0</v>
      </c>
      <c r="G5313" s="16" cm="1">
        <f t="array" ref="G5313">SUM(G5311:G5312)</f>
        <v>0</v>
      </c>
      <c r="H5313" s="16" cm="1">
        <f t="array" ref="H5313">SUM(H5311:H5312)</f>
        <v>0</v>
      </c>
      <c r="I5313" s="16" cm="1">
        <f t="array" ref="I5313">SUM(I5311:I5312)</f>
        <v>0</v>
      </c>
    </row>
    <row r="5314" ht="20.35" customHeight="1">
      <c r="A5314" s="10">
        <v>45686</v>
      </c>
      <c r="B5314" t="s" s="11">
        <v>5</v>
      </c>
      <c r="C5314" t="s" s="12">
        <v>439</v>
      </c>
      <c r="D5314" s="17"/>
      <c r="E5314" s="17">
        <v>120000</v>
      </c>
      <c r="F5314" s="18"/>
      <c r="G5314" s="18"/>
      <c r="H5314" s="18"/>
      <c r="I5314" s="18"/>
    </row>
    <row r="5315" ht="20.35" customHeight="1">
      <c r="A5315" s="10">
        <v>45686</v>
      </c>
      <c r="B5315" t="s" s="11">
        <v>121</v>
      </c>
      <c r="C5315" t="s" s="12">
        <v>439</v>
      </c>
      <c r="D5315" s="13">
        <v>120000</v>
      </c>
      <c r="E5315" s="13"/>
      <c r="F5315" s="14"/>
      <c r="G5315" s="14"/>
      <c r="H5315" s="14"/>
      <c r="I5315" s="14"/>
    </row>
    <row r="5316" ht="20.7" customHeight="1">
      <c r="A5316" s="10">
        <v>45686</v>
      </c>
      <c r="B5316" t="s" s="11">
        <v>8</v>
      </c>
      <c r="C5316" t="s" s="12">
        <v>8</v>
      </c>
      <c r="D5316" s="15" cm="1">
        <f t="array" ref="D5316">SUM(D5314:D5315)</f>
        <v>120000</v>
      </c>
      <c r="E5316" s="15" cm="1">
        <f t="array" ref="E5316">SUM(E5314:E5315)</f>
        <v>120000</v>
      </c>
      <c r="F5316" s="16" cm="1">
        <f t="array" ref="F5316">SUM(F5314:F5315)</f>
        <v>0</v>
      </c>
      <c r="G5316" s="16" cm="1">
        <f t="array" ref="G5316">SUM(G5314:G5315)</f>
        <v>0</v>
      </c>
      <c r="H5316" s="16" cm="1">
        <f t="array" ref="H5316">SUM(H5314:H5315)</f>
        <v>0</v>
      </c>
      <c r="I5316" s="16" cm="1">
        <f t="array" ref="I5316">SUM(I5314:I5315)</f>
        <v>0</v>
      </c>
    </row>
    <row r="5317" ht="20.35" customHeight="1">
      <c r="A5317" s="10">
        <v>45686</v>
      </c>
      <c r="B5317" t="s" s="11">
        <v>121</v>
      </c>
      <c r="C5317" t="s" s="12">
        <v>853</v>
      </c>
      <c r="D5317" s="17"/>
      <c r="E5317" s="17">
        <v>24800</v>
      </c>
      <c r="F5317" s="18"/>
      <c r="G5317" s="18"/>
      <c r="H5317" s="18"/>
      <c r="I5317" s="18"/>
    </row>
    <row r="5318" ht="20.35" customHeight="1">
      <c r="A5318" s="10">
        <v>45686</v>
      </c>
      <c r="B5318" t="s" s="11">
        <v>10</v>
      </c>
      <c r="C5318" t="s" s="12">
        <v>853</v>
      </c>
      <c r="D5318" s="13">
        <v>24800</v>
      </c>
      <c r="E5318" s="13"/>
      <c r="F5318" s="14"/>
      <c r="G5318" s="14"/>
      <c r="H5318" s="14"/>
      <c r="I5318" s="14"/>
    </row>
    <row r="5319" ht="20.7" customHeight="1">
      <c r="A5319" s="10">
        <v>45686</v>
      </c>
      <c r="B5319" t="s" s="11">
        <v>8</v>
      </c>
      <c r="C5319" t="s" s="12">
        <v>8</v>
      </c>
      <c r="D5319" s="15" cm="1">
        <f t="array" ref="D5319">SUM(D5317:D5318)</f>
        <v>24800</v>
      </c>
      <c r="E5319" s="15" cm="1">
        <f t="array" ref="E5319">SUM(E5317:E5318)</f>
        <v>24800</v>
      </c>
      <c r="F5319" s="16" cm="1">
        <f t="array" ref="F5319">SUM(F5317:F5318)</f>
        <v>0</v>
      </c>
      <c r="G5319" s="16" cm="1">
        <f t="array" ref="G5319">SUM(G5317:G5318)</f>
        <v>0</v>
      </c>
      <c r="H5319" s="16" cm="1">
        <f t="array" ref="H5319">SUM(H5317:H5318)</f>
        <v>0</v>
      </c>
      <c r="I5319" s="16" cm="1">
        <f t="array" ref="I5319">SUM(I5317:I5318)</f>
        <v>0</v>
      </c>
    </row>
    <row r="5320" ht="20.35" customHeight="1">
      <c r="A5320" s="10">
        <v>45686</v>
      </c>
      <c r="B5320" t="s" s="11">
        <v>121</v>
      </c>
      <c r="C5320" t="s" s="12">
        <v>854</v>
      </c>
      <c r="D5320" s="17"/>
      <c r="E5320" s="17">
        <v>15000</v>
      </c>
      <c r="F5320" s="18"/>
      <c r="G5320" s="18"/>
      <c r="H5320" s="18"/>
      <c r="I5320" s="18"/>
    </row>
    <row r="5321" ht="20.35" customHeight="1">
      <c r="A5321" s="10">
        <v>45686</v>
      </c>
      <c r="B5321" t="s" s="11">
        <v>10</v>
      </c>
      <c r="C5321" t="s" s="12">
        <v>854</v>
      </c>
      <c r="D5321" s="13">
        <v>15000</v>
      </c>
      <c r="E5321" s="13"/>
      <c r="F5321" s="14"/>
      <c r="G5321" s="14"/>
      <c r="H5321" s="14"/>
      <c r="I5321" s="14"/>
    </row>
    <row r="5322" ht="20.7" customHeight="1">
      <c r="A5322" s="10">
        <v>45686</v>
      </c>
      <c r="B5322" t="s" s="11">
        <v>8</v>
      </c>
      <c r="C5322" t="s" s="12">
        <v>8</v>
      </c>
      <c r="D5322" s="15" cm="1">
        <f t="array" ref="D5322">SUM(D5320:D5321)</f>
        <v>15000</v>
      </c>
      <c r="E5322" s="15" cm="1">
        <f t="array" ref="E5322">SUM(E5320:E5321)</f>
        <v>15000</v>
      </c>
      <c r="F5322" s="16" cm="1">
        <f t="array" ref="F5322">SUM(F5320:F5321)</f>
        <v>0</v>
      </c>
      <c r="G5322" s="16" cm="1">
        <f t="array" ref="G5322">SUM(G5320:G5321)</f>
        <v>0</v>
      </c>
      <c r="H5322" s="16" cm="1">
        <f t="array" ref="H5322">SUM(H5320:H5321)</f>
        <v>0</v>
      </c>
      <c r="I5322" s="16" cm="1">
        <f t="array" ref="I5322">SUM(I5320:I5321)</f>
        <v>0</v>
      </c>
    </row>
    <row r="5323" ht="20.35" customHeight="1">
      <c r="A5323" s="10">
        <v>45686</v>
      </c>
      <c r="B5323" t="s" s="11">
        <v>121</v>
      </c>
      <c r="C5323" t="s" s="12">
        <v>854</v>
      </c>
      <c r="D5323" s="17"/>
      <c r="E5323" s="17">
        <v>2900</v>
      </c>
      <c r="F5323" s="18"/>
      <c r="G5323" s="18"/>
      <c r="H5323" s="18"/>
      <c r="I5323" s="18"/>
    </row>
    <row r="5324" ht="20.35" customHeight="1">
      <c r="A5324" s="10">
        <v>45686</v>
      </c>
      <c r="B5324" t="s" s="11">
        <v>10</v>
      </c>
      <c r="C5324" t="s" s="12">
        <v>854</v>
      </c>
      <c r="D5324" s="13">
        <v>2900</v>
      </c>
      <c r="E5324" s="13"/>
      <c r="F5324" s="14"/>
      <c r="G5324" s="14"/>
      <c r="H5324" s="14"/>
      <c r="I5324" s="14"/>
    </row>
    <row r="5325" ht="20.7" customHeight="1">
      <c r="A5325" s="10">
        <v>45686</v>
      </c>
      <c r="B5325" t="s" s="11">
        <v>8</v>
      </c>
      <c r="C5325" t="s" s="12">
        <v>8</v>
      </c>
      <c r="D5325" s="15" cm="1">
        <f t="array" ref="D5325">SUM(D5323:D5324)</f>
        <v>2900</v>
      </c>
      <c r="E5325" s="15" cm="1">
        <f t="array" ref="E5325">SUM(E5323:E5324)</f>
        <v>2900</v>
      </c>
      <c r="F5325" s="16" cm="1">
        <f t="array" ref="F5325">SUM(F5323:F5324)</f>
        <v>0</v>
      </c>
      <c r="G5325" s="16" cm="1">
        <f t="array" ref="G5325">SUM(G5323:G5324)</f>
        <v>0</v>
      </c>
      <c r="H5325" s="16" cm="1">
        <f t="array" ref="H5325">SUM(H5323:H5324)</f>
        <v>0</v>
      </c>
      <c r="I5325" s="16" cm="1">
        <f t="array" ref="I5325">SUM(I5323:I5324)</f>
        <v>0</v>
      </c>
    </row>
    <row r="5326" ht="20.35" customHeight="1">
      <c r="A5326" s="10">
        <v>45686</v>
      </c>
      <c r="B5326" t="s" s="11">
        <v>121</v>
      </c>
      <c r="C5326" t="s" s="12">
        <v>855</v>
      </c>
      <c r="D5326" s="17"/>
      <c r="E5326" s="17">
        <v>31700</v>
      </c>
      <c r="F5326" s="18"/>
      <c r="G5326" s="18"/>
      <c r="H5326" s="18"/>
      <c r="I5326" s="18"/>
    </row>
    <row r="5327" ht="20.35" customHeight="1">
      <c r="A5327" s="10">
        <v>45686</v>
      </c>
      <c r="B5327" t="s" s="11">
        <v>10</v>
      </c>
      <c r="C5327" t="s" s="12">
        <v>855</v>
      </c>
      <c r="D5327" s="13">
        <v>31700</v>
      </c>
      <c r="E5327" s="13"/>
      <c r="F5327" s="14"/>
      <c r="G5327" s="14"/>
      <c r="H5327" s="14"/>
      <c r="I5327" s="14"/>
    </row>
    <row r="5328" ht="20.7" customHeight="1">
      <c r="A5328" s="10">
        <v>45686</v>
      </c>
      <c r="B5328" t="s" s="11">
        <v>8</v>
      </c>
      <c r="C5328" t="s" s="12">
        <v>8</v>
      </c>
      <c r="D5328" s="15" cm="1">
        <f t="array" ref="D5328">SUM(D5326:D5327)</f>
        <v>31700</v>
      </c>
      <c r="E5328" s="15" cm="1">
        <f t="array" ref="E5328">SUM(E5326:E5327)</f>
        <v>31700</v>
      </c>
      <c r="F5328" s="16" cm="1">
        <f t="array" ref="F5328">SUM(F5326:F5327)</f>
        <v>0</v>
      </c>
      <c r="G5328" s="16" cm="1">
        <f t="array" ref="G5328">SUM(G5326:G5327)</f>
        <v>0</v>
      </c>
      <c r="H5328" s="16" cm="1">
        <f t="array" ref="H5328">SUM(H5326:H5327)</f>
        <v>0</v>
      </c>
      <c r="I5328" s="16" cm="1">
        <f t="array" ref="I5328">SUM(I5326:I5327)</f>
        <v>0</v>
      </c>
    </row>
    <row r="5329" ht="21.25" customHeight="1">
      <c r="A5329" s="10">
        <v>45686</v>
      </c>
      <c r="B5329" t="s" s="11">
        <v>21</v>
      </c>
      <c r="C5329" t="s" s="12">
        <v>856</v>
      </c>
      <c r="D5329" s="17"/>
      <c r="E5329" s="17">
        <v>3000</v>
      </c>
      <c r="F5329" s="18"/>
      <c r="G5329" s="18"/>
      <c r="H5329" s="18"/>
      <c r="I5329" s="18"/>
    </row>
    <row r="5330" ht="21.25" customHeight="1">
      <c r="A5330" s="10">
        <v>45686</v>
      </c>
      <c r="B5330" t="s" s="11">
        <v>16</v>
      </c>
      <c r="C5330" t="s" s="12">
        <v>856</v>
      </c>
      <c r="D5330" s="13">
        <v>3000</v>
      </c>
      <c r="E5330" s="13"/>
      <c r="F5330" s="14"/>
      <c r="G5330" s="14"/>
      <c r="H5330" s="14"/>
      <c r="I5330" s="14"/>
    </row>
    <row r="5331" ht="20.7" customHeight="1">
      <c r="A5331" s="10">
        <v>45686</v>
      </c>
      <c r="B5331" t="s" s="11">
        <v>8</v>
      </c>
      <c r="C5331" t="s" s="12">
        <v>8</v>
      </c>
      <c r="D5331" s="15" cm="1">
        <f t="array" ref="D5331">SUM(D5329:D5330)</f>
        <v>3000</v>
      </c>
      <c r="E5331" s="15" cm="1">
        <f t="array" ref="E5331">SUM(E5329:E5330)</f>
        <v>3000</v>
      </c>
      <c r="F5331" s="16" cm="1">
        <f t="array" ref="F5331">SUM(F5329:F5330)</f>
        <v>0</v>
      </c>
      <c r="G5331" s="16" cm="1">
        <f t="array" ref="G5331">SUM(G5329:G5330)</f>
        <v>0</v>
      </c>
      <c r="H5331" s="16" cm="1">
        <f t="array" ref="H5331">SUM(H5329:H5330)</f>
        <v>0</v>
      </c>
      <c r="I5331" s="16" cm="1">
        <f t="array" ref="I5331">SUM(I5329:I5330)</f>
        <v>0</v>
      </c>
    </row>
    <row r="5332" ht="20.35" customHeight="1">
      <c r="A5332" s="10">
        <v>45687</v>
      </c>
      <c r="B5332" t="s" s="11">
        <v>121</v>
      </c>
      <c r="C5332" t="s" s="12">
        <v>830</v>
      </c>
      <c r="D5332" s="17"/>
      <c r="E5332" s="17">
        <v>3000</v>
      </c>
      <c r="F5332" s="18"/>
      <c r="G5332" s="18"/>
      <c r="H5332" s="18"/>
      <c r="I5332" s="18"/>
    </row>
    <row r="5333" ht="20.35" customHeight="1">
      <c r="A5333" s="10">
        <v>45687</v>
      </c>
      <c r="B5333" t="s" s="11">
        <v>10</v>
      </c>
      <c r="C5333" t="s" s="12">
        <v>830</v>
      </c>
      <c r="D5333" s="13">
        <v>3000</v>
      </c>
      <c r="E5333" s="13"/>
      <c r="F5333" s="14"/>
      <c r="G5333" s="14"/>
      <c r="H5333" s="14"/>
      <c r="I5333" s="14"/>
    </row>
    <row r="5334" ht="20.7" customHeight="1">
      <c r="A5334" s="10">
        <v>45687</v>
      </c>
      <c r="B5334" t="s" s="11">
        <v>8</v>
      </c>
      <c r="C5334" t="s" s="12">
        <v>8</v>
      </c>
      <c r="D5334" s="15" cm="1">
        <f t="array" ref="D5334">SUM(D5332:D5333)</f>
        <v>3000</v>
      </c>
      <c r="E5334" s="15" cm="1">
        <f t="array" ref="E5334">SUM(E5332:E5333)</f>
        <v>3000</v>
      </c>
      <c r="F5334" s="16" cm="1">
        <f t="array" ref="F5334">SUM(F5332:F5333)</f>
        <v>0</v>
      </c>
      <c r="G5334" s="16" cm="1">
        <f t="array" ref="G5334">SUM(G5332:G5333)</f>
        <v>0</v>
      </c>
      <c r="H5334" s="16" cm="1">
        <f t="array" ref="H5334">SUM(H5332:H5333)</f>
        <v>0</v>
      </c>
      <c r="I5334" s="16" cm="1">
        <f t="array" ref="I5334">SUM(I5332:I5333)</f>
        <v>0</v>
      </c>
    </row>
    <row r="5335" ht="20.35" customHeight="1">
      <c r="A5335" s="10">
        <v>45687</v>
      </c>
      <c r="B5335" t="s" s="11">
        <v>121</v>
      </c>
      <c r="C5335" t="s" s="12">
        <v>96</v>
      </c>
      <c r="D5335" s="17"/>
      <c r="E5335" s="17">
        <v>42600</v>
      </c>
      <c r="F5335" s="18"/>
      <c r="G5335" s="18"/>
      <c r="H5335" s="18"/>
      <c r="I5335" s="18"/>
    </row>
    <row r="5336" ht="20.35" customHeight="1">
      <c r="A5336" s="10">
        <v>45687</v>
      </c>
      <c r="B5336" t="s" s="11">
        <v>5</v>
      </c>
      <c r="C5336" t="s" s="12">
        <v>96</v>
      </c>
      <c r="D5336" s="13">
        <v>42600</v>
      </c>
      <c r="E5336" s="13"/>
      <c r="F5336" s="14"/>
      <c r="G5336" s="14"/>
      <c r="H5336" s="14"/>
      <c r="I5336" s="14"/>
    </row>
    <row r="5337" ht="20.7" customHeight="1">
      <c r="A5337" s="10">
        <v>45687</v>
      </c>
      <c r="B5337" t="s" s="11">
        <v>8</v>
      </c>
      <c r="C5337" t="s" s="12">
        <v>8</v>
      </c>
      <c r="D5337" s="15" cm="1">
        <f t="array" ref="D5337">SUM(D5335:D5336)</f>
        <v>42600</v>
      </c>
      <c r="E5337" s="15" cm="1">
        <f t="array" ref="E5337">SUM(E5335:E5336)</f>
        <v>42600</v>
      </c>
      <c r="F5337" s="16" cm="1">
        <f t="array" ref="F5337">SUM(F5335:F5336)</f>
        <v>0</v>
      </c>
      <c r="G5337" s="16" cm="1">
        <f t="array" ref="G5337">SUM(G5335:G5336)</f>
        <v>0</v>
      </c>
      <c r="H5337" s="16" cm="1">
        <f t="array" ref="H5337">SUM(H5335:H5336)</f>
        <v>0</v>
      </c>
      <c r="I5337" s="16" cm="1">
        <f t="array" ref="I5337">SUM(I5335:I5336)</f>
        <v>0</v>
      </c>
    </row>
    <row r="5338" ht="20.35" customHeight="1">
      <c r="A5338" s="10">
        <v>45687</v>
      </c>
      <c r="B5338" t="s" s="11">
        <v>5</v>
      </c>
      <c r="C5338" t="s" s="12">
        <v>848</v>
      </c>
      <c r="D5338" s="17"/>
      <c r="E5338" s="17">
        <v>42600</v>
      </c>
      <c r="F5338" s="18"/>
      <c r="G5338" s="18"/>
      <c r="H5338" s="18"/>
      <c r="I5338" s="18"/>
    </row>
    <row r="5339" ht="20.35" customHeight="1">
      <c r="A5339" s="10">
        <v>45687</v>
      </c>
      <c r="B5339" t="s" s="11">
        <v>843</v>
      </c>
      <c r="C5339" t="s" s="12">
        <v>848</v>
      </c>
      <c r="D5339" s="13">
        <v>42600</v>
      </c>
      <c r="E5339" s="13"/>
      <c r="F5339" s="14"/>
      <c r="G5339" s="14"/>
      <c r="H5339" s="14"/>
      <c r="I5339" s="14"/>
    </row>
    <row r="5340" ht="20.7" customHeight="1">
      <c r="A5340" s="10">
        <v>45687</v>
      </c>
      <c r="B5340" t="s" s="11">
        <v>8</v>
      </c>
      <c r="C5340" t="s" s="12">
        <v>8</v>
      </c>
      <c r="D5340" s="15" cm="1">
        <f t="array" ref="D5340">SUM(D5338:D5339)</f>
        <v>42600</v>
      </c>
      <c r="E5340" s="15" cm="1">
        <f t="array" ref="E5340">SUM(E5338:E5339)</f>
        <v>42600</v>
      </c>
      <c r="F5340" s="16" cm="1">
        <f t="array" ref="F5340">SUM(F5338:F5339)</f>
        <v>0</v>
      </c>
      <c r="G5340" s="16" cm="1">
        <f t="array" ref="G5340">SUM(G5338:G5339)</f>
        <v>0</v>
      </c>
      <c r="H5340" s="16" cm="1">
        <f t="array" ref="H5340">SUM(H5338:H5339)</f>
        <v>0</v>
      </c>
      <c r="I5340" s="16" cm="1">
        <f t="array" ref="I5340">SUM(I5338:I5339)</f>
        <v>0</v>
      </c>
    </row>
    <row r="5341" ht="20.65" customHeight="1">
      <c r="A5341" s="10">
        <v>45687</v>
      </c>
      <c r="B5341" t="s" s="11">
        <v>814</v>
      </c>
      <c r="C5341" t="s" s="12">
        <v>820</v>
      </c>
      <c r="D5341" s="17">
        <v>4</v>
      </c>
      <c r="E5341" s="17"/>
      <c r="F5341" s="18"/>
      <c r="G5341" s="18"/>
      <c r="H5341" s="18"/>
      <c r="I5341" s="18"/>
    </row>
    <row r="5342" ht="20.65" customHeight="1">
      <c r="A5342" s="10">
        <v>45687</v>
      </c>
      <c r="B5342" t="s" s="11">
        <v>91</v>
      </c>
      <c r="C5342" t="s" s="12">
        <v>820</v>
      </c>
      <c r="D5342" s="13"/>
      <c r="E5342" s="13">
        <v>4</v>
      </c>
      <c r="F5342" s="14"/>
      <c r="G5342" s="14"/>
      <c r="H5342" s="14"/>
      <c r="I5342" s="14"/>
    </row>
    <row r="5343" ht="20.7" customHeight="1">
      <c r="A5343" s="10">
        <v>45687</v>
      </c>
      <c r="B5343" t="s" s="11">
        <v>8</v>
      </c>
      <c r="C5343" t="s" s="12">
        <v>8</v>
      </c>
      <c r="D5343" s="15" cm="1">
        <f t="array" ref="D5343">SUM(D5341:D5342)</f>
        <v>4</v>
      </c>
      <c r="E5343" s="15" cm="1">
        <f t="array" ref="E5343">SUM(E5341:E5342)</f>
        <v>4</v>
      </c>
      <c r="F5343" s="16" cm="1">
        <f t="array" ref="F5343">SUM(F5341:F5342)</f>
        <v>0</v>
      </c>
      <c r="G5343" s="16" cm="1">
        <f t="array" ref="G5343">SUM(G5341:G5342)</f>
        <v>0</v>
      </c>
      <c r="H5343" s="16" cm="1">
        <f t="array" ref="H5343">SUM(H5341:H5342)</f>
        <v>0</v>
      </c>
      <c r="I5343" s="16" cm="1">
        <f t="array" ref="I5343">SUM(I5341:I5342)</f>
        <v>0</v>
      </c>
    </row>
    <row r="5344" ht="20.65" customHeight="1">
      <c r="A5344" s="10">
        <v>45687</v>
      </c>
      <c r="B5344" t="s" s="11">
        <v>843</v>
      </c>
      <c r="C5344" t="s" s="12">
        <v>820</v>
      </c>
      <c r="D5344" s="17">
        <v>13</v>
      </c>
      <c r="E5344" s="17"/>
      <c r="F5344" s="18"/>
      <c r="G5344" s="18"/>
      <c r="H5344" s="18"/>
      <c r="I5344" s="18"/>
    </row>
    <row r="5345" ht="20.65" customHeight="1">
      <c r="A5345" s="10">
        <v>45687</v>
      </c>
      <c r="B5345" t="s" s="11">
        <v>91</v>
      </c>
      <c r="C5345" t="s" s="12">
        <v>820</v>
      </c>
      <c r="D5345" s="13"/>
      <c r="E5345" s="13">
        <v>13</v>
      </c>
      <c r="F5345" s="14"/>
      <c r="G5345" s="14"/>
      <c r="H5345" s="14"/>
      <c r="I5345" s="14"/>
    </row>
    <row r="5346" ht="20.7" customHeight="1">
      <c r="A5346" s="10">
        <v>45687</v>
      </c>
      <c r="B5346" t="s" s="11">
        <v>8</v>
      </c>
      <c r="C5346" t="s" s="12">
        <v>8</v>
      </c>
      <c r="D5346" s="15" cm="1">
        <f t="array" ref="D5346">SUM(D5344:D5345)</f>
        <v>13</v>
      </c>
      <c r="E5346" s="15" cm="1">
        <f t="array" ref="E5346">SUM(E5344:E5345)</f>
        <v>13</v>
      </c>
      <c r="F5346" s="16" cm="1">
        <f t="array" ref="F5346">SUM(F5344:F5345)</f>
        <v>0</v>
      </c>
      <c r="G5346" s="16" cm="1">
        <f t="array" ref="G5346">SUM(G5344:G5345)</f>
        <v>0</v>
      </c>
      <c r="H5346" s="16" cm="1">
        <f t="array" ref="H5346">SUM(H5344:H5345)</f>
        <v>0</v>
      </c>
      <c r="I5346" s="16" cm="1">
        <f t="array" ref="I5346">SUM(I5344:I5345)</f>
        <v>0</v>
      </c>
    </row>
    <row r="5347" ht="20.35" customHeight="1">
      <c r="A5347" s="10">
        <v>45687</v>
      </c>
      <c r="B5347" t="s" s="11">
        <v>5</v>
      </c>
      <c r="C5347" t="s" s="12">
        <v>53</v>
      </c>
      <c r="D5347" s="17"/>
      <c r="E5347" s="17">
        <v>4510</v>
      </c>
      <c r="F5347" s="18"/>
      <c r="G5347" s="18"/>
      <c r="H5347" s="18"/>
      <c r="I5347" s="18"/>
    </row>
    <row r="5348" ht="20.35" customHeight="1">
      <c r="A5348" s="10">
        <v>45687</v>
      </c>
      <c r="B5348" t="s" s="11">
        <v>12</v>
      </c>
      <c r="C5348" t="s" s="12">
        <v>53</v>
      </c>
      <c r="D5348" s="13">
        <v>4510</v>
      </c>
      <c r="E5348" s="13"/>
      <c r="F5348" s="14"/>
      <c r="G5348" s="14"/>
      <c r="H5348" s="14"/>
      <c r="I5348" s="14"/>
    </row>
    <row r="5349" ht="20.7" customHeight="1">
      <c r="A5349" s="10">
        <v>45687</v>
      </c>
      <c r="B5349" t="s" s="11">
        <v>8</v>
      </c>
      <c r="C5349" t="s" s="12">
        <v>8</v>
      </c>
      <c r="D5349" s="15" cm="1">
        <f t="array" ref="D5349">SUM(D5347:D5348)</f>
        <v>4510</v>
      </c>
      <c r="E5349" s="15" cm="1">
        <f t="array" ref="E5349">SUM(E5347:E5348)</f>
        <v>4510</v>
      </c>
      <c r="F5349" s="16" cm="1">
        <f t="array" ref="F5349">SUM(F5347:F5348)</f>
        <v>0</v>
      </c>
      <c r="G5349" s="16" cm="1">
        <f t="array" ref="G5349">SUM(G5347:G5348)</f>
        <v>0</v>
      </c>
      <c r="H5349" s="16" cm="1">
        <f t="array" ref="H5349">SUM(H5347:H5348)</f>
        <v>0</v>
      </c>
      <c r="I5349" s="16" cm="1">
        <f t="array" ref="I5349">SUM(I5347:I5348)</f>
        <v>0</v>
      </c>
    </row>
    <row r="5350" ht="20.35" customHeight="1">
      <c r="A5350" s="10">
        <v>45687</v>
      </c>
      <c r="B5350" t="s" s="11">
        <v>91</v>
      </c>
      <c r="C5350" t="s" s="12">
        <v>17</v>
      </c>
      <c r="D5350" s="17"/>
      <c r="E5350" s="17">
        <v>100</v>
      </c>
      <c r="F5350" s="18"/>
      <c r="G5350" s="18"/>
      <c r="H5350" s="18"/>
      <c r="I5350" s="18"/>
    </row>
    <row r="5351" ht="20.35" customHeight="1">
      <c r="A5351" s="10">
        <v>45687</v>
      </c>
      <c r="B5351" t="s" s="11">
        <v>5</v>
      </c>
      <c r="C5351" t="s" s="12">
        <v>17</v>
      </c>
      <c r="D5351" s="13">
        <v>100</v>
      </c>
      <c r="E5351" s="13"/>
      <c r="F5351" s="14"/>
      <c r="G5351" s="14"/>
      <c r="H5351" s="14"/>
      <c r="I5351" s="14"/>
    </row>
    <row r="5352" ht="20.7" customHeight="1">
      <c r="A5352" s="10">
        <v>45687</v>
      </c>
      <c r="B5352" t="s" s="11">
        <v>8</v>
      </c>
      <c r="C5352" t="s" s="12">
        <v>8</v>
      </c>
      <c r="D5352" s="15" cm="1">
        <f t="array" ref="D5352">SUM(D5350:D5351)</f>
        <v>100</v>
      </c>
      <c r="E5352" s="15" cm="1">
        <f t="array" ref="E5352">SUM(E5350:E5351)</f>
        <v>100</v>
      </c>
      <c r="F5352" s="16" cm="1">
        <f t="array" ref="F5352">SUM(F5350:F5351)</f>
        <v>0</v>
      </c>
      <c r="G5352" s="16" cm="1">
        <f t="array" ref="G5352">SUM(G5350:G5351)</f>
        <v>0</v>
      </c>
      <c r="H5352" s="16" cm="1">
        <f t="array" ref="H5352">SUM(H5350:H5351)</f>
        <v>0</v>
      </c>
      <c r="I5352" s="16" cm="1">
        <f t="array" ref="I5352">SUM(I5350:I5351)</f>
        <v>0</v>
      </c>
    </row>
    <row r="5353" ht="21.25" customHeight="1">
      <c r="A5353" s="10">
        <v>45687</v>
      </c>
      <c r="B5353" t="s" s="11">
        <v>5</v>
      </c>
      <c r="C5353" t="s" s="12">
        <v>799</v>
      </c>
      <c r="D5353" s="17">
        <v>1</v>
      </c>
      <c r="E5353" s="17"/>
      <c r="F5353" s="18"/>
      <c r="G5353" s="18"/>
      <c r="H5353" s="18"/>
      <c r="I5353" s="18"/>
    </row>
    <row r="5354" ht="21.25" customHeight="1">
      <c r="A5354" s="10">
        <v>45687</v>
      </c>
      <c r="B5354" t="s" s="11">
        <v>91</v>
      </c>
      <c r="C5354" t="s" s="12">
        <v>799</v>
      </c>
      <c r="D5354" s="13"/>
      <c r="E5354" s="13">
        <v>1</v>
      </c>
      <c r="F5354" s="14"/>
      <c r="G5354" s="14"/>
      <c r="H5354" s="14"/>
      <c r="I5354" s="14"/>
    </row>
    <row r="5355" ht="20.7" customHeight="1">
      <c r="A5355" s="10">
        <v>45687</v>
      </c>
      <c r="B5355" t="s" s="11">
        <v>8</v>
      </c>
      <c r="C5355" t="s" s="12">
        <v>8</v>
      </c>
      <c r="D5355" s="15" cm="1">
        <f t="array" ref="D5355">SUM(D5353:D5354)</f>
        <v>1</v>
      </c>
      <c r="E5355" s="15" cm="1">
        <f t="array" ref="E5355">SUM(E5353:E5354)</f>
        <v>1</v>
      </c>
      <c r="F5355" s="16" cm="1">
        <f t="array" ref="F5355">SUM(F5353:F5354)</f>
        <v>0</v>
      </c>
      <c r="G5355" s="16" cm="1">
        <f t="array" ref="G5355">SUM(G5353:G5354)</f>
        <v>0</v>
      </c>
      <c r="H5355" s="16" cm="1">
        <f t="array" ref="H5355">SUM(H5353:H5354)</f>
        <v>0</v>
      </c>
      <c r="I5355" s="16" cm="1">
        <f t="array" ref="I5355">SUM(I5353:I5354)</f>
        <v>0</v>
      </c>
    </row>
    <row r="5356" ht="21.25" customHeight="1">
      <c r="A5356" s="10">
        <v>45687</v>
      </c>
      <c r="B5356" t="s" s="11">
        <v>5</v>
      </c>
      <c r="C5356" t="s" s="12">
        <v>799</v>
      </c>
      <c r="D5356" s="17"/>
      <c r="E5356" s="17">
        <v>101</v>
      </c>
      <c r="F5356" s="18"/>
      <c r="G5356" s="18"/>
      <c r="H5356" s="18"/>
      <c r="I5356" s="18"/>
    </row>
    <row r="5357" ht="21.25" customHeight="1">
      <c r="A5357" s="10">
        <v>45687</v>
      </c>
      <c r="B5357" t="s" s="11">
        <v>814</v>
      </c>
      <c r="C5357" t="s" s="12">
        <v>799</v>
      </c>
      <c r="D5357" s="13">
        <v>101</v>
      </c>
      <c r="E5357" s="13"/>
      <c r="F5357" s="14"/>
      <c r="G5357" s="14"/>
      <c r="H5357" s="14"/>
      <c r="I5357" s="14"/>
    </row>
    <row r="5358" ht="20.7" customHeight="1">
      <c r="A5358" s="10">
        <v>45687</v>
      </c>
      <c r="B5358" t="s" s="11">
        <v>8</v>
      </c>
      <c r="C5358" t="s" s="12">
        <v>8</v>
      </c>
      <c r="D5358" s="15" cm="1">
        <f t="array" ref="D5358">SUM(D5356:D5357)</f>
        <v>101</v>
      </c>
      <c r="E5358" s="15" cm="1">
        <f t="array" ref="E5358">SUM(E5356:E5357)</f>
        <v>101</v>
      </c>
      <c r="F5358" s="16" cm="1">
        <f t="array" ref="F5358">SUM(F5356:F5357)</f>
        <v>0</v>
      </c>
      <c r="G5358" s="16" cm="1">
        <f t="array" ref="G5358">SUM(G5356:G5357)</f>
        <v>0</v>
      </c>
      <c r="H5358" s="16" cm="1">
        <f t="array" ref="H5358">SUM(H5356:H5357)</f>
        <v>0</v>
      </c>
      <c r="I5358" s="16" cm="1">
        <f t="array" ref="I5358">SUM(I5356:I5357)</f>
        <v>0</v>
      </c>
    </row>
    <row r="5359" ht="20.65" customHeight="1">
      <c r="A5359" s="10">
        <v>45688</v>
      </c>
      <c r="B5359" t="s" s="11">
        <v>814</v>
      </c>
      <c r="C5359" t="s" s="12">
        <v>820</v>
      </c>
      <c r="D5359" s="17">
        <v>4</v>
      </c>
      <c r="E5359" s="17"/>
      <c r="F5359" s="18"/>
      <c r="G5359" s="18"/>
      <c r="H5359" s="18"/>
      <c r="I5359" s="18"/>
    </row>
    <row r="5360" ht="20.65" customHeight="1">
      <c r="A5360" s="10">
        <v>45688</v>
      </c>
      <c r="B5360" t="s" s="11">
        <v>91</v>
      </c>
      <c r="C5360" t="s" s="12">
        <v>820</v>
      </c>
      <c r="D5360" s="13"/>
      <c r="E5360" s="13">
        <v>4</v>
      </c>
      <c r="F5360" s="14"/>
      <c r="G5360" s="14"/>
      <c r="H5360" s="14"/>
      <c r="I5360" s="14"/>
    </row>
    <row r="5361" ht="20.7" customHeight="1">
      <c r="A5361" s="10">
        <v>45688</v>
      </c>
      <c r="B5361" t="s" s="11">
        <v>8</v>
      </c>
      <c r="C5361" t="s" s="12">
        <v>8</v>
      </c>
      <c r="D5361" s="15" cm="1">
        <f t="array" ref="D5361">SUM(D5359:D5360)</f>
        <v>4</v>
      </c>
      <c r="E5361" s="15" cm="1">
        <f t="array" ref="E5361">SUM(E5359:E5360)</f>
        <v>4</v>
      </c>
      <c r="F5361" s="16" cm="1">
        <f t="array" ref="F5361">SUM(F5359:F5360)</f>
        <v>0</v>
      </c>
      <c r="G5361" s="16" cm="1">
        <f t="array" ref="G5361">SUM(G5359:G5360)</f>
        <v>0</v>
      </c>
      <c r="H5361" s="16" cm="1">
        <f t="array" ref="H5361">SUM(H5359:H5360)</f>
        <v>0</v>
      </c>
      <c r="I5361" s="16" cm="1">
        <f t="array" ref="I5361">SUM(I5359:I5360)</f>
        <v>0</v>
      </c>
    </row>
    <row r="5362" ht="20.65" customHeight="1">
      <c r="A5362" s="10">
        <v>45688</v>
      </c>
      <c r="B5362" t="s" s="11">
        <v>843</v>
      </c>
      <c r="C5362" t="s" s="12">
        <v>820</v>
      </c>
      <c r="D5362" s="17">
        <v>16</v>
      </c>
      <c r="E5362" s="17"/>
      <c r="F5362" s="18"/>
      <c r="G5362" s="18"/>
      <c r="H5362" s="18"/>
      <c r="I5362" s="18"/>
    </row>
    <row r="5363" ht="20.65" customHeight="1">
      <c r="A5363" s="10">
        <v>45688</v>
      </c>
      <c r="B5363" t="s" s="11">
        <v>91</v>
      </c>
      <c r="C5363" t="s" s="12">
        <v>820</v>
      </c>
      <c r="D5363" s="13"/>
      <c r="E5363" s="13">
        <v>16</v>
      </c>
      <c r="F5363" s="14"/>
      <c r="G5363" s="14"/>
      <c r="H5363" s="14"/>
      <c r="I5363" s="14"/>
    </row>
    <row r="5364" ht="20.7" customHeight="1">
      <c r="A5364" s="10">
        <v>45688</v>
      </c>
      <c r="B5364" t="s" s="11">
        <v>8</v>
      </c>
      <c r="C5364" t="s" s="12">
        <v>8</v>
      </c>
      <c r="D5364" s="15" cm="1">
        <f t="array" ref="D5364">SUM(D5362:D5363)</f>
        <v>16</v>
      </c>
      <c r="E5364" s="15" cm="1">
        <f t="array" ref="E5364">SUM(E5362:E5363)</f>
        <v>16</v>
      </c>
      <c r="F5364" s="16" cm="1">
        <f t="array" ref="F5364">SUM(F5362:F5363)</f>
        <v>0</v>
      </c>
      <c r="G5364" s="16" cm="1">
        <f t="array" ref="G5364">SUM(G5362:G5363)</f>
        <v>0</v>
      </c>
      <c r="H5364" s="16" cm="1">
        <f t="array" ref="H5364">SUM(H5362:H5363)</f>
        <v>0</v>
      </c>
      <c r="I5364" s="16" cm="1">
        <f t="array" ref="I5364">SUM(I5362:I5363)</f>
        <v>0</v>
      </c>
    </row>
    <row r="5365" ht="20.65" customHeight="1">
      <c r="A5365" s="10">
        <v>45688</v>
      </c>
      <c r="B5365" t="s" s="11">
        <v>107</v>
      </c>
      <c r="C5365" t="s" s="12">
        <v>833</v>
      </c>
      <c r="D5365" s="17">
        <v>181</v>
      </c>
      <c r="E5365" s="17"/>
      <c r="F5365" s="18"/>
      <c r="G5365" s="18"/>
      <c r="H5365" s="18"/>
      <c r="I5365" s="18"/>
    </row>
    <row r="5366" ht="20.65" customHeight="1">
      <c r="A5366" s="10">
        <v>45688</v>
      </c>
      <c r="B5366" t="s" s="11">
        <v>91</v>
      </c>
      <c r="C5366" t="s" s="12">
        <v>833</v>
      </c>
      <c r="D5366" s="13"/>
      <c r="E5366" s="13">
        <v>181</v>
      </c>
      <c r="F5366" s="14"/>
      <c r="G5366" s="14"/>
      <c r="H5366" s="14"/>
      <c r="I5366" s="14"/>
    </row>
    <row r="5367" ht="20.7" customHeight="1">
      <c r="A5367" s="10">
        <v>45688</v>
      </c>
      <c r="B5367" t="s" s="11">
        <v>8</v>
      </c>
      <c r="C5367" t="s" s="12">
        <v>8</v>
      </c>
      <c r="D5367" s="15" cm="1">
        <f t="array" ref="D5367">SUM(D5365:D5366)</f>
        <v>181</v>
      </c>
      <c r="E5367" s="15" cm="1">
        <f t="array" ref="E5367">SUM(E5365:E5366)</f>
        <v>181</v>
      </c>
      <c r="F5367" s="16" cm="1">
        <f t="array" ref="F5367">SUM(F5365:F5366)</f>
        <v>0</v>
      </c>
      <c r="G5367" s="16" cm="1">
        <f t="array" ref="G5367">SUM(G5365:G5366)</f>
        <v>0</v>
      </c>
      <c r="H5367" s="16" cm="1">
        <f t="array" ref="H5367">SUM(H5365:H5366)</f>
        <v>0</v>
      </c>
      <c r="I5367" s="16" cm="1">
        <f t="array" ref="I5367">SUM(I5365:I5366)</f>
        <v>0</v>
      </c>
    </row>
    <row r="5368" ht="20.65" customHeight="1">
      <c r="A5368" s="10">
        <v>45688</v>
      </c>
      <c r="B5368" t="s" s="11">
        <v>39</v>
      </c>
      <c r="C5368" t="s" s="12">
        <v>738</v>
      </c>
      <c r="D5368" s="17"/>
      <c r="E5368" s="17"/>
      <c r="F5368" s="18">
        <v>303.24</v>
      </c>
      <c r="G5368" s="18"/>
      <c r="H5368" s="18"/>
      <c r="I5368" s="18"/>
    </row>
    <row r="5369" ht="20.65" customHeight="1">
      <c r="A5369" s="10">
        <v>45688</v>
      </c>
      <c r="B5369" t="s" s="11">
        <v>63</v>
      </c>
      <c r="C5369" t="s" s="12">
        <v>738</v>
      </c>
      <c r="D5369" s="13"/>
      <c r="E5369" s="13"/>
      <c r="F5369" s="14"/>
      <c r="G5369" s="14">
        <v>303.24</v>
      </c>
      <c r="H5369" s="14"/>
      <c r="I5369" s="14"/>
    </row>
    <row r="5370" ht="20.7" customHeight="1">
      <c r="A5370" s="10">
        <v>45688</v>
      </c>
      <c r="B5370" t="s" s="11">
        <v>8</v>
      </c>
      <c r="C5370" t="s" s="12">
        <v>8</v>
      </c>
      <c r="D5370" s="15" cm="1">
        <f t="array" ref="D5370">SUM(D5368:D5369)</f>
        <v>0</v>
      </c>
      <c r="E5370" s="15" cm="1">
        <f t="array" ref="E5370">SUM(E5368:E5369)</f>
        <v>0</v>
      </c>
      <c r="F5370" s="16" cm="1">
        <f t="array" ref="F5370">SUM(F5368:F5369)</f>
        <v>303.24</v>
      </c>
      <c r="G5370" s="16" cm="1">
        <f t="array" ref="G5370">SUM(G5368:G5369)</f>
        <v>303.24</v>
      </c>
      <c r="H5370" s="16" cm="1">
        <f t="array" ref="H5370">SUM(H5368:H5369)</f>
        <v>0</v>
      </c>
      <c r="I5370" s="16" cm="1">
        <f t="array" ref="I5370">SUM(I5368:I5369)</f>
        <v>0</v>
      </c>
    </row>
    <row r="5371" ht="20.35" customHeight="1">
      <c r="A5371" s="10">
        <v>45688</v>
      </c>
      <c r="B5371" t="s" s="11">
        <v>39</v>
      </c>
      <c r="C5371" t="s" s="12">
        <v>857</v>
      </c>
      <c r="D5371" s="17"/>
      <c r="E5371" s="17"/>
      <c r="F5371" s="18"/>
      <c r="G5371" s="18">
        <v>303.24</v>
      </c>
      <c r="H5371" s="18"/>
      <c r="I5371" s="18"/>
    </row>
    <row r="5372" ht="20.05" customHeight="1">
      <c r="A5372" s="10">
        <v>45688</v>
      </c>
      <c r="B5372" t="s" s="11">
        <v>44</v>
      </c>
      <c r="C5372" t="s" s="12">
        <v>857</v>
      </c>
      <c r="D5372" s="19"/>
      <c r="E5372" s="19"/>
      <c r="F5372" s="20">
        <v>293.22</v>
      </c>
      <c r="G5372" s="20"/>
      <c r="H5372" s="20"/>
      <c r="I5372" s="20"/>
    </row>
    <row r="5373" ht="20.05" customHeight="1">
      <c r="A5373" s="10">
        <v>45688</v>
      </c>
      <c r="B5373" t="s" s="11">
        <v>43</v>
      </c>
      <c r="C5373" t="s" s="12">
        <v>857</v>
      </c>
      <c r="D5373" s="19"/>
      <c r="E5373" s="19"/>
      <c r="F5373" s="20">
        <v>10.02</v>
      </c>
      <c r="G5373" s="20"/>
      <c r="H5373" s="20"/>
      <c r="I5373" s="20"/>
    </row>
    <row r="5374" ht="20.05" customHeight="1">
      <c r="A5374" s="10">
        <v>45688</v>
      </c>
      <c r="B5374" t="s" s="11">
        <v>5</v>
      </c>
      <c r="C5374" t="s" s="12">
        <v>857</v>
      </c>
      <c r="D5374" s="19">
        <v>96565</v>
      </c>
      <c r="E5374" s="19"/>
      <c r="F5374" s="20"/>
      <c r="G5374" s="20"/>
      <c r="H5374" s="20"/>
      <c r="I5374" s="20"/>
    </row>
    <row r="5375" ht="20.05" customHeight="1">
      <c r="A5375" s="10">
        <v>45688</v>
      </c>
      <c r="B5375" t="s" s="11">
        <v>10</v>
      </c>
      <c r="C5375" t="s" s="12">
        <v>857</v>
      </c>
      <c r="D5375" s="19">
        <v>3435</v>
      </c>
      <c r="E5375" s="19"/>
      <c r="F5375" s="20"/>
      <c r="G5375" s="20"/>
      <c r="H5375" s="20"/>
      <c r="I5375" s="20"/>
    </row>
    <row r="5376" ht="20.35" customHeight="1">
      <c r="A5376" s="10">
        <v>45688</v>
      </c>
      <c r="B5376" t="s" s="11">
        <v>89</v>
      </c>
      <c r="C5376" t="s" s="12">
        <v>857</v>
      </c>
      <c r="D5376" s="13"/>
      <c r="E5376" s="13">
        <v>100000</v>
      </c>
      <c r="F5376" s="14"/>
      <c r="G5376" s="14"/>
      <c r="H5376" s="14"/>
      <c r="I5376" s="14"/>
    </row>
    <row r="5377" ht="20.7" customHeight="1">
      <c r="A5377" s="10">
        <v>45688</v>
      </c>
      <c r="B5377" t="s" s="11">
        <v>8</v>
      </c>
      <c r="C5377" t="s" s="12">
        <v>8</v>
      </c>
      <c r="D5377" s="15" cm="1">
        <f t="array" ref="D5377">SUM(D5371:D5376)</f>
        <v>100000</v>
      </c>
      <c r="E5377" s="15" cm="1">
        <f t="array" ref="E5377">SUM(E5371:E5376)</f>
        <v>100000</v>
      </c>
      <c r="F5377" s="16" cm="1">
        <f t="array" ref="F5377">SUM(F5371:F5376)</f>
        <v>303.24</v>
      </c>
      <c r="G5377" s="16" cm="1">
        <f t="array" ref="G5377">SUM(G5371:G5376)</f>
        <v>303.24</v>
      </c>
      <c r="H5377" s="16" cm="1">
        <f t="array" ref="H5377">SUM(H5371:H5376)</f>
        <v>0</v>
      </c>
      <c r="I5377" s="16" cm="1">
        <f t="array" ref="I5377">SUM(I5371:I5376)</f>
        <v>0</v>
      </c>
    </row>
    <row r="5378" ht="20.35" customHeight="1">
      <c r="A5378" s="10">
        <v>45688</v>
      </c>
      <c r="B5378" t="s" s="11">
        <v>107</v>
      </c>
      <c r="C5378" t="s" s="12">
        <v>96</v>
      </c>
      <c r="D5378" s="17"/>
      <c r="E5378" s="17">
        <v>181</v>
      </c>
      <c r="F5378" s="18"/>
      <c r="G5378" s="18"/>
      <c r="H5378" s="18"/>
      <c r="I5378" s="18"/>
    </row>
    <row r="5379" ht="20.35" customHeight="1">
      <c r="A5379" s="10">
        <v>45688</v>
      </c>
      <c r="B5379" t="s" s="11">
        <v>5</v>
      </c>
      <c r="C5379" t="s" s="12">
        <v>96</v>
      </c>
      <c r="D5379" s="13">
        <v>181</v>
      </c>
      <c r="E5379" s="13"/>
      <c r="F5379" s="14"/>
      <c r="G5379" s="14"/>
      <c r="H5379" s="14"/>
      <c r="I5379" s="14"/>
    </row>
    <row r="5380" ht="20.7" customHeight="1">
      <c r="A5380" s="10">
        <v>45688</v>
      </c>
      <c r="B5380" t="s" s="11">
        <v>8</v>
      </c>
      <c r="C5380" t="s" s="12">
        <v>8</v>
      </c>
      <c r="D5380" s="15" cm="1">
        <f t="array" ref="D5380">SUM(D5378:D5379)</f>
        <v>181</v>
      </c>
      <c r="E5380" s="15" cm="1">
        <f t="array" ref="E5380">SUM(E5378:E5379)</f>
        <v>181</v>
      </c>
      <c r="F5380" s="16" cm="1">
        <f t="array" ref="F5380">SUM(F5378:F5379)</f>
        <v>0</v>
      </c>
      <c r="G5380" s="16" cm="1">
        <f t="array" ref="G5380">SUM(G5378:G5379)</f>
        <v>0</v>
      </c>
      <c r="H5380" s="16" cm="1">
        <f t="array" ref="H5380">SUM(H5378:H5379)</f>
        <v>0</v>
      </c>
      <c r="I5380" s="16" cm="1">
        <f t="array" ref="I5380">SUM(I5378:I5379)</f>
        <v>0</v>
      </c>
    </row>
    <row r="5381" ht="21.25" customHeight="1">
      <c r="A5381" s="10">
        <v>45688</v>
      </c>
      <c r="B5381" t="s" s="11">
        <v>5</v>
      </c>
      <c r="C5381" t="s" s="12">
        <v>858</v>
      </c>
      <c r="D5381" s="17"/>
      <c r="E5381" s="17">
        <v>90181</v>
      </c>
      <c r="F5381" s="18"/>
      <c r="G5381" s="18"/>
      <c r="H5381" s="18"/>
      <c r="I5381" s="18"/>
    </row>
    <row r="5382" ht="21.25" customHeight="1">
      <c r="A5382" s="10">
        <v>45688</v>
      </c>
      <c r="B5382" t="s" s="11">
        <v>814</v>
      </c>
      <c r="C5382" t="s" s="12">
        <v>858</v>
      </c>
      <c r="D5382" s="13">
        <v>90181</v>
      </c>
      <c r="E5382" s="13"/>
      <c r="F5382" s="14"/>
      <c r="G5382" s="14"/>
      <c r="H5382" s="14"/>
      <c r="I5382" s="14"/>
    </row>
    <row r="5383" ht="20.7" customHeight="1">
      <c r="A5383" s="10">
        <v>45688</v>
      </c>
      <c r="B5383" t="s" s="11">
        <v>8</v>
      </c>
      <c r="C5383" t="s" s="12">
        <v>8</v>
      </c>
      <c r="D5383" s="15" cm="1">
        <f t="array" ref="D5383">SUM(D5381:D5382)</f>
        <v>90181</v>
      </c>
      <c r="E5383" s="15" cm="1">
        <f t="array" ref="E5383">SUM(E5381:E5382)</f>
        <v>90181</v>
      </c>
      <c r="F5383" s="16" cm="1">
        <f t="array" ref="F5383">SUM(F5381:F5382)</f>
        <v>0</v>
      </c>
      <c r="G5383" s="16" cm="1">
        <f t="array" ref="G5383">SUM(G5381:G5382)</f>
        <v>0</v>
      </c>
      <c r="H5383" s="16" cm="1">
        <f t="array" ref="H5383">SUM(H5381:H5382)</f>
        <v>0</v>
      </c>
      <c r="I5383" s="16" cm="1">
        <f t="array" ref="I5383">SUM(I5381:I5382)</f>
        <v>0</v>
      </c>
    </row>
    <row r="5384" ht="20.35" customHeight="1">
      <c r="A5384" s="10">
        <v>45688</v>
      </c>
      <c r="B5384" t="s" s="11">
        <v>107</v>
      </c>
      <c r="C5384" t="s" s="12">
        <v>465</v>
      </c>
      <c r="D5384" s="17">
        <v>280000</v>
      </c>
      <c r="E5384" s="17"/>
      <c r="F5384" s="18"/>
      <c r="G5384" s="18"/>
      <c r="H5384" s="18"/>
      <c r="I5384" s="18"/>
    </row>
    <row r="5385" ht="20.35" customHeight="1">
      <c r="A5385" s="10">
        <v>45688</v>
      </c>
      <c r="B5385" t="s" s="11">
        <v>89</v>
      </c>
      <c r="C5385" t="s" s="12">
        <v>465</v>
      </c>
      <c r="D5385" s="13"/>
      <c r="E5385" s="13">
        <v>280000</v>
      </c>
      <c r="F5385" s="14"/>
      <c r="G5385" s="14"/>
      <c r="H5385" s="14"/>
      <c r="I5385" s="14"/>
    </row>
    <row r="5386" ht="20.7" customHeight="1">
      <c r="A5386" s="10">
        <v>45688</v>
      </c>
      <c r="B5386" t="s" s="11">
        <v>8</v>
      </c>
      <c r="C5386" t="s" s="12">
        <v>8</v>
      </c>
      <c r="D5386" s="15" cm="1">
        <f t="array" ref="D5386">SUM(D5384:D5385)</f>
        <v>280000</v>
      </c>
      <c r="E5386" s="15" cm="1">
        <f t="array" ref="E5386">SUM(E5384:E5385)</f>
        <v>280000</v>
      </c>
      <c r="F5386" s="16" cm="1">
        <f t="array" ref="F5386">SUM(F5384:F5385)</f>
        <v>0</v>
      </c>
      <c r="G5386" s="16" cm="1">
        <f t="array" ref="G5386">SUM(G5384:G5385)</f>
        <v>0</v>
      </c>
      <c r="H5386" s="16" cm="1">
        <f t="array" ref="H5386">SUM(H5384:H5385)</f>
        <v>0</v>
      </c>
      <c r="I5386" s="16" cm="1">
        <f t="array" ref="I5386">SUM(I5384:I5385)</f>
        <v>0</v>
      </c>
    </row>
    <row r="5387" ht="20.35" customHeight="1">
      <c r="A5387" s="10">
        <v>45688</v>
      </c>
      <c r="B5387" t="s" s="11">
        <v>107</v>
      </c>
      <c r="C5387" t="s" s="12">
        <v>96</v>
      </c>
      <c r="D5387" s="17"/>
      <c r="E5387" s="17">
        <v>280000</v>
      </c>
      <c r="F5387" s="18"/>
      <c r="G5387" s="18"/>
      <c r="H5387" s="18"/>
      <c r="I5387" s="18"/>
    </row>
    <row r="5388" ht="20.35" customHeight="1">
      <c r="A5388" s="10">
        <v>45688</v>
      </c>
      <c r="B5388" t="s" s="11">
        <v>5</v>
      </c>
      <c r="C5388" t="s" s="12">
        <v>96</v>
      </c>
      <c r="D5388" s="13">
        <v>280000</v>
      </c>
      <c r="E5388" s="13"/>
      <c r="F5388" s="14"/>
      <c r="G5388" s="14"/>
      <c r="H5388" s="14"/>
      <c r="I5388" s="14"/>
    </row>
    <row r="5389" ht="20.7" customHeight="1">
      <c r="A5389" s="10">
        <v>45688</v>
      </c>
      <c r="B5389" t="s" s="11">
        <v>8</v>
      </c>
      <c r="C5389" t="s" s="12">
        <v>8</v>
      </c>
      <c r="D5389" s="15" cm="1">
        <f t="array" ref="D5389">SUM(D5387:D5388)</f>
        <v>280000</v>
      </c>
      <c r="E5389" s="15" cm="1">
        <f t="array" ref="E5389">SUM(E5387:E5388)</f>
        <v>280000</v>
      </c>
      <c r="F5389" s="16" cm="1">
        <f t="array" ref="F5389">SUM(F5387:F5388)</f>
        <v>0</v>
      </c>
      <c r="G5389" s="16" cm="1">
        <f t="array" ref="G5389">SUM(G5387:G5388)</f>
        <v>0</v>
      </c>
      <c r="H5389" s="16" cm="1">
        <f t="array" ref="H5389">SUM(H5387:H5388)</f>
        <v>0</v>
      </c>
      <c r="I5389" s="16" cm="1">
        <f t="array" ref="I5389">SUM(I5387:I5388)</f>
        <v>0</v>
      </c>
    </row>
    <row r="5390" ht="21.25" customHeight="1">
      <c r="A5390" s="10">
        <v>45688</v>
      </c>
      <c r="B5390" t="s" s="11">
        <v>5</v>
      </c>
      <c r="C5390" t="s" s="12">
        <v>858</v>
      </c>
      <c r="D5390" s="17"/>
      <c r="E5390" s="17">
        <v>280000</v>
      </c>
      <c r="F5390" s="18"/>
      <c r="G5390" s="18"/>
      <c r="H5390" s="18"/>
      <c r="I5390" s="18"/>
    </row>
    <row r="5391" ht="21.25" customHeight="1">
      <c r="A5391" s="10">
        <v>45688</v>
      </c>
      <c r="B5391" t="s" s="11">
        <v>814</v>
      </c>
      <c r="C5391" t="s" s="12">
        <v>858</v>
      </c>
      <c r="D5391" s="13">
        <v>280000</v>
      </c>
      <c r="E5391" s="13"/>
      <c r="F5391" s="14"/>
      <c r="G5391" s="14"/>
      <c r="H5391" s="14"/>
      <c r="I5391" s="14"/>
    </row>
    <row r="5392" ht="20.7" customHeight="1">
      <c r="A5392" s="10">
        <v>45688</v>
      </c>
      <c r="B5392" t="s" s="11">
        <v>8</v>
      </c>
      <c r="C5392" t="s" s="12">
        <v>8</v>
      </c>
      <c r="D5392" s="15" cm="1">
        <f t="array" ref="D5392">SUM(D5390:D5391)</f>
        <v>280000</v>
      </c>
      <c r="E5392" s="15" cm="1">
        <f t="array" ref="E5392">SUM(E5390:E5391)</f>
        <v>280000</v>
      </c>
      <c r="F5392" s="16" cm="1">
        <f t="array" ref="F5392">SUM(F5390:F5391)</f>
        <v>0</v>
      </c>
      <c r="G5392" s="16" cm="1">
        <f t="array" ref="G5392">SUM(G5390:G5391)</f>
        <v>0</v>
      </c>
      <c r="H5392" s="16" cm="1">
        <f t="array" ref="H5392">SUM(H5390:H5391)</f>
        <v>0</v>
      </c>
      <c r="I5392" s="16" cm="1">
        <f t="array" ref="I5392">SUM(I5390:I5391)</f>
        <v>0</v>
      </c>
    </row>
    <row r="5393" ht="20.35" customHeight="1">
      <c r="A5393" s="10">
        <v>45688</v>
      </c>
      <c r="B5393" t="s" s="11">
        <v>814</v>
      </c>
      <c r="C5393" t="s" s="12">
        <v>859</v>
      </c>
      <c r="D5393" s="17"/>
      <c r="E5393" s="17">
        <v>50000</v>
      </c>
      <c r="F5393" s="18"/>
      <c r="G5393" s="18"/>
      <c r="H5393" s="18"/>
      <c r="I5393" s="18"/>
    </row>
    <row r="5394" ht="20.35" customHeight="1">
      <c r="A5394" s="10">
        <v>45688</v>
      </c>
      <c r="B5394" t="s" s="11">
        <v>5</v>
      </c>
      <c r="C5394" t="s" s="12">
        <v>859</v>
      </c>
      <c r="D5394" s="13">
        <v>50000</v>
      </c>
      <c r="E5394" s="13"/>
      <c r="F5394" s="14"/>
      <c r="G5394" s="14"/>
      <c r="H5394" s="14"/>
      <c r="I5394" s="14"/>
    </row>
    <row r="5395" ht="20.7" customHeight="1">
      <c r="A5395" s="10">
        <v>45688</v>
      </c>
      <c r="B5395" t="s" s="11">
        <v>8</v>
      </c>
      <c r="C5395" t="s" s="12">
        <v>8</v>
      </c>
      <c r="D5395" s="15" cm="1">
        <f t="array" ref="D5395">SUM(D5393:D5394)</f>
        <v>50000</v>
      </c>
      <c r="E5395" s="15" cm="1">
        <f t="array" ref="E5395">SUM(E5393:E5394)</f>
        <v>50000</v>
      </c>
      <c r="F5395" s="16" cm="1">
        <f t="array" ref="F5395">SUM(F5393:F5394)</f>
        <v>0</v>
      </c>
      <c r="G5395" s="16" cm="1">
        <f t="array" ref="G5395">SUM(G5393:G5394)</f>
        <v>0</v>
      </c>
      <c r="H5395" s="16" cm="1">
        <f t="array" ref="H5395">SUM(H5393:H5394)</f>
        <v>0</v>
      </c>
      <c r="I5395" s="16" cm="1">
        <f t="array" ref="I5395">SUM(I5393:I5394)</f>
        <v>0</v>
      </c>
    </row>
    <row r="5396" ht="20.35" customHeight="1">
      <c r="A5396" s="10">
        <v>45688</v>
      </c>
      <c r="B5396" t="s" s="11">
        <v>5</v>
      </c>
      <c r="C5396" t="s" s="12">
        <v>859</v>
      </c>
      <c r="D5396" s="17"/>
      <c r="E5396" s="17">
        <v>50000</v>
      </c>
      <c r="F5396" s="18"/>
      <c r="G5396" s="18"/>
      <c r="H5396" s="18"/>
      <c r="I5396" s="18"/>
    </row>
    <row r="5397" ht="20.35" customHeight="1">
      <c r="A5397" s="10">
        <v>45688</v>
      </c>
      <c r="B5397" t="s" s="11">
        <v>89</v>
      </c>
      <c r="C5397" t="s" s="12">
        <v>859</v>
      </c>
      <c r="D5397" s="13">
        <v>50000</v>
      </c>
      <c r="E5397" s="13"/>
      <c r="F5397" s="14"/>
      <c r="G5397" s="14"/>
      <c r="H5397" s="14"/>
      <c r="I5397" s="14"/>
    </row>
    <row r="5398" ht="20.7" customHeight="1">
      <c r="A5398" s="10">
        <v>45688</v>
      </c>
      <c r="B5398" t="s" s="11">
        <v>8</v>
      </c>
      <c r="C5398" t="s" s="12">
        <v>8</v>
      </c>
      <c r="D5398" s="15" cm="1">
        <f t="array" ref="D5398">SUM(D5396:D5397)</f>
        <v>50000</v>
      </c>
      <c r="E5398" s="15" cm="1">
        <f t="array" ref="E5398">SUM(E5396:E5397)</f>
        <v>50000</v>
      </c>
      <c r="F5398" s="16" cm="1">
        <f t="array" ref="F5398">SUM(F5396:F5397)</f>
        <v>0</v>
      </c>
      <c r="G5398" s="16" cm="1">
        <f t="array" ref="G5398">SUM(G5396:G5397)</f>
        <v>0</v>
      </c>
      <c r="H5398" s="16" cm="1">
        <f t="array" ref="H5398">SUM(H5396:H5397)</f>
        <v>0</v>
      </c>
      <c r="I5398" s="16" cm="1">
        <f t="array" ref="I5398">SUM(I5396:I5397)</f>
        <v>0</v>
      </c>
    </row>
    <row r="5399" ht="21.25" customHeight="1">
      <c r="A5399" s="10">
        <v>45689</v>
      </c>
      <c r="B5399" t="s" s="11">
        <v>97</v>
      </c>
      <c r="C5399" t="s" s="12">
        <v>860</v>
      </c>
      <c r="D5399" s="17"/>
      <c r="E5399" s="17">
        <v>950000</v>
      </c>
      <c r="F5399" s="18"/>
      <c r="G5399" s="18"/>
      <c r="H5399" s="18"/>
      <c r="I5399" s="18"/>
    </row>
    <row r="5400" ht="21.25" customHeight="1">
      <c r="A5400" s="10">
        <v>45689</v>
      </c>
      <c r="B5400" t="s" s="11">
        <v>99</v>
      </c>
      <c r="C5400" t="s" s="12">
        <v>860</v>
      </c>
      <c r="D5400" s="13">
        <v>950000</v>
      </c>
      <c r="E5400" s="13"/>
      <c r="F5400" s="14"/>
      <c r="G5400" s="14"/>
      <c r="H5400" s="14"/>
      <c r="I5400" s="14"/>
    </row>
    <row r="5401" ht="20.7" customHeight="1">
      <c r="A5401" s="10">
        <v>45689</v>
      </c>
      <c r="B5401" t="s" s="11">
        <v>8</v>
      </c>
      <c r="C5401" t="s" s="12">
        <v>8</v>
      </c>
      <c r="D5401" s="15" cm="1">
        <f t="array" ref="D5401">SUM(D5399:D5400)</f>
        <v>950000</v>
      </c>
      <c r="E5401" s="15" cm="1">
        <f t="array" ref="E5401">SUM(E5399:E5400)</f>
        <v>950000</v>
      </c>
      <c r="F5401" s="16" cm="1">
        <f t="array" ref="F5401">SUM(F5399:F5400)</f>
        <v>0</v>
      </c>
      <c r="G5401" s="16" cm="1">
        <f t="array" ref="G5401">SUM(G5399:G5400)</f>
        <v>0</v>
      </c>
      <c r="H5401" s="16" cm="1">
        <f t="array" ref="H5401">SUM(H5399:H5400)</f>
        <v>0</v>
      </c>
      <c r="I5401" s="16" cm="1">
        <f t="array" ref="I5401">SUM(I5399:I5400)</f>
        <v>0</v>
      </c>
    </row>
    <row r="5402" ht="21.25" customHeight="1">
      <c r="A5402" s="10">
        <v>45689</v>
      </c>
      <c r="B5402" t="s" s="11">
        <v>5</v>
      </c>
      <c r="C5402" t="s" s="12">
        <v>861</v>
      </c>
      <c r="D5402" s="17">
        <v>77</v>
      </c>
      <c r="E5402" s="17"/>
      <c r="F5402" s="18"/>
      <c r="G5402" s="18"/>
      <c r="H5402" s="18"/>
      <c r="I5402" s="18"/>
    </row>
    <row r="5403" ht="21.25" customHeight="1">
      <c r="A5403" s="10">
        <v>45689</v>
      </c>
      <c r="B5403" t="s" s="11">
        <v>7</v>
      </c>
      <c r="C5403" t="s" s="12">
        <v>861</v>
      </c>
      <c r="D5403" s="13"/>
      <c r="E5403" s="13">
        <v>77</v>
      </c>
      <c r="F5403" s="14"/>
      <c r="G5403" s="14"/>
      <c r="H5403" s="14"/>
      <c r="I5403" s="14"/>
    </row>
    <row r="5404" ht="20.7" customHeight="1">
      <c r="A5404" s="10">
        <v>45689</v>
      </c>
      <c r="B5404" t="s" s="11">
        <v>8</v>
      </c>
      <c r="C5404" t="s" s="12">
        <v>8</v>
      </c>
      <c r="D5404" s="15" cm="1">
        <f t="array" ref="D5404">SUM(D5402:D5403)</f>
        <v>77</v>
      </c>
      <c r="E5404" s="15" cm="1">
        <f t="array" ref="E5404">SUM(E5402:E5403)</f>
        <v>77</v>
      </c>
      <c r="F5404" s="16" cm="1">
        <f t="array" ref="F5404">SUM(F5402:F5403)</f>
        <v>0</v>
      </c>
      <c r="G5404" s="16" cm="1">
        <f t="array" ref="G5404">SUM(G5402:G5403)</f>
        <v>0</v>
      </c>
      <c r="H5404" s="16" cm="1">
        <f t="array" ref="H5404">SUM(H5402:H5403)</f>
        <v>0</v>
      </c>
      <c r="I5404" s="16" cm="1">
        <f t="array" ref="I5404">SUM(I5402:I5403)</f>
        <v>0</v>
      </c>
    </row>
    <row r="5405" ht="20.65" customHeight="1">
      <c r="A5405" s="10">
        <v>45689</v>
      </c>
      <c r="B5405" t="s" s="11">
        <v>814</v>
      </c>
      <c r="C5405" t="s" s="12">
        <v>820</v>
      </c>
      <c r="D5405" s="17">
        <v>22</v>
      </c>
      <c r="E5405" s="17"/>
      <c r="F5405" s="18"/>
      <c r="G5405" s="18"/>
      <c r="H5405" s="18"/>
      <c r="I5405" s="18"/>
    </row>
    <row r="5406" ht="20.65" customHeight="1">
      <c r="A5406" s="10">
        <v>45689</v>
      </c>
      <c r="B5406" t="s" s="11">
        <v>91</v>
      </c>
      <c r="C5406" t="s" s="12">
        <v>820</v>
      </c>
      <c r="D5406" s="13"/>
      <c r="E5406" s="13">
        <v>22</v>
      </c>
      <c r="F5406" s="14"/>
      <c r="G5406" s="14"/>
      <c r="H5406" s="14"/>
      <c r="I5406" s="14"/>
    </row>
    <row r="5407" ht="20.7" customHeight="1">
      <c r="A5407" s="10">
        <v>45689</v>
      </c>
      <c r="B5407" t="s" s="11">
        <v>8</v>
      </c>
      <c r="C5407" t="s" s="12">
        <v>8</v>
      </c>
      <c r="D5407" s="15" cm="1">
        <f t="array" ref="D5407">SUM(D5405:D5406)</f>
        <v>22</v>
      </c>
      <c r="E5407" s="15" cm="1">
        <f t="array" ref="E5407">SUM(E5405:E5406)</f>
        <v>22</v>
      </c>
      <c r="F5407" s="16" cm="1">
        <f t="array" ref="F5407">SUM(F5405:F5406)</f>
        <v>0</v>
      </c>
      <c r="G5407" s="16" cm="1">
        <f t="array" ref="G5407">SUM(G5405:G5406)</f>
        <v>0</v>
      </c>
      <c r="H5407" s="16" cm="1">
        <f t="array" ref="H5407">SUM(H5405:H5406)</f>
        <v>0</v>
      </c>
      <c r="I5407" s="16" cm="1">
        <f t="array" ref="I5407">SUM(I5405:I5406)</f>
        <v>0</v>
      </c>
    </row>
    <row r="5408" ht="20.65" customHeight="1">
      <c r="A5408" s="10">
        <v>45689</v>
      </c>
      <c r="B5408" t="s" s="11">
        <v>843</v>
      </c>
      <c r="C5408" t="s" s="12">
        <v>820</v>
      </c>
      <c r="D5408" s="17">
        <v>16</v>
      </c>
      <c r="E5408" s="17"/>
      <c r="F5408" s="18"/>
      <c r="G5408" s="18"/>
      <c r="H5408" s="18"/>
      <c r="I5408" s="18"/>
    </row>
    <row r="5409" ht="20.65" customHeight="1">
      <c r="A5409" s="10">
        <v>45689</v>
      </c>
      <c r="B5409" t="s" s="11">
        <v>91</v>
      </c>
      <c r="C5409" t="s" s="12">
        <v>820</v>
      </c>
      <c r="D5409" s="13"/>
      <c r="E5409" s="13">
        <v>16</v>
      </c>
      <c r="F5409" s="14"/>
      <c r="G5409" s="14"/>
      <c r="H5409" s="14"/>
      <c r="I5409" s="14"/>
    </row>
    <row r="5410" ht="20.7" customHeight="1">
      <c r="A5410" s="10">
        <v>45689</v>
      </c>
      <c r="B5410" t="s" s="11">
        <v>8</v>
      </c>
      <c r="C5410" t="s" s="12">
        <v>8</v>
      </c>
      <c r="D5410" s="15" cm="1">
        <f t="array" ref="D5410">SUM(D5408:D5409)</f>
        <v>16</v>
      </c>
      <c r="E5410" s="15" cm="1">
        <f t="array" ref="E5410">SUM(E5408:E5409)</f>
        <v>16</v>
      </c>
      <c r="F5410" s="16" cm="1">
        <f t="array" ref="F5410">SUM(F5408:F5409)</f>
        <v>0</v>
      </c>
      <c r="G5410" s="16" cm="1">
        <f t="array" ref="G5410">SUM(G5408:G5409)</f>
        <v>0</v>
      </c>
      <c r="H5410" s="16" cm="1">
        <f t="array" ref="H5410">SUM(H5408:H5409)</f>
        <v>0</v>
      </c>
      <c r="I5410" s="16" cm="1">
        <f t="array" ref="I5410">SUM(I5408:I5409)</f>
        <v>0</v>
      </c>
    </row>
    <row r="5411" ht="20.65" customHeight="1">
      <c r="A5411" s="10">
        <v>45689</v>
      </c>
      <c r="B5411" t="s" s="11">
        <v>5</v>
      </c>
      <c r="C5411" t="s" s="12">
        <v>820</v>
      </c>
      <c r="D5411" s="17"/>
      <c r="E5411" s="17">
        <v>77</v>
      </c>
      <c r="F5411" s="18"/>
      <c r="G5411" s="18"/>
      <c r="H5411" s="18"/>
      <c r="I5411" s="18"/>
    </row>
    <row r="5412" ht="20.65" customHeight="1">
      <c r="A5412" s="10">
        <v>45689</v>
      </c>
      <c r="B5412" t="s" s="11">
        <v>814</v>
      </c>
      <c r="C5412" t="s" s="12">
        <v>820</v>
      </c>
      <c r="D5412" s="13">
        <v>77</v>
      </c>
      <c r="E5412" s="13"/>
      <c r="F5412" s="14"/>
      <c r="G5412" s="14"/>
      <c r="H5412" s="14"/>
      <c r="I5412" s="14"/>
    </row>
    <row r="5413" ht="20.7" customHeight="1">
      <c r="A5413" s="10">
        <v>45689</v>
      </c>
      <c r="B5413" t="s" s="11">
        <v>8</v>
      </c>
      <c r="C5413" t="s" s="12">
        <v>8</v>
      </c>
      <c r="D5413" s="15" cm="1">
        <f t="array" ref="D5413">SUM(D5411:D5412)</f>
        <v>77</v>
      </c>
      <c r="E5413" s="15" cm="1">
        <f t="array" ref="E5413">SUM(E5411:E5412)</f>
        <v>77</v>
      </c>
      <c r="F5413" s="16" cm="1">
        <f t="array" ref="F5413">SUM(F5411:F5412)</f>
        <v>0</v>
      </c>
      <c r="G5413" s="16" cm="1">
        <f t="array" ref="G5413">SUM(G5411:G5412)</f>
        <v>0</v>
      </c>
      <c r="H5413" s="16" cm="1">
        <f t="array" ref="H5413">SUM(H5411:H5412)</f>
        <v>0</v>
      </c>
      <c r="I5413" s="16" cm="1">
        <f t="array" ref="I5413">SUM(I5411:I5412)</f>
        <v>0</v>
      </c>
    </row>
    <row r="5414" ht="20.65" customHeight="1">
      <c r="A5414" s="10">
        <v>45690</v>
      </c>
      <c r="B5414" t="s" s="11">
        <v>814</v>
      </c>
      <c r="C5414" t="s" s="12">
        <v>820</v>
      </c>
      <c r="D5414" s="17">
        <v>22</v>
      </c>
      <c r="E5414" s="17"/>
      <c r="F5414" s="18"/>
      <c r="G5414" s="18"/>
      <c r="H5414" s="18"/>
      <c r="I5414" s="18"/>
    </row>
    <row r="5415" ht="20.65" customHeight="1">
      <c r="A5415" s="10">
        <v>45690</v>
      </c>
      <c r="B5415" t="s" s="11">
        <v>91</v>
      </c>
      <c r="C5415" t="s" s="12">
        <v>820</v>
      </c>
      <c r="D5415" s="13"/>
      <c r="E5415" s="13">
        <v>22</v>
      </c>
      <c r="F5415" s="14"/>
      <c r="G5415" s="14"/>
      <c r="H5415" s="14"/>
      <c r="I5415" s="14"/>
    </row>
    <row r="5416" ht="20.7" customHeight="1">
      <c r="A5416" s="10">
        <v>45690</v>
      </c>
      <c r="B5416" t="s" s="11">
        <v>8</v>
      </c>
      <c r="C5416" t="s" s="12">
        <v>8</v>
      </c>
      <c r="D5416" s="15" cm="1">
        <f t="array" ref="D5416">SUM(D5414:D5415)</f>
        <v>22</v>
      </c>
      <c r="E5416" s="15" cm="1">
        <f t="array" ref="E5416">SUM(E5414:E5415)</f>
        <v>22</v>
      </c>
      <c r="F5416" s="16" cm="1">
        <f t="array" ref="F5416">SUM(F5414:F5415)</f>
        <v>0</v>
      </c>
      <c r="G5416" s="16" cm="1">
        <f t="array" ref="G5416">SUM(G5414:G5415)</f>
        <v>0</v>
      </c>
      <c r="H5416" s="16" cm="1">
        <f t="array" ref="H5416">SUM(H5414:H5415)</f>
        <v>0</v>
      </c>
      <c r="I5416" s="16" cm="1">
        <f t="array" ref="I5416">SUM(I5414:I5415)</f>
        <v>0</v>
      </c>
    </row>
    <row r="5417" ht="20.65" customHeight="1">
      <c r="A5417" s="10">
        <v>45690</v>
      </c>
      <c r="B5417" t="s" s="11">
        <v>843</v>
      </c>
      <c r="C5417" t="s" s="12">
        <v>820</v>
      </c>
      <c r="D5417" s="17">
        <v>16</v>
      </c>
      <c r="E5417" s="17"/>
      <c r="F5417" s="18"/>
      <c r="G5417" s="18"/>
      <c r="H5417" s="18"/>
      <c r="I5417" s="18"/>
    </row>
    <row r="5418" ht="20.65" customHeight="1">
      <c r="A5418" s="10">
        <v>45690</v>
      </c>
      <c r="B5418" t="s" s="11">
        <v>91</v>
      </c>
      <c r="C5418" t="s" s="12">
        <v>820</v>
      </c>
      <c r="D5418" s="13"/>
      <c r="E5418" s="13">
        <v>16</v>
      </c>
      <c r="F5418" s="14"/>
      <c r="G5418" s="14"/>
      <c r="H5418" s="14"/>
      <c r="I5418" s="14"/>
    </row>
    <row r="5419" ht="20.7" customHeight="1">
      <c r="A5419" s="10">
        <v>45690</v>
      </c>
      <c r="B5419" t="s" s="11">
        <v>8</v>
      </c>
      <c r="C5419" t="s" s="12">
        <v>8</v>
      </c>
      <c r="D5419" s="15" cm="1">
        <f t="array" ref="D5419">SUM(D5417:D5418)</f>
        <v>16</v>
      </c>
      <c r="E5419" s="15" cm="1">
        <f t="array" ref="E5419">SUM(E5417:E5418)</f>
        <v>16</v>
      </c>
      <c r="F5419" s="16" cm="1">
        <f t="array" ref="F5419">SUM(F5417:F5418)</f>
        <v>0</v>
      </c>
      <c r="G5419" s="16" cm="1">
        <f t="array" ref="G5419">SUM(G5417:G5418)</f>
        <v>0</v>
      </c>
      <c r="H5419" s="16" cm="1">
        <f t="array" ref="H5419">SUM(H5417:H5418)</f>
        <v>0</v>
      </c>
      <c r="I5419" s="16" cm="1">
        <f t="array" ref="I5419">SUM(I5417:I5418)</f>
        <v>0</v>
      </c>
    </row>
    <row r="5420" ht="20.35" customHeight="1">
      <c r="A5420" s="10">
        <v>45690</v>
      </c>
      <c r="B5420" t="s" s="11">
        <v>814</v>
      </c>
      <c r="C5420" t="s" s="12">
        <v>182</v>
      </c>
      <c r="D5420" s="17"/>
      <c r="E5420" s="17">
        <v>7000</v>
      </c>
      <c r="F5420" s="18"/>
      <c r="G5420" s="18"/>
      <c r="H5420" s="18"/>
      <c r="I5420" s="18"/>
    </row>
    <row r="5421" ht="20.35" customHeight="1">
      <c r="A5421" s="10">
        <v>45690</v>
      </c>
      <c r="B5421" t="s" s="11">
        <v>5</v>
      </c>
      <c r="C5421" t="s" s="12">
        <v>182</v>
      </c>
      <c r="D5421" s="13">
        <v>7000</v>
      </c>
      <c r="E5421" s="13"/>
      <c r="F5421" s="14"/>
      <c r="G5421" s="14"/>
      <c r="H5421" s="14"/>
      <c r="I5421" s="14"/>
    </row>
    <row r="5422" ht="20.7" customHeight="1">
      <c r="A5422" s="10">
        <v>45690</v>
      </c>
      <c r="B5422" t="s" s="11">
        <v>8</v>
      </c>
      <c r="C5422" t="s" s="12">
        <v>8</v>
      </c>
      <c r="D5422" s="15" cm="1">
        <f t="array" ref="D5422">SUM(D5420:D5421)</f>
        <v>7000</v>
      </c>
      <c r="E5422" s="15" cm="1">
        <f t="array" ref="E5422">SUM(E5420:E5421)</f>
        <v>7000</v>
      </c>
      <c r="F5422" s="16" cm="1">
        <f t="array" ref="F5422">SUM(F5420:F5421)</f>
        <v>0</v>
      </c>
      <c r="G5422" s="16" cm="1">
        <f t="array" ref="G5422">SUM(G5420:G5421)</f>
        <v>0</v>
      </c>
      <c r="H5422" s="16" cm="1">
        <f t="array" ref="H5422">SUM(H5420:H5421)</f>
        <v>0</v>
      </c>
      <c r="I5422" s="16" cm="1">
        <f t="array" ref="I5422">SUM(I5420:I5421)</f>
        <v>0</v>
      </c>
    </row>
    <row r="5423" ht="20.35" customHeight="1">
      <c r="A5423" s="10">
        <v>45690</v>
      </c>
      <c r="B5423" t="s" s="11">
        <v>5</v>
      </c>
      <c r="C5423" t="s" s="12">
        <v>209</v>
      </c>
      <c r="D5423" s="17"/>
      <c r="E5423" s="17">
        <v>16000</v>
      </c>
      <c r="F5423" s="18"/>
      <c r="G5423" s="18"/>
      <c r="H5423" s="18"/>
      <c r="I5423" s="18"/>
    </row>
    <row r="5424" ht="20.35" customHeight="1">
      <c r="A5424" s="10">
        <v>45690</v>
      </c>
      <c r="B5424" t="s" s="11">
        <v>107</v>
      </c>
      <c r="C5424" t="s" s="12">
        <v>209</v>
      </c>
      <c r="D5424" s="13">
        <v>16000</v>
      </c>
      <c r="E5424" s="13"/>
      <c r="F5424" s="14"/>
      <c r="G5424" s="14"/>
      <c r="H5424" s="14"/>
      <c r="I5424" s="14"/>
    </row>
    <row r="5425" ht="20.7" customHeight="1">
      <c r="A5425" s="10">
        <v>45690</v>
      </c>
      <c r="B5425" t="s" s="11">
        <v>8</v>
      </c>
      <c r="C5425" t="s" s="12">
        <v>8</v>
      </c>
      <c r="D5425" s="15" cm="1">
        <f t="array" ref="D5425">SUM(D5423:D5424)</f>
        <v>16000</v>
      </c>
      <c r="E5425" s="15" cm="1">
        <f t="array" ref="E5425">SUM(E5423:E5424)</f>
        <v>16000</v>
      </c>
      <c r="F5425" s="16" cm="1">
        <f t="array" ref="F5425">SUM(F5423:F5424)</f>
        <v>0</v>
      </c>
      <c r="G5425" s="16" cm="1">
        <f t="array" ref="G5425">SUM(G5423:G5424)</f>
        <v>0</v>
      </c>
      <c r="H5425" s="16" cm="1">
        <f t="array" ref="H5425">SUM(H5423:H5424)</f>
        <v>0</v>
      </c>
      <c r="I5425" s="16" cm="1">
        <f t="array" ref="I5425">SUM(I5423:I5424)</f>
        <v>0</v>
      </c>
    </row>
    <row r="5426" ht="20.35" customHeight="1">
      <c r="A5426" s="10">
        <v>45690</v>
      </c>
      <c r="B5426" t="s" s="11">
        <v>107</v>
      </c>
      <c r="C5426" t="s" s="12">
        <v>182</v>
      </c>
      <c r="D5426" s="17"/>
      <c r="E5426" s="17">
        <v>16000</v>
      </c>
      <c r="F5426" s="18"/>
      <c r="G5426" s="18"/>
      <c r="H5426" s="18"/>
      <c r="I5426" s="18"/>
    </row>
    <row r="5427" ht="20.35" customHeight="1">
      <c r="A5427" s="10">
        <v>45690</v>
      </c>
      <c r="B5427" t="s" s="11">
        <v>10</v>
      </c>
      <c r="C5427" t="s" s="12">
        <v>182</v>
      </c>
      <c r="D5427" s="13">
        <v>16000</v>
      </c>
      <c r="E5427" s="13"/>
      <c r="F5427" s="14"/>
      <c r="G5427" s="14"/>
      <c r="H5427" s="14"/>
      <c r="I5427" s="14"/>
    </row>
    <row r="5428" ht="20.7" customHeight="1">
      <c r="A5428" s="10">
        <v>45690</v>
      </c>
      <c r="B5428" t="s" s="11">
        <v>8</v>
      </c>
      <c r="C5428" t="s" s="12">
        <v>8</v>
      </c>
      <c r="D5428" s="15" cm="1">
        <f t="array" ref="D5428">SUM(D5426:D5427)</f>
        <v>16000</v>
      </c>
      <c r="E5428" s="15" cm="1">
        <f t="array" ref="E5428">SUM(E5426:E5427)</f>
        <v>16000</v>
      </c>
      <c r="F5428" s="16" cm="1">
        <f t="array" ref="F5428">SUM(F5426:F5427)</f>
        <v>0</v>
      </c>
      <c r="G5428" s="16" cm="1">
        <f t="array" ref="G5428">SUM(G5426:G5427)</f>
        <v>0</v>
      </c>
      <c r="H5428" s="16" cm="1">
        <f t="array" ref="H5428">SUM(H5426:H5427)</f>
        <v>0</v>
      </c>
      <c r="I5428" s="16" cm="1">
        <f t="array" ref="I5428">SUM(I5426:I5427)</f>
        <v>0</v>
      </c>
    </row>
    <row r="5429" ht="20.65" customHeight="1">
      <c r="A5429" s="10">
        <v>45691</v>
      </c>
      <c r="B5429" t="s" s="11">
        <v>814</v>
      </c>
      <c r="C5429" t="s" s="12">
        <v>820</v>
      </c>
      <c r="D5429" s="17">
        <v>21</v>
      </c>
      <c r="E5429" s="17"/>
      <c r="F5429" s="18"/>
      <c r="G5429" s="18"/>
      <c r="H5429" s="18"/>
      <c r="I5429" s="18"/>
    </row>
    <row r="5430" ht="20.65" customHeight="1">
      <c r="A5430" s="10">
        <v>45691</v>
      </c>
      <c r="B5430" t="s" s="11">
        <v>91</v>
      </c>
      <c r="C5430" t="s" s="12">
        <v>820</v>
      </c>
      <c r="D5430" s="13"/>
      <c r="E5430" s="13">
        <v>21</v>
      </c>
      <c r="F5430" s="14"/>
      <c r="G5430" s="14"/>
      <c r="H5430" s="14"/>
      <c r="I5430" s="14"/>
    </row>
    <row r="5431" ht="20.7" customHeight="1">
      <c r="A5431" s="10">
        <v>45691</v>
      </c>
      <c r="B5431" t="s" s="11">
        <v>8</v>
      </c>
      <c r="C5431" t="s" s="12">
        <v>8</v>
      </c>
      <c r="D5431" s="15" cm="1">
        <f t="array" ref="D5431">SUM(D5429:D5430)</f>
        <v>21</v>
      </c>
      <c r="E5431" s="15" cm="1">
        <f t="array" ref="E5431">SUM(E5429:E5430)</f>
        <v>21</v>
      </c>
      <c r="F5431" s="16" cm="1">
        <f t="array" ref="F5431">SUM(F5429:F5430)</f>
        <v>0</v>
      </c>
      <c r="G5431" s="16" cm="1">
        <f t="array" ref="G5431">SUM(G5429:G5430)</f>
        <v>0</v>
      </c>
      <c r="H5431" s="16" cm="1">
        <f t="array" ref="H5431">SUM(H5429:H5430)</f>
        <v>0</v>
      </c>
      <c r="I5431" s="16" cm="1">
        <f t="array" ref="I5431">SUM(I5429:I5430)</f>
        <v>0</v>
      </c>
    </row>
    <row r="5432" ht="20.65" customHeight="1">
      <c r="A5432" s="10">
        <v>45691</v>
      </c>
      <c r="B5432" t="s" s="11">
        <v>843</v>
      </c>
      <c r="C5432" t="s" s="12">
        <v>820</v>
      </c>
      <c r="D5432" s="17">
        <v>16</v>
      </c>
      <c r="E5432" s="17"/>
      <c r="F5432" s="18"/>
      <c r="G5432" s="18"/>
      <c r="H5432" s="18"/>
      <c r="I5432" s="18"/>
    </row>
    <row r="5433" ht="20.65" customHeight="1">
      <c r="A5433" s="10">
        <v>45691</v>
      </c>
      <c r="B5433" t="s" s="11">
        <v>91</v>
      </c>
      <c r="C5433" t="s" s="12">
        <v>820</v>
      </c>
      <c r="D5433" s="13"/>
      <c r="E5433" s="13">
        <v>16</v>
      </c>
      <c r="F5433" s="14"/>
      <c r="G5433" s="14"/>
      <c r="H5433" s="14"/>
      <c r="I5433" s="14"/>
    </row>
    <row r="5434" ht="20.7" customHeight="1">
      <c r="A5434" s="10">
        <v>45691</v>
      </c>
      <c r="B5434" t="s" s="11">
        <v>8</v>
      </c>
      <c r="C5434" t="s" s="12">
        <v>8</v>
      </c>
      <c r="D5434" s="15" cm="1">
        <f t="array" ref="D5434">SUM(D5432:D5433)</f>
        <v>16</v>
      </c>
      <c r="E5434" s="15" cm="1">
        <f t="array" ref="E5434">SUM(E5432:E5433)</f>
        <v>16</v>
      </c>
      <c r="F5434" s="16" cm="1">
        <f t="array" ref="F5434">SUM(F5432:F5433)</f>
        <v>0</v>
      </c>
      <c r="G5434" s="16" cm="1">
        <f t="array" ref="G5434">SUM(G5432:G5433)</f>
        <v>0</v>
      </c>
      <c r="H5434" s="16" cm="1">
        <f t="array" ref="H5434">SUM(H5432:H5433)</f>
        <v>0</v>
      </c>
      <c r="I5434" s="16" cm="1">
        <f t="array" ref="I5434">SUM(I5432:I5433)</f>
        <v>0</v>
      </c>
    </row>
    <row r="5435" ht="21.25" customHeight="1">
      <c r="A5435" s="10">
        <v>45691</v>
      </c>
      <c r="B5435" t="s" s="11">
        <v>814</v>
      </c>
      <c r="C5435" t="s" s="12">
        <v>862</v>
      </c>
      <c r="D5435" s="17"/>
      <c r="E5435" s="17">
        <v>3000</v>
      </c>
      <c r="F5435" s="18"/>
      <c r="G5435" s="18"/>
      <c r="H5435" s="18"/>
      <c r="I5435" s="18"/>
    </row>
    <row r="5436" ht="21.25" customHeight="1">
      <c r="A5436" s="10">
        <v>45691</v>
      </c>
      <c r="B5436" t="s" s="11">
        <v>5</v>
      </c>
      <c r="C5436" t="s" s="12">
        <v>862</v>
      </c>
      <c r="D5436" s="13">
        <v>3000</v>
      </c>
      <c r="E5436" s="13"/>
      <c r="F5436" s="14"/>
      <c r="G5436" s="14"/>
      <c r="H5436" s="14"/>
      <c r="I5436" s="14"/>
    </row>
    <row r="5437" ht="20.7" customHeight="1">
      <c r="A5437" s="10">
        <v>45691</v>
      </c>
      <c r="B5437" t="s" s="11">
        <v>8</v>
      </c>
      <c r="C5437" t="s" s="12">
        <v>8</v>
      </c>
      <c r="D5437" s="15" cm="1">
        <f t="array" ref="D5437">SUM(D5435:D5436)</f>
        <v>3000</v>
      </c>
      <c r="E5437" s="15" cm="1">
        <f t="array" ref="E5437">SUM(E5435:E5436)</f>
        <v>3000</v>
      </c>
      <c r="F5437" s="16" cm="1">
        <f t="array" ref="F5437">SUM(F5435:F5436)</f>
        <v>0</v>
      </c>
      <c r="G5437" s="16" cm="1">
        <f t="array" ref="G5437">SUM(G5435:G5436)</f>
        <v>0</v>
      </c>
      <c r="H5437" s="16" cm="1">
        <f t="array" ref="H5437">SUM(H5435:H5436)</f>
        <v>0</v>
      </c>
      <c r="I5437" s="16" cm="1">
        <f t="array" ref="I5437">SUM(I5435:I5436)</f>
        <v>0</v>
      </c>
    </row>
    <row r="5438" ht="20.35" customHeight="1">
      <c r="A5438" s="10">
        <v>45691</v>
      </c>
      <c r="B5438" t="s" s="11">
        <v>5</v>
      </c>
      <c r="C5438" t="s" s="12">
        <v>439</v>
      </c>
      <c r="D5438" s="17"/>
      <c r="E5438" s="17">
        <v>3000</v>
      </c>
      <c r="F5438" s="18"/>
      <c r="G5438" s="18"/>
      <c r="H5438" s="18"/>
      <c r="I5438" s="18"/>
    </row>
    <row r="5439" ht="20.35" customHeight="1">
      <c r="A5439" s="10">
        <v>45691</v>
      </c>
      <c r="B5439" t="s" s="11">
        <v>121</v>
      </c>
      <c r="C5439" t="s" s="12">
        <v>439</v>
      </c>
      <c r="D5439" s="13">
        <v>3000</v>
      </c>
      <c r="E5439" s="13"/>
      <c r="F5439" s="14"/>
      <c r="G5439" s="14"/>
      <c r="H5439" s="14"/>
      <c r="I5439" s="14"/>
    </row>
    <row r="5440" ht="20.7" customHeight="1">
      <c r="A5440" s="10">
        <v>45691</v>
      </c>
      <c r="B5440" t="s" s="11">
        <v>8</v>
      </c>
      <c r="C5440" t="s" s="12">
        <v>8</v>
      </c>
      <c r="D5440" s="15" cm="1">
        <f t="array" ref="D5440">SUM(D5438:D5439)</f>
        <v>3000</v>
      </c>
      <c r="E5440" s="15" cm="1">
        <f t="array" ref="E5440">SUM(E5438:E5439)</f>
        <v>3000</v>
      </c>
      <c r="F5440" s="16" cm="1">
        <f t="array" ref="F5440">SUM(F5438:F5439)</f>
        <v>0</v>
      </c>
      <c r="G5440" s="16" cm="1">
        <f t="array" ref="G5440">SUM(G5438:G5439)</f>
        <v>0</v>
      </c>
      <c r="H5440" s="16" cm="1">
        <f t="array" ref="H5440">SUM(H5438:H5439)</f>
        <v>0</v>
      </c>
      <c r="I5440" s="16" cm="1">
        <f t="array" ref="I5440">SUM(I5438:I5439)</f>
        <v>0</v>
      </c>
    </row>
    <row r="5441" ht="20.35" customHeight="1">
      <c r="A5441" s="10">
        <v>45691</v>
      </c>
      <c r="B5441" t="s" s="11">
        <v>814</v>
      </c>
      <c r="C5441" t="s" s="12">
        <v>863</v>
      </c>
      <c r="D5441" s="17"/>
      <c r="E5441" s="17">
        <v>10000</v>
      </c>
      <c r="F5441" s="18"/>
      <c r="G5441" s="18"/>
      <c r="H5441" s="18"/>
      <c r="I5441" s="18"/>
    </row>
    <row r="5442" ht="20.35" customHeight="1">
      <c r="A5442" s="10">
        <v>45691</v>
      </c>
      <c r="B5442" t="s" s="11">
        <v>5</v>
      </c>
      <c r="C5442" t="s" s="12">
        <v>863</v>
      </c>
      <c r="D5442" s="13">
        <v>10000</v>
      </c>
      <c r="E5442" s="13"/>
      <c r="F5442" s="14"/>
      <c r="G5442" s="14"/>
      <c r="H5442" s="14"/>
      <c r="I5442" s="14"/>
    </row>
    <row r="5443" ht="20.7" customHeight="1">
      <c r="A5443" s="10">
        <v>45691</v>
      </c>
      <c r="B5443" t="s" s="11">
        <v>8</v>
      </c>
      <c r="C5443" t="s" s="12">
        <v>8</v>
      </c>
      <c r="D5443" s="15" cm="1">
        <f t="array" ref="D5443">SUM(D5441:D5442)</f>
        <v>10000</v>
      </c>
      <c r="E5443" s="15" cm="1">
        <f t="array" ref="E5443">SUM(E5441:E5442)</f>
        <v>10000</v>
      </c>
      <c r="F5443" s="16" cm="1">
        <f t="array" ref="F5443">SUM(F5441:F5442)</f>
        <v>0</v>
      </c>
      <c r="G5443" s="16" cm="1">
        <f t="array" ref="G5443">SUM(G5441:G5442)</f>
        <v>0</v>
      </c>
      <c r="H5443" s="16" cm="1">
        <f t="array" ref="H5443">SUM(H5441:H5442)</f>
        <v>0</v>
      </c>
      <c r="I5443" s="16" cm="1">
        <f t="array" ref="I5443">SUM(I5441:I5442)</f>
        <v>0</v>
      </c>
    </row>
    <row r="5444" ht="20.35" customHeight="1">
      <c r="A5444" s="10">
        <v>45691</v>
      </c>
      <c r="B5444" t="s" s="11">
        <v>5</v>
      </c>
      <c r="C5444" t="s" s="12">
        <v>604</v>
      </c>
      <c r="D5444" s="17"/>
      <c r="E5444" s="17">
        <v>10000</v>
      </c>
      <c r="F5444" s="18"/>
      <c r="G5444" s="18"/>
      <c r="H5444" s="18"/>
      <c r="I5444" s="18"/>
    </row>
    <row r="5445" ht="20.35" customHeight="1">
      <c r="A5445" s="10">
        <v>45691</v>
      </c>
      <c r="B5445" t="s" s="11">
        <v>93</v>
      </c>
      <c r="C5445" t="s" s="12">
        <v>604</v>
      </c>
      <c r="D5445" s="13">
        <v>10000</v>
      </c>
      <c r="E5445" s="13"/>
      <c r="F5445" s="14"/>
      <c r="G5445" s="14"/>
      <c r="H5445" s="14"/>
      <c r="I5445" s="14"/>
    </row>
    <row r="5446" ht="20.7" customHeight="1">
      <c r="A5446" s="10">
        <v>45691</v>
      </c>
      <c r="B5446" t="s" s="11">
        <v>8</v>
      </c>
      <c r="C5446" t="s" s="12">
        <v>8</v>
      </c>
      <c r="D5446" s="15" cm="1">
        <f t="array" ref="D5446">SUM(D5444:D5445)</f>
        <v>10000</v>
      </c>
      <c r="E5446" s="15" cm="1">
        <f t="array" ref="E5446">SUM(E5444:E5445)</f>
        <v>10000</v>
      </c>
      <c r="F5446" s="16" cm="1">
        <f t="array" ref="F5446">SUM(F5444:F5445)</f>
        <v>0</v>
      </c>
      <c r="G5446" s="16" cm="1">
        <f t="array" ref="G5446">SUM(G5444:G5445)</f>
        <v>0</v>
      </c>
      <c r="H5446" s="16" cm="1">
        <f t="array" ref="H5446">SUM(H5444:H5445)</f>
        <v>0</v>
      </c>
      <c r="I5446" s="16" cm="1">
        <f t="array" ref="I5446">SUM(I5444:I5445)</f>
        <v>0</v>
      </c>
    </row>
    <row r="5447" ht="20.65" customHeight="1">
      <c r="A5447" s="10">
        <v>45692</v>
      </c>
      <c r="B5447" t="s" s="11">
        <v>814</v>
      </c>
      <c r="C5447" t="s" s="12">
        <v>820</v>
      </c>
      <c r="D5447" s="17">
        <v>21</v>
      </c>
      <c r="E5447" s="17"/>
      <c r="F5447" s="18"/>
      <c r="G5447" s="18"/>
      <c r="H5447" s="18"/>
      <c r="I5447" s="18"/>
    </row>
    <row r="5448" ht="20.65" customHeight="1">
      <c r="A5448" s="10">
        <v>45692</v>
      </c>
      <c r="B5448" t="s" s="11">
        <v>91</v>
      </c>
      <c r="C5448" t="s" s="12">
        <v>820</v>
      </c>
      <c r="D5448" s="13"/>
      <c r="E5448" s="13">
        <v>21</v>
      </c>
      <c r="F5448" s="14"/>
      <c r="G5448" s="14"/>
      <c r="H5448" s="14"/>
      <c r="I5448" s="14"/>
    </row>
    <row r="5449" ht="20.7" customHeight="1">
      <c r="A5449" s="10">
        <v>45692</v>
      </c>
      <c r="B5449" t="s" s="11">
        <v>8</v>
      </c>
      <c r="C5449" t="s" s="12">
        <v>8</v>
      </c>
      <c r="D5449" s="15" cm="1">
        <f t="array" ref="D5449">SUM(D5447:D5448)</f>
        <v>21</v>
      </c>
      <c r="E5449" s="15" cm="1">
        <f t="array" ref="E5449">SUM(E5447:E5448)</f>
        <v>21</v>
      </c>
      <c r="F5449" s="16" cm="1">
        <f t="array" ref="F5449">SUM(F5447:F5448)</f>
        <v>0</v>
      </c>
      <c r="G5449" s="16" cm="1">
        <f t="array" ref="G5449">SUM(G5447:G5448)</f>
        <v>0</v>
      </c>
      <c r="H5449" s="16" cm="1">
        <f t="array" ref="H5449">SUM(H5447:H5448)</f>
        <v>0</v>
      </c>
      <c r="I5449" s="16" cm="1">
        <f t="array" ref="I5449">SUM(I5447:I5448)</f>
        <v>0</v>
      </c>
    </row>
    <row r="5450" ht="20.65" customHeight="1">
      <c r="A5450" s="10">
        <v>45692</v>
      </c>
      <c r="B5450" t="s" s="11">
        <v>843</v>
      </c>
      <c r="C5450" t="s" s="12">
        <v>820</v>
      </c>
      <c r="D5450" s="17">
        <v>16</v>
      </c>
      <c r="E5450" s="17"/>
      <c r="F5450" s="18"/>
      <c r="G5450" s="18"/>
      <c r="H5450" s="18"/>
      <c r="I5450" s="18"/>
    </row>
    <row r="5451" ht="20.65" customHeight="1">
      <c r="A5451" s="10">
        <v>45692</v>
      </c>
      <c r="B5451" t="s" s="11">
        <v>91</v>
      </c>
      <c r="C5451" t="s" s="12">
        <v>820</v>
      </c>
      <c r="D5451" s="13"/>
      <c r="E5451" s="13">
        <v>16</v>
      </c>
      <c r="F5451" s="14"/>
      <c r="G5451" s="14"/>
      <c r="H5451" s="14"/>
      <c r="I5451" s="14"/>
    </row>
    <row r="5452" ht="20.7" customHeight="1">
      <c r="A5452" s="10">
        <v>45692</v>
      </c>
      <c r="B5452" t="s" s="11">
        <v>8</v>
      </c>
      <c r="C5452" t="s" s="12">
        <v>8</v>
      </c>
      <c r="D5452" s="15" cm="1">
        <f t="array" ref="D5452">SUM(D5450:D5451)</f>
        <v>16</v>
      </c>
      <c r="E5452" s="15" cm="1">
        <f t="array" ref="E5452">SUM(E5450:E5451)</f>
        <v>16</v>
      </c>
      <c r="F5452" s="16" cm="1">
        <f t="array" ref="F5452">SUM(F5450:F5451)</f>
        <v>0</v>
      </c>
      <c r="G5452" s="16" cm="1">
        <f t="array" ref="G5452">SUM(G5450:G5451)</f>
        <v>0</v>
      </c>
      <c r="H5452" s="16" cm="1">
        <f t="array" ref="H5452">SUM(H5450:H5451)</f>
        <v>0</v>
      </c>
      <c r="I5452" s="16" cm="1">
        <f t="array" ref="I5452">SUM(I5450:I5451)</f>
        <v>0</v>
      </c>
    </row>
    <row r="5453" ht="20.35" customHeight="1">
      <c r="A5453" s="10">
        <v>45692</v>
      </c>
      <c r="B5453" t="s" s="11">
        <v>93</v>
      </c>
      <c r="C5453" t="s" s="12">
        <v>13</v>
      </c>
      <c r="D5453" s="17"/>
      <c r="E5453" s="17">
        <v>8900</v>
      </c>
      <c r="F5453" s="18"/>
      <c r="G5453" s="18"/>
      <c r="H5453" s="18"/>
      <c r="I5453" s="18"/>
    </row>
    <row r="5454" ht="20.35" customHeight="1">
      <c r="A5454" s="10">
        <v>45692</v>
      </c>
      <c r="B5454" t="s" s="11">
        <v>10</v>
      </c>
      <c r="C5454" t="s" s="12">
        <v>13</v>
      </c>
      <c r="D5454" s="13">
        <v>8900</v>
      </c>
      <c r="E5454" s="13"/>
      <c r="F5454" s="14"/>
      <c r="G5454" s="14"/>
      <c r="H5454" s="14"/>
      <c r="I5454" s="14"/>
    </row>
    <row r="5455" ht="20.7" customHeight="1">
      <c r="A5455" s="10">
        <v>45692</v>
      </c>
      <c r="B5455" t="s" s="11">
        <v>8</v>
      </c>
      <c r="C5455" t="s" s="12">
        <v>8</v>
      </c>
      <c r="D5455" s="15" cm="1">
        <f t="array" ref="D5455">SUM(D5453:D5454)</f>
        <v>8900</v>
      </c>
      <c r="E5455" s="15" cm="1">
        <f t="array" ref="E5455">SUM(E5453:E5454)</f>
        <v>8900</v>
      </c>
      <c r="F5455" s="16" cm="1">
        <f t="array" ref="F5455">SUM(F5453:F5454)</f>
        <v>0</v>
      </c>
      <c r="G5455" s="16" cm="1">
        <f t="array" ref="G5455">SUM(G5453:G5454)</f>
        <v>0</v>
      </c>
      <c r="H5455" s="16" cm="1">
        <f t="array" ref="H5455">SUM(H5453:H5454)</f>
        <v>0</v>
      </c>
      <c r="I5455" s="16" cm="1">
        <f t="array" ref="I5455">SUM(I5453:I5454)</f>
        <v>0</v>
      </c>
    </row>
    <row r="5456" ht="20.35" customHeight="1">
      <c r="A5456" s="10">
        <v>45692</v>
      </c>
      <c r="B5456" t="s" s="11">
        <v>814</v>
      </c>
      <c r="C5456" t="s" s="12">
        <v>864</v>
      </c>
      <c r="D5456" s="17"/>
      <c r="E5456" s="17">
        <v>28000</v>
      </c>
      <c r="F5456" s="18"/>
      <c r="G5456" s="18"/>
      <c r="H5456" s="18"/>
      <c r="I5456" s="18"/>
    </row>
    <row r="5457" ht="20.35" customHeight="1">
      <c r="A5457" s="10">
        <v>45692</v>
      </c>
      <c r="B5457" t="s" s="11">
        <v>5</v>
      </c>
      <c r="C5457" t="s" s="12">
        <v>864</v>
      </c>
      <c r="D5457" s="13">
        <v>28000</v>
      </c>
      <c r="E5457" s="13"/>
      <c r="F5457" s="14"/>
      <c r="G5457" s="14"/>
      <c r="H5457" s="14"/>
      <c r="I5457" s="14"/>
    </row>
    <row r="5458" ht="20.7" customHeight="1">
      <c r="A5458" s="10">
        <v>45692</v>
      </c>
      <c r="B5458" t="s" s="11">
        <v>8</v>
      </c>
      <c r="C5458" t="s" s="12">
        <v>8</v>
      </c>
      <c r="D5458" s="15" cm="1">
        <f t="array" ref="D5458">SUM(D5456:D5457)</f>
        <v>28000</v>
      </c>
      <c r="E5458" s="15" cm="1">
        <f t="array" ref="E5458">SUM(E5456:E5457)</f>
        <v>28000</v>
      </c>
      <c r="F5458" s="16" cm="1">
        <f t="array" ref="F5458">SUM(F5456:F5457)</f>
        <v>0</v>
      </c>
      <c r="G5458" s="16" cm="1">
        <f t="array" ref="G5458">SUM(G5456:G5457)</f>
        <v>0</v>
      </c>
      <c r="H5458" s="16" cm="1">
        <f t="array" ref="H5458">SUM(H5456:H5457)</f>
        <v>0</v>
      </c>
      <c r="I5458" s="16" cm="1">
        <f t="array" ref="I5458">SUM(I5456:I5457)</f>
        <v>0</v>
      </c>
    </row>
    <row r="5459" ht="20.35" customHeight="1">
      <c r="A5459" s="10">
        <v>45692</v>
      </c>
      <c r="B5459" t="s" s="11">
        <v>5</v>
      </c>
      <c r="C5459" t="s" s="12">
        <v>209</v>
      </c>
      <c r="D5459" s="17"/>
      <c r="E5459" s="17">
        <v>28000</v>
      </c>
      <c r="F5459" s="18"/>
      <c r="G5459" s="18"/>
      <c r="H5459" s="18"/>
      <c r="I5459" s="18"/>
    </row>
    <row r="5460" ht="20.35" customHeight="1">
      <c r="A5460" s="10">
        <v>45692</v>
      </c>
      <c r="B5460" t="s" s="11">
        <v>107</v>
      </c>
      <c r="C5460" t="s" s="12">
        <v>209</v>
      </c>
      <c r="D5460" s="13">
        <v>28000</v>
      </c>
      <c r="E5460" s="13"/>
      <c r="F5460" s="14"/>
      <c r="G5460" s="14"/>
      <c r="H5460" s="14"/>
      <c r="I5460" s="14"/>
    </row>
    <row r="5461" ht="20.7" customHeight="1">
      <c r="A5461" s="10">
        <v>45692</v>
      </c>
      <c r="B5461" t="s" s="11">
        <v>8</v>
      </c>
      <c r="C5461" t="s" s="12">
        <v>8</v>
      </c>
      <c r="D5461" s="15" cm="1">
        <f t="array" ref="D5461">SUM(D5459:D5460)</f>
        <v>28000</v>
      </c>
      <c r="E5461" s="15" cm="1">
        <f t="array" ref="E5461">SUM(E5459:E5460)</f>
        <v>28000</v>
      </c>
      <c r="F5461" s="16" cm="1">
        <f t="array" ref="F5461">SUM(F5459:F5460)</f>
        <v>0</v>
      </c>
      <c r="G5461" s="16" cm="1">
        <f t="array" ref="G5461">SUM(G5459:G5460)</f>
        <v>0</v>
      </c>
      <c r="H5461" s="16" cm="1">
        <f t="array" ref="H5461">SUM(H5459:H5460)</f>
        <v>0</v>
      </c>
      <c r="I5461" s="16" cm="1">
        <f t="array" ref="I5461">SUM(I5459:I5460)</f>
        <v>0</v>
      </c>
    </row>
    <row r="5462" ht="20.35" customHeight="1">
      <c r="A5462" s="10">
        <v>45692</v>
      </c>
      <c r="B5462" t="s" s="11">
        <v>107</v>
      </c>
      <c r="C5462" t="s" s="12">
        <v>864</v>
      </c>
      <c r="D5462" s="17"/>
      <c r="E5462" s="17">
        <v>28000</v>
      </c>
      <c r="F5462" s="18"/>
      <c r="G5462" s="18"/>
      <c r="H5462" s="18"/>
      <c r="I5462" s="18"/>
    </row>
    <row r="5463" ht="20.35" customHeight="1">
      <c r="A5463" s="10">
        <v>45692</v>
      </c>
      <c r="B5463" t="s" s="11">
        <v>10</v>
      </c>
      <c r="C5463" t="s" s="12">
        <v>864</v>
      </c>
      <c r="D5463" s="13">
        <v>28000</v>
      </c>
      <c r="E5463" s="13"/>
      <c r="F5463" s="14"/>
      <c r="G5463" s="14"/>
      <c r="H5463" s="14"/>
      <c r="I5463" s="14"/>
    </row>
    <row r="5464" ht="20.7" customHeight="1">
      <c r="A5464" s="10">
        <v>45692</v>
      </c>
      <c r="B5464" t="s" s="11">
        <v>8</v>
      </c>
      <c r="C5464" t="s" s="12">
        <v>8</v>
      </c>
      <c r="D5464" s="15" cm="1">
        <f t="array" ref="D5464">SUM(D5462:D5463)</f>
        <v>28000</v>
      </c>
      <c r="E5464" s="15" cm="1">
        <f t="array" ref="E5464">SUM(E5462:E5463)</f>
        <v>28000</v>
      </c>
      <c r="F5464" s="16" cm="1">
        <f t="array" ref="F5464">SUM(F5462:F5463)</f>
        <v>0</v>
      </c>
      <c r="G5464" s="16" cm="1">
        <f t="array" ref="G5464">SUM(G5462:G5463)</f>
        <v>0</v>
      </c>
      <c r="H5464" s="16" cm="1">
        <f t="array" ref="H5464">SUM(H5462:H5463)</f>
        <v>0</v>
      </c>
      <c r="I5464" s="16" cm="1">
        <f t="array" ref="I5464">SUM(I5462:I5463)</f>
        <v>0</v>
      </c>
    </row>
    <row r="5465" ht="21.25" customHeight="1">
      <c r="A5465" s="10">
        <v>45692</v>
      </c>
      <c r="B5465" t="s" s="11">
        <v>814</v>
      </c>
      <c r="C5465" t="s" s="12">
        <v>865</v>
      </c>
      <c r="D5465" s="17"/>
      <c r="E5465" s="17">
        <v>150000</v>
      </c>
      <c r="F5465" s="18"/>
      <c r="G5465" s="18"/>
      <c r="H5465" s="18"/>
      <c r="I5465" s="18"/>
    </row>
    <row r="5466" ht="21.25" customHeight="1">
      <c r="A5466" s="10">
        <v>45692</v>
      </c>
      <c r="B5466" t="s" s="11">
        <v>5</v>
      </c>
      <c r="C5466" t="s" s="12">
        <v>865</v>
      </c>
      <c r="D5466" s="13">
        <v>150000</v>
      </c>
      <c r="E5466" s="13"/>
      <c r="F5466" s="14"/>
      <c r="G5466" s="14"/>
      <c r="H5466" s="14"/>
      <c r="I5466" s="14"/>
    </row>
    <row r="5467" ht="20.7" customHeight="1">
      <c r="A5467" s="10">
        <v>45692</v>
      </c>
      <c r="B5467" t="s" s="11">
        <v>8</v>
      </c>
      <c r="C5467" t="s" s="12">
        <v>8</v>
      </c>
      <c r="D5467" s="15" cm="1">
        <f t="array" ref="D5467">SUM(D5465:D5466)</f>
        <v>150000</v>
      </c>
      <c r="E5467" s="15" cm="1">
        <f t="array" ref="E5467">SUM(E5465:E5466)</f>
        <v>150000</v>
      </c>
      <c r="F5467" s="16" cm="1">
        <f t="array" ref="F5467">SUM(F5465:F5466)</f>
        <v>0</v>
      </c>
      <c r="G5467" s="16" cm="1">
        <f t="array" ref="G5467">SUM(G5465:G5466)</f>
        <v>0</v>
      </c>
      <c r="H5467" s="16" cm="1">
        <f t="array" ref="H5467">SUM(H5465:H5466)</f>
        <v>0</v>
      </c>
      <c r="I5467" s="16" cm="1">
        <f t="array" ref="I5467">SUM(I5465:I5466)</f>
        <v>0</v>
      </c>
    </row>
    <row r="5468" ht="20.35" customHeight="1">
      <c r="A5468" s="10">
        <v>45692</v>
      </c>
      <c r="B5468" t="s" s="11">
        <v>5</v>
      </c>
      <c r="C5468" t="s" s="12">
        <v>209</v>
      </c>
      <c r="D5468" s="17"/>
      <c r="E5468" s="17">
        <v>100000</v>
      </c>
      <c r="F5468" s="18"/>
      <c r="G5468" s="18"/>
      <c r="H5468" s="18"/>
      <c r="I5468" s="18"/>
    </row>
    <row r="5469" ht="20.35" customHeight="1">
      <c r="A5469" s="10">
        <v>45692</v>
      </c>
      <c r="B5469" t="s" s="11">
        <v>107</v>
      </c>
      <c r="C5469" t="s" s="12">
        <v>209</v>
      </c>
      <c r="D5469" s="13">
        <v>100000</v>
      </c>
      <c r="E5469" s="13"/>
      <c r="F5469" s="14"/>
      <c r="G5469" s="14"/>
      <c r="H5469" s="14"/>
      <c r="I5469" s="14"/>
    </row>
    <row r="5470" ht="20.7" customHeight="1">
      <c r="A5470" s="10">
        <v>45692</v>
      </c>
      <c r="B5470" t="s" s="11">
        <v>8</v>
      </c>
      <c r="C5470" t="s" s="12">
        <v>8</v>
      </c>
      <c r="D5470" s="15" cm="1">
        <f t="array" ref="D5470">SUM(D5468:D5469)</f>
        <v>100000</v>
      </c>
      <c r="E5470" s="15" cm="1">
        <f t="array" ref="E5470">SUM(E5468:E5469)</f>
        <v>100000</v>
      </c>
      <c r="F5470" s="16" cm="1">
        <f t="array" ref="F5470">SUM(F5468:F5469)</f>
        <v>0</v>
      </c>
      <c r="G5470" s="16" cm="1">
        <f t="array" ref="G5470">SUM(G5468:G5469)</f>
        <v>0</v>
      </c>
      <c r="H5470" s="16" cm="1">
        <f t="array" ref="H5470">SUM(H5468:H5469)</f>
        <v>0</v>
      </c>
      <c r="I5470" s="16" cm="1">
        <f t="array" ref="I5470">SUM(I5468:I5469)</f>
        <v>0</v>
      </c>
    </row>
    <row r="5471" ht="21.25" customHeight="1">
      <c r="A5471" s="10">
        <v>45692</v>
      </c>
      <c r="B5471" t="s" s="11">
        <v>107</v>
      </c>
      <c r="C5471" t="s" s="12">
        <v>865</v>
      </c>
      <c r="D5471" s="17"/>
      <c r="E5471" s="17">
        <v>69000</v>
      </c>
      <c r="F5471" s="18"/>
      <c r="G5471" s="18"/>
      <c r="H5471" s="18"/>
      <c r="I5471" s="18"/>
    </row>
    <row r="5472" ht="21.25" customHeight="1">
      <c r="A5472" s="10">
        <v>45692</v>
      </c>
      <c r="B5472" t="s" s="11">
        <v>10</v>
      </c>
      <c r="C5472" t="s" s="12">
        <v>865</v>
      </c>
      <c r="D5472" s="13">
        <v>69000</v>
      </c>
      <c r="E5472" s="13"/>
      <c r="F5472" s="14"/>
      <c r="G5472" s="14"/>
      <c r="H5472" s="14"/>
      <c r="I5472" s="14"/>
    </row>
    <row r="5473" ht="20.7" customHeight="1">
      <c r="A5473" s="10">
        <v>45692</v>
      </c>
      <c r="B5473" t="s" s="11">
        <v>8</v>
      </c>
      <c r="C5473" t="s" s="12">
        <v>8</v>
      </c>
      <c r="D5473" s="15" cm="1">
        <f t="array" ref="D5473">SUM(D5471:D5472)</f>
        <v>69000</v>
      </c>
      <c r="E5473" s="15" cm="1">
        <f t="array" ref="E5473">SUM(E5471:E5472)</f>
        <v>69000</v>
      </c>
      <c r="F5473" s="16" cm="1">
        <f t="array" ref="F5473">SUM(F5471:F5472)</f>
        <v>0</v>
      </c>
      <c r="G5473" s="16" cm="1">
        <f t="array" ref="G5473">SUM(G5471:G5472)</f>
        <v>0</v>
      </c>
      <c r="H5473" s="16" cm="1">
        <f t="array" ref="H5473">SUM(H5471:H5472)</f>
        <v>0</v>
      </c>
      <c r="I5473" s="16" cm="1">
        <f t="array" ref="I5473">SUM(I5471:I5472)</f>
        <v>0</v>
      </c>
    </row>
    <row r="5474" ht="21.25" customHeight="1">
      <c r="A5474" s="10">
        <v>45692</v>
      </c>
      <c r="B5474" t="s" s="11">
        <v>107</v>
      </c>
      <c r="C5474" t="s" s="12">
        <v>866</v>
      </c>
      <c r="D5474" s="17"/>
      <c r="E5474" s="17">
        <v>16000</v>
      </c>
      <c r="F5474" s="18"/>
      <c r="G5474" s="18"/>
      <c r="H5474" s="18"/>
      <c r="I5474" s="18"/>
    </row>
    <row r="5475" ht="21.25" customHeight="1">
      <c r="A5475" s="10">
        <v>45692</v>
      </c>
      <c r="B5475" t="s" s="11">
        <v>10</v>
      </c>
      <c r="C5475" t="s" s="12">
        <v>866</v>
      </c>
      <c r="D5475" s="13">
        <v>16000</v>
      </c>
      <c r="E5475" s="13"/>
      <c r="F5475" s="14"/>
      <c r="G5475" s="14"/>
      <c r="H5475" s="14"/>
      <c r="I5475" s="14"/>
    </row>
    <row r="5476" ht="20.7" customHeight="1">
      <c r="A5476" s="10">
        <v>45692</v>
      </c>
      <c r="B5476" t="s" s="11">
        <v>8</v>
      </c>
      <c r="C5476" t="s" s="12">
        <v>8</v>
      </c>
      <c r="D5476" s="15" cm="1">
        <f t="array" ref="D5476">SUM(D5474:D5475)</f>
        <v>16000</v>
      </c>
      <c r="E5476" s="15" cm="1">
        <f t="array" ref="E5476">SUM(E5474:E5475)</f>
        <v>16000</v>
      </c>
      <c r="F5476" s="16" cm="1">
        <f t="array" ref="F5476">SUM(F5474:F5475)</f>
        <v>0</v>
      </c>
      <c r="G5476" s="16" cm="1">
        <f t="array" ref="G5476">SUM(G5474:G5475)</f>
        <v>0</v>
      </c>
      <c r="H5476" s="16" cm="1">
        <f t="array" ref="H5476">SUM(H5474:H5475)</f>
        <v>0</v>
      </c>
      <c r="I5476" s="16" cm="1">
        <f t="array" ref="I5476">SUM(I5474:I5475)</f>
        <v>0</v>
      </c>
    </row>
    <row r="5477" ht="20.65" customHeight="1">
      <c r="A5477" s="10">
        <v>45693</v>
      </c>
      <c r="B5477" t="s" s="11">
        <v>814</v>
      </c>
      <c r="C5477" t="s" s="12">
        <v>820</v>
      </c>
      <c r="D5477" s="17">
        <v>11</v>
      </c>
      <c r="E5477" s="17"/>
      <c r="F5477" s="18"/>
      <c r="G5477" s="18"/>
      <c r="H5477" s="18"/>
      <c r="I5477" s="18"/>
    </row>
    <row r="5478" ht="20.65" customHeight="1">
      <c r="A5478" s="10">
        <v>45693</v>
      </c>
      <c r="B5478" t="s" s="11">
        <v>91</v>
      </c>
      <c r="C5478" t="s" s="12">
        <v>820</v>
      </c>
      <c r="D5478" s="13"/>
      <c r="E5478" s="13">
        <v>11</v>
      </c>
      <c r="F5478" s="14"/>
      <c r="G5478" s="14"/>
      <c r="H5478" s="14"/>
      <c r="I5478" s="14"/>
    </row>
    <row r="5479" ht="20.7" customHeight="1">
      <c r="A5479" s="10">
        <v>45693</v>
      </c>
      <c r="B5479" t="s" s="11">
        <v>8</v>
      </c>
      <c r="C5479" t="s" s="12">
        <v>8</v>
      </c>
      <c r="D5479" s="15" cm="1">
        <f t="array" ref="D5479">SUM(D5477:D5478)</f>
        <v>11</v>
      </c>
      <c r="E5479" s="15" cm="1">
        <f t="array" ref="E5479">SUM(E5477:E5478)</f>
        <v>11</v>
      </c>
      <c r="F5479" s="16" cm="1">
        <f t="array" ref="F5479">SUM(F5477:F5478)</f>
        <v>0</v>
      </c>
      <c r="G5479" s="16" cm="1">
        <f t="array" ref="G5479">SUM(G5477:G5478)</f>
        <v>0</v>
      </c>
      <c r="H5479" s="16" cm="1">
        <f t="array" ref="H5479">SUM(H5477:H5478)</f>
        <v>0</v>
      </c>
      <c r="I5479" s="16" cm="1">
        <f t="array" ref="I5479">SUM(I5477:I5478)</f>
        <v>0</v>
      </c>
    </row>
    <row r="5480" ht="20.65" customHeight="1">
      <c r="A5480" s="10">
        <v>45693</v>
      </c>
      <c r="B5480" t="s" s="11">
        <v>843</v>
      </c>
      <c r="C5480" t="s" s="12">
        <v>820</v>
      </c>
      <c r="D5480" s="17">
        <v>16</v>
      </c>
      <c r="E5480" s="17"/>
      <c r="F5480" s="18"/>
      <c r="G5480" s="18"/>
      <c r="H5480" s="18"/>
      <c r="I5480" s="18"/>
    </row>
    <row r="5481" ht="20.65" customHeight="1">
      <c r="A5481" s="10">
        <v>45693</v>
      </c>
      <c r="B5481" t="s" s="11">
        <v>91</v>
      </c>
      <c r="C5481" t="s" s="12">
        <v>820</v>
      </c>
      <c r="D5481" s="13"/>
      <c r="E5481" s="13">
        <v>16</v>
      </c>
      <c r="F5481" s="14"/>
      <c r="G5481" s="14"/>
      <c r="H5481" s="14"/>
      <c r="I5481" s="14"/>
    </row>
    <row r="5482" ht="20.7" customHeight="1">
      <c r="A5482" s="10">
        <v>45693</v>
      </c>
      <c r="B5482" t="s" s="11">
        <v>8</v>
      </c>
      <c r="C5482" t="s" s="12">
        <v>8</v>
      </c>
      <c r="D5482" s="15" cm="1">
        <f t="array" ref="D5482">SUM(D5480:D5481)</f>
        <v>16</v>
      </c>
      <c r="E5482" s="15" cm="1">
        <f t="array" ref="E5482">SUM(E5480:E5481)</f>
        <v>16</v>
      </c>
      <c r="F5482" s="16" cm="1">
        <f t="array" ref="F5482">SUM(F5480:F5481)</f>
        <v>0</v>
      </c>
      <c r="G5482" s="16" cm="1">
        <f t="array" ref="G5482">SUM(G5480:G5481)</f>
        <v>0</v>
      </c>
      <c r="H5482" s="16" cm="1">
        <f t="array" ref="H5482">SUM(H5480:H5481)</f>
        <v>0</v>
      </c>
      <c r="I5482" s="16" cm="1">
        <f t="array" ref="I5482">SUM(I5480:I5481)</f>
        <v>0</v>
      </c>
    </row>
    <row r="5483" ht="20.35" customHeight="1">
      <c r="A5483" s="10">
        <v>45693</v>
      </c>
      <c r="B5483" t="s" s="11">
        <v>5</v>
      </c>
      <c r="C5483" t="s" s="12">
        <v>96</v>
      </c>
      <c r="D5483" s="17">
        <v>15000</v>
      </c>
      <c r="E5483" s="17"/>
      <c r="F5483" s="18"/>
      <c r="G5483" s="18"/>
      <c r="H5483" s="18"/>
      <c r="I5483" s="18"/>
    </row>
    <row r="5484" ht="20.35" customHeight="1">
      <c r="A5484" s="10">
        <v>45693</v>
      </c>
      <c r="B5484" t="s" s="11">
        <v>107</v>
      </c>
      <c r="C5484" t="s" s="12">
        <v>96</v>
      </c>
      <c r="D5484" s="13"/>
      <c r="E5484" s="13">
        <v>15000</v>
      </c>
      <c r="F5484" s="14"/>
      <c r="G5484" s="14"/>
      <c r="H5484" s="14"/>
      <c r="I5484" s="14"/>
    </row>
    <row r="5485" ht="20.7" customHeight="1">
      <c r="A5485" s="10">
        <v>45693</v>
      </c>
      <c r="B5485" t="s" s="11">
        <v>8</v>
      </c>
      <c r="C5485" t="s" s="12">
        <v>8</v>
      </c>
      <c r="D5485" s="15" cm="1">
        <f t="array" ref="D5485">SUM(D5483:D5484)</f>
        <v>15000</v>
      </c>
      <c r="E5485" s="15" cm="1">
        <f t="array" ref="E5485">SUM(E5483:E5484)</f>
        <v>15000</v>
      </c>
      <c r="F5485" s="16" cm="1">
        <f t="array" ref="F5485">SUM(F5483:F5484)</f>
        <v>0</v>
      </c>
      <c r="G5485" s="16" cm="1">
        <f t="array" ref="G5485">SUM(G5483:G5484)</f>
        <v>0</v>
      </c>
      <c r="H5485" s="16" cm="1">
        <f t="array" ref="H5485">SUM(H5483:H5484)</f>
        <v>0</v>
      </c>
      <c r="I5485" s="16" cm="1">
        <f t="array" ref="I5485">SUM(I5483:I5484)</f>
        <v>0</v>
      </c>
    </row>
    <row r="5486" ht="20.35" customHeight="1">
      <c r="A5486" s="10">
        <v>45693</v>
      </c>
      <c r="B5486" t="s" s="11">
        <v>5</v>
      </c>
      <c r="C5486" t="s" s="12">
        <v>604</v>
      </c>
      <c r="D5486" s="17"/>
      <c r="E5486" s="17">
        <v>10000</v>
      </c>
      <c r="F5486" s="18"/>
      <c r="G5486" s="18"/>
      <c r="H5486" s="18"/>
      <c r="I5486" s="18"/>
    </row>
    <row r="5487" ht="20.35" customHeight="1">
      <c r="A5487" s="10">
        <v>45693</v>
      </c>
      <c r="B5487" t="s" s="11">
        <v>93</v>
      </c>
      <c r="C5487" t="s" s="12">
        <v>604</v>
      </c>
      <c r="D5487" s="13">
        <v>10000</v>
      </c>
      <c r="E5487" s="13"/>
      <c r="F5487" s="14"/>
      <c r="G5487" s="14"/>
      <c r="H5487" s="14"/>
      <c r="I5487" s="14"/>
    </row>
    <row r="5488" ht="20.7" customHeight="1">
      <c r="A5488" s="10">
        <v>45693</v>
      </c>
      <c r="B5488" t="s" s="11">
        <v>8</v>
      </c>
      <c r="C5488" t="s" s="12">
        <v>8</v>
      </c>
      <c r="D5488" s="15" cm="1">
        <f t="array" ref="D5488">SUM(D5486:D5487)</f>
        <v>10000</v>
      </c>
      <c r="E5488" s="15" cm="1">
        <f t="array" ref="E5488">SUM(E5486:E5487)</f>
        <v>10000</v>
      </c>
      <c r="F5488" s="16" cm="1">
        <f t="array" ref="F5488">SUM(F5486:F5487)</f>
        <v>0</v>
      </c>
      <c r="G5488" s="16" cm="1">
        <f t="array" ref="G5488">SUM(G5486:G5487)</f>
        <v>0</v>
      </c>
      <c r="H5488" s="16" cm="1">
        <f t="array" ref="H5488">SUM(H5486:H5487)</f>
        <v>0</v>
      </c>
      <c r="I5488" s="16" cm="1">
        <f t="array" ref="I5488">SUM(I5486:I5487)</f>
        <v>0</v>
      </c>
    </row>
    <row r="5489" ht="20.35" customHeight="1">
      <c r="A5489" s="10">
        <v>45693</v>
      </c>
      <c r="B5489" t="s" s="11">
        <v>93</v>
      </c>
      <c r="C5489" t="s" s="12">
        <v>20</v>
      </c>
      <c r="D5489" s="17"/>
      <c r="E5489" s="17">
        <v>5000</v>
      </c>
      <c r="F5489" s="18"/>
      <c r="G5489" s="18"/>
      <c r="H5489" s="18"/>
      <c r="I5489" s="18"/>
    </row>
    <row r="5490" ht="20.35" customHeight="1">
      <c r="A5490" s="10">
        <v>45693</v>
      </c>
      <c r="B5490" t="s" s="11">
        <v>89</v>
      </c>
      <c r="C5490" t="s" s="12">
        <v>20</v>
      </c>
      <c r="D5490" s="13">
        <v>5000</v>
      </c>
      <c r="E5490" s="13"/>
      <c r="F5490" s="14"/>
      <c r="G5490" s="14"/>
      <c r="H5490" s="14"/>
      <c r="I5490" s="14"/>
    </row>
    <row r="5491" ht="20.7" customHeight="1">
      <c r="A5491" s="10">
        <v>45693</v>
      </c>
      <c r="B5491" t="s" s="11">
        <v>8</v>
      </c>
      <c r="C5491" t="s" s="12">
        <v>8</v>
      </c>
      <c r="D5491" s="15" cm="1">
        <f t="array" ref="D5491">SUM(D5489:D5490)</f>
        <v>5000</v>
      </c>
      <c r="E5491" s="15" cm="1">
        <f t="array" ref="E5491">SUM(E5489:E5490)</f>
        <v>5000</v>
      </c>
      <c r="F5491" s="16" cm="1">
        <f t="array" ref="F5491">SUM(F5489:F5490)</f>
        <v>0</v>
      </c>
      <c r="G5491" s="16" cm="1">
        <f t="array" ref="G5491">SUM(G5489:G5490)</f>
        <v>0</v>
      </c>
      <c r="H5491" s="16" cm="1">
        <f t="array" ref="H5491">SUM(H5489:H5490)</f>
        <v>0</v>
      </c>
      <c r="I5491" s="16" cm="1">
        <f t="array" ref="I5491">SUM(I5489:I5490)</f>
        <v>0</v>
      </c>
    </row>
    <row r="5492" ht="20.35" customHeight="1">
      <c r="A5492" s="10">
        <v>45693</v>
      </c>
      <c r="B5492" t="s" s="11">
        <v>5</v>
      </c>
      <c r="C5492" t="s" s="12">
        <v>864</v>
      </c>
      <c r="D5492" s="17"/>
      <c r="E5492" s="17">
        <v>28000</v>
      </c>
      <c r="F5492" s="18"/>
      <c r="G5492" s="18"/>
      <c r="H5492" s="18"/>
      <c r="I5492" s="18"/>
    </row>
    <row r="5493" ht="20.35" customHeight="1">
      <c r="A5493" s="10">
        <v>45693</v>
      </c>
      <c r="B5493" t="s" s="11">
        <v>10</v>
      </c>
      <c r="C5493" t="s" s="12">
        <v>864</v>
      </c>
      <c r="D5493" s="13">
        <v>28000</v>
      </c>
      <c r="E5493" s="13"/>
      <c r="F5493" s="14"/>
      <c r="G5493" s="14"/>
      <c r="H5493" s="14"/>
      <c r="I5493" s="14"/>
    </row>
    <row r="5494" ht="20.7" customHeight="1">
      <c r="A5494" s="10">
        <v>45693</v>
      </c>
      <c r="B5494" t="s" s="11">
        <v>8</v>
      </c>
      <c r="C5494" t="s" s="12">
        <v>8</v>
      </c>
      <c r="D5494" s="15" cm="1">
        <f t="array" ref="D5494">SUM(D5492:D5493)</f>
        <v>28000</v>
      </c>
      <c r="E5494" s="15" cm="1">
        <f t="array" ref="E5494">SUM(E5492:E5493)</f>
        <v>28000</v>
      </c>
      <c r="F5494" s="16" cm="1">
        <f t="array" ref="F5494">SUM(F5492:F5493)</f>
        <v>0</v>
      </c>
      <c r="G5494" s="16" cm="1">
        <f t="array" ref="G5494">SUM(G5492:G5493)</f>
        <v>0</v>
      </c>
      <c r="H5494" s="16" cm="1">
        <f t="array" ref="H5494">SUM(H5492:H5493)</f>
        <v>0</v>
      </c>
      <c r="I5494" s="16" cm="1">
        <f t="array" ref="I5494">SUM(I5492:I5493)</f>
        <v>0</v>
      </c>
    </row>
    <row r="5495" ht="21.25" customHeight="1">
      <c r="A5495" s="10">
        <v>45693</v>
      </c>
      <c r="B5495" t="s" s="11">
        <v>5</v>
      </c>
      <c r="C5495" t="s" s="12">
        <v>799</v>
      </c>
      <c r="D5495" s="17">
        <v>1</v>
      </c>
      <c r="E5495" s="17"/>
      <c r="F5495" s="18"/>
      <c r="G5495" s="18"/>
      <c r="H5495" s="18"/>
      <c r="I5495" s="18"/>
    </row>
    <row r="5496" ht="21.25" customHeight="1">
      <c r="A5496" s="10">
        <v>45693</v>
      </c>
      <c r="B5496" t="s" s="11">
        <v>91</v>
      </c>
      <c r="C5496" t="s" s="12">
        <v>799</v>
      </c>
      <c r="D5496" s="13"/>
      <c r="E5496" s="13">
        <v>1</v>
      </c>
      <c r="F5496" s="14"/>
      <c r="G5496" s="14"/>
      <c r="H5496" s="14"/>
      <c r="I5496" s="14"/>
    </row>
    <row r="5497" ht="20.7" customHeight="1">
      <c r="A5497" s="10">
        <v>45693</v>
      </c>
      <c r="B5497" t="s" s="11">
        <v>8</v>
      </c>
      <c r="C5497" t="s" s="12">
        <v>8</v>
      </c>
      <c r="D5497" s="15" cm="1">
        <f t="array" ref="D5497">SUM(D5495:D5496)</f>
        <v>1</v>
      </c>
      <c r="E5497" s="15" cm="1">
        <f t="array" ref="E5497">SUM(E5495:E5496)</f>
        <v>1</v>
      </c>
      <c r="F5497" s="16" cm="1">
        <f t="array" ref="F5497">SUM(F5495:F5496)</f>
        <v>0</v>
      </c>
      <c r="G5497" s="16" cm="1">
        <f t="array" ref="G5497">SUM(G5495:G5496)</f>
        <v>0</v>
      </c>
      <c r="H5497" s="16" cm="1">
        <f t="array" ref="H5497">SUM(H5495:H5496)</f>
        <v>0</v>
      </c>
      <c r="I5497" s="16" cm="1">
        <f t="array" ref="I5497">SUM(I5495:I5496)</f>
        <v>0</v>
      </c>
    </row>
    <row r="5498" ht="21.25" customHeight="1">
      <c r="A5498" s="10">
        <v>45693</v>
      </c>
      <c r="B5498" t="s" s="11">
        <v>121</v>
      </c>
      <c r="C5498" t="s" s="12">
        <v>862</v>
      </c>
      <c r="D5498" s="17"/>
      <c r="E5498" s="17">
        <v>3000</v>
      </c>
      <c r="F5498" s="18"/>
      <c r="G5498" s="18"/>
      <c r="H5498" s="18"/>
      <c r="I5498" s="18"/>
    </row>
    <row r="5499" ht="21.25" customHeight="1">
      <c r="A5499" s="10">
        <v>45693</v>
      </c>
      <c r="B5499" t="s" s="11">
        <v>21</v>
      </c>
      <c r="C5499" t="s" s="12">
        <v>862</v>
      </c>
      <c r="D5499" s="13">
        <v>3000</v>
      </c>
      <c r="E5499" s="13"/>
      <c r="F5499" s="14"/>
      <c r="G5499" s="14"/>
      <c r="H5499" s="14"/>
      <c r="I5499" s="14"/>
    </row>
    <row r="5500" ht="20.7" customHeight="1">
      <c r="A5500" s="10">
        <v>45693</v>
      </c>
      <c r="B5500" t="s" s="11">
        <v>8</v>
      </c>
      <c r="C5500" t="s" s="12">
        <v>8</v>
      </c>
      <c r="D5500" s="15" cm="1">
        <f t="array" ref="D5500">SUM(D5498:D5499)</f>
        <v>3000</v>
      </c>
      <c r="E5500" s="15" cm="1">
        <f t="array" ref="E5500">SUM(E5498:E5499)</f>
        <v>3000</v>
      </c>
      <c r="F5500" s="16" cm="1">
        <f t="array" ref="F5500">SUM(F5498:F5499)</f>
        <v>0</v>
      </c>
      <c r="G5500" s="16" cm="1">
        <f t="array" ref="G5500">SUM(G5498:G5499)</f>
        <v>0</v>
      </c>
      <c r="H5500" s="16" cm="1">
        <f t="array" ref="H5500">SUM(H5498:H5499)</f>
        <v>0</v>
      </c>
      <c r="I5500" s="16" cm="1">
        <f t="array" ref="I5500">SUM(I5498:I5499)</f>
        <v>0</v>
      </c>
    </row>
    <row r="5501" ht="20.35" customHeight="1">
      <c r="A5501" s="10">
        <v>45693</v>
      </c>
      <c r="B5501" t="s" s="11">
        <v>93</v>
      </c>
      <c r="C5501" t="s" s="12">
        <v>20</v>
      </c>
      <c r="D5501" s="17">
        <v>55000</v>
      </c>
      <c r="E5501" s="17"/>
      <c r="F5501" s="18"/>
      <c r="G5501" s="18"/>
      <c r="H5501" s="18"/>
      <c r="I5501" s="18"/>
    </row>
    <row r="5502" ht="20.35" customHeight="1">
      <c r="A5502" s="10">
        <v>45693</v>
      </c>
      <c r="B5502" t="s" s="11">
        <v>89</v>
      </c>
      <c r="C5502" t="s" s="12">
        <v>20</v>
      </c>
      <c r="D5502" s="13"/>
      <c r="E5502" s="13">
        <v>55000</v>
      </c>
      <c r="F5502" s="14"/>
      <c r="G5502" s="14"/>
      <c r="H5502" s="14"/>
      <c r="I5502" s="14"/>
    </row>
    <row r="5503" ht="20.7" customHeight="1">
      <c r="A5503" s="10">
        <v>45693</v>
      </c>
      <c r="B5503" t="s" s="11">
        <v>8</v>
      </c>
      <c r="C5503" t="s" s="12">
        <v>8</v>
      </c>
      <c r="D5503" s="15" cm="1">
        <f t="array" ref="D5503">SUM(D5501:D5502)</f>
        <v>55000</v>
      </c>
      <c r="E5503" s="15" cm="1">
        <f t="array" ref="E5503">SUM(E5501:E5502)</f>
        <v>55000</v>
      </c>
      <c r="F5503" s="16" cm="1">
        <f t="array" ref="F5503">SUM(F5501:F5502)</f>
        <v>0</v>
      </c>
      <c r="G5503" s="16" cm="1">
        <f t="array" ref="G5503">SUM(G5501:G5502)</f>
        <v>0</v>
      </c>
      <c r="H5503" s="16" cm="1">
        <f t="array" ref="H5503">SUM(H5501:H5502)</f>
        <v>0</v>
      </c>
      <c r="I5503" s="16" cm="1">
        <f t="array" ref="I5503">SUM(I5501:I5502)</f>
        <v>0</v>
      </c>
    </row>
    <row r="5504" ht="20.65" customHeight="1">
      <c r="A5504" s="10">
        <v>45694</v>
      </c>
      <c r="B5504" t="s" s="11">
        <v>814</v>
      </c>
      <c r="C5504" t="s" s="12">
        <v>820</v>
      </c>
      <c r="D5504" s="17">
        <v>11</v>
      </c>
      <c r="E5504" s="17"/>
      <c r="F5504" s="18"/>
      <c r="G5504" s="18"/>
      <c r="H5504" s="18"/>
      <c r="I5504" s="18"/>
    </row>
    <row r="5505" ht="20.65" customHeight="1">
      <c r="A5505" s="10">
        <v>45694</v>
      </c>
      <c r="B5505" t="s" s="11">
        <v>91</v>
      </c>
      <c r="C5505" t="s" s="12">
        <v>820</v>
      </c>
      <c r="D5505" s="13"/>
      <c r="E5505" s="13">
        <v>11</v>
      </c>
      <c r="F5505" s="14"/>
      <c r="G5505" s="14"/>
      <c r="H5505" s="14"/>
      <c r="I5505" s="14"/>
    </row>
    <row r="5506" ht="20.7" customHeight="1">
      <c r="A5506" s="10">
        <v>45694</v>
      </c>
      <c r="B5506" t="s" s="11">
        <v>8</v>
      </c>
      <c r="C5506" t="s" s="12">
        <v>8</v>
      </c>
      <c r="D5506" s="15" cm="1">
        <f t="array" ref="D5506">SUM(D5504:D5505)</f>
        <v>11</v>
      </c>
      <c r="E5506" s="15" cm="1">
        <f t="array" ref="E5506">SUM(E5504:E5505)</f>
        <v>11</v>
      </c>
      <c r="F5506" s="16" cm="1">
        <f t="array" ref="F5506">SUM(F5504:F5505)</f>
        <v>0</v>
      </c>
      <c r="G5506" s="16" cm="1">
        <f t="array" ref="G5506">SUM(G5504:G5505)</f>
        <v>0</v>
      </c>
      <c r="H5506" s="16" cm="1">
        <f t="array" ref="H5506">SUM(H5504:H5505)</f>
        <v>0</v>
      </c>
      <c r="I5506" s="16" cm="1">
        <f t="array" ref="I5506">SUM(I5504:I5505)</f>
        <v>0</v>
      </c>
    </row>
    <row r="5507" ht="20.65" customHeight="1">
      <c r="A5507" s="10">
        <v>45694</v>
      </c>
      <c r="B5507" t="s" s="11">
        <v>843</v>
      </c>
      <c r="C5507" t="s" s="12">
        <v>820</v>
      </c>
      <c r="D5507" s="17">
        <v>16</v>
      </c>
      <c r="E5507" s="17"/>
      <c r="F5507" s="18"/>
      <c r="G5507" s="18"/>
      <c r="H5507" s="18"/>
      <c r="I5507" s="18"/>
    </row>
    <row r="5508" ht="20.65" customHeight="1">
      <c r="A5508" s="10">
        <v>45694</v>
      </c>
      <c r="B5508" t="s" s="11">
        <v>91</v>
      </c>
      <c r="C5508" t="s" s="12">
        <v>820</v>
      </c>
      <c r="D5508" s="13"/>
      <c r="E5508" s="13">
        <v>16</v>
      </c>
      <c r="F5508" s="14"/>
      <c r="G5508" s="14"/>
      <c r="H5508" s="14"/>
      <c r="I5508" s="14"/>
    </row>
    <row r="5509" ht="20.7" customHeight="1">
      <c r="A5509" s="10">
        <v>45694</v>
      </c>
      <c r="B5509" t="s" s="11">
        <v>8</v>
      </c>
      <c r="C5509" t="s" s="12">
        <v>8</v>
      </c>
      <c r="D5509" s="15" cm="1">
        <f t="array" ref="D5509">SUM(D5507:D5508)</f>
        <v>16</v>
      </c>
      <c r="E5509" s="15" cm="1">
        <f t="array" ref="E5509">SUM(E5507:E5508)</f>
        <v>16</v>
      </c>
      <c r="F5509" s="16" cm="1">
        <f t="array" ref="F5509">SUM(F5507:F5508)</f>
        <v>0</v>
      </c>
      <c r="G5509" s="16" cm="1">
        <f t="array" ref="G5509">SUM(G5507:G5508)</f>
        <v>0</v>
      </c>
      <c r="H5509" s="16" cm="1">
        <f t="array" ref="H5509">SUM(H5507:H5508)</f>
        <v>0</v>
      </c>
      <c r="I5509" s="16" cm="1">
        <f t="array" ref="I5509">SUM(I5507:I5508)</f>
        <v>0</v>
      </c>
    </row>
    <row r="5510" ht="21.25" customHeight="1">
      <c r="A5510" s="10">
        <v>45694</v>
      </c>
      <c r="B5510" t="s" s="11">
        <v>5</v>
      </c>
      <c r="C5510" t="s" s="12">
        <v>253</v>
      </c>
      <c r="D5510" s="17"/>
      <c r="E5510" s="17">
        <v>7890</v>
      </c>
      <c r="F5510" s="18"/>
      <c r="G5510" s="18"/>
      <c r="H5510" s="18"/>
      <c r="I5510" s="18"/>
    </row>
    <row r="5511" ht="21.25" customHeight="1">
      <c r="A5511" s="10">
        <v>45694</v>
      </c>
      <c r="B5511" t="s" s="11">
        <v>10</v>
      </c>
      <c r="C5511" t="s" s="12">
        <v>253</v>
      </c>
      <c r="D5511" s="13">
        <v>7890</v>
      </c>
      <c r="E5511" s="13"/>
      <c r="F5511" s="14"/>
      <c r="G5511" s="14"/>
      <c r="H5511" s="14"/>
      <c r="I5511" s="14"/>
    </row>
    <row r="5512" ht="20.7" customHeight="1">
      <c r="A5512" s="10">
        <v>45694</v>
      </c>
      <c r="B5512" t="s" s="11">
        <v>8</v>
      </c>
      <c r="C5512" t="s" s="12">
        <v>8</v>
      </c>
      <c r="D5512" s="15" cm="1">
        <f t="array" ref="D5512">SUM(D5510:D5511)</f>
        <v>7890</v>
      </c>
      <c r="E5512" s="15" cm="1">
        <f t="array" ref="E5512">SUM(E5510:E5511)</f>
        <v>7890</v>
      </c>
      <c r="F5512" s="16" cm="1">
        <f t="array" ref="F5512">SUM(F5510:F5511)</f>
        <v>0</v>
      </c>
      <c r="G5512" s="16" cm="1">
        <f t="array" ref="G5512">SUM(G5510:G5511)</f>
        <v>0</v>
      </c>
      <c r="H5512" s="16" cm="1">
        <f t="array" ref="H5512">SUM(H5510:H5511)</f>
        <v>0</v>
      </c>
      <c r="I5512" s="16" cm="1">
        <f t="array" ref="I5512">SUM(I5510:I5511)</f>
        <v>0</v>
      </c>
    </row>
    <row r="5513" ht="20.65" customHeight="1">
      <c r="A5513" s="10">
        <v>45695</v>
      </c>
      <c r="B5513" t="s" s="11">
        <v>814</v>
      </c>
      <c r="C5513" t="s" s="12">
        <v>820</v>
      </c>
      <c r="D5513" s="17">
        <v>11</v>
      </c>
      <c r="E5513" s="17"/>
      <c r="F5513" s="18"/>
      <c r="G5513" s="18"/>
      <c r="H5513" s="18"/>
      <c r="I5513" s="18"/>
    </row>
    <row r="5514" ht="20.65" customHeight="1">
      <c r="A5514" s="10">
        <v>45695</v>
      </c>
      <c r="B5514" t="s" s="11">
        <v>91</v>
      </c>
      <c r="C5514" t="s" s="12">
        <v>820</v>
      </c>
      <c r="D5514" s="13"/>
      <c r="E5514" s="13">
        <v>11</v>
      </c>
      <c r="F5514" s="14"/>
      <c r="G5514" s="14"/>
      <c r="H5514" s="14"/>
      <c r="I5514" s="14"/>
    </row>
    <row r="5515" ht="20.7" customHeight="1">
      <c r="A5515" s="10">
        <v>45695</v>
      </c>
      <c r="B5515" t="s" s="11">
        <v>8</v>
      </c>
      <c r="C5515" t="s" s="12">
        <v>8</v>
      </c>
      <c r="D5515" s="15" cm="1">
        <f t="array" ref="D5515">SUM(D5513:D5514)</f>
        <v>11</v>
      </c>
      <c r="E5515" s="15" cm="1">
        <f t="array" ref="E5515">SUM(E5513:E5514)</f>
        <v>11</v>
      </c>
      <c r="F5515" s="16" cm="1">
        <f t="array" ref="F5515">SUM(F5513:F5514)</f>
        <v>0</v>
      </c>
      <c r="G5515" s="16" cm="1">
        <f t="array" ref="G5515">SUM(G5513:G5514)</f>
        <v>0</v>
      </c>
      <c r="H5515" s="16" cm="1">
        <f t="array" ref="H5515">SUM(H5513:H5514)</f>
        <v>0</v>
      </c>
      <c r="I5515" s="16" cm="1">
        <f t="array" ref="I5515">SUM(I5513:I5514)</f>
        <v>0</v>
      </c>
    </row>
    <row r="5516" ht="20.65" customHeight="1">
      <c r="A5516" s="10">
        <v>45695</v>
      </c>
      <c r="B5516" t="s" s="11">
        <v>843</v>
      </c>
      <c r="C5516" t="s" s="12">
        <v>820</v>
      </c>
      <c r="D5516" s="17">
        <v>16</v>
      </c>
      <c r="E5516" s="17"/>
      <c r="F5516" s="18"/>
      <c r="G5516" s="18"/>
      <c r="H5516" s="18"/>
      <c r="I5516" s="18"/>
    </row>
    <row r="5517" ht="20.65" customHeight="1">
      <c r="A5517" s="10">
        <v>45695</v>
      </c>
      <c r="B5517" t="s" s="11">
        <v>91</v>
      </c>
      <c r="C5517" t="s" s="12">
        <v>820</v>
      </c>
      <c r="D5517" s="13"/>
      <c r="E5517" s="13">
        <v>16</v>
      </c>
      <c r="F5517" s="14"/>
      <c r="G5517" s="14"/>
      <c r="H5517" s="14"/>
      <c r="I5517" s="14"/>
    </row>
    <row r="5518" ht="20.7" customHeight="1">
      <c r="A5518" s="10">
        <v>45695</v>
      </c>
      <c r="B5518" t="s" s="11">
        <v>8</v>
      </c>
      <c r="C5518" t="s" s="12">
        <v>8</v>
      </c>
      <c r="D5518" s="15" cm="1">
        <f t="array" ref="D5518">SUM(D5516:D5517)</f>
        <v>16</v>
      </c>
      <c r="E5518" s="15" cm="1">
        <f t="array" ref="E5518">SUM(E5516:E5517)</f>
        <v>16</v>
      </c>
      <c r="F5518" s="16" cm="1">
        <f t="array" ref="F5518">SUM(F5516:F5517)</f>
        <v>0</v>
      </c>
      <c r="G5518" s="16" cm="1">
        <f t="array" ref="G5518">SUM(G5516:G5517)</f>
        <v>0</v>
      </c>
      <c r="H5518" s="16" cm="1">
        <f t="array" ref="H5518">SUM(H5516:H5517)</f>
        <v>0</v>
      </c>
      <c r="I5518" s="16" cm="1">
        <f t="array" ref="I5518">SUM(I5516:I5517)</f>
        <v>0</v>
      </c>
    </row>
    <row r="5519" ht="20.35" customHeight="1">
      <c r="A5519" s="10">
        <v>45695</v>
      </c>
      <c r="B5519" t="s" s="11">
        <v>93</v>
      </c>
      <c r="C5519" t="s" s="12">
        <v>96</v>
      </c>
      <c r="D5519" s="17"/>
      <c r="E5519" s="17">
        <v>61100</v>
      </c>
      <c r="F5519" s="18"/>
      <c r="G5519" s="18"/>
      <c r="H5519" s="18"/>
      <c r="I5519" s="18"/>
    </row>
    <row r="5520" ht="20.35" customHeight="1">
      <c r="A5520" s="10">
        <v>45695</v>
      </c>
      <c r="B5520" t="s" s="11">
        <v>5</v>
      </c>
      <c r="C5520" t="s" s="12">
        <v>96</v>
      </c>
      <c r="D5520" s="13">
        <v>61100</v>
      </c>
      <c r="E5520" s="13"/>
      <c r="F5520" s="14"/>
      <c r="G5520" s="14"/>
      <c r="H5520" s="14"/>
      <c r="I5520" s="14"/>
    </row>
    <row r="5521" ht="20.7" customHeight="1">
      <c r="A5521" s="10">
        <v>45695</v>
      </c>
      <c r="B5521" t="s" s="11">
        <v>8</v>
      </c>
      <c r="C5521" t="s" s="12">
        <v>8</v>
      </c>
      <c r="D5521" s="15" cm="1">
        <f t="array" ref="D5521">SUM(D5519:D5520)</f>
        <v>61100</v>
      </c>
      <c r="E5521" s="15" cm="1">
        <f t="array" ref="E5521">SUM(E5519:E5520)</f>
        <v>61100</v>
      </c>
      <c r="F5521" s="16" cm="1">
        <f t="array" ref="F5521">SUM(F5519:F5520)</f>
        <v>0</v>
      </c>
      <c r="G5521" s="16" cm="1">
        <f t="array" ref="G5521">SUM(G5519:G5520)</f>
        <v>0</v>
      </c>
      <c r="H5521" s="16" cm="1">
        <f t="array" ref="H5521">SUM(H5519:H5520)</f>
        <v>0</v>
      </c>
      <c r="I5521" s="16" cm="1">
        <f t="array" ref="I5521">SUM(I5519:I5520)</f>
        <v>0</v>
      </c>
    </row>
    <row r="5522" ht="20.35" customHeight="1">
      <c r="A5522" s="10">
        <v>45695</v>
      </c>
      <c r="B5522" t="s" s="11">
        <v>5</v>
      </c>
      <c r="C5522" t="s" s="12">
        <v>439</v>
      </c>
      <c r="D5522" s="17"/>
      <c r="E5522" s="17">
        <v>20000</v>
      </c>
      <c r="F5522" s="18"/>
      <c r="G5522" s="18"/>
      <c r="H5522" s="18"/>
      <c r="I5522" s="18"/>
    </row>
    <row r="5523" ht="20.35" customHeight="1">
      <c r="A5523" s="10">
        <v>45695</v>
      </c>
      <c r="B5523" t="s" s="11">
        <v>121</v>
      </c>
      <c r="C5523" t="s" s="12">
        <v>439</v>
      </c>
      <c r="D5523" s="13">
        <v>20000</v>
      </c>
      <c r="E5523" s="13"/>
      <c r="F5523" s="14"/>
      <c r="G5523" s="14"/>
      <c r="H5523" s="14"/>
      <c r="I5523" s="14"/>
    </row>
    <row r="5524" ht="20.7" customHeight="1">
      <c r="A5524" s="10">
        <v>45695</v>
      </c>
      <c r="B5524" t="s" s="11">
        <v>8</v>
      </c>
      <c r="C5524" t="s" s="12">
        <v>8</v>
      </c>
      <c r="D5524" s="15" cm="1">
        <f t="array" ref="D5524">SUM(D5522:D5523)</f>
        <v>20000</v>
      </c>
      <c r="E5524" s="15" cm="1">
        <f t="array" ref="E5524">SUM(E5522:E5523)</f>
        <v>20000</v>
      </c>
      <c r="F5524" s="16" cm="1">
        <f t="array" ref="F5524">SUM(F5522:F5523)</f>
        <v>0</v>
      </c>
      <c r="G5524" s="16" cm="1">
        <f t="array" ref="G5524">SUM(G5522:G5523)</f>
        <v>0</v>
      </c>
      <c r="H5524" s="16" cm="1">
        <f t="array" ref="H5524">SUM(H5522:H5523)</f>
        <v>0</v>
      </c>
      <c r="I5524" s="16" cm="1">
        <f t="array" ref="I5524">SUM(I5522:I5523)</f>
        <v>0</v>
      </c>
    </row>
    <row r="5525" ht="20.35" customHeight="1">
      <c r="A5525" s="10">
        <v>45695</v>
      </c>
      <c r="B5525" t="s" s="11">
        <v>121</v>
      </c>
      <c r="C5525" t="s" s="12">
        <v>96</v>
      </c>
      <c r="D5525" s="17"/>
      <c r="E5525" s="17">
        <v>20000</v>
      </c>
      <c r="F5525" s="18"/>
      <c r="G5525" s="18"/>
      <c r="H5525" s="18"/>
      <c r="I5525" s="18"/>
    </row>
    <row r="5526" ht="20.35" customHeight="1">
      <c r="A5526" s="10">
        <v>45695</v>
      </c>
      <c r="B5526" t="s" s="11">
        <v>5</v>
      </c>
      <c r="C5526" t="s" s="12">
        <v>96</v>
      </c>
      <c r="D5526" s="13">
        <v>20000</v>
      </c>
      <c r="E5526" s="13"/>
      <c r="F5526" s="14"/>
      <c r="G5526" s="14"/>
      <c r="H5526" s="14"/>
      <c r="I5526" s="14"/>
    </row>
    <row r="5527" ht="20.7" customHeight="1">
      <c r="A5527" s="10">
        <v>45695</v>
      </c>
      <c r="B5527" t="s" s="11">
        <v>8</v>
      </c>
      <c r="C5527" t="s" s="12">
        <v>8</v>
      </c>
      <c r="D5527" s="15" cm="1">
        <f t="array" ref="D5527">SUM(D5525:D5526)</f>
        <v>20000</v>
      </c>
      <c r="E5527" s="15" cm="1">
        <f t="array" ref="E5527">SUM(E5525:E5526)</f>
        <v>20000</v>
      </c>
      <c r="F5527" s="16" cm="1">
        <f t="array" ref="F5527">SUM(F5525:F5526)</f>
        <v>0</v>
      </c>
      <c r="G5527" s="16" cm="1">
        <f t="array" ref="G5527">SUM(G5525:G5526)</f>
        <v>0</v>
      </c>
      <c r="H5527" s="16" cm="1">
        <f t="array" ref="H5527">SUM(H5525:H5526)</f>
        <v>0</v>
      </c>
      <c r="I5527" s="16" cm="1">
        <f t="array" ref="I5527">SUM(I5525:I5526)</f>
        <v>0</v>
      </c>
    </row>
    <row r="5528" ht="20.35" customHeight="1">
      <c r="A5528" s="10">
        <v>45695</v>
      </c>
      <c r="B5528" t="s" s="11">
        <v>5</v>
      </c>
      <c r="C5528" t="s" s="12">
        <v>867</v>
      </c>
      <c r="D5528" s="17"/>
      <c r="E5528" s="17">
        <v>57209</v>
      </c>
      <c r="F5528" s="18"/>
      <c r="G5528" s="18"/>
      <c r="H5528" s="18"/>
      <c r="I5528" s="18"/>
    </row>
    <row r="5529" ht="20.35" customHeight="1">
      <c r="A5529" s="10">
        <v>45695</v>
      </c>
      <c r="B5529" t="s" s="11">
        <v>814</v>
      </c>
      <c r="C5529" t="s" s="12">
        <v>867</v>
      </c>
      <c r="D5529" s="13">
        <v>57209</v>
      </c>
      <c r="E5529" s="13"/>
      <c r="F5529" s="14"/>
      <c r="G5529" s="14"/>
      <c r="H5529" s="14"/>
      <c r="I5529" s="14"/>
    </row>
    <row r="5530" ht="20.7" customHeight="1">
      <c r="A5530" s="10">
        <v>45695</v>
      </c>
      <c r="B5530" t="s" s="11">
        <v>8</v>
      </c>
      <c r="C5530" t="s" s="12">
        <v>8</v>
      </c>
      <c r="D5530" s="15" cm="1">
        <f t="array" ref="D5530">SUM(D5528:D5529)</f>
        <v>57209</v>
      </c>
      <c r="E5530" s="15" cm="1">
        <f t="array" ref="E5530">SUM(E5528:E5529)</f>
        <v>57209</v>
      </c>
      <c r="F5530" s="16" cm="1">
        <f t="array" ref="F5530">SUM(F5528:F5529)</f>
        <v>0</v>
      </c>
      <c r="G5530" s="16" cm="1">
        <f t="array" ref="G5530">SUM(G5528:G5529)</f>
        <v>0</v>
      </c>
      <c r="H5530" s="16" cm="1">
        <f t="array" ref="H5530">SUM(H5528:H5529)</f>
        <v>0</v>
      </c>
      <c r="I5530" s="16" cm="1">
        <f t="array" ref="I5530">SUM(I5528:I5529)</f>
        <v>0</v>
      </c>
    </row>
    <row r="5531" ht="21.25" customHeight="1">
      <c r="A5531" s="10">
        <v>45695</v>
      </c>
      <c r="B5531" t="s" s="11">
        <v>21</v>
      </c>
      <c r="C5531" t="s" s="12">
        <v>868</v>
      </c>
      <c r="D5531" s="17"/>
      <c r="E5531" s="17">
        <v>3000</v>
      </c>
      <c r="F5531" s="18"/>
      <c r="G5531" s="18"/>
      <c r="H5531" s="18"/>
      <c r="I5531" s="18"/>
    </row>
    <row r="5532" ht="21.25" customHeight="1">
      <c r="A5532" s="10">
        <v>45695</v>
      </c>
      <c r="B5532" t="s" s="11">
        <v>16</v>
      </c>
      <c r="C5532" t="s" s="12">
        <v>868</v>
      </c>
      <c r="D5532" s="13">
        <v>3000</v>
      </c>
      <c r="E5532" s="13"/>
      <c r="F5532" s="14"/>
      <c r="G5532" s="14"/>
      <c r="H5532" s="14"/>
      <c r="I5532" s="14"/>
    </row>
    <row r="5533" ht="20.7" customHeight="1">
      <c r="A5533" s="10">
        <v>45695</v>
      </c>
      <c r="B5533" t="s" s="11">
        <v>8</v>
      </c>
      <c r="C5533" t="s" s="12">
        <v>8</v>
      </c>
      <c r="D5533" s="15" cm="1">
        <f t="array" ref="D5533">SUM(D5531:D5532)</f>
        <v>3000</v>
      </c>
      <c r="E5533" s="15" cm="1">
        <f t="array" ref="E5533">SUM(E5531:E5532)</f>
        <v>3000</v>
      </c>
      <c r="F5533" s="16" cm="1">
        <f t="array" ref="F5533">SUM(F5531:F5532)</f>
        <v>0</v>
      </c>
      <c r="G5533" s="16" cm="1">
        <f t="array" ref="G5533">SUM(G5531:G5532)</f>
        <v>0</v>
      </c>
      <c r="H5533" s="16" cm="1">
        <f t="array" ref="H5533">SUM(H5531:H5532)</f>
        <v>0</v>
      </c>
      <c r="I5533" s="16" cm="1">
        <f t="array" ref="I5533">SUM(I5531:I5532)</f>
        <v>0</v>
      </c>
    </row>
    <row r="5534" ht="20.65" customHeight="1">
      <c r="A5534" s="10">
        <v>45696</v>
      </c>
      <c r="B5534" t="s" s="11">
        <v>814</v>
      </c>
      <c r="C5534" t="s" s="12">
        <v>820</v>
      </c>
      <c r="D5534" s="17">
        <v>14</v>
      </c>
      <c r="E5534" s="17"/>
      <c r="F5534" s="18"/>
      <c r="G5534" s="18"/>
      <c r="H5534" s="18"/>
      <c r="I5534" s="18"/>
    </row>
    <row r="5535" ht="20.65" customHeight="1">
      <c r="A5535" s="10">
        <v>45696</v>
      </c>
      <c r="B5535" t="s" s="11">
        <v>91</v>
      </c>
      <c r="C5535" t="s" s="12">
        <v>820</v>
      </c>
      <c r="D5535" s="13"/>
      <c r="E5535" s="13">
        <v>14</v>
      </c>
      <c r="F5535" s="14"/>
      <c r="G5535" s="14"/>
      <c r="H5535" s="14"/>
      <c r="I5535" s="14"/>
    </row>
    <row r="5536" ht="20.7" customHeight="1">
      <c r="A5536" s="10">
        <v>45696</v>
      </c>
      <c r="B5536" t="s" s="11">
        <v>8</v>
      </c>
      <c r="C5536" t="s" s="12">
        <v>8</v>
      </c>
      <c r="D5536" s="15" cm="1">
        <f t="array" ref="D5536">SUM(D5534:D5535)</f>
        <v>14</v>
      </c>
      <c r="E5536" s="15" cm="1">
        <f t="array" ref="E5536">SUM(E5534:E5535)</f>
        <v>14</v>
      </c>
      <c r="F5536" s="16" cm="1">
        <f t="array" ref="F5536">SUM(F5534:F5535)</f>
        <v>0</v>
      </c>
      <c r="G5536" s="16" cm="1">
        <f t="array" ref="G5536">SUM(G5534:G5535)</f>
        <v>0</v>
      </c>
      <c r="H5536" s="16" cm="1">
        <f t="array" ref="H5536">SUM(H5534:H5535)</f>
        <v>0</v>
      </c>
      <c r="I5536" s="16" cm="1">
        <f t="array" ref="I5536">SUM(I5534:I5535)</f>
        <v>0</v>
      </c>
    </row>
    <row r="5537" ht="20.65" customHeight="1">
      <c r="A5537" s="10">
        <v>45696</v>
      </c>
      <c r="B5537" t="s" s="11">
        <v>843</v>
      </c>
      <c r="C5537" t="s" s="12">
        <v>820</v>
      </c>
      <c r="D5537" s="17">
        <v>16</v>
      </c>
      <c r="E5537" s="17"/>
      <c r="F5537" s="18"/>
      <c r="G5537" s="18"/>
      <c r="H5537" s="18"/>
      <c r="I5537" s="18"/>
    </row>
    <row r="5538" ht="20.65" customHeight="1">
      <c r="A5538" s="10">
        <v>45696</v>
      </c>
      <c r="B5538" t="s" s="11">
        <v>91</v>
      </c>
      <c r="C5538" t="s" s="12">
        <v>820</v>
      </c>
      <c r="D5538" s="13"/>
      <c r="E5538" s="13">
        <v>16</v>
      </c>
      <c r="F5538" s="14"/>
      <c r="G5538" s="14"/>
      <c r="H5538" s="14"/>
      <c r="I5538" s="14"/>
    </row>
    <row r="5539" ht="20.7" customHeight="1">
      <c r="A5539" s="10">
        <v>45696</v>
      </c>
      <c r="B5539" t="s" s="11">
        <v>8</v>
      </c>
      <c r="C5539" t="s" s="12">
        <v>8</v>
      </c>
      <c r="D5539" s="15" cm="1">
        <f t="array" ref="D5539">SUM(D5537:D5538)</f>
        <v>16</v>
      </c>
      <c r="E5539" s="15" cm="1">
        <f t="array" ref="E5539">SUM(E5537:E5538)</f>
        <v>16</v>
      </c>
      <c r="F5539" s="16" cm="1">
        <f t="array" ref="F5539">SUM(F5537:F5538)</f>
        <v>0</v>
      </c>
      <c r="G5539" s="16" cm="1">
        <f t="array" ref="G5539">SUM(G5537:G5538)</f>
        <v>0</v>
      </c>
      <c r="H5539" s="16" cm="1">
        <f t="array" ref="H5539">SUM(H5537:H5538)</f>
        <v>0</v>
      </c>
      <c r="I5539" s="16" cm="1">
        <f t="array" ref="I5539">SUM(I5537:I5538)</f>
        <v>0</v>
      </c>
    </row>
    <row r="5540" ht="20.35" customHeight="1">
      <c r="A5540" s="10">
        <v>45696</v>
      </c>
      <c r="B5540" t="s" s="11">
        <v>91</v>
      </c>
      <c r="C5540" t="s" s="12">
        <v>17</v>
      </c>
      <c r="D5540" s="17"/>
      <c r="E5540" s="17">
        <v>100</v>
      </c>
      <c r="F5540" s="18"/>
      <c r="G5540" s="18"/>
      <c r="H5540" s="18"/>
      <c r="I5540" s="18"/>
    </row>
    <row r="5541" ht="20.35" customHeight="1">
      <c r="A5541" s="10">
        <v>45696</v>
      </c>
      <c r="B5541" t="s" s="11">
        <v>5</v>
      </c>
      <c r="C5541" t="s" s="12">
        <v>17</v>
      </c>
      <c r="D5541" s="13">
        <v>100</v>
      </c>
      <c r="E5541" s="13"/>
      <c r="F5541" s="14"/>
      <c r="G5541" s="14"/>
      <c r="H5541" s="14"/>
      <c r="I5541" s="14"/>
    </row>
    <row r="5542" ht="20.7" customHeight="1">
      <c r="A5542" s="10">
        <v>45696</v>
      </c>
      <c r="B5542" t="s" s="11">
        <v>8</v>
      </c>
      <c r="C5542" t="s" s="12">
        <v>8</v>
      </c>
      <c r="D5542" s="15" cm="1">
        <f t="array" ref="D5542">SUM(D5540:D5541)</f>
        <v>100</v>
      </c>
      <c r="E5542" s="15" cm="1">
        <f t="array" ref="E5542">SUM(E5540:E5541)</f>
        <v>100</v>
      </c>
      <c r="F5542" s="16" cm="1">
        <f t="array" ref="F5542">SUM(F5540:F5541)</f>
        <v>0</v>
      </c>
      <c r="G5542" s="16" cm="1">
        <f t="array" ref="G5542">SUM(G5540:G5541)</f>
        <v>0</v>
      </c>
      <c r="H5542" s="16" cm="1">
        <f t="array" ref="H5542">SUM(H5540:H5541)</f>
        <v>0</v>
      </c>
      <c r="I5542" s="16" cm="1">
        <f t="array" ref="I5542">SUM(I5540:I5541)</f>
        <v>0</v>
      </c>
    </row>
    <row r="5543" ht="20.35" customHeight="1">
      <c r="A5543" s="10">
        <v>45696</v>
      </c>
      <c r="B5543" t="s" s="11">
        <v>5</v>
      </c>
      <c r="C5543" t="s" s="12">
        <v>869</v>
      </c>
      <c r="D5543" s="17"/>
      <c r="E5543" s="17">
        <v>3840</v>
      </c>
      <c r="F5543" s="18"/>
      <c r="G5543" s="18"/>
      <c r="H5543" s="18"/>
      <c r="I5543" s="18"/>
    </row>
    <row r="5544" ht="20.35" customHeight="1">
      <c r="A5544" s="10">
        <v>45696</v>
      </c>
      <c r="B5544" t="s" s="11">
        <v>12</v>
      </c>
      <c r="C5544" t="s" s="12">
        <v>869</v>
      </c>
      <c r="D5544" s="13">
        <v>3840</v>
      </c>
      <c r="E5544" s="13"/>
      <c r="F5544" s="14"/>
      <c r="G5544" s="14"/>
      <c r="H5544" s="14"/>
      <c r="I5544" s="14"/>
    </row>
    <row r="5545" ht="20.7" customHeight="1">
      <c r="A5545" s="10">
        <v>45696</v>
      </c>
      <c r="B5545" t="s" s="11">
        <v>8</v>
      </c>
      <c r="C5545" t="s" s="12">
        <v>8</v>
      </c>
      <c r="D5545" s="15" cm="1">
        <f t="array" ref="D5545">SUM(D5543:D5544)</f>
        <v>3840</v>
      </c>
      <c r="E5545" s="15" cm="1">
        <f t="array" ref="E5545">SUM(E5543:E5544)</f>
        <v>3840</v>
      </c>
      <c r="F5545" s="16" cm="1">
        <f t="array" ref="F5545">SUM(F5543:F5544)</f>
        <v>0</v>
      </c>
      <c r="G5545" s="16" cm="1">
        <f t="array" ref="G5545">SUM(G5543:G5544)</f>
        <v>0</v>
      </c>
      <c r="H5545" s="16" cm="1">
        <f t="array" ref="H5545">SUM(H5543:H5544)</f>
        <v>0</v>
      </c>
      <c r="I5545" s="16" cm="1">
        <f t="array" ref="I5545">SUM(I5543:I5544)</f>
        <v>0</v>
      </c>
    </row>
    <row r="5546" ht="20.35" customHeight="1">
      <c r="A5546" s="10">
        <v>45696</v>
      </c>
      <c r="B5546" t="s" s="11">
        <v>5</v>
      </c>
      <c r="C5546" t="s" s="12">
        <v>53</v>
      </c>
      <c r="D5546" s="17"/>
      <c r="E5546" s="17">
        <v>10760</v>
      </c>
      <c r="F5546" s="18"/>
      <c r="G5546" s="18"/>
      <c r="H5546" s="18"/>
      <c r="I5546" s="18"/>
    </row>
    <row r="5547" ht="20.35" customHeight="1">
      <c r="A5547" s="10">
        <v>45696</v>
      </c>
      <c r="B5547" t="s" s="11">
        <v>12</v>
      </c>
      <c r="C5547" t="s" s="12">
        <v>53</v>
      </c>
      <c r="D5547" s="13">
        <v>10760</v>
      </c>
      <c r="E5547" s="13"/>
      <c r="F5547" s="14"/>
      <c r="G5547" s="14"/>
      <c r="H5547" s="14"/>
      <c r="I5547" s="14"/>
    </row>
    <row r="5548" ht="20.7" customHeight="1">
      <c r="A5548" s="10">
        <v>45696</v>
      </c>
      <c r="B5548" t="s" s="11">
        <v>8</v>
      </c>
      <c r="C5548" t="s" s="12">
        <v>8</v>
      </c>
      <c r="D5548" s="15" cm="1">
        <f t="array" ref="D5548">SUM(D5546:D5547)</f>
        <v>10760</v>
      </c>
      <c r="E5548" s="15" cm="1">
        <f t="array" ref="E5548">SUM(E5546:E5547)</f>
        <v>10760</v>
      </c>
      <c r="F5548" s="16" cm="1">
        <f t="array" ref="F5548">SUM(F5546:F5547)</f>
        <v>0</v>
      </c>
      <c r="G5548" s="16" cm="1">
        <f t="array" ref="G5548">SUM(G5546:G5547)</f>
        <v>0</v>
      </c>
      <c r="H5548" s="16" cm="1">
        <f t="array" ref="H5548">SUM(H5546:H5547)</f>
        <v>0</v>
      </c>
      <c r="I5548" s="16" cm="1">
        <f t="array" ref="I5548">SUM(I5546:I5547)</f>
        <v>0</v>
      </c>
    </row>
    <row r="5549" ht="20.35" customHeight="1">
      <c r="A5549" s="10">
        <v>45696</v>
      </c>
      <c r="B5549" t="s" s="11">
        <v>91</v>
      </c>
      <c r="C5549" t="s" s="12">
        <v>17</v>
      </c>
      <c r="D5549" s="17"/>
      <c r="E5549" s="17">
        <v>500</v>
      </c>
      <c r="F5549" s="18"/>
      <c r="G5549" s="18"/>
      <c r="H5549" s="18"/>
      <c r="I5549" s="18"/>
    </row>
    <row r="5550" ht="20.35" customHeight="1">
      <c r="A5550" s="10">
        <v>45696</v>
      </c>
      <c r="B5550" t="s" s="11">
        <v>5</v>
      </c>
      <c r="C5550" t="s" s="12">
        <v>17</v>
      </c>
      <c r="D5550" s="13">
        <v>500</v>
      </c>
      <c r="E5550" s="13"/>
      <c r="F5550" s="14"/>
      <c r="G5550" s="14"/>
      <c r="H5550" s="14"/>
      <c r="I5550" s="14"/>
    </row>
    <row r="5551" ht="20.7" customHeight="1">
      <c r="A5551" s="10">
        <v>45696</v>
      </c>
      <c r="B5551" t="s" s="11">
        <v>8</v>
      </c>
      <c r="C5551" t="s" s="12">
        <v>8</v>
      </c>
      <c r="D5551" s="15" cm="1">
        <f t="array" ref="D5551">SUM(D5549:D5550)</f>
        <v>500</v>
      </c>
      <c r="E5551" s="15" cm="1">
        <f t="array" ref="E5551">SUM(E5549:E5550)</f>
        <v>500</v>
      </c>
      <c r="F5551" s="16" cm="1">
        <f t="array" ref="F5551">SUM(F5549:F5550)</f>
        <v>0</v>
      </c>
      <c r="G5551" s="16" cm="1">
        <f t="array" ref="G5551">SUM(G5549:G5550)</f>
        <v>0</v>
      </c>
      <c r="H5551" s="16" cm="1">
        <f t="array" ref="H5551">SUM(H5549:H5550)</f>
        <v>0</v>
      </c>
      <c r="I5551" s="16" cm="1">
        <f t="array" ref="I5551">SUM(I5549:I5550)</f>
        <v>0</v>
      </c>
    </row>
    <row r="5552" ht="21.25" customHeight="1">
      <c r="A5552" s="10">
        <v>45696</v>
      </c>
      <c r="B5552" t="s" s="11">
        <v>5</v>
      </c>
      <c r="C5552" t="s" s="12">
        <v>799</v>
      </c>
      <c r="D5552" s="17">
        <v>2</v>
      </c>
      <c r="E5552" s="17"/>
      <c r="F5552" s="18"/>
      <c r="G5552" s="18"/>
      <c r="H5552" s="18"/>
      <c r="I5552" s="18"/>
    </row>
    <row r="5553" ht="21.25" customHeight="1">
      <c r="A5553" s="10">
        <v>45696</v>
      </c>
      <c r="B5553" t="s" s="11">
        <v>91</v>
      </c>
      <c r="C5553" t="s" s="12">
        <v>799</v>
      </c>
      <c r="D5553" s="13"/>
      <c r="E5553" s="13">
        <v>2</v>
      </c>
      <c r="F5553" s="14"/>
      <c r="G5553" s="14"/>
      <c r="H5553" s="14"/>
      <c r="I5553" s="14"/>
    </row>
    <row r="5554" ht="20.7" customHeight="1">
      <c r="A5554" s="10">
        <v>45696</v>
      </c>
      <c r="B5554" t="s" s="11">
        <v>8</v>
      </c>
      <c r="C5554" t="s" s="12">
        <v>8</v>
      </c>
      <c r="D5554" s="15" cm="1">
        <f t="array" ref="D5554">SUM(D5552:D5553)</f>
        <v>2</v>
      </c>
      <c r="E5554" s="15" cm="1">
        <f t="array" ref="E5554">SUM(E5552:E5553)</f>
        <v>2</v>
      </c>
      <c r="F5554" s="16" cm="1">
        <f t="array" ref="F5554">SUM(F5552:F5553)</f>
        <v>0</v>
      </c>
      <c r="G5554" s="16" cm="1">
        <f t="array" ref="G5554">SUM(G5552:G5553)</f>
        <v>0</v>
      </c>
      <c r="H5554" s="16" cm="1">
        <f t="array" ref="H5554">SUM(H5552:H5553)</f>
        <v>0</v>
      </c>
      <c r="I5554" s="16" cm="1">
        <f t="array" ref="I5554">SUM(I5552:I5553)</f>
        <v>0</v>
      </c>
    </row>
    <row r="5555" ht="21.25" customHeight="1">
      <c r="A5555" s="10">
        <v>45696</v>
      </c>
      <c r="B5555" t="s" s="11">
        <v>5</v>
      </c>
      <c r="C5555" t="s" s="12">
        <v>870</v>
      </c>
      <c r="D5555" s="17"/>
      <c r="E5555" s="17">
        <v>603</v>
      </c>
      <c r="F5555" s="18"/>
      <c r="G5555" s="18"/>
      <c r="H5555" s="18"/>
      <c r="I5555" s="18"/>
    </row>
    <row r="5556" ht="21.25" customHeight="1">
      <c r="A5556" s="10">
        <v>45696</v>
      </c>
      <c r="B5556" t="s" s="11">
        <v>814</v>
      </c>
      <c r="C5556" t="s" s="12">
        <v>870</v>
      </c>
      <c r="D5556" s="13">
        <v>603</v>
      </c>
      <c r="E5556" s="13"/>
      <c r="F5556" s="14"/>
      <c r="G5556" s="14"/>
      <c r="H5556" s="14"/>
      <c r="I5556" s="14"/>
    </row>
    <row r="5557" ht="20.7" customHeight="1">
      <c r="A5557" s="10">
        <v>45696</v>
      </c>
      <c r="B5557" t="s" s="11">
        <v>8</v>
      </c>
      <c r="C5557" t="s" s="12">
        <v>8</v>
      </c>
      <c r="D5557" s="15" cm="1">
        <f t="array" ref="D5557">SUM(D5555:D5556)</f>
        <v>603</v>
      </c>
      <c r="E5557" s="15" cm="1">
        <f t="array" ref="E5557">SUM(E5555:E5556)</f>
        <v>603</v>
      </c>
      <c r="F5557" s="16" cm="1">
        <f t="array" ref="F5557">SUM(F5555:F5556)</f>
        <v>0</v>
      </c>
      <c r="G5557" s="16" cm="1">
        <f t="array" ref="G5557">SUM(G5555:G5556)</f>
        <v>0</v>
      </c>
      <c r="H5557" s="16" cm="1">
        <f t="array" ref="H5557">SUM(H5555:H5556)</f>
        <v>0</v>
      </c>
      <c r="I5557" s="16" cm="1">
        <f t="array" ref="I5557">SUM(I5555:I5556)</f>
        <v>0</v>
      </c>
    </row>
    <row r="5558" ht="20.65" customHeight="1">
      <c r="A5558" s="10">
        <v>45697</v>
      </c>
      <c r="B5558" t="s" s="11">
        <v>814</v>
      </c>
      <c r="C5558" t="s" s="12">
        <v>820</v>
      </c>
      <c r="D5558" s="17">
        <v>14</v>
      </c>
      <c r="E5558" s="17"/>
      <c r="F5558" s="18"/>
      <c r="G5558" s="18"/>
      <c r="H5558" s="18"/>
      <c r="I5558" s="18"/>
    </row>
    <row r="5559" ht="20.65" customHeight="1">
      <c r="A5559" s="10">
        <v>45697</v>
      </c>
      <c r="B5559" t="s" s="11">
        <v>91</v>
      </c>
      <c r="C5559" t="s" s="12">
        <v>820</v>
      </c>
      <c r="D5559" s="13"/>
      <c r="E5559" s="13">
        <v>14</v>
      </c>
      <c r="F5559" s="14"/>
      <c r="G5559" s="14"/>
      <c r="H5559" s="14"/>
      <c r="I5559" s="14"/>
    </row>
    <row r="5560" ht="20.7" customHeight="1">
      <c r="A5560" s="10">
        <v>45697</v>
      </c>
      <c r="B5560" t="s" s="11">
        <v>8</v>
      </c>
      <c r="C5560" t="s" s="12">
        <v>8</v>
      </c>
      <c r="D5560" s="15" cm="1">
        <f t="array" ref="D5560">SUM(D5558:D5559)</f>
        <v>14</v>
      </c>
      <c r="E5560" s="15" cm="1">
        <f t="array" ref="E5560">SUM(E5558:E5559)</f>
        <v>14</v>
      </c>
      <c r="F5560" s="16" cm="1">
        <f t="array" ref="F5560">SUM(F5558:F5559)</f>
        <v>0</v>
      </c>
      <c r="G5560" s="16" cm="1">
        <f t="array" ref="G5560">SUM(G5558:G5559)</f>
        <v>0</v>
      </c>
      <c r="H5560" s="16" cm="1">
        <f t="array" ref="H5560">SUM(H5558:H5559)</f>
        <v>0</v>
      </c>
      <c r="I5560" s="16" cm="1">
        <f t="array" ref="I5560">SUM(I5558:I5559)</f>
        <v>0</v>
      </c>
    </row>
    <row r="5561" ht="20.65" customHeight="1">
      <c r="A5561" s="10">
        <v>45697</v>
      </c>
      <c r="B5561" t="s" s="11">
        <v>843</v>
      </c>
      <c r="C5561" t="s" s="12">
        <v>820</v>
      </c>
      <c r="D5561" s="17">
        <v>16</v>
      </c>
      <c r="E5561" s="17"/>
      <c r="F5561" s="18"/>
      <c r="G5561" s="18"/>
      <c r="H5561" s="18"/>
      <c r="I5561" s="18"/>
    </row>
    <row r="5562" ht="20.65" customHeight="1">
      <c r="A5562" s="10">
        <v>45697</v>
      </c>
      <c r="B5562" t="s" s="11">
        <v>91</v>
      </c>
      <c r="C5562" t="s" s="12">
        <v>820</v>
      </c>
      <c r="D5562" s="13"/>
      <c r="E5562" s="13">
        <v>16</v>
      </c>
      <c r="F5562" s="14"/>
      <c r="G5562" s="14"/>
      <c r="H5562" s="14"/>
      <c r="I5562" s="14"/>
    </row>
    <row r="5563" ht="20.7" customHeight="1">
      <c r="A5563" s="10">
        <v>45697</v>
      </c>
      <c r="B5563" t="s" s="11">
        <v>8</v>
      </c>
      <c r="C5563" t="s" s="12">
        <v>8</v>
      </c>
      <c r="D5563" s="15" cm="1">
        <f t="array" ref="D5563">SUM(D5561:D5562)</f>
        <v>16</v>
      </c>
      <c r="E5563" s="15" cm="1">
        <f t="array" ref="E5563">SUM(E5561:E5562)</f>
        <v>16</v>
      </c>
      <c r="F5563" s="16" cm="1">
        <f t="array" ref="F5563">SUM(F5561:F5562)</f>
        <v>0</v>
      </c>
      <c r="G5563" s="16" cm="1">
        <f t="array" ref="G5563">SUM(G5561:G5562)</f>
        <v>0</v>
      </c>
      <c r="H5563" s="16" cm="1">
        <f t="array" ref="H5563">SUM(H5561:H5562)</f>
        <v>0</v>
      </c>
      <c r="I5563" s="16" cm="1">
        <f t="array" ref="I5563">SUM(I5561:I5562)</f>
        <v>0</v>
      </c>
    </row>
    <row r="5564" ht="20.35" customHeight="1">
      <c r="A5564" s="10">
        <v>45697</v>
      </c>
      <c r="B5564" t="s" s="11">
        <v>5</v>
      </c>
      <c r="C5564" t="s" s="12">
        <v>53</v>
      </c>
      <c r="D5564" s="17"/>
      <c r="E5564" s="17">
        <v>2390</v>
      </c>
      <c r="F5564" s="18"/>
      <c r="G5564" s="18"/>
      <c r="H5564" s="18"/>
      <c r="I5564" s="18"/>
    </row>
    <row r="5565" ht="20.35" customHeight="1">
      <c r="A5565" s="10">
        <v>45697</v>
      </c>
      <c r="B5565" t="s" s="11">
        <v>12</v>
      </c>
      <c r="C5565" t="s" s="12">
        <v>53</v>
      </c>
      <c r="D5565" s="13">
        <v>2390</v>
      </c>
      <c r="E5565" s="13"/>
      <c r="F5565" s="14"/>
      <c r="G5565" s="14"/>
      <c r="H5565" s="14"/>
      <c r="I5565" s="14"/>
    </row>
    <row r="5566" ht="20.7" customHeight="1">
      <c r="A5566" s="10">
        <v>45697</v>
      </c>
      <c r="B5566" t="s" s="11">
        <v>8</v>
      </c>
      <c r="C5566" t="s" s="12">
        <v>8</v>
      </c>
      <c r="D5566" s="15" cm="1">
        <f t="array" ref="D5566">SUM(D5564:D5565)</f>
        <v>2390</v>
      </c>
      <c r="E5566" s="15" cm="1">
        <f t="array" ref="E5566">SUM(E5564:E5565)</f>
        <v>2390</v>
      </c>
      <c r="F5566" s="16" cm="1">
        <f t="array" ref="F5566">SUM(F5564:F5565)</f>
        <v>0</v>
      </c>
      <c r="G5566" s="16" cm="1">
        <f t="array" ref="G5566">SUM(G5564:G5565)</f>
        <v>0</v>
      </c>
      <c r="H5566" s="16" cm="1">
        <f t="array" ref="H5566">SUM(H5564:H5565)</f>
        <v>0</v>
      </c>
      <c r="I5566" s="16" cm="1">
        <f t="array" ref="I5566">SUM(I5564:I5565)</f>
        <v>0</v>
      </c>
    </row>
    <row r="5567" ht="21.25" customHeight="1">
      <c r="A5567" s="10">
        <v>45697</v>
      </c>
      <c r="B5567" t="s" s="11">
        <v>5</v>
      </c>
      <c r="C5567" t="s" s="12">
        <v>799</v>
      </c>
      <c r="D5567" s="17">
        <v>1</v>
      </c>
      <c r="E5567" s="17"/>
      <c r="F5567" s="18"/>
      <c r="G5567" s="18"/>
      <c r="H5567" s="18"/>
      <c r="I5567" s="18"/>
    </row>
    <row r="5568" ht="21.25" customHeight="1">
      <c r="A5568" s="10">
        <v>45697</v>
      </c>
      <c r="B5568" t="s" s="11">
        <v>91</v>
      </c>
      <c r="C5568" t="s" s="12">
        <v>799</v>
      </c>
      <c r="D5568" s="13"/>
      <c r="E5568" s="13">
        <v>1</v>
      </c>
      <c r="F5568" s="14"/>
      <c r="G5568" s="14"/>
      <c r="H5568" s="14"/>
      <c r="I5568" s="14"/>
    </row>
    <row r="5569" ht="20.7" customHeight="1">
      <c r="A5569" s="10">
        <v>45697</v>
      </c>
      <c r="B5569" t="s" s="11">
        <v>8</v>
      </c>
      <c r="C5569" t="s" s="12">
        <v>8</v>
      </c>
      <c r="D5569" s="15" cm="1">
        <f t="array" ref="D5569">SUM(D5567:D5568)</f>
        <v>1</v>
      </c>
      <c r="E5569" s="15" cm="1">
        <f t="array" ref="E5569">SUM(E5567:E5568)</f>
        <v>1</v>
      </c>
      <c r="F5569" s="16" cm="1">
        <f t="array" ref="F5569">SUM(F5567:F5568)</f>
        <v>0</v>
      </c>
      <c r="G5569" s="16" cm="1">
        <f t="array" ref="G5569">SUM(G5567:G5568)</f>
        <v>0</v>
      </c>
      <c r="H5569" s="16" cm="1">
        <f t="array" ref="H5569">SUM(H5567:H5568)</f>
        <v>0</v>
      </c>
      <c r="I5569" s="16" cm="1">
        <f t="array" ref="I5569">SUM(I5567:I5568)</f>
        <v>0</v>
      </c>
    </row>
    <row r="5570" ht="21.25" customHeight="1">
      <c r="A5570" s="10">
        <v>45697</v>
      </c>
      <c r="B5570" t="s" s="11">
        <v>5</v>
      </c>
      <c r="C5570" t="s" s="12">
        <v>870</v>
      </c>
      <c r="D5570" s="17"/>
      <c r="E5570" s="17">
        <v>1</v>
      </c>
      <c r="F5570" s="18"/>
      <c r="G5570" s="18"/>
      <c r="H5570" s="18"/>
      <c r="I5570" s="18"/>
    </row>
    <row r="5571" ht="21.25" customHeight="1">
      <c r="A5571" s="10">
        <v>45697</v>
      </c>
      <c r="B5571" t="s" s="11">
        <v>814</v>
      </c>
      <c r="C5571" t="s" s="12">
        <v>870</v>
      </c>
      <c r="D5571" s="13">
        <v>1</v>
      </c>
      <c r="E5571" s="13"/>
      <c r="F5571" s="14"/>
      <c r="G5571" s="14"/>
      <c r="H5571" s="14"/>
      <c r="I5571" s="14"/>
    </row>
    <row r="5572" ht="20.7" customHeight="1">
      <c r="A5572" s="10">
        <v>45697</v>
      </c>
      <c r="B5572" t="s" s="11">
        <v>8</v>
      </c>
      <c r="C5572" t="s" s="12">
        <v>8</v>
      </c>
      <c r="D5572" s="15" cm="1">
        <f t="array" ref="D5572">SUM(D5570:D5571)</f>
        <v>1</v>
      </c>
      <c r="E5572" s="15" cm="1">
        <f t="array" ref="E5572">SUM(E5570:E5571)</f>
        <v>1</v>
      </c>
      <c r="F5572" s="16" cm="1">
        <f t="array" ref="F5572">SUM(F5570:F5571)</f>
        <v>0</v>
      </c>
      <c r="G5572" s="16" cm="1">
        <f t="array" ref="G5572">SUM(G5570:G5571)</f>
        <v>0</v>
      </c>
      <c r="H5572" s="16" cm="1">
        <f t="array" ref="H5572">SUM(H5570:H5571)</f>
        <v>0</v>
      </c>
      <c r="I5572" s="16" cm="1">
        <f t="array" ref="I5572">SUM(I5570:I5571)</f>
        <v>0</v>
      </c>
    </row>
    <row r="5573" ht="21.25" customHeight="1">
      <c r="A5573" s="10">
        <v>45697</v>
      </c>
      <c r="B5573" t="s" s="11">
        <v>814</v>
      </c>
      <c r="C5573" t="s" s="12">
        <v>871</v>
      </c>
      <c r="D5573" s="17"/>
      <c r="E5573" s="17">
        <v>40491</v>
      </c>
      <c r="F5573" s="18"/>
      <c r="G5573" s="18"/>
      <c r="H5573" s="18"/>
      <c r="I5573" s="18"/>
    </row>
    <row r="5574" ht="21.25" customHeight="1">
      <c r="A5574" s="10">
        <v>45697</v>
      </c>
      <c r="B5574" t="s" s="11">
        <v>5</v>
      </c>
      <c r="C5574" t="s" s="12">
        <v>871</v>
      </c>
      <c r="D5574" s="13">
        <v>40491</v>
      </c>
      <c r="E5574" s="13"/>
      <c r="F5574" s="14"/>
      <c r="G5574" s="14"/>
      <c r="H5574" s="14"/>
      <c r="I5574" s="14"/>
    </row>
    <row r="5575" ht="20.7" customHeight="1">
      <c r="A5575" s="10">
        <v>45697</v>
      </c>
      <c r="B5575" t="s" s="11">
        <v>8</v>
      </c>
      <c r="C5575" t="s" s="12">
        <v>8</v>
      </c>
      <c r="D5575" s="15" cm="1">
        <f t="array" ref="D5575">SUM(D5573:D5574)</f>
        <v>40491</v>
      </c>
      <c r="E5575" s="15" cm="1">
        <f t="array" ref="E5575">SUM(E5573:E5574)</f>
        <v>40491</v>
      </c>
      <c r="F5575" s="16" cm="1">
        <f t="array" ref="F5575">SUM(F5573:F5574)</f>
        <v>0</v>
      </c>
      <c r="G5575" s="16" cm="1">
        <f t="array" ref="G5575">SUM(G5573:G5574)</f>
        <v>0</v>
      </c>
      <c r="H5575" s="16" cm="1">
        <f t="array" ref="H5575">SUM(H5573:H5574)</f>
        <v>0</v>
      </c>
      <c r="I5575" s="16" cm="1">
        <f t="array" ref="I5575">SUM(I5573:I5574)</f>
        <v>0</v>
      </c>
    </row>
    <row r="5576" ht="20.65" customHeight="1">
      <c r="A5576" s="10">
        <v>45697</v>
      </c>
      <c r="B5576" t="s" s="11">
        <v>5</v>
      </c>
      <c r="C5576" t="s" s="12">
        <v>721</v>
      </c>
      <c r="D5576" s="17"/>
      <c r="E5576" s="17">
        <v>23500</v>
      </c>
      <c r="F5576" s="18"/>
      <c r="G5576" s="18"/>
      <c r="H5576" s="18"/>
      <c r="I5576" s="18"/>
    </row>
    <row r="5577" ht="20.65" customHeight="1">
      <c r="A5577" s="10">
        <v>45697</v>
      </c>
      <c r="B5577" t="s" s="11">
        <v>12</v>
      </c>
      <c r="C5577" t="s" s="12">
        <v>721</v>
      </c>
      <c r="D5577" s="13">
        <v>23500</v>
      </c>
      <c r="E5577" s="13"/>
      <c r="F5577" s="14"/>
      <c r="G5577" s="14"/>
      <c r="H5577" s="14"/>
      <c r="I5577" s="14"/>
    </row>
    <row r="5578" ht="20.7" customHeight="1">
      <c r="A5578" s="10">
        <v>45697</v>
      </c>
      <c r="B5578" t="s" s="11">
        <v>8</v>
      </c>
      <c r="C5578" t="s" s="12">
        <v>8</v>
      </c>
      <c r="D5578" s="15" cm="1">
        <f t="array" ref="D5578">SUM(D5576:D5577)</f>
        <v>23500</v>
      </c>
      <c r="E5578" s="15" cm="1">
        <f t="array" ref="E5578">SUM(E5576:E5577)</f>
        <v>23500</v>
      </c>
      <c r="F5578" s="16" cm="1">
        <f t="array" ref="F5578">SUM(F5576:F5577)</f>
        <v>0</v>
      </c>
      <c r="G5578" s="16" cm="1">
        <f t="array" ref="G5578">SUM(G5576:G5577)</f>
        <v>0</v>
      </c>
      <c r="H5578" s="16" cm="1">
        <f t="array" ref="H5578">SUM(H5576:H5577)</f>
        <v>0</v>
      </c>
      <c r="I5578" s="16" cm="1">
        <f t="array" ref="I5578">SUM(I5576:I5577)</f>
        <v>0</v>
      </c>
    </row>
    <row r="5579" ht="21.25" customHeight="1">
      <c r="A5579" s="10">
        <v>45697</v>
      </c>
      <c r="B5579" t="s" s="11">
        <v>5</v>
      </c>
      <c r="C5579" t="s" s="12">
        <v>799</v>
      </c>
      <c r="D5579" s="17">
        <v>3</v>
      </c>
      <c r="E5579" s="17"/>
      <c r="F5579" s="18"/>
      <c r="G5579" s="18"/>
      <c r="H5579" s="18"/>
      <c r="I5579" s="18"/>
    </row>
    <row r="5580" ht="21.25" customHeight="1">
      <c r="A5580" s="10">
        <v>45697</v>
      </c>
      <c r="B5580" t="s" s="11">
        <v>91</v>
      </c>
      <c r="C5580" t="s" s="12">
        <v>799</v>
      </c>
      <c r="D5580" s="13"/>
      <c r="E5580" s="13">
        <v>3</v>
      </c>
      <c r="F5580" s="14"/>
      <c r="G5580" s="14"/>
      <c r="H5580" s="14"/>
      <c r="I5580" s="14"/>
    </row>
    <row r="5581" ht="20.7" customHeight="1">
      <c r="A5581" s="10">
        <v>45697</v>
      </c>
      <c r="B5581" t="s" s="11">
        <v>8</v>
      </c>
      <c r="C5581" t="s" s="12">
        <v>8</v>
      </c>
      <c r="D5581" s="15" cm="1">
        <f t="array" ref="D5581">SUM(D5579:D5580)</f>
        <v>3</v>
      </c>
      <c r="E5581" s="15" cm="1">
        <f t="array" ref="E5581">SUM(E5579:E5580)</f>
        <v>3</v>
      </c>
      <c r="F5581" s="16" cm="1">
        <f t="array" ref="F5581">SUM(F5579:F5580)</f>
        <v>0</v>
      </c>
      <c r="G5581" s="16" cm="1">
        <f t="array" ref="G5581">SUM(G5579:G5580)</f>
        <v>0</v>
      </c>
      <c r="H5581" s="16" cm="1">
        <f t="array" ref="H5581">SUM(H5579:H5580)</f>
        <v>0</v>
      </c>
      <c r="I5581" s="16" cm="1">
        <f t="array" ref="I5581">SUM(I5579:I5580)</f>
        <v>0</v>
      </c>
    </row>
    <row r="5582" ht="21.25" customHeight="1">
      <c r="A5582" s="10">
        <v>45698</v>
      </c>
      <c r="B5582" t="s" s="11">
        <v>5</v>
      </c>
      <c r="C5582" t="s" s="12">
        <v>870</v>
      </c>
      <c r="D5582" s="17"/>
      <c r="E5582" s="17">
        <v>3</v>
      </c>
      <c r="F5582" s="18"/>
      <c r="G5582" s="18"/>
      <c r="H5582" s="18"/>
      <c r="I5582" s="18"/>
    </row>
    <row r="5583" ht="21.25" customHeight="1">
      <c r="A5583" s="10">
        <v>45698</v>
      </c>
      <c r="B5583" t="s" s="11">
        <v>814</v>
      </c>
      <c r="C5583" t="s" s="12">
        <v>870</v>
      </c>
      <c r="D5583" s="13">
        <v>3</v>
      </c>
      <c r="E5583" s="13"/>
      <c r="F5583" s="14"/>
      <c r="G5583" s="14"/>
      <c r="H5583" s="14"/>
      <c r="I5583" s="14"/>
    </row>
    <row r="5584" ht="20.7" customHeight="1">
      <c r="A5584" s="10">
        <v>45698</v>
      </c>
      <c r="B5584" t="s" s="11">
        <v>8</v>
      </c>
      <c r="C5584" t="s" s="12">
        <v>8</v>
      </c>
      <c r="D5584" s="15" cm="1">
        <f t="array" ref="D5584">SUM(D5582:D5583)</f>
        <v>3</v>
      </c>
      <c r="E5584" s="15" cm="1">
        <f t="array" ref="E5584">SUM(E5582:E5583)</f>
        <v>3</v>
      </c>
      <c r="F5584" s="16" cm="1">
        <f t="array" ref="F5584">SUM(F5582:F5583)</f>
        <v>0</v>
      </c>
      <c r="G5584" s="16" cm="1">
        <f t="array" ref="G5584">SUM(G5582:G5583)</f>
        <v>0</v>
      </c>
      <c r="H5584" s="16" cm="1">
        <f t="array" ref="H5584">SUM(H5582:H5583)</f>
        <v>0</v>
      </c>
      <c r="I5584" s="16" cm="1">
        <f t="array" ref="I5584">SUM(I5582:I5583)</f>
        <v>0</v>
      </c>
    </row>
    <row r="5585" ht="20.65" customHeight="1">
      <c r="A5585" s="10">
        <v>45698</v>
      </c>
      <c r="B5585" t="s" s="11">
        <v>814</v>
      </c>
      <c r="C5585" t="s" s="12">
        <v>820</v>
      </c>
      <c r="D5585" s="17">
        <v>12</v>
      </c>
      <c r="E5585" s="17"/>
      <c r="F5585" s="18"/>
      <c r="G5585" s="18"/>
      <c r="H5585" s="18"/>
      <c r="I5585" s="18"/>
    </row>
    <row r="5586" ht="20.65" customHeight="1">
      <c r="A5586" s="10">
        <v>45698</v>
      </c>
      <c r="B5586" t="s" s="11">
        <v>91</v>
      </c>
      <c r="C5586" t="s" s="12">
        <v>820</v>
      </c>
      <c r="D5586" s="13"/>
      <c r="E5586" s="13">
        <v>12</v>
      </c>
      <c r="F5586" s="14"/>
      <c r="G5586" s="14"/>
      <c r="H5586" s="14"/>
      <c r="I5586" s="14"/>
    </row>
    <row r="5587" ht="20.7" customHeight="1">
      <c r="A5587" s="10">
        <v>45698</v>
      </c>
      <c r="B5587" t="s" s="11">
        <v>8</v>
      </c>
      <c r="C5587" t="s" s="12">
        <v>8</v>
      </c>
      <c r="D5587" s="15" cm="1">
        <f t="array" ref="D5587">SUM(D5585:D5586)</f>
        <v>12</v>
      </c>
      <c r="E5587" s="15" cm="1">
        <f t="array" ref="E5587">SUM(E5585:E5586)</f>
        <v>12</v>
      </c>
      <c r="F5587" s="16" cm="1">
        <f t="array" ref="F5587">SUM(F5585:F5586)</f>
        <v>0</v>
      </c>
      <c r="G5587" s="16" cm="1">
        <f t="array" ref="G5587">SUM(G5585:G5586)</f>
        <v>0</v>
      </c>
      <c r="H5587" s="16" cm="1">
        <f t="array" ref="H5587">SUM(H5585:H5586)</f>
        <v>0</v>
      </c>
      <c r="I5587" s="16" cm="1">
        <f t="array" ref="I5587">SUM(I5585:I5586)</f>
        <v>0</v>
      </c>
    </row>
    <row r="5588" ht="20.65" customHeight="1">
      <c r="A5588" s="10">
        <v>45698</v>
      </c>
      <c r="B5588" t="s" s="11">
        <v>843</v>
      </c>
      <c r="C5588" t="s" s="12">
        <v>820</v>
      </c>
      <c r="D5588" s="17">
        <v>16</v>
      </c>
      <c r="E5588" s="17"/>
      <c r="F5588" s="18"/>
      <c r="G5588" s="18"/>
      <c r="H5588" s="18"/>
      <c r="I5588" s="18"/>
    </row>
    <row r="5589" ht="20.65" customHeight="1">
      <c r="A5589" s="10">
        <v>45698</v>
      </c>
      <c r="B5589" t="s" s="11">
        <v>91</v>
      </c>
      <c r="C5589" t="s" s="12">
        <v>820</v>
      </c>
      <c r="D5589" s="13"/>
      <c r="E5589" s="13">
        <v>16</v>
      </c>
      <c r="F5589" s="14"/>
      <c r="G5589" s="14"/>
      <c r="H5589" s="14"/>
      <c r="I5589" s="14"/>
    </row>
    <row r="5590" ht="20.7" customHeight="1">
      <c r="A5590" s="10">
        <v>45698</v>
      </c>
      <c r="B5590" t="s" s="11">
        <v>8</v>
      </c>
      <c r="C5590" t="s" s="12">
        <v>8</v>
      </c>
      <c r="D5590" s="15" cm="1">
        <f t="array" ref="D5590">SUM(D5588:D5589)</f>
        <v>16</v>
      </c>
      <c r="E5590" s="15" cm="1">
        <f t="array" ref="E5590">SUM(E5588:E5589)</f>
        <v>16</v>
      </c>
      <c r="F5590" s="16" cm="1">
        <f t="array" ref="F5590">SUM(F5588:F5589)</f>
        <v>0</v>
      </c>
      <c r="G5590" s="16" cm="1">
        <f t="array" ref="G5590">SUM(G5588:G5589)</f>
        <v>0</v>
      </c>
      <c r="H5590" s="16" cm="1">
        <f t="array" ref="H5590">SUM(H5588:H5589)</f>
        <v>0</v>
      </c>
      <c r="I5590" s="16" cm="1">
        <f t="array" ref="I5590">SUM(I5588:I5589)</f>
        <v>0</v>
      </c>
    </row>
    <row r="5591" ht="21.25" customHeight="1">
      <c r="A5591" s="10">
        <v>45698</v>
      </c>
      <c r="B5591" t="s" s="11">
        <v>5</v>
      </c>
      <c r="C5591" t="s" s="12">
        <v>872</v>
      </c>
      <c r="D5591" s="17"/>
      <c r="E5591" s="17">
        <v>23300</v>
      </c>
      <c r="F5591" s="18"/>
      <c r="G5591" s="18"/>
      <c r="H5591" s="18"/>
      <c r="I5591" s="18"/>
    </row>
    <row r="5592" ht="21.25" customHeight="1">
      <c r="A5592" s="10">
        <v>45698</v>
      </c>
      <c r="B5592" t="s" s="11">
        <v>21</v>
      </c>
      <c r="C5592" t="s" s="12">
        <v>872</v>
      </c>
      <c r="D5592" s="13">
        <v>23300</v>
      </c>
      <c r="E5592" s="13"/>
      <c r="F5592" s="14"/>
      <c r="G5592" s="14"/>
      <c r="H5592" s="14"/>
      <c r="I5592" s="14"/>
    </row>
    <row r="5593" ht="20.7" customHeight="1">
      <c r="A5593" s="10">
        <v>45698</v>
      </c>
      <c r="B5593" t="s" s="11">
        <v>8</v>
      </c>
      <c r="C5593" t="s" s="12">
        <v>8</v>
      </c>
      <c r="D5593" s="15" cm="1">
        <f t="array" ref="D5593">SUM(D5591:D5592)</f>
        <v>23300</v>
      </c>
      <c r="E5593" s="15" cm="1">
        <f t="array" ref="E5593">SUM(E5591:E5592)</f>
        <v>23300</v>
      </c>
      <c r="F5593" s="16" cm="1">
        <f t="array" ref="F5593">SUM(F5591:F5592)</f>
        <v>0</v>
      </c>
      <c r="G5593" s="16" cm="1">
        <f t="array" ref="G5593">SUM(G5591:G5592)</f>
        <v>0</v>
      </c>
      <c r="H5593" s="16" cm="1">
        <f t="array" ref="H5593">SUM(H5591:H5592)</f>
        <v>0</v>
      </c>
      <c r="I5593" s="16" cm="1">
        <f t="array" ref="I5593">SUM(I5591:I5592)</f>
        <v>0</v>
      </c>
    </row>
    <row r="5594" ht="21.25" customHeight="1">
      <c r="A5594" s="10">
        <v>45698</v>
      </c>
      <c r="B5594" t="s" s="11">
        <v>814</v>
      </c>
      <c r="C5594" t="s" s="12">
        <v>866</v>
      </c>
      <c r="D5594" s="17"/>
      <c r="E5594" s="17">
        <v>10000</v>
      </c>
      <c r="F5594" s="18"/>
      <c r="G5594" s="18"/>
      <c r="H5594" s="18"/>
      <c r="I5594" s="18"/>
    </row>
    <row r="5595" ht="21.25" customHeight="1">
      <c r="A5595" s="10">
        <v>45698</v>
      </c>
      <c r="B5595" t="s" s="11">
        <v>5</v>
      </c>
      <c r="C5595" t="s" s="12">
        <v>866</v>
      </c>
      <c r="D5595" s="13">
        <v>10000</v>
      </c>
      <c r="E5595" s="13"/>
      <c r="F5595" s="14"/>
      <c r="G5595" s="14"/>
      <c r="H5595" s="14"/>
      <c r="I5595" s="14"/>
    </row>
    <row r="5596" ht="20.7" customHeight="1">
      <c r="A5596" s="10">
        <v>45698</v>
      </c>
      <c r="B5596" t="s" s="11">
        <v>8</v>
      </c>
      <c r="C5596" t="s" s="12">
        <v>8</v>
      </c>
      <c r="D5596" s="15" cm="1">
        <f t="array" ref="D5596">SUM(D5594:D5595)</f>
        <v>10000</v>
      </c>
      <c r="E5596" s="15" cm="1">
        <f t="array" ref="E5596">SUM(E5594:E5595)</f>
        <v>10000</v>
      </c>
      <c r="F5596" s="16" cm="1">
        <f t="array" ref="F5596">SUM(F5594:F5595)</f>
        <v>0</v>
      </c>
      <c r="G5596" s="16" cm="1">
        <f t="array" ref="G5596">SUM(G5594:G5595)</f>
        <v>0</v>
      </c>
      <c r="H5596" s="16" cm="1">
        <f t="array" ref="H5596">SUM(H5594:H5595)</f>
        <v>0</v>
      </c>
      <c r="I5596" s="16" cm="1">
        <f t="array" ref="I5596">SUM(I5594:I5595)</f>
        <v>0</v>
      </c>
    </row>
    <row r="5597" ht="21.25" customHeight="1">
      <c r="A5597" s="10">
        <v>45698</v>
      </c>
      <c r="B5597" t="s" s="11">
        <v>5</v>
      </c>
      <c r="C5597" t="s" s="12">
        <v>866</v>
      </c>
      <c r="D5597" s="17"/>
      <c r="E5597" s="17">
        <v>9800</v>
      </c>
      <c r="F5597" s="18"/>
      <c r="G5597" s="18"/>
      <c r="H5597" s="18"/>
      <c r="I5597" s="18"/>
    </row>
    <row r="5598" ht="21.25" customHeight="1">
      <c r="A5598" s="10">
        <v>45698</v>
      </c>
      <c r="B5598" t="s" s="11">
        <v>12</v>
      </c>
      <c r="C5598" t="s" s="12">
        <v>866</v>
      </c>
      <c r="D5598" s="13">
        <v>9800</v>
      </c>
      <c r="E5598" s="13"/>
      <c r="F5598" s="14"/>
      <c r="G5598" s="14"/>
      <c r="H5598" s="14"/>
      <c r="I5598" s="14"/>
    </row>
    <row r="5599" ht="20.7" customHeight="1">
      <c r="A5599" s="10">
        <v>45698</v>
      </c>
      <c r="B5599" t="s" s="11">
        <v>8</v>
      </c>
      <c r="C5599" t="s" s="12">
        <v>8</v>
      </c>
      <c r="D5599" s="15" cm="1">
        <f t="array" ref="D5599">SUM(D5597:D5598)</f>
        <v>9800</v>
      </c>
      <c r="E5599" s="15" cm="1">
        <f t="array" ref="E5599">SUM(E5597:E5598)</f>
        <v>9800</v>
      </c>
      <c r="F5599" s="16" cm="1">
        <f t="array" ref="F5599">SUM(F5597:F5598)</f>
        <v>0</v>
      </c>
      <c r="G5599" s="16" cm="1">
        <f t="array" ref="G5599">SUM(G5597:G5598)</f>
        <v>0</v>
      </c>
      <c r="H5599" s="16" cm="1">
        <f t="array" ref="H5599">SUM(H5597:H5598)</f>
        <v>0</v>
      </c>
      <c r="I5599" s="16" cm="1">
        <f t="array" ref="I5599">SUM(I5597:I5598)</f>
        <v>0</v>
      </c>
    </row>
    <row r="5600" ht="20.35" customHeight="1">
      <c r="A5600" s="10">
        <v>45698</v>
      </c>
      <c r="B5600" t="s" s="11">
        <v>91</v>
      </c>
      <c r="C5600" t="s" s="12">
        <v>17</v>
      </c>
      <c r="D5600" s="17"/>
      <c r="E5600" s="17">
        <v>100</v>
      </c>
      <c r="F5600" s="18"/>
      <c r="G5600" s="18"/>
      <c r="H5600" s="18"/>
      <c r="I5600" s="18"/>
    </row>
    <row r="5601" ht="20.35" customHeight="1">
      <c r="A5601" s="10">
        <v>45698</v>
      </c>
      <c r="B5601" t="s" s="11">
        <v>5</v>
      </c>
      <c r="C5601" t="s" s="12">
        <v>17</v>
      </c>
      <c r="D5601" s="13">
        <v>100</v>
      </c>
      <c r="E5601" s="13"/>
      <c r="F5601" s="14"/>
      <c r="G5601" s="14"/>
      <c r="H5601" s="14"/>
      <c r="I5601" s="14"/>
    </row>
    <row r="5602" ht="20.7" customHeight="1">
      <c r="A5602" s="10">
        <v>45698</v>
      </c>
      <c r="B5602" t="s" s="11">
        <v>8</v>
      </c>
      <c r="C5602" t="s" s="12">
        <v>8</v>
      </c>
      <c r="D5602" s="15" cm="1">
        <f t="array" ref="D5602">SUM(D5600:D5601)</f>
        <v>100</v>
      </c>
      <c r="E5602" s="15" cm="1">
        <f t="array" ref="E5602">SUM(E5600:E5601)</f>
        <v>100</v>
      </c>
      <c r="F5602" s="16" cm="1">
        <f t="array" ref="F5602">SUM(F5600:F5601)</f>
        <v>0</v>
      </c>
      <c r="G5602" s="16" cm="1">
        <f t="array" ref="G5602">SUM(G5600:G5601)</f>
        <v>0</v>
      </c>
      <c r="H5602" s="16" cm="1">
        <f t="array" ref="H5602">SUM(H5600:H5601)</f>
        <v>0</v>
      </c>
      <c r="I5602" s="16" cm="1">
        <f t="array" ref="I5602">SUM(I5600:I5601)</f>
        <v>0</v>
      </c>
    </row>
    <row r="5603" ht="21.25" customHeight="1">
      <c r="A5603" s="10">
        <v>45698</v>
      </c>
      <c r="B5603" t="s" s="11">
        <v>5</v>
      </c>
      <c r="C5603" t="s" s="12">
        <v>799</v>
      </c>
      <c r="D5603" s="17">
        <v>3</v>
      </c>
      <c r="E5603" s="17"/>
      <c r="F5603" s="18"/>
      <c r="G5603" s="18"/>
      <c r="H5603" s="18"/>
      <c r="I5603" s="18"/>
    </row>
    <row r="5604" ht="21.25" customHeight="1">
      <c r="A5604" s="10">
        <v>45698</v>
      </c>
      <c r="B5604" t="s" s="11">
        <v>91</v>
      </c>
      <c r="C5604" t="s" s="12">
        <v>799</v>
      </c>
      <c r="D5604" s="13"/>
      <c r="E5604" s="13">
        <v>3</v>
      </c>
      <c r="F5604" s="14"/>
      <c r="G5604" s="14"/>
      <c r="H5604" s="14"/>
      <c r="I5604" s="14"/>
    </row>
    <row r="5605" ht="20.7" customHeight="1">
      <c r="A5605" s="10">
        <v>45698</v>
      </c>
      <c r="B5605" t="s" s="11">
        <v>8</v>
      </c>
      <c r="C5605" t="s" s="12">
        <v>8</v>
      </c>
      <c r="D5605" s="15" cm="1">
        <f t="array" ref="D5605">SUM(D5603:D5604)</f>
        <v>3</v>
      </c>
      <c r="E5605" s="15" cm="1">
        <f t="array" ref="E5605">SUM(E5603:E5604)</f>
        <v>3</v>
      </c>
      <c r="F5605" s="16" cm="1">
        <f t="array" ref="F5605">SUM(F5603:F5604)</f>
        <v>0</v>
      </c>
      <c r="G5605" s="16" cm="1">
        <f t="array" ref="G5605">SUM(G5603:G5604)</f>
        <v>0</v>
      </c>
      <c r="H5605" s="16" cm="1">
        <f t="array" ref="H5605">SUM(H5603:H5604)</f>
        <v>0</v>
      </c>
      <c r="I5605" s="16" cm="1">
        <f t="array" ref="I5605">SUM(I5603:I5604)</f>
        <v>0</v>
      </c>
    </row>
    <row r="5606" ht="21.25" customHeight="1">
      <c r="A5606" s="10">
        <v>45699</v>
      </c>
      <c r="B5606" t="s" s="11">
        <v>5</v>
      </c>
      <c r="C5606" t="s" s="12">
        <v>870</v>
      </c>
      <c r="D5606" s="17"/>
      <c r="E5606" s="17">
        <v>103</v>
      </c>
      <c r="F5606" s="18"/>
      <c r="G5606" s="18"/>
      <c r="H5606" s="18"/>
      <c r="I5606" s="18"/>
    </row>
    <row r="5607" ht="21.25" customHeight="1">
      <c r="A5607" s="10">
        <v>45699</v>
      </c>
      <c r="B5607" t="s" s="11">
        <v>814</v>
      </c>
      <c r="C5607" t="s" s="12">
        <v>870</v>
      </c>
      <c r="D5607" s="13">
        <v>103</v>
      </c>
      <c r="E5607" s="13"/>
      <c r="F5607" s="14"/>
      <c r="G5607" s="14"/>
      <c r="H5607" s="14"/>
      <c r="I5607" s="14"/>
    </row>
    <row r="5608" ht="20.7" customHeight="1">
      <c r="A5608" s="10">
        <v>45699</v>
      </c>
      <c r="B5608" t="s" s="11">
        <v>8</v>
      </c>
      <c r="C5608" t="s" s="12">
        <v>8</v>
      </c>
      <c r="D5608" s="15" cm="1">
        <f t="array" ref="D5608">SUM(D5606:D5607)</f>
        <v>103</v>
      </c>
      <c r="E5608" s="15" cm="1">
        <f t="array" ref="E5608">SUM(E5606:E5607)</f>
        <v>103</v>
      </c>
      <c r="F5608" s="16" cm="1">
        <f t="array" ref="F5608">SUM(F5606:F5607)</f>
        <v>0</v>
      </c>
      <c r="G5608" s="16" cm="1">
        <f t="array" ref="G5608">SUM(G5606:G5607)</f>
        <v>0</v>
      </c>
      <c r="H5608" s="16" cm="1">
        <f t="array" ref="H5608">SUM(H5606:H5607)</f>
        <v>0</v>
      </c>
      <c r="I5608" s="16" cm="1">
        <f t="array" ref="I5608">SUM(I5606:I5607)</f>
        <v>0</v>
      </c>
    </row>
    <row r="5609" ht="20.65" customHeight="1">
      <c r="A5609" s="10">
        <v>45699</v>
      </c>
      <c r="B5609" t="s" s="11">
        <v>814</v>
      </c>
      <c r="C5609" t="s" s="12">
        <v>820</v>
      </c>
      <c r="D5609" s="17">
        <v>11</v>
      </c>
      <c r="E5609" s="17"/>
      <c r="F5609" s="18"/>
      <c r="G5609" s="18"/>
      <c r="H5609" s="18"/>
      <c r="I5609" s="18"/>
    </row>
    <row r="5610" ht="20.65" customHeight="1">
      <c r="A5610" s="10">
        <v>45699</v>
      </c>
      <c r="B5610" t="s" s="11">
        <v>91</v>
      </c>
      <c r="C5610" t="s" s="12">
        <v>820</v>
      </c>
      <c r="D5610" s="13"/>
      <c r="E5610" s="13">
        <v>11</v>
      </c>
      <c r="F5610" s="14"/>
      <c r="G5610" s="14"/>
      <c r="H5610" s="14"/>
      <c r="I5610" s="14"/>
    </row>
    <row r="5611" ht="20.7" customHeight="1">
      <c r="A5611" s="10">
        <v>45699</v>
      </c>
      <c r="B5611" t="s" s="11">
        <v>8</v>
      </c>
      <c r="C5611" t="s" s="12">
        <v>8</v>
      </c>
      <c r="D5611" s="15" cm="1">
        <f t="array" ref="D5611">SUM(D5609:D5610)</f>
        <v>11</v>
      </c>
      <c r="E5611" s="15" cm="1">
        <f t="array" ref="E5611">SUM(E5609:E5610)</f>
        <v>11</v>
      </c>
      <c r="F5611" s="16" cm="1">
        <f t="array" ref="F5611">SUM(F5609:F5610)</f>
        <v>0</v>
      </c>
      <c r="G5611" s="16" cm="1">
        <f t="array" ref="G5611">SUM(G5609:G5610)</f>
        <v>0</v>
      </c>
      <c r="H5611" s="16" cm="1">
        <f t="array" ref="H5611">SUM(H5609:H5610)</f>
        <v>0</v>
      </c>
      <c r="I5611" s="16" cm="1">
        <f t="array" ref="I5611">SUM(I5609:I5610)</f>
        <v>0</v>
      </c>
    </row>
    <row r="5612" ht="20.65" customHeight="1">
      <c r="A5612" s="10">
        <v>45699</v>
      </c>
      <c r="B5612" t="s" s="11">
        <v>843</v>
      </c>
      <c r="C5612" t="s" s="12">
        <v>820</v>
      </c>
      <c r="D5612" s="17">
        <v>16</v>
      </c>
      <c r="E5612" s="17"/>
      <c r="F5612" s="18"/>
      <c r="G5612" s="18"/>
      <c r="H5612" s="18"/>
      <c r="I5612" s="18"/>
    </row>
    <row r="5613" ht="20.65" customHeight="1">
      <c r="A5613" s="10">
        <v>45699</v>
      </c>
      <c r="B5613" t="s" s="11">
        <v>91</v>
      </c>
      <c r="C5613" t="s" s="12">
        <v>820</v>
      </c>
      <c r="D5613" s="13"/>
      <c r="E5613" s="13">
        <v>16</v>
      </c>
      <c r="F5613" s="14"/>
      <c r="G5613" s="14"/>
      <c r="H5613" s="14"/>
      <c r="I5613" s="14"/>
    </row>
    <row r="5614" ht="20.7" customHeight="1">
      <c r="A5614" s="10">
        <v>45699</v>
      </c>
      <c r="B5614" t="s" s="11">
        <v>8</v>
      </c>
      <c r="C5614" t="s" s="12">
        <v>8</v>
      </c>
      <c r="D5614" s="15" cm="1">
        <f t="array" ref="D5614">SUM(D5612:D5613)</f>
        <v>16</v>
      </c>
      <c r="E5614" s="15" cm="1">
        <f t="array" ref="E5614">SUM(E5612:E5613)</f>
        <v>16</v>
      </c>
      <c r="F5614" s="16" cm="1">
        <f t="array" ref="F5614">SUM(F5612:F5613)</f>
        <v>0</v>
      </c>
      <c r="G5614" s="16" cm="1">
        <f t="array" ref="G5614">SUM(G5612:G5613)</f>
        <v>0</v>
      </c>
      <c r="H5614" s="16" cm="1">
        <f t="array" ref="H5614">SUM(H5612:H5613)</f>
        <v>0</v>
      </c>
      <c r="I5614" s="16" cm="1">
        <f t="array" ref="I5614">SUM(I5612:I5613)</f>
        <v>0</v>
      </c>
    </row>
    <row r="5615" ht="20.35" customHeight="1">
      <c r="A5615" s="10">
        <v>45699</v>
      </c>
      <c r="B5615" t="s" s="11">
        <v>814</v>
      </c>
      <c r="C5615" t="s" s="12">
        <v>873</v>
      </c>
      <c r="D5615" s="17"/>
      <c r="E5615" s="17">
        <v>55000</v>
      </c>
      <c r="F5615" s="18"/>
      <c r="G5615" s="18"/>
      <c r="H5615" s="18"/>
      <c r="I5615" s="18"/>
    </row>
    <row r="5616" ht="20.35" customHeight="1">
      <c r="A5616" s="10">
        <v>45699</v>
      </c>
      <c r="B5616" t="s" s="11">
        <v>5</v>
      </c>
      <c r="C5616" t="s" s="12">
        <v>873</v>
      </c>
      <c r="D5616" s="13">
        <v>55000</v>
      </c>
      <c r="E5616" s="13"/>
      <c r="F5616" s="14"/>
      <c r="G5616" s="14"/>
      <c r="H5616" s="14"/>
      <c r="I5616" s="14"/>
    </row>
    <row r="5617" ht="20.7" customHeight="1">
      <c r="A5617" s="10">
        <v>45699</v>
      </c>
      <c r="B5617" t="s" s="11">
        <v>8</v>
      </c>
      <c r="C5617" t="s" s="12">
        <v>8</v>
      </c>
      <c r="D5617" s="15" cm="1">
        <f t="array" ref="D5617">SUM(D5615:D5616)</f>
        <v>55000</v>
      </c>
      <c r="E5617" s="15" cm="1">
        <f t="array" ref="E5617">SUM(E5615:E5616)</f>
        <v>55000</v>
      </c>
      <c r="F5617" s="16" cm="1">
        <f t="array" ref="F5617">SUM(F5615:F5616)</f>
        <v>0</v>
      </c>
      <c r="G5617" s="16" cm="1">
        <f t="array" ref="G5617">SUM(G5615:G5616)</f>
        <v>0</v>
      </c>
      <c r="H5617" s="16" cm="1">
        <f t="array" ref="H5617">SUM(H5615:H5616)</f>
        <v>0</v>
      </c>
      <c r="I5617" s="16" cm="1">
        <f t="array" ref="I5617">SUM(I5615:I5616)</f>
        <v>0</v>
      </c>
    </row>
    <row r="5618" ht="20.35" customHeight="1">
      <c r="A5618" s="10">
        <v>45699</v>
      </c>
      <c r="B5618" t="s" s="11">
        <v>5</v>
      </c>
      <c r="C5618" t="s" s="12">
        <v>873</v>
      </c>
      <c r="D5618" s="17"/>
      <c r="E5618" s="17">
        <v>55000</v>
      </c>
      <c r="F5618" s="18"/>
      <c r="G5618" s="18"/>
      <c r="H5618" s="18"/>
      <c r="I5618" s="18"/>
    </row>
    <row r="5619" ht="20.35" customHeight="1">
      <c r="A5619" s="10">
        <v>45699</v>
      </c>
      <c r="B5619" t="s" s="11">
        <v>89</v>
      </c>
      <c r="C5619" t="s" s="12">
        <v>873</v>
      </c>
      <c r="D5619" s="13">
        <v>55000</v>
      </c>
      <c r="E5619" s="13"/>
      <c r="F5619" s="14"/>
      <c r="G5619" s="14"/>
      <c r="H5619" s="14"/>
      <c r="I5619" s="14"/>
    </row>
    <row r="5620" ht="20.7" customHeight="1">
      <c r="A5620" s="10">
        <v>45699</v>
      </c>
      <c r="B5620" t="s" s="11">
        <v>8</v>
      </c>
      <c r="C5620" t="s" s="12">
        <v>8</v>
      </c>
      <c r="D5620" s="15" cm="1">
        <f t="array" ref="D5620">SUM(D5618:D5619)</f>
        <v>55000</v>
      </c>
      <c r="E5620" s="15" cm="1">
        <f t="array" ref="E5620">SUM(E5618:E5619)</f>
        <v>55000</v>
      </c>
      <c r="F5620" s="16" cm="1">
        <f t="array" ref="F5620">SUM(F5618:F5619)</f>
        <v>0</v>
      </c>
      <c r="G5620" s="16" cm="1">
        <f t="array" ref="G5620">SUM(G5618:G5619)</f>
        <v>0</v>
      </c>
      <c r="H5620" s="16" cm="1">
        <f t="array" ref="H5620">SUM(H5618:H5619)</f>
        <v>0</v>
      </c>
      <c r="I5620" s="16" cm="1">
        <f t="array" ref="I5620">SUM(I5618:I5619)</f>
        <v>0</v>
      </c>
    </row>
    <row r="5621" ht="21.25" customHeight="1">
      <c r="A5621" s="10">
        <v>45699</v>
      </c>
      <c r="B5621" t="s" s="11">
        <v>814</v>
      </c>
      <c r="C5621" t="s" s="12">
        <v>866</v>
      </c>
      <c r="D5621" s="17"/>
      <c r="E5621" s="17">
        <v>10000</v>
      </c>
      <c r="F5621" s="18"/>
      <c r="G5621" s="18"/>
      <c r="H5621" s="18"/>
      <c r="I5621" s="18"/>
    </row>
    <row r="5622" ht="21.25" customHeight="1">
      <c r="A5622" s="10">
        <v>45699</v>
      </c>
      <c r="B5622" t="s" s="11">
        <v>5</v>
      </c>
      <c r="C5622" t="s" s="12">
        <v>866</v>
      </c>
      <c r="D5622" s="13">
        <v>10000</v>
      </c>
      <c r="E5622" s="13"/>
      <c r="F5622" s="14"/>
      <c r="G5622" s="14"/>
      <c r="H5622" s="14"/>
      <c r="I5622" s="14"/>
    </row>
    <row r="5623" ht="20.7" customHeight="1">
      <c r="A5623" s="10">
        <v>45699</v>
      </c>
      <c r="B5623" t="s" s="11">
        <v>8</v>
      </c>
      <c r="C5623" t="s" s="12">
        <v>8</v>
      </c>
      <c r="D5623" s="15" cm="1">
        <f t="array" ref="D5623">SUM(D5621:D5622)</f>
        <v>10000</v>
      </c>
      <c r="E5623" s="15" cm="1">
        <f t="array" ref="E5623">SUM(E5621:E5622)</f>
        <v>10000</v>
      </c>
      <c r="F5623" s="16" cm="1">
        <f t="array" ref="F5623">SUM(F5621:F5622)</f>
        <v>0</v>
      </c>
      <c r="G5623" s="16" cm="1">
        <f t="array" ref="G5623">SUM(G5621:G5622)</f>
        <v>0</v>
      </c>
      <c r="H5623" s="16" cm="1">
        <f t="array" ref="H5623">SUM(H5621:H5622)</f>
        <v>0</v>
      </c>
      <c r="I5623" s="16" cm="1">
        <f t="array" ref="I5623">SUM(I5621:I5622)</f>
        <v>0</v>
      </c>
    </row>
    <row r="5624" ht="21.25" customHeight="1">
      <c r="A5624" s="10">
        <v>45699</v>
      </c>
      <c r="B5624" t="s" s="11">
        <v>5</v>
      </c>
      <c r="C5624" t="s" s="12">
        <v>866</v>
      </c>
      <c r="D5624" s="17"/>
      <c r="E5624" s="17">
        <v>3200</v>
      </c>
      <c r="F5624" s="18"/>
      <c r="G5624" s="18"/>
      <c r="H5624" s="18"/>
      <c r="I5624" s="18"/>
    </row>
    <row r="5625" ht="21.25" customHeight="1">
      <c r="A5625" s="10">
        <v>45699</v>
      </c>
      <c r="B5625" t="s" s="11">
        <v>12</v>
      </c>
      <c r="C5625" t="s" s="12">
        <v>866</v>
      </c>
      <c r="D5625" s="13">
        <v>3200</v>
      </c>
      <c r="E5625" s="13"/>
      <c r="F5625" s="14"/>
      <c r="G5625" s="14"/>
      <c r="H5625" s="14"/>
      <c r="I5625" s="14"/>
    </row>
    <row r="5626" ht="20.7" customHeight="1">
      <c r="A5626" s="10">
        <v>45699</v>
      </c>
      <c r="B5626" t="s" s="11">
        <v>8</v>
      </c>
      <c r="C5626" t="s" s="12">
        <v>8</v>
      </c>
      <c r="D5626" s="15" cm="1">
        <f t="array" ref="D5626">SUM(D5624:D5625)</f>
        <v>3200</v>
      </c>
      <c r="E5626" s="15" cm="1">
        <f t="array" ref="E5626">SUM(E5624:E5625)</f>
        <v>3200</v>
      </c>
      <c r="F5626" s="16" cm="1">
        <f t="array" ref="F5626">SUM(F5624:F5625)</f>
        <v>0</v>
      </c>
      <c r="G5626" s="16" cm="1">
        <f t="array" ref="G5626">SUM(G5624:G5625)</f>
        <v>0</v>
      </c>
      <c r="H5626" s="16" cm="1">
        <f t="array" ref="H5626">SUM(H5624:H5625)</f>
        <v>0</v>
      </c>
      <c r="I5626" s="16" cm="1">
        <f t="array" ref="I5626">SUM(I5624:I5625)</f>
        <v>0</v>
      </c>
    </row>
    <row r="5627" ht="20.35" customHeight="1">
      <c r="A5627" s="10">
        <v>45699</v>
      </c>
      <c r="B5627" t="s" s="11">
        <v>91</v>
      </c>
      <c r="C5627" t="s" s="12">
        <v>17</v>
      </c>
      <c r="D5627" s="17"/>
      <c r="E5627" s="17">
        <v>100</v>
      </c>
      <c r="F5627" s="18"/>
      <c r="G5627" s="18"/>
      <c r="H5627" s="18"/>
      <c r="I5627" s="18"/>
    </row>
    <row r="5628" ht="20.35" customHeight="1">
      <c r="A5628" s="10">
        <v>45699</v>
      </c>
      <c r="B5628" t="s" s="11">
        <v>5</v>
      </c>
      <c r="C5628" t="s" s="12">
        <v>17</v>
      </c>
      <c r="D5628" s="13">
        <v>100</v>
      </c>
      <c r="E5628" s="13"/>
      <c r="F5628" s="14"/>
      <c r="G5628" s="14"/>
      <c r="H5628" s="14"/>
      <c r="I5628" s="14"/>
    </row>
    <row r="5629" ht="20.7" customHeight="1">
      <c r="A5629" s="10">
        <v>45699</v>
      </c>
      <c r="B5629" t="s" s="11">
        <v>8</v>
      </c>
      <c r="C5629" t="s" s="12">
        <v>8</v>
      </c>
      <c r="D5629" s="15" cm="1">
        <f t="array" ref="D5629">SUM(D5627:D5628)</f>
        <v>100</v>
      </c>
      <c r="E5629" s="15" cm="1">
        <f t="array" ref="E5629">SUM(E5627:E5628)</f>
        <v>100</v>
      </c>
      <c r="F5629" s="16" cm="1">
        <f t="array" ref="F5629">SUM(F5627:F5628)</f>
        <v>0</v>
      </c>
      <c r="G5629" s="16" cm="1">
        <f t="array" ref="G5629">SUM(G5627:G5628)</f>
        <v>0</v>
      </c>
      <c r="H5629" s="16" cm="1">
        <f t="array" ref="H5629">SUM(H5627:H5628)</f>
        <v>0</v>
      </c>
      <c r="I5629" s="16" cm="1">
        <f t="array" ref="I5629">SUM(I5627:I5628)</f>
        <v>0</v>
      </c>
    </row>
    <row r="5630" ht="21.25" customHeight="1">
      <c r="A5630" s="10">
        <v>45699</v>
      </c>
      <c r="B5630" t="s" s="11">
        <v>5</v>
      </c>
      <c r="C5630" t="s" s="12">
        <v>866</v>
      </c>
      <c r="D5630" s="17"/>
      <c r="E5630" s="17">
        <v>3500</v>
      </c>
      <c r="F5630" s="18"/>
      <c r="G5630" s="18"/>
      <c r="H5630" s="18"/>
      <c r="I5630" s="18"/>
    </row>
    <row r="5631" ht="21.25" customHeight="1">
      <c r="A5631" s="10">
        <v>45699</v>
      </c>
      <c r="B5631" t="s" s="11">
        <v>12</v>
      </c>
      <c r="C5631" t="s" s="12">
        <v>866</v>
      </c>
      <c r="D5631" s="13">
        <v>3500</v>
      </c>
      <c r="E5631" s="13"/>
      <c r="F5631" s="14"/>
      <c r="G5631" s="14"/>
      <c r="H5631" s="14"/>
      <c r="I5631" s="14"/>
    </row>
    <row r="5632" ht="20.7" customHeight="1">
      <c r="A5632" s="10">
        <v>45699</v>
      </c>
      <c r="B5632" t="s" s="11">
        <v>8</v>
      </c>
      <c r="C5632" t="s" s="12">
        <v>8</v>
      </c>
      <c r="D5632" s="15" cm="1">
        <f t="array" ref="D5632">SUM(D5630:D5631)</f>
        <v>3500</v>
      </c>
      <c r="E5632" s="15" cm="1">
        <f t="array" ref="E5632">SUM(E5630:E5631)</f>
        <v>3500</v>
      </c>
      <c r="F5632" s="16" cm="1">
        <f t="array" ref="F5632">SUM(F5630:F5631)</f>
        <v>0</v>
      </c>
      <c r="G5632" s="16" cm="1">
        <f t="array" ref="G5632">SUM(G5630:G5631)</f>
        <v>0</v>
      </c>
      <c r="H5632" s="16" cm="1">
        <f t="array" ref="H5632">SUM(H5630:H5631)</f>
        <v>0</v>
      </c>
      <c r="I5632" s="16" cm="1">
        <f t="array" ref="I5632">SUM(I5630:I5631)</f>
        <v>0</v>
      </c>
    </row>
    <row r="5633" ht="21.25" customHeight="1">
      <c r="A5633" s="10">
        <v>45699</v>
      </c>
      <c r="B5633" t="s" s="11">
        <v>21</v>
      </c>
      <c r="C5633" t="s" s="12">
        <v>874</v>
      </c>
      <c r="D5633" s="17"/>
      <c r="E5633" s="17">
        <v>3000</v>
      </c>
      <c r="F5633" s="18"/>
      <c r="G5633" s="18"/>
      <c r="H5633" s="18"/>
      <c r="I5633" s="18"/>
    </row>
    <row r="5634" ht="21.25" customHeight="1">
      <c r="A5634" s="10">
        <v>45699</v>
      </c>
      <c r="B5634" t="s" s="11">
        <v>16</v>
      </c>
      <c r="C5634" t="s" s="12">
        <v>874</v>
      </c>
      <c r="D5634" s="13">
        <v>3000</v>
      </c>
      <c r="E5634" s="13"/>
      <c r="F5634" s="14"/>
      <c r="G5634" s="14"/>
      <c r="H5634" s="14"/>
      <c r="I5634" s="14"/>
    </row>
    <row r="5635" ht="20.7" customHeight="1">
      <c r="A5635" s="10">
        <v>45699</v>
      </c>
      <c r="B5635" t="s" s="11">
        <v>8</v>
      </c>
      <c r="C5635" t="s" s="12">
        <v>8</v>
      </c>
      <c r="D5635" s="15" cm="1">
        <f t="array" ref="D5635">SUM(D5633:D5634)</f>
        <v>3000</v>
      </c>
      <c r="E5635" s="15" cm="1">
        <f t="array" ref="E5635">SUM(E5633:E5634)</f>
        <v>3000</v>
      </c>
      <c r="F5635" s="16" cm="1">
        <f t="array" ref="F5635">SUM(F5633:F5634)</f>
        <v>0</v>
      </c>
      <c r="G5635" s="16" cm="1">
        <f t="array" ref="G5635">SUM(G5633:G5634)</f>
        <v>0</v>
      </c>
      <c r="H5635" s="16" cm="1">
        <f t="array" ref="H5635">SUM(H5633:H5634)</f>
        <v>0</v>
      </c>
      <c r="I5635" s="16" cm="1">
        <f t="array" ref="I5635">SUM(I5633:I5634)</f>
        <v>0</v>
      </c>
    </row>
    <row r="5636" ht="20.65" customHeight="1">
      <c r="A5636" s="10">
        <v>45700</v>
      </c>
      <c r="B5636" t="s" s="11">
        <v>814</v>
      </c>
      <c r="C5636" t="s" s="12">
        <v>820</v>
      </c>
      <c r="D5636" s="17">
        <v>8</v>
      </c>
      <c r="E5636" s="17"/>
      <c r="F5636" s="18"/>
      <c r="G5636" s="18"/>
      <c r="H5636" s="18"/>
      <c r="I5636" s="18"/>
    </row>
    <row r="5637" ht="20.65" customHeight="1">
      <c r="A5637" s="10">
        <v>45700</v>
      </c>
      <c r="B5637" t="s" s="11">
        <v>91</v>
      </c>
      <c r="C5637" t="s" s="12">
        <v>820</v>
      </c>
      <c r="D5637" s="13"/>
      <c r="E5637" s="13">
        <v>8</v>
      </c>
      <c r="F5637" s="14"/>
      <c r="G5637" s="14"/>
      <c r="H5637" s="14"/>
      <c r="I5637" s="14"/>
    </row>
    <row r="5638" ht="20.7" customHeight="1">
      <c r="A5638" s="10">
        <v>45700</v>
      </c>
      <c r="B5638" t="s" s="11">
        <v>8</v>
      </c>
      <c r="C5638" t="s" s="12">
        <v>8</v>
      </c>
      <c r="D5638" s="15" cm="1">
        <f t="array" ref="D5638">SUM(D5636:D5637)</f>
        <v>8</v>
      </c>
      <c r="E5638" s="15" cm="1">
        <f t="array" ref="E5638">SUM(E5636:E5637)</f>
        <v>8</v>
      </c>
      <c r="F5638" s="16" cm="1">
        <f t="array" ref="F5638">SUM(F5636:F5637)</f>
        <v>0</v>
      </c>
      <c r="G5638" s="16" cm="1">
        <f t="array" ref="G5638">SUM(G5636:G5637)</f>
        <v>0</v>
      </c>
      <c r="H5638" s="16" cm="1">
        <f t="array" ref="H5638">SUM(H5636:H5637)</f>
        <v>0</v>
      </c>
      <c r="I5638" s="16" cm="1">
        <f t="array" ref="I5638">SUM(I5636:I5637)</f>
        <v>0</v>
      </c>
    </row>
    <row r="5639" ht="20.65" customHeight="1">
      <c r="A5639" s="10">
        <v>45700</v>
      </c>
      <c r="B5639" t="s" s="11">
        <v>843</v>
      </c>
      <c r="C5639" t="s" s="12">
        <v>820</v>
      </c>
      <c r="D5639" s="17">
        <v>16</v>
      </c>
      <c r="E5639" s="17"/>
      <c r="F5639" s="18"/>
      <c r="G5639" s="18"/>
      <c r="H5639" s="18"/>
      <c r="I5639" s="18"/>
    </row>
    <row r="5640" ht="20.65" customHeight="1">
      <c r="A5640" s="10">
        <v>45700</v>
      </c>
      <c r="B5640" t="s" s="11">
        <v>91</v>
      </c>
      <c r="C5640" t="s" s="12">
        <v>820</v>
      </c>
      <c r="D5640" s="13"/>
      <c r="E5640" s="13">
        <v>16</v>
      </c>
      <c r="F5640" s="14"/>
      <c r="G5640" s="14"/>
      <c r="H5640" s="14"/>
      <c r="I5640" s="14"/>
    </row>
    <row r="5641" ht="20.7" customHeight="1">
      <c r="A5641" s="10">
        <v>45700</v>
      </c>
      <c r="B5641" t="s" s="11">
        <v>8</v>
      </c>
      <c r="C5641" t="s" s="12">
        <v>8</v>
      </c>
      <c r="D5641" s="15" cm="1">
        <f t="array" ref="D5641">SUM(D5639:D5640)</f>
        <v>16</v>
      </c>
      <c r="E5641" s="15" cm="1">
        <f t="array" ref="E5641">SUM(E5639:E5640)</f>
        <v>16</v>
      </c>
      <c r="F5641" s="16" cm="1">
        <f t="array" ref="F5641">SUM(F5639:F5640)</f>
        <v>0</v>
      </c>
      <c r="G5641" s="16" cm="1">
        <f t="array" ref="G5641">SUM(G5639:G5640)</f>
        <v>0</v>
      </c>
      <c r="H5641" s="16" cm="1">
        <f t="array" ref="H5641">SUM(H5639:H5640)</f>
        <v>0</v>
      </c>
      <c r="I5641" s="16" cm="1">
        <f t="array" ref="I5641">SUM(I5639:I5640)</f>
        <v>0</v>
      </c>
    </row>
    <row r="5642" ht="20.35" customHeight="1">
      <c r="A5642" s="10">
        <v>45700</v>
      </c>
      <c r="B5642" t="s" s="11">
        <v>91</v>
      </c>
      <c r="C5642" t="s" s="12">
        <v>17</v>
      </c>
      <c r="D5642" s="17"/>
      <c r="E5642" s="17">
        <v>100</v>
      </c>
      <c r="F5642" s="18"/>
      <c r="G5642" s="18"/>
      <c r="H5642" s="18"/>
      <c r="I5642" s="18"/>
    </row>
    <row r="5643" ht="20.35" customHeight="1">
      <c r="A5643" s="10">
        <v>45700</v>
      </c>
      <c r="B5643" t="s" s="11">
        <v>5</v>
      </c>
      <c r="C5643" t="s" s="12">
        <v>17</v>
      </c>
      <c r="D5643" s="13">
        <v>100</v>
      </c>
      <c r="E5643" s="13"/>
      <c r="F5643" s="14"/>
      <c r="G5643" s="14"/>
      <c r="H5643" s="14"/>
      <c r="I5643" s="14"/>
    </row>
    <row r="5644" ht="20.7" customHeight="1">
      <c r="A5644" s="10">
        <v>45700</v>
      </c>
      <c r="B5644" t="s" s="11">
        <v>8</v>
      </c>
      <c r="C5644" t="s" s="12">
        <v>8</v>
      </c>
      <c r="D5644" s="15" cm="1">
        <f t="array" ref="D5644">SUM(D5642:D5643)</f>
        <v>100</v>
      </c>
      <c r="E5644" s="15" cm="1">
        <f t="array" ref="E5644">SUM(E5642:E5643)</f>
        <v>100</v>
      </c>
      <c r="F5644" s="16" cm="1">
        <f t="array" ref="F5644">SUM(F5642:F5643)</f>
        <v>0</v>
      </c>
      <c r="G5644" s="16" cm="1">
        <f t="array" ref="G5644">SUM(G5642:G5643)</f>
        <v>0</v>
      </c>
      <c r="H5644" s="16" cm="1">
        <f t="array" ref="H5644">SUM(H5642:H5643)</f>
        <v>0</v>
      </c>
      <c r="I5644" s="16" cm="1">
        <f t="array" ref="I5644">SUM(I5642:I5643)</f>
        <v>0</v>
      </c>
    </row>
    <row r="5645" ht="21.25" customHeight="1">
      <c r="A5645" s="10">
        <v>45700</v>
      </c>
      <c r="B5645" t="s" s="11">
        <v>814</v>
      </c>
      <c r="C5645" t="s" s="12">
        <v>875</v>
      </c>
      <c r="D5645" s="17"/>
      <c r="E5645" s="17">
        <v>8300</v>
      </c>
      <c r="F5645" s="18"/>
      <c r="G5645" s="18"/>
      <c r="H5645" s="18"/>
      <c r="I5645" s="18"/>
    </row>
    <row r="5646" ht="21.25" customHeight="1">
      <c r="A5646" s="10">
        <v>45700</v>
      </c>
      <c r="B5646" t="s" s="11">
        <v>5</v>
      </c>
      <c r="C5646" t="s" s="12">
        <v>875</v>
      </c>
      <c r="D5646" s="13">
        <v>8300</v>
      </c>
      <c r="E5646" s="13"/>
      <c r="F5646" s="14"/>
      <c r="G5646" s="14"/>
      <c r="H5646" s="14"/>
      <c r="I5646" s="14"/>
    </row>
    <row r="5647" ht="20.7" customHeight="1">
      <c r="A5647" s="10">
        <v>45700</v>
      </c>
      <c r="B5647" t="s" s="11">
        <v>8</v>
      </c>
      <c r="C5647" t="s" s="12">
        <v>8</v>
      </c>
      <c r="D5647" s="15" cm="1">
        <f t="array" ref="D5647">SUM(D5645:D5646)</f>
        <v>8300</v>
      </c>
      <c r="E5647" s="15" cm="1">
        <f t="array" ref="E5647">SUM(E5645:E5646)</f>
        <v>8300</v>
      </c>
      <c r="F5647" s="16" cm="1">
        <f t="array" ref="F5647">SUM(F5645:F5646)</f>
        <v>0</v>
      </c>
      <c r="G5647" s="16" cm="1">
        <f t="array" ref="G5647">SUM(G5645:G5646)</f>
        <v>0</v>
      </c>
      <c r="H5647" s="16" cm="1">
        <f t="array" ref="H5647">SUM(H5645:H5646)</f>
        <v>0</v>
      </c>
      <c r="I5647" s="16" cm="1">
        <f t="array" ref="I5647">SUM(I5645:I5646)</f>
        <v>0</v>
      </c>
    </row>
    <row r="5648" ht="21.25" customHeight="1">
      <c r="A5648" s="10">
        <v>45700</v>
      </c>
      <c r="B5648" t="s" s="11">
        <v>5</v>
      </c>
      <c r="C5648" t="s" s="12">
        <v>875</v>
      </c>
      <c r="D5648" s="17"/>
      <c r="E5648" s="17">
        <v>12000</v>
      </c>
      <c r="F5648" s="18"/>
      <c r="G5648" s="18"/>
      <c r="H5648" s="18"/>
      <c r="I5648" s="18"/>
    </row>
    <row r="5649" ht="21.25" customHeight="1">
      <c r="A5649" s="10">
        <v>45700</v>
      </c>
      <c r="B5649" t="s" s="11">
        <v>10</v>
      </c>
      <c r="C5649" t="s" s="12">
        <v>875</v>
      </c>
      <c r="D5649" s="13">
        <v>12000</v>
      </c>
      <c r="E5649" s="13"/>
      <c r="F5649" s="14"/>
      <c r="G5649" s="14"/>
      <c r="H5649" s="14"/>
      <c r="I5649" s="14"/>
    </row>
    <row r="5650" ht="20.7" customHeight="1">
      <c r="A5650" s="10">
        <v>45700</v>
      </c>
      <c r="B5650" t="s" s="11">
        <v>8</v>
      </c>
      <c r="C5650" t="s" s="12">
        <v>8</v>
      </c>
      <c r="D5650" s="15" cm="1">
        <f t="array" ref="D5650">SUM(D5648:D5649)</f>
        <v>12000</v>
      </c>
      <c r="E5650" s="15" cm="1">
        <f t="array" ref="E5650">SUM(E5648:E5649)</f>
        <v>12000</v>
      </c>
      <c r="F5650" s="16" cm="1">
        <f t="array" ref="F5650">SUM(F5648:F5649)</f>
        <v>0</v>
      </c>
      <c r="G5650" s="16" cm="1">
        <f t="array" ref="G5650">SUM(G5648:G5649)</f>
        <v>0</v>
      </c>
      <c r="H5650" s="16" cm="1">
        <f t="array" ref="H5650">SUM(H5648:H5649)</f>
        <v>0</v>
      </c>
      <c r="I5650" s="16" cm="1">
        <f t="array" ref="I5650">SUM(I5648:I5649)</f>
        <v>0</v>
      </c>
    </row>
    <row r="5651" ht="21.25" customHeight="1">
      <c r="A5651" s="10">
        <v>45700</v>
      </c>
      <c r="B5651" t="s" s="11">
        <v>5</v>
      </c>
      <c r="C5651" t="s" s="12">
        <v>799</v>
      </c>
      <c r="D5651" s="17">
        <v>3</v>
      </c>
      <c r="E5651" s="17"/>
      <c r="F5651" s="18"/>
      <c r="G5651" s="18"/>
      <c r="H5651" s="18"/>
      <c r="I5651" s="18"/>
    </row>
    <row r="5652" ht="21.25" customHeight="1">
      <c r="A5652" s="10">
        <v>45700</v>
      </c>
      <c r="B5652" t="s" s="11">
        <v>91</v>
      </c>
      <c r="C5652" t="s" s="12">
        <v>799</v>
      </c>
      <c r="D5652" s="13"/>
      <c r="E5652" s="13">
        <v>3</v>
      </c>
      <c r="F5652" s="14"/>
      <c r="G5652" s="14"/>
      <c r="H5652" s="14"/>
      <c r="I5652" s="14"/>
    </row>
    <row r="5653" ht="20.7" customHeight="1">
      <c r="A5653" s="10">
        <v>45700</v>
      </c>
      <c r="B5653" t="s" s="11">
        <v>8</v>
      </c>
      <c r="C5653" t="s" s="12">
        <v>8</v>
      </c>
      <c r="D5653" s="15" cm="1">
        <f t="array" ref="D5653">SUM(D5651:D5652)</f>
        <v>3</v>
      </c>
      <c r="E5653" s="15" cm="1">
        <f t="array" ref="E5653">SUM(E5651:E5652)</f>
        <v>3</v>
      </c>
      <c r="F5653" s="16" cm="1">
        <f t="array" ref="F5653">SUM(F5651:F5652)</f>
        <v>0</v>
      </c>
      <c r="G5653" s="16" cm="1">
        <f t="array" ref="G5653">SUM(G5651:G5652)</f>
        <v>0</v>
      </c>
      <c r="H5653" s="16" cm="1">
        <f t="array" ref="H5653">SUM(H5651:H5652)</f>
        <v>0</v>
      </c>
      <c r="I5653" s="16" cm="1">
        <f t="array" ref="I5653">SUM(I5651:I5652)</f>
        <v>0</v>
      </c>
    </row>
    <row r="5654" ht="21.25" customHeight="1">
      <c r="A5654" s="10">
        <v>45700</v>
      </c>
      <c r="B5654" t="s" s="11">
        <v>5</v>
      </c>
      <c r="C5654" t="s" s="12">
        <v>799</v>
      </c>
      <c r="D5654" s="17">
        <v>2</v>
      </c>
      <c r="E5654" s="17"/>
      <c r="F5654" s="18"/>
      <c r="G5654" s="18"/>
      <c r="H5654" s="18"/>
      <c r="I5654" s="18"/>
    </row>
    <row r="5655" ht="21.25" customHeight="1">
      <c r="A5655" s="10">
        <v>45700</v>
      </c>
      <c r="B5655" t="s" s="11">
        <v>91</v>
      </c>
      <c r="C5655" t="s" s="12">
        <v>799</v>
      </c>
      <c r="D5655" s="13"/>
      <c r="E5655" s="13">
        <v>2</v>
      </c>
      <c r="F5655" s="14"/>
      <c r="G5655" s="14"/>
      <c r="H5655" s="14"/>
      <c r="I5655" s="14"/>
    </row>
    <row r="5656" ht="20.7" customHeight="1">
      <c r="A5656" s="10">
        <v>45700</v>
      </c>
      <c r="B5656" t="s" s="11">
        <v>8</v>
      </c>
      <c r="C5656" t="s" s="12">
        <v>8</v>
      </c>
      <c r="D5656" s="15" cm="1">
        <f t="array" ref="D5656">SUM(D5654:D5655)</f>
        <v>2</v>
      </c>
      <c r="E5656" s="15" cm="1">
        <f t="array" ref="E5656">SUM(E5654:E5655)</f>
        <v>2</v>
      </c>
      <c r="F5656" s="16" cm="1">
        <f t="array" ref="F5656">SUM(F5654:F5655)</f>
        <v>0</v>
      </c>
      <c r="G5656" s="16" cm="1">
        <f t="array" ref="G5656">SUM(G5654:G5655)</f>
        <v>0</v>
      </c>
      <c r="H5656" s="16" cm="1">
        <f t="array" ref="H5656">SUM(H5654:H5655)</f>
        <v>0</v>
      </c>
      <c r="I5656" s="16" cm="1">
        <f t="array" ref="I5656">SUM(I5654:I5655)</f>
        <v>0</v>
      </c>
    </row>
    <row r="5657" ht="21.25" customHeight="1">
      <c r="A5657" s="10">
        <v>45700</v>
      </c>
      <c r="B5657" t="s" s="11">
        <v>5</v>
      </c>
      <c r="C5657" t="s" s="12">
        <v>799</v>
      </c>
      <c r="D5657" s="17">
        <v>2</v>
      </c>
      <c r="E5657" s="17"/>
      <c r="F5657" s="18"/>
      <c r="G5657" s="18"/>
      <c r="H5657" s="18"/>
      <c r="I5657" s="18"/>
    </row>
    <row r="5658" ht="21.25" customHeight="1">
      <c r="A5658" s="10">
        <v>45700</v>
      </c>
      <c r="B5658" t="s" s="11">
        <v>91</v>
      </c>
      <c r="C5658" t="s" s="12">
        <v>799</v>
      </c>
      <c r="D5658" s="13"/>
      <c r="E5658" s="13">
        <v>2</v>
      </c>
      <c r="F5658" s="14"/>
      <c r="G5658" s="14"/>
      <c r="H5658" s="14"/>
      <c r="I5658" s="14"/>
    </row>
    <row r="5659" ht="20.7" customHeight="1">
      <c r="A5659" s="10">
        <v>45700</v>
      </c>
      <c r="B5659" t="s" s="11">
        <v>8</v>
      </c>
      <c r="C5659" t="s" s="12">
        <v>8</v>
      </c>
      <c r="D5659" s="15" cm="1">
        <f t="array" ref="D5659">SUM(D5657:D5658)</f>
        <v>2</v>
      </c>
      <c r="E5659" s="15" cm="1">
        <f t="array" ref="E5659">SUM(E5657:E5658)</f>
        <v>2</v>
      </c>
      <c r="F5659" s="16" cm="1">
        <f t="array" ref="F5659">SUM(F5657:F5658)</f>
        <v>0</v>
      </c>
      <c r="G5659" s="16" cm="1">
        <f t="array" ref="G5659">SUM(G5657:G5658)</f>
        <v>0</v>
      </c>
      <c r="H5659" s="16" cm="1">
        <f t="array" ref="H5659">SUM(H5657:H5658)</f>
        <v>0</v>
      </c>
      <c r="I5659" s="16" cm="1">
        <f t="array" ref="I5659">SUM(I5657:I5658)</f>
        <v>0</v>
      </c>
    </row>
    <row r="5660" ht="20.65" customHeight="1">
      <c r="A5660" s="10">
        <v>45701</v>
      </c>
      <c r="B5660" t="s" s="11">
        <v>814</v>
      </c>
      <c r="C5660" t="s" s="12">
        <v>820</v>
      </c>
      <c r="D5660" s="17">
        <v>7</v>
      </c>
      <c r="E5660" s="17"/>
      <c r="F5660" s="18"/>
      <c r="G5660" s="18"/>
      <c r="H5660" s="18"/>
      <c r="I5660" s="18"/>
    </row>
    <row r="5661" ht="20.65" customHeight="1">
      <c r="A5661" s="10">
        <v>45701</v>
      </c>
      <c r="B5661" t="s" s="11">
        <v>91</v>
      </c>
      <c r="C5661" t="s" s="12">
        <v>820</v>
      </c>
      <c r="D5661" s="13"/>
      <c r="E5661" s="13">
        <v>7</v>
      </c>
      <c r="F5661" s="14"/>
      <c r="G5661" s="14"/>
      <c r="H5661" s="14"/>
      <c r="I5661" s="14"/>
    </row>
    <row r="5662" ht="20.7" customHeight="1">
      <c r="A5662" s="10">
        <v>45701</v>
      </c>
      <c r="B5662" t="s" s="11">
        <v>8</v>
      </c>
      <c r="C5662" t="s" s="12">
        <v>8</v>
      </c>
      <c r="D5662" s="15" cm="1">
        <f t="array" ref="D5662">SUM(D5660:D5661)</f>
        <v>7</v>
      </c>
      <c r="E5662" s="15" cm="1">
        <f t="array" ref="E5662">SUM(E5660:E5661)</f>
        <v>7</v>
      </c>
      <c r="F5662" s="16" cm="1">
        <f t="array" ref="F5662">SUM(F5660:F5661)</f>
        <v>0</v>
      </c>
      <c r="G5662" s="16" cm="1">
        <f t="array" ref="G5662">SUM(G5660:G5661)</f>
        <v>0</v>
      </c>
      <c r="H5662" s="16" cm="1">
        <f t="array" ref="H5662">SUM(H5660:H5661)</f>
        <v>0</v>
      </c>
      <c r="I5662" s="16" cm="1">
        <f t="array" ref="I5662">SUM(I5660:I5661)</f>
        <v>0</v>
      </c>
    </row>
    <row r="5663" ht="20.65" customHeight="1">
      <c r="A5663" s="10">
        <v>45701</v>
      </c>
      <c r="B5663" t="s" s="11">
        <v>843</v>
      </c>
      <c r="C5663" t="s" s="12">
        <v>820</v>
      </c>
      <c r="D5663" s="17">
        <v>16</v>
      </c>
      <c r="E5663" s="17"/>
      <c r="F5663" s="18"/>
      <c r="G5663" s="18"/>
      <c r="H5663" s="18"/>
      <c r="I5663" s="18"/>
    </row>
    <row r="5664" ht="20.65" customHeight="1">
      <c r="A5664" s="10">
        <v>45701</v>
      </c>
      <c r="B5664" t="s" s="11">
        <v>91</v>
      </c>
      <c r="C5664" t="s" s="12">
        <v>820</v>
      </c>
      <c r="D5664" s="13"/>
      <c r="E5664" s="13">
        <v>16</v>
      </c>
      <c r="F5664" s="14"/>
      <c r="G5664" s="14"/>
      <c r="H5664" s="14"/>
      <c r="I5664" s="14"/>
    </row>
    <row r="5665" ht="20.7" customHeight="1">
      <c r="A5665" s="10">
        <v>45701</v>
      </c>
      <c r="B5665" t="s" s="11">
        <v>8</v>
      </c>
      <c r="C5665" t="s" s="12">
        <v>8</v>
      </c>
      <c r="D5665" s="15" cm="1">
        <f t="array" ref="D5665">SUM(D5663:D5664)</f>
        <v>16</v>
      </c>
      <c r="E5665" s="15" cm="1">
        <f t="array" ref="E5665">SUM(E5663:E5664)</f>
        <v>16</v>
      </c>
      <c r="F5665" s="16" cm="1">
        <f t="array" ref="F5665">SUM(F5663:F5664)</f>
        <v>0</v>
      </c>
      <c r="G5665" s="16" cm="1">
        <f t="array" ref="G5665">SUM(G5663:G5664)</f>
        <v>0</v>
      </c>
      <c r="H5665" s="16" cm="1">
        <f t="array" ref="H5665">SUM(H5663:H5664)</f>
        <v>0</v>
      </c>
      <c r="I5665" s="16" cm="1">
        <f t="array" ref="I5665">SUM(I5663:I5664)</f>
        <v>0</v>
      </c>
    </row>
    <row r="5666" ht="20.65" customHeight="1">
      <c r="A5666" s="10">
        <v>45701</v>
      </c>
      <c r="B5666" t="s" s="11">
        <v>814</v>
      </c>
      <c r="C5666" t="s" s="12">
        <v>876</v>
      </c>
      <c r="D5666" s="17"/>
      <c r="E5666" s="17">
        <v>20000</v>
      </c>
      <c r="F5666" s="18"/>
      <c r="G5666" s="18"/>
      <c r="H5666" s="18"/>
      <c r="I5666" s="18"/>
    </row>
    <row r="5667" ht="20.65" customHeight="1">
      <c r="A5667" s="10">
        <v>45701</v>
      </c>
      <c r="B5667" t="s" s="11">
        <v>5</v>
      </c>
      <c r="C5667" t="s" s="12">
        <v>876</v>
      </c>
      <c r="D5667" s="13">
        <v>20000</v>
      </c>
      <c r="E5667" s="13"/>
      <c r="F5667" s="14"/>
      <c r="G5667" s="14"/>
      <c r="H5667" s="14"/>
      <c r="I5667" s="14"/>
    </row>
    <row r="5668" ht="20.7" customHeight="1">
      <c r="A5668" s="10">
        <v>45701</v>
      </c>
      <c r="B5668" t="s" s="11">
        <v>8</v>
      </c>
      <c r="C5668" t="s" s="12">
        <v>8</v>
      </c>
      <c r="D5668" s="15" cm="1">
        <f t="array" ref="D5668">SUM(D5666:D5667)</f>
        <v>20000</v>
      </c>
      <c r="E5668" s="15" cm="1">
        <f t="array" ref="E5668">SUM(E5666:E5667)</f>
        <v>20000</v>
      </c>
      <c r="F5668" s="16" cm="1">
        <f t="array" ref="F5668">SUM(F5666:F5667)</f>
        <v>0</v>
      </c>
      <c r="G5668" s="16" cm="1">
        <f t="array" ref="G5668">SUM(G5666:G5667)</f>
        <v>0</v>
      </c>
      <c r="H5668" s="16" cm="1">
        <f t="array" ref="H5668">SUM(H5666:H5667)</f>
        <v>0</v>
      </c>
      <c r="I5668" s="16" cm="1">
        <f t="array" ref="I5668">SUM(I5666:I5667)</f>
        <v>0</v>
      </c>
    </row>
    <row r="5669" ht="20.35" customHeight="1">
      <c r="A5669" s="10">
        <v>45701</v>
      </c>
      <c r="B5669" t="s" s="11">
        <v>814</v>
      </c>
      <c r="C5669" t="s" s="12">
        <v>877</v>
      </c>
      <c r="D5669" s="17"/>
      <c r="E5669" s="17">
        <v>20000</v>
      </c>
      <c r="F5669" s="18"/>
      <c r="G5669" s="18"/>
      <c r="H5669" s="18"/>
      <c r="I5669" s="18"/>
    </row>
    <row r="5670" ht="20.35" customHeight="1">
      <c r="A5670" s="10">
        <v>45701</v>
      </c>
      <c r="B5670" t="s" s="11">
        <v>5</v>
      </c>
      <c r="C5670" t="s" s="12">
        <v>877</v>
      </c>
      <c r="D5670" s="13">
        <v>20000</v>
      </c>
      <c r="E5670" s="13"/>
      <c r="F5670" s="14"/>
      <c r="G5670" s="14"/>
      <c r="H5670" s="14"/>
      <c r="I5670" s="14"/>
    </row>
    <row r="5671" ht="20.7" customHeight="1">
      <c r="A5671" s="10">
        <v>45701</v>
      </c>
      <c r="B5671" t="s" s="11">
        <v>8</v>
      </c>
      <c r="C5671" t="s" s="12">
        <v>8</v>
      </c>
      <c r="D5671" s="15" cm="1">
        <f t="array" ref="D5671">SUM(D5669:D5670)</f>
        <v>20000</v>
      </c>
      <c r="E5671" s="15" cm="1">
        <f t="array" ref="E5671">SUM(E5669:E5670)</f>
        <v>20000</v>
      </c>
      <c r="F5671" s="16" cm="1">
        <f t="array" ref="F5671">SUM(F5669:F5670)</f>
        <v>0</v>
      </c>
      <c r="G5671" s="16" cm="1">
        <f t="array" ref="G5671">SUM(G5669:G5670)</f>
        <v>0</v>
      </c>
      <c r="H5671" s="16" cm="1">
        <f t="array" ref="H5671">SUM(H5669:H5670)</f>
        <v>0</v>
      </c>
      <c r="I5671" s="16" cm="1">
        <f t="array" ref="I5671">SUM(I5669:I5670)</f>
        <v>0</v>
      </c>
    </row>
    <row r="5672" ht="20.35" customHeight="1">
      <c r="A5672" s="10">
        <v>45701</v>
      </c>
      <c r="B5672" t="s" s="11">
        <v>5</v>
      </c>
      <c r="C5672" t="s" s="12">
        <v>877</v>
      </c>
      <c r="D5672" s="17"/>
      <c r="E5672" s="17">
        <v>26700</v>
      </c>
      <c r="F5672" s="18"/>
      <c r="G5672" s="18"/>
      <c r="H5672" s="18"/>
      <c r="I5672" s="18"/>
    </row>
    <row r="5673" ht="20.35" customHeight="1">
      <c r="A5673" s="10">
        <v>45701</v>
      </c>
      <c r="B5673" t="s" s="11">
        <v>12</v>
      </c>
      <c r="C5673" t="s" s="12">
        <v>877</v>
      </c>
      <c r="D5673" s="13">
        <v>26700</v>
      </c>
      <c r="E5673" s="13"/>
      <c r="F5673" s="14"/>
      <c r="G5673" s="14"/>
      <c r="H5673" s="14"/>
      <c r="I5673" s="14"/>
    </row>
    <row r="5674" ht="20.7" customHeight="1">
      <c r="A5674" s="10">
        <v>45701</v>
      </c>
      <c r="B5674" t="s" s="11">
        <v>8</v>
      </c>
      <c r="C5674" t="s" s="12">
        <v>8</v>
      </c>
      <c r="D5674" s="15" cm="1">
        <f t="array" ref="D5674">SUM(D5672:D5673)</f>
        <v>26700</v>
      </c>
      <c r="E5674" s="15" cm="1">
        <f t="array" ref="E5674">SUM(E5672:E5673)</f>
        <v>26700</v>
      </c>
      <c r="F5674" s="16" cm="1">
        <f t="array" ref="F5674">SUM(F5672:F5673)</f>
        <v>0</v>
      </c>
      <c r="G5674" s="16" cm="1">
        <f t="array" ref="G5674">SUM(G5672:G5673)</f>
        <v>0</v>
      </c>
      <c r="H5674" s="16" cm="1">
        <f t="array" ref="H5674">SUM(H5672:H5673)</f>
        <v>0</v>
      </c>
      <c r="I5674" s="16" cm="1">
        <f t="array" ref="I5674">SUM(I5672:I5673)</f>
        <v>0</v>
      </c>
    </row>
    <row r="5675" ht="20.35" customHeight="1">
      <c r="A5675" s="10">
        <v>45701</v>
      </c>
      <c r="B5675" t="s" s="11">
        <v>91</v>
      </c>
      <c r="C5675" t="s" s="12">
        <v>17</v>
      </c>
      <c r="D5675" s="17"/>
      <c r="E5675" s="17">
        <v>500</v>
      </c>
      <c r="F5675" s="18"/>
      <c r="G5675" s="18"/>
      <c r="H5675" s="18"/>
      <c r="I5675" s="18"/>
    </row>
    <row r="5676" ht="20.35" customHeight="1">
      <c r="A5676" s="10">
        <v>45701</v>
      </c>
      <c r="B5676" t="s" s="11">
        <v>5</v>
      </c>
      <c r="C5676" t="s" s="12">
        <v>17</v>
      </c>
      <c r="D5676" s="13">
        <v>500</v>
      </c>
      <c r="E5676" s="13"/>
      <c r="F5676" s="14"/>
      <c r="G5676" s="14"/>
      <c r="H5676" s="14"/>
      <c r="I5676" s="14"/>
    </row>
    <row r="5677" ht="20.7" customHeight="1">
      <c r="A5677" s="10">
        <v>45701</v>
      </c>
      <c r="B5677" t="s" s="11">
        <v>8</v>
      </c>
      <c r="C5677" t="s" s="12">
        <v>8</v>
      </c>
      <c r="D5677" s="15" cm="1">
        <f t="array" ref="D5677">SUM(D5675:D5676)</f>
        <v>500</v>
      </c>
      <c r="E5677" s="15" cm="1">
        <f t="array" ref="E5677">SUM(E5675:E5676)</f>
        <v>500</v>
      </c>
      <c r="F5677" s="16" cm="1">
        <f t="array" ref="F5677">SUM(F5675:F5676)</f>
        <v>0</v>
      </c>
      <c r="G5677" s="16" cm="1">
        <f t="array" ref="G5677">SUM(G5675:G5676)</f>
        <v>0</v>
      </c>
      <c r="H5677" s="16" cm="1">
        <f t="array" ref="H5677">SUM(H5675:H5676)</f>
        <v>0</v>
      </c>
      <c r="I5677" s="16" cm="1">
        <f t="array" ref="I5677">SUM(I5675:I5676)</f>
        <v>0</v>
      </c>
    </row>
    <row r="5678" ht="21.25" customHeight="1">
      <c r="A5678" s="10">
        <v>45701</v>
      </c>
      <c r="B5678" t="s" s="11">
        <v>5</v>
      </c>
      <c r="C5678" t="s" s="12">
        <v>799</v>
      </c>
      <c r="D5678" s="17">
        <v>2</v>
      </c>
      <c r="E5678" s="17"/>
      <c r="F5678" s="18"/>
      <c r="G5678" s="18"/>
      <c r="H5678" s="18"/>
      <c r="I5678" s="18"/>
    </row>
    <row r="5679" ht="21.25" customHeight="1">
      <c r="A5679" s="10">
        <v>45701</v>
      </c>
      <c r="B5679" t="s" s="11">
        <v>91</v>
      </c>
      <c r="C5679" t="s" s="12">
        <v>799</v>
      </c>
      <c r="D5679" s="13"/>
      <c r="E5679" s="13">
        <v>2</v>
      </c>
      <c r="F5679" s="14"/>
      <c r="G5679" s="14"/>
      <c r="H5679" s="14"/>
      <c r="I5679" s="14"/>
    </row>
    <row r="5680" ht="20.7" customHeight="1">
      <c r="A5680" s="10">
        <v>45701</v>
      </c>
      <c r="B5680" t="s" s="11">
        <v>8</v>
      </c>
      <c r="C5680" t="s" s="12">
        <v>8</v>
      </c>
      <c r="D5680" s="15" cm="1">
        <f t="array" ref="D5680">SUM(D5678:D5679)</f>
        <v>2</v>
      </c>
      <c r="E5680" s="15" cm="1">
        <f t="array" ref="E5680">SUM(E5678:E5679)</f>
        <v>2</v>
      </c>
      <c r="F5680" s="16" cm="1">
        <f t="array" ref="F5680">SUM(F5678:F5679)</f>
        <v>0</v>
      </c>
      <c r="G5680" s="16" cm="1">
        <f t="array" ref="G5680">SUM(G5678:G5679)</f>
        <v>0</v>
      </c>
      <c r="H5680" s="16" cm="1">
        <f t="array" ref="H5680">SUM(H5678:H5679)</f>
        <v>0</v>
      </c>
      <c r="I5680" s="16" cm="1">
        <f t="array" ref="I5680">SUM(I5678:I5679)</f>
        <v>0</v>
      </c>
    </row>
    <row r="5681" ht="20.65" customHeight="1">
      <c r="A5681" s="10">
        <v>45701</v>
      </c>
      <c r="B5681" t="s" s="11">
        <v>5</v>
      </c>
      <c r="C5681" t="s" s="12">
        <v>876</v>
      </c>
      <c r="D5681" s="17"/>
      <c r="E5681" s="17">
        <v>6880</v>
      </c>
      <c r="F5681" s="18"/>
      <c r="G5681" s="18"/>
      <c r="H5681" s="18"/>
      <c r="I5681" s="18"/>
    </row>
    <row r="5682" ht="20.65" customHeight="1">
      <c r="A5682" s="10">
        <v>45701</v>
      </c>
      <c r="B5682" t="s" s="11">
        <v>12</v>
      </c>
      <c r="C5682" t="s" s="12">
        <v>876</v>
      </c>
      <c r="D5682" s="13">
        <v>6880</v>
      </c>
      <c r="E5682" s="13"/>
      <c r="F5682" s="14"/>
      <c r="G5682" s="14"/>
      <c r="H5682" s="14"/>
      <c r="I5682" s="14"/>
    </row>
    <row r="5683" ht="20.7" customHeight="1">
      <c r="A5683" s="10">
        <v>45701</v>
      </c>
      <c r="B5683" t="s" s="11">
        <v>8</v>
      </c>
      <c r="C5683" t="s" s="12">
        <v>8</v>
      </c>
      <c r="D5683" s="15" cm="1">
        <f t="array" ref="D5683">SUM(D5681:D5682)</f>
        <v>6880</v>
      </c>
      <c r="E5683" s="15" cm="1">
        <f t="array" ref="E5683">SUM(E5681:E5682)</f>
        <v>6880</v>
      </c>
      <c r="F5683" s="16" cm="1">
        <f t="array" ref="F5683">SUM(F5681:F5682)</f>
        <v>0</v>
      </c>
      <c r="G5683" s="16" cm="1">
        <f t="array" ref="G5683">SUM(G5681:G5682)</f>
        <v>0</v>
      </c>
      <c r="H5683" s="16" cm="1">
        <f t="array" ref="H5683">SUM(H5681:H5682)</f>
        <v>0</v>
      </c>
      <c r="I5683" s="16" cm="1">
        <f t="array" ref="I5683">SUM(I5681:I5682)</f>
        <v>0</v>
      </c>
    </row>
    <row r="5684" ht="20.65" customHeight="1">
      <c r="A5684" s="10">
        <v>45702</v>
      </c>
      <c r="B5684" t="s" s="11">
        <v>814</v>
      </c>
      <c r="C5684" t="s" s="12">
        <v>820</v>
      </c>
      <c r="D5684" s="17">
        <v>5</v>
      </c>
      <c r="E5684" s="17"/>
      <c r="F5684" s="18"/>
      <c r="G5684" s="18"/>
      <c r="H5684" s="18"/>
      <c r="I5684" s="18"/>
    </row>
    <row r="5685" ht="20.65" customHeight="1">
      <c r="A5685" s="10">
        <v>45702</v>
      </c>
      <c r="B5685" t="s" s="11">
        <v>91</v>
      </c>
      <c r="C5685" t="s" s="12">
        <v>820</v>
      </c>
      <c r="D5685" s="13"/>
      <c r="E5685" s="13">
        <v>5</v>
      </c>
      <c r="F5685" s="14"/>
      <c r="G5685" s="14"/>
      <c r="H5685" s="14"/>
      <c r="I5685" s="14"/>
    </row>
    <row r="5686" ht="20.7" customHeight="1">
      <c r="A5686" s="10">
        <v>45702</v>
      </c>
      <c r="B5686" t="s" s="11">
        <v>8</v>
      </c>
      <c r="C5686" t="s" s="12">
        <v>8</v>
      </c>
      <c r="D5686" s="15" cm="1">
        <f t="array" ref="D5686">SUM(D5684:D5685)</f>
        <v>5</v>
      </c>
      <c r="E5686" s="15" cm="1">
        <f t="array" ref="E5686">SUM(E5684:E5685)</f>
        <v>5</v>
      </c>
      <c r="F5686" s="16" cm="1">
        <f t="array" ref="F5686">SUM(F5684:F5685)</f>
        <v>0</v>
      </c>
      <c r="G5686" s="16" cm="1">
        <f t="array" ref="G5686">SUM(G5684:G5685)</f>
        <v>0</v>
      </c>
      <c r="H5686" s="16" cm="1">
        <f t="array" ref="H5686">SUM(H5684:H5685)</f>
        <v>0</v>
      </c>
      <c r="I5686" s="16" cm="1">
        <f t="array" ref="I5686">SUM(I5684:I5685)</f>
        <v>0</v>
      </c>
    </row>
    <row r="5687" ht="20.65" customHeight="1">
      <c r="A5687" s="10">
        <v>45702</v>
      </c>
      <c r="B5687" t="s" s="11">
        <v>843</v>
      </c>
      <c r="C5687" t="s" s="12">
        <v>820</v>
      </c>
      <c r="D5687" s="17">
        <v>16</v>
      </c>
      <c r="E5687" s="17"/>
      <c r="F5687" s="18"/>
      <c r="G5687" s="18"/>
      <c r="H5687" s="18"/>
      <c r="I5687" s="18"/>
    </row>
    <row r="5688" ht="20.65" customHeight="1">
      <c r="A5688" s="10">
        <v>45702</v>
      </c>
      <c r="B5688" t="s" s="11">
        <v>91</v>
      </c>
      <c r="C5688" t="s" s="12">
        <v>820</v>
      </c>
      <c r="D5688" s="13"/>
      <c r="E5688" s="13">
        <v>16</v>
      </c>
      <c r="F5688" s="14"/>
      <c r="G5688" s="14"/>
      <c r="H5688" s="14"/>
      <c r="I5688" s="14"/>
    </row>
    <row r="5689" ht="20.7" customHeight="1">
      <c r="A5689" s="10">
        <v>45702</v>
      </c>
      <c r="B5689" t="s" s="11">
        <v>8</v>
      </c>
      <c r="C5689" t="s" s="12">
        <v>8</v>
      </c>
      <c r="D5689" s="15" cm="1">
        <f t="array" ref="D5689">SUM(D5687:D5688)</f>
        <v>16</v>
      </c>
      <c r="E5689" s="15" cm="1">
        <f t="array" ref="E5689">SUM(E5687:E5688)</f>
        <v>16</v>
      </c>
      <c r="F5689" s="16" cm="1">
        <f t="array" ref="F5689">SUM(F5687:F5688)</f>
        <v>0</v>
      </c>
      <c r="G5689" s="16" cm="1">
        <f t="array" ref="G5689">SUM(G5687:G5688)</f>
        <v>0</v>
      </c>
      <c r="H5689" s="16" cm="1">
        <f t="array" ref="H5689">SUM(H5687:H5688)</f>
        <v>0</v>
      </c>
      <c r="I5689" s="16" cm="1">
        <f t="array" ref="I5689">SUM(I5687:I5688)</f>
        <v>0</v>
      </c>
    </row>
    <row r="5690" ht="20.35" customHeight="1">
      <c r="A5690" s="10">
        <v>45702</v>
      </c>
      <c r="B5690" t="s" s="11">
        <v>814</v>
      </c>
      <c r="C5690" t="s" s="12">
        <v>20</v>
      </c>
      <c r="D5690" s="17"/>
      <c r="E5690" s="17">
        <v>4000</v>
      </c>
      <c r="F5690" s="18"/>
      <c r="G5690" s="18"/>
      <c r="H5690" s="18"/>
      <c r="I5690" s="18"/>
    </row>
    <row r="5691" ht="20.35" customHeight="1">
      <c r="A5691" s="10">
        <v>45702</v>
      </c>
      <c r="B5691" t="s" s="11">
        <v>5</v>
      </c>
      <c r="C5691" t="s" s="12">
        <v>20</v>
      </c>
      <c r="D5691" s="13">
        <v>4000</v>
      </c>
      <c r="E5691" s="13"/>
      <c r="F5691" s="14"/>
      <c r="G5691" s="14"/>
      <c r="H5691" s="14"/>
      <c r="I5691" s="14"/>
    </row>
    <row r="5692" ht="20.7" customHeight="1">
      <c r="A5692" s="10">
        <v>45702</v>
      </c>
      <c r="B5692" t="s" s="11">
        <v>8</v>
      </c>
      <c r="C5692" t="s" s="12">
        <v>8</v>
      </c>
      <c r="D5692" s="15" cm="1">
        <f t="array" ref="D5692">SUM(D5690:D5691)</f>
        <v>4000</v>
      </c>
      <c r="E5692" s="15" cm="1">
        <f t="array" ref="E5692">SUM(E5690:E5691)</f>
        <v>4000</v>
      </c>
      <c r="F5692" s="16" cm="1">
        <f t="array" ref="F5692">SUM(F5690:F5691)</f>
        <v>0</v>
      </c>
      <c r="G5692" s="16" cm="1">
        <f t="array" ref="G5692">SUM(G5690:G5691)</f>
        <v>0</v>
      </c>
      <c r="H5692" s="16" cm="1">
        <f t="array" ref="H5692">SUM(H5690:H5691)</f>
        <v>0</v>
      </c>
      <c r="I5692" s="16" cm="1">
        <f t="array" ref="I5692">SUM(I5690:I5691)</f>
        <v>0</v>
      </c>
    </row>
    <row r="5693" ht="20.35" customHeight="1">
      <c r="A5693" s="10">
        <v>45702</v>
      </c>
      <c r="B5693" t="s" s="11">
        <v>5</v>
      </c>
      <c r="C5693" t="s" s="12">
        <v>604</v>
      </c>
      <c r="D5693" s="17"/>
      <c r="E5693" s="17">
        <v>10000</v>
      </c>
      <c r="F5693" s="18"/>
      <c r="G5693" s="18"/>
      <c r="H5693" s="18"/>
      <c r="I5693" s="18"/>
    </row>
    <row r="5694" ht="20.35" customHeight="1">
      <c r="A5694" s="10">
        <v>45702</v>
      </c>
      <c r="B5694" t="s" s="11">
        <v>93</v>
      </c>
      <c r="C5694" t="s" s="12">
        <v>604</v>
      </c>
      <c r="D5694" s="13">
        <v>10000</v>
      </c>
      <c r="E5694" s="13"/>
      <c r="F5694" s="14"/>
      <c r="G5694" s="14"/>
      <c r="H5694" s="14"/>
      <c r="I5694" s="14"/>
    </row>
    <row r="5695" ht="20.7" customHeight="1">
      <c r="A5695" s="10">
        <v>45702</v>
      </c>
      <c r="B5695" t="s" s="11">
        <v>8</v>
      </c>
      <c r="C5695" t="s" s="12">
        <v>8</v>
      </c>
      <c r="D5695" s="15" cm="1">
        <f t="array" ref="D5695">SUM(D5693:D5694)</f>
        <v>10000</v>
      </c>
      <c r="E5695" s="15" cm="1">
        <f t="array" ref="E5695">SUM(E5693:E5694)</f>
        <v>10000</v>
      </c>
      <c r="F5695" s="16" cm="1">
        <f t="array" ref="F5695">SUM(F5693:F5694)</f>
        <v>0</v>
      </c>
      <c r="G5695" s="16" cm="1">
        <f t="array" ref="G5695">SUM(G5693:G5694)</f>
        <v>0</v>
      </c>
      <c r="H5695" s="16" cm="1">
        <f t="array" ref="H5695">SUM(H5693:H5694)</f>
        <v>0</v>
      </c>
      <c r="I5695" s="16" cm="1">
        <f t="array" ref="I5695">SUM(I5693:I5694)</f>
        <v>0</v>
      </c>
    </row>
    <row r="5696" ht="20.35" customHeight="1">
      <c r="A5696" s="10">
        <v>45702</v>
      </c>
      <c r="B5696" t="s" s="11">
        <v>5</v>
      </c>
      <c r="C5696" t="s" s="12">
        <v>53</v>
      </c>
      <c r="D5696" s="17"/>
      <c r="E5696" s="17">
        <v>700</v>
      </c>
      <c r="F5696" s="18"/>
      <c r="G5696" s="18"/>
      <c r="H5696" s="18"/>
      <c r="I5696" s="18"/>
    </row>
    <row r="5697" ht="20.35" customHeight="1">
      <c r="A5697" s="10">
        <v>45702</v>
      </c>
      <c r="B5697" t="s" s="11">
        <v>12</v>
      </c>
      <c r="C5697" t="s" s="12">
        <v>53</v>
      </c>
      <c r="D5697" s="13">
        <v>700</v>
      </c>
      <c r="E5697" s="13"/>
      <c r="F5697" s="14"/>
      <c r="G5697" s="14"/>
      <c r="H5697" s="14"/>
      <c r="I5697" s="14"/>
    </row>
    <row r="5698" ht="20.7" customHeight="1">
      <c r="A5698" s="10">
        <v>45702</v>
      </c>
      <c r="B5698" t="s" s="11">
        <v>8</v>
      </c>
      <c r="C5698" t="s" s="12">
        <v>8</v>
      </c>
      <c r="D5698" s="15" cm="1">
        <f t="array" ref="D5698">SUM(D5696:D5697)</f>
        <v>700</v>
      </c>
      <c r="E5698" s="15" cm="1">
        <f t="array" ref="E5698">SUM(E5696:E5697)</f>
        <v>700</v>
      </c>
      <c r="F5698" s="16" cm="1">
        <f t="array" ref="F5698">SUM(F5696:F5697)</f>
        <v>0</v>
      </c>
      <c r="G5698" s="16" cm="1">
        <f t="array" ref="G5698">SUM(G5696:G5697)</f>
        <v>0</v>
      </c>
      <c r="H5698" s="16" cm="1">
        <f t="array" ref="H5698">SUM(H5696:H5697)</f>
        <v>0</v>
      </c>
      <c r="I5698" s="16" cm="1">
        <f t="array" ref="I5698">SUM(I5696:I5697)</f>
        <v>0</v>
      </c>
    </row>
    <row r="5699" ht="20.65" customHeight="1">
      <c r="A5699" s="10">
        <v>45702</v>
      </c>
      <c r="B5699" t="s" s="11">
        <v>814</v>
      </c>
      <c r="C5699" t="s" s="12">
        <v>876</v>
      </c>
      <c r="D5699" s="17"/>
      <c r="E5699" s="17">
        <v>10000</v>
      </c>
      <c r="F5699" s="18"/>
      <c r="G5699" s="18"/>
      <c r="H5699" s="18"/>
      <c r="I5699" s="18"/>
    </row>
    <row r="5700" ht="20.65" customHeight="1">
      <c r="A5700" s="10">
        <v>45702</v>
      </c>
      <c r="B5700" t="s" s="11">
        <v>5</v>
      </c>
      <c r="C5700" t="s" s="12">
        <v>876</v>
      </c>
      <c r="D5700" s="13">
        <v>10000</v>
      </c>
      <c r="E5700" s="13"/>
      <c r="F5700" s="14"/>
      <c r="G5700" s="14"/>
      <c r="H5700" s="14"/>
      <c r="I5700" s="14"/>
    </row>
    <row r="5701" ht="20.7" customHeight="1">
      <c r="A5701" s="10">
        <v>45702</v>
      </c>
      <c r="B5701" t="s" s="11">
        <v>8</v>
      </c>
      <c r="C5701" t="s" s="12">
        <v>8</v>
      </c>
      <c r="D5701" s="15" cm="1">
        <f t="array" ref="D5701">SUM(D5699:D5700)</f>
        <v>10000</v>
      </c>
      <c r="E5701" s="15" cm="1">
        <f t="array" ref="E5701">SUM(E5699:E5700)</f>
        <v>10000</v>
      </c>
      <c r="F5701" s="16" cm="1">
        <f t="array" ref="F5701">SUM(F5699:F5700)</f>
        <v>0</v>
      </c>
      <c r="G5701" s="16" cm="1">
        <f t="array" ref="G5701">SUM(G5699:G5700)</f>
        <v>0</v>
      </c>
      <c r="H5701" s="16" cm="1">
        <f t="array" ref="H5701">SUM(H5699:H5700)</f>
        <v>0</v>
      </c>
      <c r="I5701" s="16" cm="1">
        <f t="array" ref="I5701">SUM(I5699:I5700)</f>
        <v>0</v>
      </c>
    </row>
    <row r="5702" ht="20.65" customHeight="1">
      <c r="A5702" s="10">
        <v>45702</v>
      </c>
      <c r="B5702" t="s" s="11">
        <v>814</v>
      </c>
      <c r="C5702" t="s" s="12">
        <v>878</v>
      </c>
      <c r="D5702" s="17"/>
      <c r="E5702" s="17">
        <v>10000</v>
      </c>
      <c r="F5702" s="18"/>
      <c r="G5702" s="18"/>
      <c r="H5702" s="18"/>
      <c r="I5702" s="18"/>
    </row>
    <row r="5703" ht="20.65" customHeight="1">
      <c r="A5703" s="10">
        <v>45702</v>
      </c>
      <c r="B5703" t="s" s="11">
        <v>5</v>
      </c>
      <c r="C5703" t="s" s="12">
        <v>878</v>
      </c>
      <c r="D5703" s="13">
        <v>10000</v>
      </c>
      <c r="E5703" s="13"/>
      <c r="F5703" s="14"/>
      <c r="G5703" s="14"/>
      <c r="H5703" s="14"/>
      <c r="I5703" s="14"/>
    </row>
    <row r="5704" ht="20.7" customHeight="1">
      <c r="A5704" s="10">
        <v>45702</v>
      </c>
      <c r="B5704" t="s" s="11">
        <v>8</v>
      </c>
      <c r="C5704" t="s" s="12">
        <v>8</v>
      </c>
      <c r="D5704" s="15" cm="1">
        <f t="array" ref="D5704">SUM(D5702:D5703)</f>
        <v>10000</v>
      </c>
      <c r="E5704" s="15" cm="1">
        <f t="array" ref="E5704">SUM(E5702:E5703)</f>
        <v>10000</v>
      </c>
      <c r="F5704" s="16" cm="1">
        <f t="array" ref="F5704">SUM(F5702:F5703)</f>
        <v>0</v>
      </c>
      <c r="G5704" s="16" cm="1">
        <f t="array" ref="G5704">SUM(G5702:G5703)</f>
        <v>0</v>
      </c>
      <c r="H5704" s="16" cm="1">
        <f t="array" ref="H5704">SUM(H5702:H5703)</f>
        <v>0</v>
      </c>
      <c r="I5704" s="16" cm="1">
        <f t="array" ref="I5704">SUM(I5702:I5703)</f>
        <v>0</v>
      </c>
    </row>
    <row r="5705" ht="20.65" customHeight="1">
      <c r="A5705" s="10">
        <v>45702</v>
      </c>
      <c r="B5705" t="s" s="11">
        <v>5</v>
      </c>
      <c r="C5705" t="s" s="12">
        <v>876</v>
      </c>
      <c r="D5705" s="17"/>
      <c r="E5705" s="17">
        <v>11000</v>
      </c>
      <c r="F5705" s="18"/>
      <c r="G5705" s="18"/>
      <c r="H5705" s="18"/>
      <c r="I5705" s="18"/>
    </row>
    <row r="5706" ht="20.65" customHeight="1">
      <c r="A5706" s="10">
        <v>45702</v>
      </c>
      <c r="B5706" t="s" s="11">
        <v>12</v>
      </c>
      <c r="C5706" t="s" s="12">
        <v>876</v>
      </c>
      <c r="D5706" s="13">
        <v>11000</v>
      </c>
      <c r="E5706" s="13"/>
      <c r="F5706" s="14"/>
      <c r="G5706" s="14"/>
      <c r="H5706" s="14"/>
      <c r="I5706" s="14"/>
    </row>
    <row r="5707" ht="20.7" customHeight="1">
      <c r="A5707" s="10">
        <v>45702</v>
      </c>
      <c r="B5707" t="s" s="11">
        <v>8</v>
      </c>
      <c r="C5707" t="s" s="12">
        <v>8</v>
      </c>
      <c r="D5707" s="15" cm="1">
        <f t="array" ref="D5707">SUM(D5705:D5706)</f>
        <v>11000</v>
      </c>
      <c r="E5707" s="15" cm="1">
        <f t="array" ref="E5707">SUM(E5705:E5706)</f>
        <v>11000</v>
      </c>
      <c r="F5707" s="16" cm="1">
        <f t="array" ref="F5707">SUM(F5705:F5706)</f>
        <v>0</v>
      </c>
      <c r="G5707" s="16" cm="1">
        <f t="array" ref="G5707">SUM(G5705:G5706)</f>
        <v>0</v>
      </c>
      <c r="H5707" s="16" cm="1">
        <f t="array" ref="H5707">SUM(H5705:H5706)</f>
        <v>0</v>
      </c>
      <c r="I5707" s="16" cm="1">
        <f t="array" ref="I5707">SUM(I5705:I5706)</f>
        <v>0</v>
      </c>
    </row>
    <row r="5708" ht="20.35" customHeight="1">
      <c r="A5708" s="10">
        <v>45702</v>
      </c>
      <c r="B5708" t="s" s="11">
        <v>814</v>
      </c>
      <c r="C5708" t="s" s="12">
        <v>879</v>
      </c>
      <c r="D5708" s="17"/>
      <c r="E5708" s="17">
        <v>40000</v>
      </c>
      <c r="F5708" s="18"/>
      <c r="G5708" s="18"/>
      <c r="H5708" s="18"/>
      <c r="I5708" s="18"/>
    </row>
    <row r="5709" ht="20.35" customHeight="1">
      <c r="A5709" s="10">
        <v>45702</v>
      </c>
      <c r="B5709" t="s" s="11">
        <v>5</v>
      </c>
      <c r="C5709" t="s" s="12">
        <v>879</v>
      </c>
      <c r="D5709" s="13">
        <v>40000</v>
      </c>
      <c r="E5709" s="13"/>
      <c r="F5709" s="14"/>
      <c r="G5709" s="14"/>
      <c r="H5709" s="14"/>
      <c r="I5709" s="14"/>
    </row>
    <row r="5710" ht="20.7" customHeight="1">
      <c r="A5710" s="10">
        <v>45702</v>
      </c>
      <c r="B5710" t="s" s="11">
        <v>8</v>
      </c>
      <c r="C5710" t="s" s="12">
        <v>8</v>
      </c>
      <c r="D5710" s="15" cm="1">
        <f t="array" ref="D5710">SUM(D5708:D5709)</f>
        <v>40000</v>
      </c>
      <c r="E5710" s="15" cm="1">
        <f t="array" ref="E5710">SUM(E5708:E5709)</f>
        <v>40000</v>
      </c>
      <c r="F5710" s="16" cm="1">
        <f t="array" ref="F5710">SUM(F5708:F5709)</f>
        <v>0</v>
      </c>
      <c r="G5710" s="16" cm="1">
        <f t="array" ref="G5710">SUM(G5708:G5709)</f>
        <v>0</v>
      </c>
      <c r="H5710" s="16" cm="1">
        <f t="array" ref="H5710">SUM(H5708:H5709)</f>
        <v>0</v>
      </c>
      <c r="I5710" s="16" cm="1">
        <f t="array" ref="I5710">SUM(I5708:I5709)</f>
        <v>0</v>
      </c>
    </row>
    <row r="5711" ht="20.35" customHeight="1">
      <c r="A5711" s="10">
        <v>45702</v>
      </c>
      <c r="B5711" t="s" s="11">
        <v>5</v>
      </c>
      <c r="C5711" t="s" s="12">
        <v>879</v>
      </c>
      <c r="D5711" s="17"/>
      <c r="E5711" s="17">
        <v>20800</v>
      </c>
      <c r="F5711" s="18"/>
      <c r="G5711" s="18"/>
      <c r="H5711" s="18"/>
      <c r="I5711" s="18"/>
    </row>
    <row r="5712" ht="20.35" customHeight="1">
      <c r="A5712" s="10">
        <v>45702</v>
      </c>
      <c r="B5712" t="s" s="11">
        <v>16</v>
      </c>
      <c r="C5712" t="s" s="12">
        <v>879</v>
      </c>
      <c r="D5712" s="13">
        <v>20800</v>
      </c>
      <c r="E5712" s="13"/>
      <c r="F5712" s="14"/>
      <c r="G5712" s="14"/>
      <c r="H5712" s="14"/>
      <c r="I5712" s="14"/>
    </row>
    <row r="5713" ht="20.7" customHeight="1">
      <c r="A5713" s="10">
        <v>45702</v>
      </c>
      <c r="B5713" t="s" s="11">
        <v>8</v>
      </c>
      <c r="C5713" t="s" s="12">
        <v>8</v>
      </c>
      <c r="D5713" s="15" cm="1">
        <f t="array" ref="D5713">SUM(D5711:D5712)</f>
        <v>20800</v>
      </c>
      <c r="E5713" s="15" cm="1">
        <f t="array" ref="E5713">SUM(E5711:E5712)</f>
        <v>20800</v>
      </c>
      <c r="F5713" s="16" cm="1">
        <f t="array" ref="F5713">SUM(F5711:F5712)</f>
        <v>0</v>
      </c>
      <c r="G5713" s="16" cm="1">
        <f t="array" ref="G5713">SUM(G5711:G5712)</f>
        <v>0</v>
      </c>
      <c r="H5713" s="16" cm="1">
        <f t="array" ref="H5713">SUM(H5711:H5712)</f>
        <v>0</v>
      </c>
      <c r="I5713" s="16" cm="1">
        <f t="array" ref="I5713">SUM(I5711:I5712)</f>
        <v>0</v>
      </c>
    </row>
    <row r="5714" ht="20.35" customHeight="1">
      <c r="A5714" s="10">
        <v>45702</v>
      </c>
      <c r="B5714" t="s" s="11">
        <v>814</v>
      </c>
      <c r="C5714" t="s" s="12">
        <v>879</v>
      </c>
      <c r="D5714" s="17"/>
      <c r="E5714" s="17">
        <v>20000</v>
      </c>
      <c r="F5714" s="18"/>
      <c r="G5714" s="18"/>
      <c r="H5714" s="18"/>
      <c r="I5714" s="18"/>
    </row>
    <row r="5715" ht="20.35" customHeight="1">
      <c r="A5715" s="10">
        <v>45702</v>
      </c>
      <c r="B5715" t="s" s="11">
        <v>5</v>
      </c>
      <c r="C5715" t="s" s="12">
        <v>879</v>
      </c>
      <c r="D5715" s="13">
        <v>20000</v>
      </c>
      <c r="E5715" s="13"/>
      <c r="F5715" s="14"/>
      <c r="G5715" s="14"/>
      <c r="H5715" s="14"/>
      <c r="I5715" s="14"/>
    </row>
    <row r="5716" ht="20.7" customHeight="1">
      <c r="A5716" s="10">
        <v>45702</v>
      </c>
      <c r="B5716" t="s" s="11">
        <v>8</v>
      </c>
      <c r="C5716" t="s" s="12">
        <v>8</v>
      </c>
      <c r="D5716" s="15" cm="1">
        <f t="array" ref="D5716">SUM(D5714:D5715)</f>
        <v>20000</v>
      </c>
      <c r="E5716" s="15" cm="1">
        <f t="array" ref="E5716">SUM(E5714:E5715)</f>
        <v>20000</v>
      </c>
      <c r="F5716" s="16" cm="1">
        <f t="array" ref="F5716">SUM(F5714:F5715)</f>
        <v>0</v>
      </c>
      <c r="G5716" s="16" cm="1">
        <f t="array" ref="G5716">SUM(G5714:G5715)</f>
        <v>0</v>
      </c>
      <c r="H5716" s="16" cm="1">
        <f t="array" ref="H5716">SUM(H5714:H5715)</f>
        <v>0</v>
      </c>
      <c r="I5716" s="16" cm="1">
        <f t="array" ref="I5716">SUM(I5714:I5715)</f>
        <v>0</v>
      </c>
    </row>
    <row r="5717" ht="20.35" customHeight="1">
      <c r="A5717" s="10">
        <v>45702</v>
      </c>
      <c r="B5717" t="s" s="11">
        <v>5</v>
      </c>
      <c r="C5717" t="s" s="12">
        <v>879</v>
      </c>
      <c r="D5717" s="17"/>
      <c r="E5717" s="17">
        <v>24900</v>
      </c>
      <c r="F5717" s="18"/>
      <c r="G5717" s="18"/>
      <c r="H5717" s="18"/>
      <c r="I5717" s="18"/>
    </row>
    <row r="5718" ht="20.35" customHeight="1">
      <c r="A5718" s="10">
        <v>45702</v>
      </c>
      <c r="B5718" t="s" s="11">
        <v>16</v>
      </c>
      <c r="C5718" t="s" s="12">
        <v>879</v>
      </c>
      <c r="D5718" s="13">
        <v>24900</v>
      </c>
      <c r="E5718" s="13"/>
      <c r="F5718" s="14"/>
      <c r="G5718" s="14"/>
      <c r="H5718" s="14"/>
      <c r="I5718" s="14"/>
    </row>
    <row r="5719" ht="20.7" customHeight="1">
      <c r="A5719" s="10">
        <v>45702</v>
      </c>
      <c r="B5719" t="s" s="11">
        <v>8</v>
      </c>
      <c r="C5719" t="s" s="12">
        <v>8</v>
      </c>
      <c r="D5719" s="15" cm="1">
        <f t="array" ref="D5719">SUM(D5717:D5718)</f>
        <v>24900</v>
      </c>
      <c r="E5719" s="15" cm="1">
        <f t="array" ref="E5719">SUM(E5717:E5718)</f>
        <v>24900</v>
      </c>
      <c r="F5719" s="16" cm="1">
        <f t="array" ref="F5719">SUM(F5717:F5718)</f>
        <v>0</v>
      </c>
      <c r="G5719" s="16" cm="1">
        <f t="array" ref="G5719">SUM(G5717:G5718)</f>
        <v>0</v>
      </c>
      <c r="H5719" s="16" cm="1">
        <f t="array" ref="H5719">SUM(H5717:H5718)</f>
        <v>0</v>
      </c>
      <c r="I5719" s="16" cm="1">
        <f t="array" ref="I5719">SUM(I5717:I5718)</f>
        <v>0</v>
      </c>
    </row>
    <row r="5720" ht="21.25" customHeight="1">
      <c r="A5720" s="10">
        <v>45702</v>
      </c>
      <c r="B5720" t="s" s="11">
        <v>5</v>
      </c>
      <c r="C5720" t="s" s="12">
        <v>799</v>
      </c>
      <c r="D5720" s="17">
        <v>3</v>
      </c>
      <c r="E5720" s="17"/>
      <c r="F5720" s="18"/>
      <c r="G5720" s="18"/>
      <c r="H5720" s="18"/>
      <c r="I5720" s="18"/>
    </row>
    <row r="5721" ht="21.25" customHeight="1">
      <c r="A5721" s="10">
        <v>45702</v>
      </c>
      <c r="B5721" t="s" s="11">
        <v>91</v>
      </c>
      <c r="C5721" t="s" s="12">
        <v>799</v>
      </c>
      <c r="D5721" s="13"/>
      <c r="E5721" s="13">
        <v>3</v>
      </c>
      <c r="F5721" s="14"/>
      <c r="G5721" s="14"/>
      <c r="H5721" s="14"/>
      <c r="I5721" s="14"/>
    </row>
    <row r="5722" ht="20.7" customHeight="1">
      <c r="A5722" s="10">
        <v>45702</v>
      </c>
      <c r="B5722" t="s" s="11">
        <v>8</v>
      </c>
      <c r="C5722" t="s" s="12">
        <v>8</v>
      </c>
      <c r="D5722" s="15" cm="1">
        <f t="array" ref="D5722">SUM(D5720:D5721)</f>
        <v>3</v>
      </c>
      <c r="E5722" s="15" cm="1">
        <f t="array" ref="E5722">SUM(E5720:E5721)</f>
        <v>3</v>
      </c>
      <c r="F5722" s="16" cm="1">
        <f t="array" ref="F5722">SUM(F5720:F5721)</f>
        <v>0</v>
      </c>
      <c r="G5722" s="16" cm="1">
        <f t="array" ref="G5722">SUM(G5720:G5721)</f>
        <v>0</v>
      </c>
      <c r="H5722" s="16" cm="1">
        <f t="array" ref="H5722">SUM(H5720:H5721)</f>
        <v>0</v>
      </c>
      <c r="I5722" s="16" cm="1">
        <f t="array" ref="I5722">SUM(I5720:I5721)</f>
        <v>0</v>
      </c>
    </row>
    <row r="5723" ht="21.25" customHeight="1">
      <c r="A5723" s="10">
        <v>45702</v>
      </c>
      <c r="B5723" t="s" s="11">
        <v>5</v>
      </c>
      <c r="C5723" t="s" s="12">
        <v>799</v>
      </c>
      <c r="D5723" s="17">
        <v>2</v>
      </c>
      <c r="E5723" s="17"/>
      <c r="F5723" s="18"/>
      <c r="G5723" s="18"/>
      <c r="H5723" s="18"/>
      <c r="I5723" s="18"/>
    </row>
    <row r="5724" ht="21.25" customHeight="1">
      <c r="A5724" s="10">
        <v>45702</v>
      </c>
      <c r="B5724" t="s" s="11">
        <v>91</v>
      </c>
      <c r="C5724" t="s" s="12">
        <v>799</v>
      </c>
      <c r="D5724" s="13"/>
      <c r="E5724" s="13">
        <v>2</v>
      </c>
      <c r="F5724" s="14"/>
      <c r="G5724" s="14"/>
      <c r="H5724" s="14"/>
      <c r="I5724" s="14"/>
    </row>
    <row r="5725" ht="20.7" customHeight="1">
      <c r="A5725" s="10">
        <v>45702</v>
      </c>
      <c r="B5725" t="s" s="11">
        <v>8</v>
      </c>
      <c r="C5725" t="s" s="12">
        <v>8</v>
      </c>
      <c r="D5725" s="15" cm="1">
        <f t="array" ref="D5725">SUM(D5723:D5724)</f>
        <v>2</v>
      </c>
      <c r="E5725" s="15" cm="1">
        <f t="array" ref="E5725">SUM(E5723:E5724)</f>
        <v>2</v>
      </c>
      <c r="F5725" s="16" cm="1">
        <f t="array" ref="F5725">SUM(F5723:F5724)</f>
        <v>0</v>
      </c>
      <c r="G5725" s="16" cm="1">
        <f t="array" ref="G5725">SUM(G5723:G5724)</f>
        <v>0</v>
      </c>
      <c r="H5725" s="16" cm="1">
        <f t="array" ref="H5725">SUM(H5723:H5724)</f>
        <v>0</v>
      </c>
      <c r="I5725" s="16" cm="1">
        <f t="array" ref="I5725">SUM(I5723:I5724)</f>
        <v>0</v>
      </c>
    </row>
    <row r="5726" ht="21.25" customHeight="1">
      <c r="A5726" s="10">
        <v>45702</v>
      </c>
      <c r="B5726" t="s" s="11">
        <v>5</v>
      </c>
      <c r="C5726" t="s" s="12">
        <v>799</v>
      </c>
      <c r="D5726" s="17">
        <v>3</v>
      </c>
      <c r="E5726" s="17"/>
      <c r="F5726" s="18"/>
      <c r="G5726" s="18"/>
      <c r="H5726" s="18"/>
      <c r="I5726" s="18"/>
    </row>
    <row r="5727" ht="21.25" customHeight="1">
      <c r="A5727" s="10">
        <v>45702</v>
      </c>
      <c r="B5727" t="s" s="11">
        <v>91</v>
      </c>
      <c r="C5727" t="s" s="12">
        <v>799</v>
      </c>
      <c r="D5727" s="13"/>
      <c r="E5727" s="13">
        <v>3</v>
      </c>
      <c r="F5727" s="14"/>
      <c r="G5727" s="14"/>
      <c r="H5727" s="14"/>
      <c r="I5727" s="14"/>
    </row>
    <row r="5728" ht="20.7" customHeight="1">
      <c r="A5728" s="10">
        <v>45702</v>
      </c>
      <c r="B5728" t="s" s="11">
        <v>8</v>
      </c>
      <c r="C5728" t="s" s="12">
        <v>8</v>
      </c>
      <c r="D5728" s="15" cm="1">
        <f t="array" ref="D5728">SUM(D5726:D5727)</f>
        <v>3</v>
      </c>
      <c r="E5728" s="15" cm="1">
        <f t="array" ref="E5728">SUM(E5726:E5727)</f>
        <v>3</v>
      </c>
      <c r="F5728" s="16" cm="1">
        <f t="array" ref="F5728">SUM(F5726:F5727)</f>
        <v>0</v>
      </c>
      <c r="G5728" s="16" cm="1">
        <f t="array" ref="G5728">SUM(G5726:G5727)</f>
        <v>0</v>
      </c>
      <c r="H5728" s="16" cm="1">
        <f t="array" ref="H5728">SUM(H5726:H5727)</f>
        <v>0</v>
      </c>
      <c r="I5728" s="16" cm="1">
        <f t="array" ref="I5728">SUM(I5726:I5727)</f>
        <v>0</v>
      </c>
    </row>
    <row r="5729" ht="21.25" customHeight="1">
      <c r="A5729" s="10">
        <v>45702</v>
      </c>
      <c r="B5729" t="s" s="11">
        <v>5</v>
      </c>
      <c r="C5729" t="s" s="12">
        <v>799</v>
      </c>
      <c r="D5729" s="17">
        <v>1</v>
      </c>
      <c r="E5729" s="17"/>
      <c r="F5729" s="18"/>
      <c r="G5729" s="18"/>
      <c r="H5729" s="18"/>
      <c r="I5729" s="18"/>
    </row>
    <row r="5730" ht="21.25" customHeight="1">
      <c r="A5730" s="10">
        <v>45702</v>
      </c>
      <c r="B5730" t="s" s="11">
        <v>91</v>
      </c>
      <c r="C5730" t="s" s="12">
        <v>799</v>
      </c>
      <c r="D5730" s="13"/>
      <c r="E5730" s="13">
        <v>1</v>
      </c>
      <c r="F5730" s="14"/>
      <c r="G5730" s="14"/>
      <c r="H5730" s="14"/>
      <c r="I5730" s="14"/>
    </row>
    <row r="5731" ht="20.7" customHeight="1">
      <c r="A5731" s="10">
        <v>45702</v>
      </c>
      <c r="B5731" t="s" s="11">
        <v>8</v>
      </c>
      <c r="C5731" t="s" s="12">
        <v>8</v>
      </c>
      <c r="D5731" s="15" cm="1">
        <f t="array" ref="D5731">SUM(D5729:D5730)</f>
        <v>1</v>
      </c>
      <c r="E5731" s="15" cm="1">
        <f t="array" ref="E5731">SUM(E5729:E5730)</f>
        <v>1</v>
      </c>
      <c r="F5731" s="16" cm="1">
        <f t="array" ref="F5731">SUM(F5729:F5730)</f>
        <v>0</v>
      </c>
      <c r="G5731" s="16" cm="1">
        <f t="array" ref="G5731">SUM(G5729:G5730)</f>
        <v>0</v>
      </c>
      <c r="H5731" s="16" cm="1">
        <f t="array" ref="H5731">SUM(H5729:H5730)</f>
        <v>0</v>
      </c>
      <c r="I5731" s="16" cm="1">
        <f t="array" ref="I5731">SUM(I5729:I5730)</f>
        <v>0</v>
      </c>
    </row>
    <row r="5732" ht="21.25" customHeight="1">
      <c r="A5732" s="10">
        <v>45702</v>
      </c>
      <c r="B5732" t="s" s="11">
        <v>5</v>
      </c>
      <c r="C5732" t="s" s="12">
        <v>799</v>
      </c>
      <c r="D5732" s="17">
        <v>2</v>
      </c>
      <c r="E5732" s="17"/>
      <c r="F5732" s="18"/>
      <c r="G5732" s="18"/>
      <c r="H5732" s="18"/>
      <c r="I5732" s="18"/>
    </row>
    <row r="5733" ht="21.25" customHeight="1">
      <c r="A5733" s="10">
        <v>45702</v>
      </c>
      <c r="B5733" t="s" s="11">
        <v>91</v>
      </c>
      <c r="C5733" t="s" s="12">
        <v>799</v>
      </c>
      <c r="D5733" s="13"/>
      <c r="E5733" s="13">
        <v>2</v>
      </c>
      <c r="F5733" s="14"/>
      <c r="G5733" s="14"/>
      <c r="H5733" s="14"/>
      <c r="I5733" s="14"/>
    </row>
    <row r="5734" ht="20.7" customHeight="1">
      <c r="A5734" s="10">
        <v>45702</v>
      </c>
      <c r="B5734" t="s" s="11">
        <v>8</v>
      </c>
      <c r="C5734" t="s" s="12">
        <v>8</v>
      </c>
      <c r="D5734" s="15" cm="1">
        <f t="array" ref="D5734">SUM(D5732:D5733)</f>
        <v>2</v>
      </c>
      <c r="E5734" s="15" cm="1">
        <f t="array" ref="E5734">SUM(E5732:E5733)</f>
        <v>2</v>
      </c>
      <c r="F5734" s="16" cm="1">
        <f t="array" ref="F5734">SUM(F5732:F5733)</f>
        <v>0</v>
      </c>
      <c r="G5734" s="16" cm="1">
        <f t="array" ref="G5734">SUM(G5732:G5733)</f>
        <v>0</v>
      </c>
      <c r="H5734" s="16" cm="1">
        <f t="array" ref="H5734">SUM(H5732:H5733)</f>
        <v>0</v>
      </c>
      <c r="I5734" s="16" cm="1">
        <f t="array" ref="I5734">SUM(I5732:I5733)</f>
        <v>0</v>
      </c>
    </row>
    <row r="5735" ht="21.25" customHeight="1">
      <c r="A5735" s="10">
        <v>45702</v>
      </c>
      <c r="B5735" t="s" s="11">
        <v>5</v>
      </c>
      <c r="C5735" t="s" s="12">
        <v>880</v>
      </c>
      <c r="D5735" s="17"/>
      <c r="E5735" s="17">
        <v>20720</v>
      </c>
      <c r="F5735" s="18"/>
      <c r="G5735" s="18"/>
      <c r="H5735" s="18"/>
      <c r="I5735" s="18"/>
    </row>
    <row r="5736" ht="21.25" customHeight="1">
      <c r="A5736" s="10">
        <v>45702</v>
      </c>
      <c r="B5736" t="s" s="11">
        <v>814</v>
      </c>
      <c r="C5736" t="s" s="12">
        <v>880</v>
      </c>
      <c r="D5736" s="13">
        <v>20720</v>
      </c>
      <c r="E5736" s="13"/>
      <c r="F5736" s="14"/>
      <c r="G5736" s="14"/>
      <c r="H5736" s="14"/>
      <c r="I5736" s="14"/>
    </row>
    <row r="5737" ht="20.7" customHeight="1">
      <c r="A5737" s="10">
        <v>45702</v>
      </c>
      <c r="B5737" t="s" s="11">
        <v>8</v>
      </c>
      <c r="C5737" t="s" s="12">
        <v>8</v>
      </c>
      <c r="D5737" s="15" cm="1">
        <f t="array" ref="D5737">SUM(D5735:D5736)</f>
        <v>20720</v>
      </c>
      <c r="E5737" s="15" cm="1">
        <f t="array" ref="E5737">SUM(E5735:E5736)</f>
        <v>20720</v>
      </c>
      <c r="F5737" s="16" cm="1">
        <f t="array" ref="F5737">SUM(F5735:F5736)</f>
        <v>0</v>
      </c>
      <c r="G5737" s="16" cm="1">
        <f t="array" ref="G5737">SUM(G5735:G5736)</f>
        <v>0</v>
      </c>
      <c r="H5737" s="16" cm="1">
        <f t="array" ref="H5737">SUM(H5735:H5736)</f>
        <v>0</v>
      </c>
      <c r="I5737" s="16" cm="1">
        <f t="array" ref="I5737">SUM(I5735:I5736)</f>
        <v>0</v>
      </c>
    </row>
    <row r="5738" ht="20.35" customHeight="1">
      <c r="A5738" s="10">
        <v>45702</v>
      </c>
      <c r="B5738" t="s" s="11">
        <v>93</v>
      </c>
      <c r="C5738" t="s" s="12">
        <v>20</v>
      </c>
      <c r="D5738" s="17"/>
      <c r="E5738" s="17">
        <v>5000</v>
      </c>
      <c r="F5738" s="18"/>
      <c r="G5738" s="18"/>
      <c r="H5738" s="18"/>
      <c r="I5738" s="18"/>
    </row>
    <row r="5739" ht="20.35" customHeight="1">
      <c r="A5739" s="10">
        <v>45702</v>
      </c>
      <c r="B5739" t="s" s="11">
        <v>89</v>
      </c>
      <c r="C5739" t="s" s="12">
        <v>20</v>
      </c>
      <c r="D5739" s="13">
        <v>5000</v>
      </c>
      <c r="E5739" s="13"/>
      <c r="F5739" s="14"/>
      <c r="G5739" s="14"/>
      <c r="H5739" s="14"/>
      <c r="I5739" s="14"/>
    </row>
    <row r="5740" ht="20.7" customHeight="1">
      <c r="A5740" s="10">
        <v>45702</v>
      </c>
      <c r="B5740" t="s" s="11">
        <v>8</v>
      </c>
      <c r="C5740" t="s" s="12">
        <v>8</v>
      </c>
      <c r="D5740" s="15" cm="1">
        <f t="array" ref="D5740">SUM(D5738:D5739)</f>
        <v>5000</v>
      </c>
      <c r="E5740" s="15" cm="1">
        <f t="array" ref="E5740">SUM(E5738:E5739)</f>
        <v>5000</v>
      </c>
      <c r="F5740" s="16" cm="1">
        <f t="array" ref="F5740">SUM(F5738:F5739)</f>
        <v>0</v>
      </c>
      <c r="G5740" s="16" cm="1">
        <f t="array" ref="G5740">SUM(G5738:G5739)</f>
        <v>0</v>
      </c>
      <c r="H5740" s="16" cm="1">
        <f t="array" ref="H5740">SUM(H5738:H5739)</f>
        <v>0</v>
      </c>
      <c r="I5740" s="16" cm="1">
        <f t="array" ref="I5740">SUM(I5738:I5739)</f>
        <v>0</v>
      </c>
    </row>
    <row r="5741" ht="20.35" customHeight="1">
      <c r="A5741" s="10">
        <v>45702</v>
      </c>
      <c r="B5741" t="s" s="11">
        <v>93</v>
      </c>
      <c r="C5741" t="s" s="12">
        <v>20</v>
      </c>
      <c r="D5741" s="17"/>
      <c r="E5741" s="17">
        <v>5000</v>
      </c>
      <c r="F5741" s="18"/>
      <c r="G5741" s="18"/>
      <c r="H5741" s="18"/>
      <c r="I5741" s="18"/>
    </row>
    <row r="5742" ht="20.35" customHeight="1">
      <c r="A5742" s="10">
        <v>45702</v>
      </c>
      <c r="B5742" t="s" s="11">
        <v>89</v>
      </c>
      <c r="C5742" t="s" s="12">
        <v>20</v>
      </c>
      <c r="D5742" s="13">
        <v>5000</v>
      </c>
      <c r="E5742" s="13"/>
      <c r="F5742" s="14"/>
      <c r="G5742" s="14"/>
      <c r="H5742" s="14"/>
      <c r="I5742" s="14"/>
    </row>
    <row r="5743" ht="20.7" customHeight="1">
      <c r="A5743" s="10">
        <v>45702</v>
      </c>
      <c r="B5743" t="s" s="11">
        <v>8</v>
      </c>
      <c r="C5743" t="s" s="12">
        <v>8</v>
      </c>
      <c r="D5743" s="15" cm="1">
        <f t="array" ref="D5743">SUM(D5741:D5742)</f>
        <v>5000</v>
      </c>
      <c r="E5743" s="15" cm="1">
        <f t="array" ref="E5743">SUM(E5741:E5742)</f>
        <v>5000</v>
      </c>
      <c r="F5743" s="16" cm="1">
        <f t="array" ref="F5743">SUM(F5741:F5742)</f>
        <v>0</v>
      </c>
      <c r="G5743" s="16" cm="1">
        <f t="array" ref="G5743">SUM(G5741:G5742)</f>
        <v>0</v>
      </c>
      <c r="H5743" s="16" cm="1">
        <f t="array" ref="H5743">SUM(H5741:H5742)</f>
        <v>0</v>
      </c>
      <c r="I5743" s="16" cm="1">
        <f t="array" ref="I5743">SUM(I5741:I5742)</f>
        <v>0</v>
      </c>
    </row>
    <row r="5744" ht="21.25" customHeight="1">
      <c r="A5744" s="10">
        <v>45702</v>
      </c>
      <c r="B5744" t="s" s="11">
        <v>21</v>
      </c>
      <c r="C5744" t="s" s="12">
        <v>874</v>
      </c>
      <c r="D5744" s="17"/>
      <c r="E5744" s="17">
        <v>3000</v>
      </c>
      <c r="F5744" s="18"/>
      <c r="G5744" s="18"/>
      <c r="H5744" s="18"/>
      <c r="I5744" s="18"/>
    </row>
    <row r="5745" ht="21.25" customHeight="1">
      <c r="A5745" s="10">
        <v>45702</v>
      </c>
      <c r="B5745" t="s" s="11">
        <v>16</v>
      </c>
      <c r="C5745" t="s" s="12">
        <v>874</v>
      </c>
      <c r="D5745" s="13">
        <v>3000</v>
      </c>
      <c r="E5745" s="13"/>
      <c r="F5745" s="14"/>
      <c r="G5745" s="14"/>
      <c r="H5745" s="14"/>
      <c r="I5745" s="14"/>
    </row>
    <row r="5746" ht="20.7" customHeight="1">
      <c r="A5746" s="10">
        <v>45702</v>
      </c>
      <c r="B5746" t="s" s="11">
        <v>8</v>
      </c>
      <c r="C5746" t="s" s="12">
        <v>8</v>
      </c>
      <c r="D5746" s="15" cm="1">
        <f t="array" ref="D5746">SUM(D5744:D5745)</f>
        <v>3000</v>
      </c>
      <c r="E5746" s="15" cm="1">
        <f t="array" ref="E5746">SUM(E5744:E5745)</f>
        <v>3000</v>
      </c>
      <c r="F5746" s="16" cm="1">
        <f t="array" ref="F5746">SUM(F5744:F5745)</f>
        <v>0</v>
      </c>
      <c r="G5746" s="16" cm="1">
        <f t="array" ref="G5746">SUM(G5744:G5745)</f>
        <v>0</v>
      </c>
      <c r="H5746" s="16" cm="1">
        <f t="array" ref="H5746">SUM(H5744:H5745)</f>
        <v>0</v>
      </c>
      <c r="I5746" s="16" cm="1">
        <f t="array" ref="I5746">SUM(I5744:I5745)</f>
        <v>0</v>
      </c>
    </row>
    <row r="5747" ht="20.35" customHeight="1">
      <c r="A5747" s="10">
        <v>45703</v>
      </c>
      <c r="B5747" t="s" s="11">
        <v>89</v>
      </c>
      <c r="C5747" t="s" s="12">
        <v>20</v>
      </c>
      <c r="D5747" s="17"/>
      <c r="E5747" s="17">
        <v>10000</v>
      </c>
      <c r="F5747" s="18"/>
      <c r="G5747" s="18"/>
      <c r="H5747" s="18"/>
      <c r="I5747" s="18"/>
    </row>
    <row r="5748" ht="20.35" customHeight="1">
      <c r="A5748" s="10">
        <v>45703</v>
      </c>
      <c r="B5748" t="s" s="11">
        <v>93</v>
      </c>
      <c r="C5748" t="s" s="12">
        <v>20</v>
      </c>
      <c r="D5748" s="13">
        <v>10000</v>
      </c>
      <c r="E5748" s="13"/>
      <c r="F5748" s="14"/>
      <c r="G5748" s="14"/>
      <c r="H5748" s="14"/>
      <c r="I5748" s="14"/>
    </row>
    <row r="5749" ht="20.7" customHeight="1">
      <c r="A5749" s="10">
        <v>45703</v>
      </c>
      <c r="B5749" t="s" s="11">
        <v>8</v>
      </c>
      <c r="C5749" t="s" s="12">
        <v>8</v>
      </c>
      <c r="D5749" s="15" cm="1">
        <f t="array" ref="D5749">SUM(D5747:D5748)</f>
        <v>10000</v>
      </c>
      <c r="E5749" s="15" cm="1">
        <f t="array" ref="E5749">SUM(E5747:E5748)</f>
        <v>10000</v>
      </c>
      <c r="F5749" s="16" cm="1">
        <f t="array" ref="F5749">SUM(F5747:F5748)</f>
        <v>0</v>
      </c>
      <c r="G5749" s="16" cm="1">
        <f t="array" ref="G5749">SUM(G5747:G5748)</f>
        <v>0</v>
      </c>
      <c r="H5749" s="16" cm="1">
        <f t="array" ref="H5749">SUM(H5747:H5748)</f>
        <v>0</v>
      </c>
      <c r="I5749" s="16" cm="1">
        <f t="array" ref="I5749">SUM(I5747:I5748)</f>
        <v>0</v>
      </c>
    </row>
    <row r="5750" ht="20.35" customHeight="1">
      <c r="A5750" s="10">
        <v>45703</v>
      </c>
      <c r="B5750" t="s" s="11">
        <v>93</v>
      </c>
      <c r="C5750" t="s" s="12">
        <v>96</v>
      </c>
      <c r="D5750" s="17"/>
      <c r="E5750" s="17">
        <v>10000</v>
      </c>
      <c r="F5750" s="18"/>
      <c r="G5750" s="18"/>
      <c r="H5750" s="18"/>
      <c r="I5750" s="18"/>
    </row>
    <row r="5751" ht="20.35" customHeight="1">
      <c r="A5751" s="10">
        <v>45703</v>
      </c>
      <c r="B5751" t="s" s="11">
        <v>5</v>
      </c>
      <c r="C5751" t="s" s="12">
        <v>96</v>
      </c>
      <c r="D5751" s="13">
        <v>10000</v>
      </c>
      <c r="E5751" s="13"/>
      <c r="F5751" s="14"/>
      <c r="G5751" s="14"/>
      <c r="H5751" s="14"/>
      <c r="I5751" s="14"/>
    </row>
    <row r="5752" ht="20.7" customHeight="1">
      <c r="A5752" s="10">
        <v>45703</v>
      </c>
      <c r="B5752" t="s" s="11">
        <v>8</v>
      </c>
      <c r="C5752" t="s" s="12">
        <v>8</v>
      </c>
      <c r="D5752" s="15" cm="1">
        <f t="array" ref="D5752">SUM(D5750:D5751)</f>
        <v>10000</v>
      </c>
      <c r="E5752" s="15" cm="1">
        <f t="array" ref="E5752">SUM(E5750:E5751)</f>
        <v>10000</v>
      </c>
      <c r="F5752" s="16" cm="1">
        <f t="array" ref="F5752">SUM(F5750:F5751)</f>
        <v>0</v>
      </c>
      <c r="G5752" s="16" cm="1">
        <f t="array" ref="G5752">SUM(G5750:G5751)</f>
        <v>0</v>
      </c>
      <c r="H5752" s="16" cm="1">
        <f t="array" ref="H5752">SUM(H5750:H5751)</f>
        <v>0</v>
      </c>
      <c r="I5752" s="16" cm="1">
        <f t="array" ref="I5752">SUM(I5750:I5751)</f>
        <v>0</v>
      </c>
    </row>
    <row r="5753" ht="20.65" customHeight="1">
      <c r="A5753" s="10">
        <v>45703</v>
      </c>
      <c r="B5753" t="s" s="11">
        <v>814</v>
      </c>
      <c r="C5753" t="s" s="12">
        <v>820</v>
      </c>
      <c r="D5753" s="17">
        <v>2</v>
      </c>
      <c r="E5753" s="17"/>
      <c r="F5753" s="18"/>
      <c r="G5753" s="18"/>
      <c r="H5753" s="18"/>
      <c r="I5753" s="18"/>
    </row>
    <row r="5754" ht="20.65" customHeight="1">
      <c r="A5754" s="10">
        <v>45703</v>
      </c>
      <c r="B5754" t="s" s="11">
        <v>91</v>
      </c>
      <c r="C5754" t="s" s="12">
        <v>820</v>
      </c>
      <c r="D5754" s="13"/>
      <c r="E5754" s="13">
        <v>2</v>
      </c>
      <c r="F5754" s="14"/>
      <c r="G5754" s="14"/>
      <c r="H5754" s="14"/>
      <c r="I5754" s="14"/>
    </row>
    <row r="5755" ht="20.7" customHeight="1">
      <c r="A5755" s="10">
        <v>45703</v>
      </c>
      <c r="B5755" t="s" s="11">
        <v>8</v>
      </c>
      <c r="C5755" t="s" s="12">
        <v>8</v>
      </c>
      <c r="D5755" s="15" cm="1">
        <f t="array" ref="D5755">SUM(D5753:D5754)</f>
        <v>2</v>
      </c>
      <c r="E5755" s="15" cm="1">
        <f t="array" ref="E5755">SUM(E5753:E5754)</f>
        <v>2</v>
      </c>
      <c r="F5755" s="16" cm="1">
        <f t="array" ref="F5755">SUM(F5753:F5754)</f>
        <v>0</v>
      </c>
      <c r="G5755" s="16" cm="1">
        <f t="array" ref="G5755">SUM(G5753:G5754)</f>
        <v>0</v>
      </c>
      <c r="H5755" s="16" cm="1">
        <f t="array" ref="H5755">SUM(H5753:H5754)</f>
        <v>0</v>
      </c>
      <c r="I5755" s="16" cm="1">
        <f t="array" ref="I5755">SUM(I5753:I5754)</f>
        <v>0</v>
      </c>
    </row>
    <row r="5756" ht="20.65" customHeight="1">
      <c r="A5756" s="10">
        <v>45703</v>
      </c>
      <c r="B5756" t="s" s="11">
        <v>843</v>
      </c>
      <c r="C5756" t="s" s="12">
        <v>820</v>
      </c>
      <c r="D5756" s="17">
        <v>16</v>
      </c>
      <c r="E5756" s="17"/>
      <c r="F5756" s="18"/>
      <c r="G5756" s="18"/>
      <c r="H5756" s="18"/>
      <c r="I5756" s="18"/>
    </row>
    <row r="5757" ht="20.65" customHeight="1">
      <c r="A5757" s="10">
        <v>45703</v>
      </c>
      <c r="B5757" t="s" s="11">
        <v>91</v>
      </c>
      <c r="C5757" t="s" s="12">
        <v>820</v>
      </c>
      <c r="D5757" s="13"/>
      <c r="E5757" s="13">
        <v>16</v>
      </c>
      <c r="F5757" s="14"/>
      <c r="G5757" s="14"/>
      <c r="H5757" s="14"/>
      <c r="I5757" s="14"/>
    </row>
    <row r="5758" ht="20.7" customHeight="1">
      <c r="A5758" s="10">
        <v>45703</v>
      </c>
      <c r="B5758" t="s" s="11">
        <v>8</v>
      </c>
      <c r="C5758" t="s" s="12">
        <v>8</v>
      </c>
      <c r="D5758" s="15" cm="1">
        <f t="array" ref="D5758">SUM(D5756:D5757)</f>
        <v>16</v>
      </c>
      <c r="E5758" s="15" cm="1">
        <f t="array" ref="E5758">SUM(E5756:E5757)</f>
        <v>16</v>
      </c>
      <c r="F5758" s="16" cm="1">
        <f t="array" ref="F5758">SUM(F5756:F5757)</f>
        <v>0</v>
      </c>
      <c r="G5758" s="16" cm="1">
        <f t="array" ref="G5758">SUM(G5756:G5757)</f>
        <v>0</v>
      </c>
      <c r="H5758" s="16" cm="1">
        <f t="array" ref="H5758">SUM(H5756:H5757)</f>
        <v>0</v>
      </c>
      <c r="I5758" s="16" cm="1">
        <f t="array" ref="I5758">SUM(I5756:I5757)</f>
        <v>0</v>
      </c>
    </row>
    <row r="5759" ht="20.35" customHeight="1">
      <c r="A5759" s="10">
        <v>45703</v>
      </c>
      <c r="B5759" t="s" s="11">
        <v>5</v>
      </c>
      <c r="C5759" t="s" s="12">
        <v>735</v>
      </c>
      <c r="D5759" s="17"/>
      <c r="E5759" s="17">
        <v>10000</v>
      </c>
      <c r="F5759" s="18"/>
      <c r="G5759" s="18"/>
      <c r="H5759" s="18"/>
      <c r="I5759" s="18"/>
    </row>
    <row r="5760" ht="20.35" customHeight="1">
      <c r="A5760" s="10">
        <v>45703</v>
      </c>
      <c r="B5760" t="s" s="11">
        <v>28</v>
      </c>
      <c r="C5760" t="s" s="12">
        <v>735</v>
      </c>
      <c r="D5760" s="13">
        <v>10000</v>
      </c>
      <c r="E5760" s="13"/>
      <c r="F5760" s="14"/>
      <c r="G5760" s="14"/>
      <c r="H5760" s="14"/>
      <c r="I5760" s="14"/>
    </row>
    <row r="5761" ht="20.7" customHeight="1">
      <c r="A5761" s="10">
        <v>45703</v>
      </c>
      <c r="B5761" t="s" s="11">
        <v>8</v>
      </c>
      <c r="C5761" t="s" s="12">
        <v>8</v>
      </c>
      <c r="D5761" s="15" cm="1">
        <f t="array" ref="D5761">SUM(D5759:D5760)</f>
        <v>10000</v>
      </c>
      <c r="E5761" s="15" cm="1">
        <f t="array" ref="E5761">SUM(E5759:E5760)</f>
        <v>10000</v>
      </c>
      <c r="F5761" s="16" cm="1">
        <f t="array" ref="F5761">SUM(F5759:F5760)</f>
        <v>0</v>
      </c>
      <c r="G5761" s="16" cm="1">
        <f t="array" ref="G5761">SUM(G5759:G5760)</f>
        <v>0</v>
      </c>
      <c r="H5761" s="16" cm="1">
        <f t="array" ref="H5761">SUM(H5759:H5760)</f>
        <v>0</v>
      </c>
      <c r="I5761" s="16" cm="1">
        <f t="array" ref="I5761">SUM(I5759:I5760)</f>
        <v>0</v>
      </c>
    </row>
    <row r="5762" ht="20.65" customHeight="1">
      <c r="A5762" s="10">
        <v>45703</v>
      </c>
      <c r="B5762" t="s" s="11">
        <v>814</v>
      </c>
      <c r="C5762" t="s" s="12">
        <v>881</v>
      </c>
      <c r="D5762" s="17"/>
      <c r="E5762" s="17">
        <v>6680</v>
      </c>
      <c r="F5762" s="18"/>
      <c r="G5762" s="18"/>
      <c r="H5762" s="18"/>
      <c r="I5762" s="18"/>
    </row>
    <row r="5763" ht="20.65" customHeight="1">
      <c r="A5763" s="10">
        <v>45703</v>
      </c>
      <c r="B5763" t="s" s="11">
        <v>5</v>
      </c>
      <c r="C5763" t="s" s="12">
        <v>881</v>
      </c>
      <c r="D5763" s="13">
        <v>6680</v>
      </c>
      <c r="E5763" s="13"/>
      <c r="F5763" s="14"/>
      <c r="G5763" s="14"/>
      <c r="H5763" s="14"/>
      <c r="I5763" s="14"/>
    </row>
    <row r="5764" ht="20.7" customHeight="1">
      <c r="A5764" s="10">
        <v>45703</v>
      </c>
      <c r="B5764" t="s" s="11">
        <v>8</v>
      </c>
      <c r="C5764" t="s" s="12">
        <v>8</v>
      </c>
      <c r="D5764" s="15" cm="1">
        <f t="array" ref="D5764">SUM(D5762:D5763)</f>
        <v>6680</v>
      </c>
      <c r="E5764" s="15" cm="1">
        <f t="array" ref="E5764">SUM(E5762:E5763)</f>
        <v>6680</v>
      </c>
      <c r="F5764" s="16" cm="1">
        <f t="array" ref="F5764">SUM(F5762:F5763)</f>
        <v>0</v>
      </c>
      <c r="G5764" s="16" cm="1">
        <f t="array" ref="G5764">SUM(G5762:G5763)</f>
        <v>0</v>
      </c>
      <c r="H5764" s="16" cm="1">
        <f t="array" ref="H5764">SUM(H5762:H5763)</f>
        <v>0</v>
      </c>
      <c r="I5764" s="16" cm="1">
        <f t="array" ref="I5764">SUM(I5762:I5763)</f>
        <v>0</v>
      </c>
    </row>
    <row r="5765" ht="20.65" customHeight="1">
      <c r="A5765" s="10">
        <v>45703</v>
      </c>
      <c r="B5765" t="s" s="11">
        <v>5</v>
      </c>
      <c r="C5765" t="s" s="12">
        <v>881</v>
      </c>
      <c r="D5765" s="17"/>
      <c r="E5765" s="17">
        <v>9500</v>
      </c>
      <c r="F5765" s="18"/>
      <c r="G5765" s="18"/>
      <c r="H5765" s="18"/>
      <c r="I5765" s="18"/>
    </row>
    <row r="5766" ht="20.65" customHeight="1">
      <c r="A5766" s="10">
        <v>45703</v>
      </c>
      <c r="B5766" t="s" s="11">
        <v>12</v>
      </c>
      <c r="C5766" t="s" s="12">
        <v>881</v>
      </c>
      <c r="D5766" s="13">
        <v>9500</v>
      </c>
      <c r="E5766" s="13"/>
      <c r="F5766" s="14"/>
      <c r="G5766" s="14"/>
      <c r="H5766" s="14"/>
      <c r="I5766" s="14"/>
    </row>
    <row r="5767" ht="20.7" customHeight="1">
      <c r="A5767" s="10">
        <v>45703</v>
      </c>
      <c r="B5767" t="s" s="11">
        <v>8</v>
      </c>
      <c r="C5767" t="s" s="12">
        <v>8</v>
      </c>
      <c r="D5767" s="15" cm="1">
        <f t="array" ref="D5767">SUM(D5765:D5766)</f>
        <v>9500</v>
      </c>
      <c r="E5767" s="15" cm="1">
        <f t="array" ref="E5767">SUM(E5765:E5766)</f>
        <v>9500</v>
      </c>
      <c r="F5767" s="16" cm="1">
        <f t="array" ref="F5767">SUM(F5765:F5766)</f>
        <v>0</v>
      </c>
      <c r="G5767" s="16" cm="1">
        <f t="array" ref="G5767">SUM(G5765:G5766)</f>
        <v>0</v>
      </c>
      <c r="H5767" s="16" cm="1">
        <f t="array" ref="H5767">SUM(H5765:H5766)</f>
        <v>0</v>
      </c>
      <c r="I5767" s="16" cm="1">
        <f t="array" ref="I5767">SUM(I5765:I5766)</f>
        <v>0</v>
      </c>
    </row>
    <row r="5768" ht="20.65" customHeight="1">
      <c r="A5768" s="10">
        <v>45703</v>
      </c>
      <c r="B5768" t="s" s="11">
        <v>28</v>
      </c>
      <c r="C5768" t="s" s="12">
        <v>195</v>
      </c>
      <c r="D5768" s="17"/>
      <c r="E5768" s="17">
        <v>10000</v>
      </c>
      <c r="F5768" s="18"/>
      <c r="G5768" s="18"/>
      <c r="H5768" s="18"/>
      <c r="I5768" s="18"/>
    </row>
    <row r="5769" ht="20.65" customHeight="1">
      <c r="A5769" s="10">
        <v>45703</v>
      </c>
      <c r="B5769" t="s" s="11">
        <v>10</v>
      </c>
      <c r="C5769" t="s" s="12">
        <v>195</v>
      </c>
      <c r="D5769" s="13">
        <v>10000</v>
      </c>
      <c r="E5769" s="13"/>
      <c r="F5769" s="14"/>
      <c r="G5769" s="14"/>
      <c r="H5769" s="14"/>
      <c r="I5769" s="14"/>
    </row>
    <row r="5770" ht="20.7" customHeight="1">
      <c r="A5770" s="10">
        <v>45703</v>
      </c>
      <c r="B5770" t="s" s="11">
        <v>8</v>
      </c>
      <c r="C5770" t="s" s="12">
        <v>8</v>
      </c>
      <c r="D5770" s="15" cm="1">
        <f t="array" ref="D5770">SUM(D5768:D5769)</f>
        <v>10000</v>
      </c>
      <c r="E5770" s="15" cm="1">
        <f t="array" ref="E5770">SUM(E5768:E5769)</f>
        <v>10000</v>
      </c>
      <c r="F5770" s="16" cm="1">
        <f t="array" ref="F5770">SUM(F5768:F5769)</f>
        <v>0</v>
      </c>
      <c r="G5770" s="16" cm="1">
        <f t="array" ref="G5770">SUM(G5768:G5769)</f>
        <v>0</v>
      </c>
      <c r="H5770" s="16" cm="1">
        <f t="array" ref="H5770">SUM(H5768:H5769)</f>
        <v>0</v>
      </c>
      <c r="I5770" s="16" cm="1">
        <f t="array" ref="I5770">SUM(I5768:I5769)</f>
        <v>0</v>
      </c>
    </row>
    <row r="5771" ht="20.65" customHeight="1">
      <c r="A5771" s="10">
        <v>45704</v>
      </c>
      <c r="B5771" t="s" s="11">
        <v>814</v>
      </c>
      <c r="C5771" t="s" s="12">
        <v>820</v>
      </c>
      <c r="D5771" s="17">
        <v>1</v>
      </c>
      <c r="E5771" s="17"/>
      <c r="F5771" s="18"/>
      <c r="G5771" s="18"/>
      <c r="H5771" s="18"/>
      <c r="I5771" s="18"/>
    </row>
    <row r="5772" ht="20.65" customHeight="1">
      <c r="A5772" s="10">
        <v>45704</v>
      </c>
      <c r="B5772" t="s" s="11">
        <v>91</v>
      </c>
      <c r="C5772" t="s" s="12">
        <v>820</v>
      </c>
      <c r="D5772" s="13"/>
      <c r="E5772" s="13">
        <v>1</v>
      </c>
      <c r="F5772" s="14"/>
      <c r="G5772" s="14"/>
      <c r="H5772" s="14"/>
      <c r="I5772" s="14"/>
    </row>
    <row r="5773" ht="20.7" customHeight="1">
      <c r="A5773" s="10">
        <v>45704</v>
      </c>
      <c r="B5773" t="s" s="11">
        <v>8</v>
      </c>
      <c r="C5773" t="s" s="12">
        <v>8</v>
      </c>
      <c r="D5773" s="15" cm="1">
        <f t="array" ref="D5773">SUM(D5771:D5772)</f>
        <v>1</v>
      </c>
      <c r="E5773" s="15" cm="1">
        <f t="array" ref="E5773">SUM(E5771:E5772)</f>
        <v>1</v>
      </c>
      <c r="F5773" s="16" cm="1">
        <f t="array" ref="F5773">SUM(F5771:F5772)</f>
        <v>0</v>
      </c>
      <c r="G5773" s="16" cm="1">
        <f t="array" ref="G5773">SUM(G5771:G5772)</f>
        <v>0</v>
      </c>
      <c r="H5773" s="16" cm="1">
        <f t="array" ref="H5773">SUM(H5771:H5772)</f>
        <v>0</v>
      </c>
      <c r="I5773" s="16" cm="1">
        <f t="array" ref="I5773">SUM(I5771:I5772)</f>
        <v>0</v>
      </c>
    </row>
    <row r="5774" ht="20.65" customHeight="1">
      <c r="A5774" s="10">
        <v>45704</v>
      </c>
      <c r="B5774" t="s" s="11">
        <v>843</v>
      </c>
      <c r="C5774" t="s" s="12">
        <v>820</v>
      </c>
      <c r="D5774" s="17">
        <v>16</v>
      </c>
      <c r="E5774" s="17"/>
      <c r="F5774" s="18"/>
      <c r="G5774" s="18"/>
      <c r="H5774" s="18"/>
      <c r="I5774" s="18"/>
    </row>
    <row r="5775" ht="20.65" customHeight="1">
      <c r="A5775" s="10">
        <v>45704</v>
      </c>
      <c r="B5775" t="s" s="11">
        <v>91</v>
      </c>
      <c r="C5775" t="s" s="12">
        <v>820</v>
      </c>
      <c r="D5775" s="13"/>
      <c r="E5775" s="13">
        <v>16</v>
      </c>
      <c r="F5775" s="14"/>
      <c r="G5775" s="14"/>
      <c r="H5775" s="14"/>
      <c r="I5775" s="14"/>
    </row>
    <row r="5776" ht="20.7" customHeight="1">
      <c r="A5776" s="10">
        <v>45704</v>
      </c>
      <c r="B5776" t="s" s="11">
        <v>8</v>
      </c>
      <c r="C5776" t="s" s="12">
        <v>8</v>
      </c>
      <c r="D5776" s="15" cm="1">
        <f t="array" ref="D5776">SUM(D5774:D5775)</f>
        <v>16</v>
      </c>
      <c r="E5776" s="15" cm="1">
        <f t="array" ref="E5776">SUM(E5774:E5775)</f>
        <v>16</v>
      </c>
      <c r="F5776" s="16" cm="1">
        <f t="array" ref="F5776">SUM(F5774:F5775)</f>
        <v>0</v>
      </c>
      <c r="G5776" s="16" cm="1">
        <f t="array" ref="G5776">SUM(G5774:G5775)</f>
        <v>0</v>
      </c>
      <c r="H5776" s="16" cm="1">
        <f t="array" ref="H5776">SUM(H5774:H5775)</f>
        <v>0</v>
      </c>
      <c r="I5776" s="16" cm="1">
        <f t="array" ref="I5776">SUM(I5774:I5775)</f>
        <v>0</v>
      </c>
    </row>
    <row r="5777" ht="20.65" customHeight="1">
      <c r="A5777" s="10">
        <v>45704</v>
      </c>
      <c r="B5777" t="s" s="11">
        <v>814</v>
      </c>
      <c r="C5777" t="s" s="12">
        <v>882</v>
      </c>
      <c r="D5777" s="17"/>
      <c r="E5777" s="17">
        <v>30000</v>
      </c>
      <c r="F5777" s="18"/>
      <c r="G5777" s="18"/>
      <c r="H5777" s="18"/>
      <c r="I5777" s="18"/>
    </row>
    <row r="5778" ht="20.65" customHeight="1">
      <c r="A5778" s="10">
        <v>45704</v>
      </c>
      <c r="B5778" t="s" s="11">
        <v>5</v>
      </c>
      <c r="C5778" t="s" s="12">
        <v>882</v>
      </c>
      <c r="D5778" s="13">
        <v>30000</v>
      </c>
      <c r="E5778" s="13"/>
      <c r="F5778" s="14"/>
      <c r="G5778" s="14"/>
      <c r="H5778" s="14"/>
      <c r="I5778" s="14"/>
    </row>
    <row r="5779" ht="20.7" customHeight="1">
      <c r="A5779" s="10">
        <v>45704</v>
      </c>
      <c r="B5779" t="s" s="11">
        <v>8</v>
      </c>
      <c r="C5779" t="s" s="12">
        <v>8</v>
      </c>
      <c r="D5779" s="15" cm="1">
        <f t="array" ref="D5779">SUM(D5777:D5778)</f>
        <v>30000</v>
      </c>
      <c r="E5779" s="15" cm="1">
        <f t="array" ref="E5779">SUM(E5777:E5778)</f>
        <v>30000</v>
      </c>
      <c r="F5779" s="16" cm="1">
        <f t="array" ref="F5779">SUM(F5777:F5778)</f>
        <v>0</v>
      </c>
      <c r="G5779" s="16" cm="1">
        <f t="array" ref="G5779">SUM(G5777:G5778)</f>
        <v>0</v>
      </c>
      <c r="H5779" s="16" cm="1">
        <f t="array" ref="H5779">SUM(H5777:H5778)</f>
        <v>0</v>
      </c>
      <c r="I5779" s="16" cm="1">
        <f t="array" ref="I5779">SUM(I5777:I5778)</f>
        <v>0</v>
      </c>
    </row>
    <row r="5780" ht="20.65" customHeight="1">
      <c r="A5780" s="10">
        <v>45704</v>
      </c>
      <c r="B5780" t="s" s="11">
        <v>5</v>
      </c>
      <c r="C5780" t="s" s="12">
        <v>882</v>
      </c>
      <c r="D5780" s="17"/>
      <c r="E5780" s="17">
        <v>14400</v>
      </c>
      <c r="F5780" s="18"/>
      <c r="G5780" s="18"/>
      <c r="H5780" s="18"/>
      <c r="I5780" s="18"/>
    </row>
    <row r="5781" ht="20.65" customHeight="1">
      <c r="A5781" s="10">
        <v>45704</v>
      </c>
      <c r="B5781" t="s" s="11">
        <v>16</v>
      </c>
      <c r="C5781" t="s" s="12">
        <v>882</v>
      </c>
      <c r="D5781" s="13">
        <v>14400</v>
      </c>
      <c r="E5781" s="13"/>
      <c r="F5781" s="14"/>
      <c r="G5781" s="14"/>
      <c r="H5781" s="14"/>
      <c r="I5781" s="14"/>
    </row>
    <row r="5782" ht="20.7" customHeight="1">
      <c r="A5782" s="10">
        <v>45704</v>
      </c>
      <c r="B5782" t="s" s="11">
        <v>8</v>
      </c>
      <c r="C5782" t="s" s="12">
        <v>8</v>
      </c>
      <c r="D5782" s="15" cm="1">
        <f t="array" ref="D5782">SUM(D5780:D5781)</f>
        <v>14400</v>
      </c>
      <c r="E5782" s="15" cm="1">
        <f t="array" ref="E5782">SUM(E5780:E5781)</f>
        <v>14400</v>
      </c>
      <c r="F5782" s="16" cm="1">
        <f t="array" ref="F5782">SUM(F5780:F5781)</f>
        <v>0</v>
      </c>
      <c r="G5782" s="16" cm="1">
        <f t="array" ref="G5782">SUM(G5780:G5781)</f>
        <v>0</v>
      </c>
      <c r="H5782" s="16" cm="1">
        <f t="array" ref="H5782">SUM(H5780:H5781)</f>
        <v>0</v>
      </c>
      <c r="I5782" s="16" cm="1">
        <f t="array" ref="I5782">SUM(I5780:I5781)</f>
        <v>0</v>
      </c>
    </row>
    <row r="5783" ht="20.35" customHeight="1">
      <c r="A5783" s="10">
        <v>45704</v>
      </c>
      <c r="B5783" t="s" s="11">
        <v>91</v>
      </c>
      <c r="C5783" t="s" s="12">
        <v>17</v>
      </c>
      <c r="D5783" s="17"/>
      <c r="E5783" s="17">
        <v>500</v>
      </c>
      <c r="F5783" s="18"/>
      <c r="G5783" s="18"/>
      <c r="H5783" s="18"/>
      <c r="I5783" s="18"/>
    </row>
    <row r="5784" ht="20.35" customHeight="1">
      <c r="A5784" s="10">
        <v>45704</v>
      </c>
      <c r="B5784" t="s" s="11">
        <v>5</v>
      </c>
      <c r="C5784" t="s" s="12">
        <v>17</v>
      </c>
      <c r="D5784" s="13">
        <v>500</v>
      </c>
      <c r="E5784" s="13"/>
      <c r="F5784" s="14"/>
      <c r="G5784" s="14"/>
      <c r="H5784" s="14"/>
      <c r="I5784" s="14"/>
    </row>
    <row r="5785" ht="20.7" customHeight="1">
      <c r="A5785" s="10">
        <v>45704</v>
      </c>
      <c r="B5785" t="s" s="11">
        <v>8</v>
      </c>
      <c r="C5785" t="s" s="12">
        <v>8</v>
      </c>
      <c r="D5785" s="15" cm="1">
        <f t="array" ref="D5785">SUM(D5783:D5784)</f>
        <v>500</v>
      </c>
      <c r="E5785" s="15" cm="1">
        <f t="array" ref="E5785">SUM(E5783:E5784)</f>
        <v>500</v>
      </c>
      <c r="F5785" s="16" cm="1">
        <f t="array" ref="F5785">SUM(F5783:F5784)</f>
        <v>0</v>
      </c>
      <c r="G5785" s="16" cm="1">
        <f t="array" ref="G5785">SUM(G5783:G5784)</f>
        <v>0</v>
      </c>
      <c r="H5785" s="16" cm="1">
        <f t="array" ref="H5785">SUM(H5783:H5784)</f>
        <v>0</v>
      </c>
      <c r="I5785" s="16" cm="1">
        <f t="array" ref="I5785">SUM(I5783:I5784)</f>
        <v>0</v>
      </c>
    </row>
    <row r="5786" ht="20.35" customHeight="1">
      <c r="A5786" s="10">
        <v>45704</v>
      </c>
      <c r="B5786" t="s" s="11">
        <v>5</v>
      </c>
      <c r="C5786" t="s" s="12">
        <v>53</v>
      </c>
      <c r="D5786" s="17"/>
      <c r="E5786" s="17">
        <v>12900</v>
      </c>
      <c r="F5786" s="18"/>
      <c r="G5786" s="18"/>
      <c r="H5786" s="18"/>
      <c r="I5786" s="18"/>
    </row>
    <row r="5787" ht="20.35" customHeight="1">
      <c r="A5787" s="10">
        <v>45704</v>
      </c>
      <c r="B5787" t="s" s="11">
        <v>10</v>
      </c>
      <c r="C5787" t="s" s="12">
        <v>53</v>
      </c>
      <c r="D5787" s="13">
        <v>12900</v>
      </c>
      <c r="E5787" s="13"/>
      <c r="F5787" s="14"/>
      <c r="G5787" s="14"/>
      <c r="H5787" s="14"/>
      <c r="I5787" s="14"/>
    </row>
    <row r="5788" ht="20.7" customHeight="1">
      <c r="A5788" s="10">
        <v>45704</v>
      </c>
      <c r="B5788" t="s" s="11">
        <v>8</v>
      </c>
      <c r="C5788" t="s" s="12">
        <v>8</v>
      </c>
      <c r="D5788" s="15" cm="1">
        <f t="array" ref="D5788">SUM(D5786:D5787)</f>
        <v>12900</v>
      </c>
      <c r="E5788" s="15" cm="1">
        <f t="array" ref="E5788">SUM(E5786:E5787)</f>
        <v>12900</v>
      </c>
      <c r="F5788" s="16" cm="1">
        <f t="array" ref="F5788">SUM(F5786:F5787)</f>
        <v>0</v>
      </c>
      <c r="G5788" s="16" cm="1">
        <f t="array" ref="G5788">SUM(G5786:G5787)</f>
        <v>0</v>
      </c>
      <c r="H5788" s="16" cm="1">
        <f t="array" ref="H5788">SUM(H5786:H5787)</f>
        <v>0</v>
      </c>
      <c r="I5788" s="16" cm="1">
        <f t="array" ref="I5788">SUM(I5786:I5787)</f>
        <v>0</v>
      </c>
    </row>
    <row r="5789" ht="20.35" customHeight="1">
      <c r="A5789" s="10">
        <v>45704</v>
      </c>
      <c r="B5789" t="s" s="11">
        <v>91</v>
      </c>
      <c r="C5789" t="s" s="12">
        <v>17</v>
      </c>
      <c r="D5789" s="17"/>
      <c r="E5789" s="17">
        <v>500</v>
      </c>
      <c r="F5789" s="18"/>
      <c r="G5789" s="18"/>
      <c r="H5789" s="18"/>
      <c r="I5789" s="18"/>
    </row>
    <row r="5790" ht="20.35" customHeight="1">
      <c r="A5790" s="10">
        <v>45704</v>
      </c>
      <c r="B5790" t="s" s="11">
        <v>5</v>
      </c>
      <c r="C5790" t="s" s="12">
        <v>17</v>
      </c>
      <c r="D5790" s="13">
        <v>500</v>
      </c>
      <c r="E5790" s="13"/>
      <c r="F5790" s="14"/>
      <c r="G5790" s="14"/>
      <c r="H5790" s="14"/>
      <c r="I5790" s="14"/>
    </row>
    <row r="5791" ht="20.7" customHeight="1">
      <c r="A5791" s="10">
        <v>45704</v>
      </c>
      <c r="B5791" t="s" s="11">
        <v>8</v>
      </c>
      <c r="C5791" t="s" s="12">
        <v>8</v>
      </c>
      <c r="D5791" s="15" cm="1">
        <f t="array" ref="D5791">SUM(D5789:D5790)</f>
        <v>500</v>
      </c>
      <c r="E5791" s="15" cm="1">
        <f t="array" ref="E5791">SUM(E5789:E5790)</f>
        <v>500</v>
      </c>
      <c r="F5791" s="16" cm="1">
        <f t="array" ref="F5791">SUM(F5789:F5790)</f>
        <v>0</v>
      </c>
      <c r="G5791" s="16" cm="1">
        <f t="array" ref="G5791">SUM(G5789:G5790)</f>
        <v>0</v>
      </c>
      <c r="H5791" s="16" cm="1">
        <f t="array" ref="H5791">SUM(H5789:H5790)</f>
        <v>0</v>
      </c>
      <c r="I5791" s="16" cm="1">
        <f t="array" ref="I5791">SUM(I5789:I5790)</f>
        <v>0</v>
      </c>
    </row>
    <row r="5792" ht="20.35" customHeight="1">
      <c r="A5792" s="10">
        <v>45704</v>
      </c>
      <c r="B5792" t="s" s="11">
        <v>5</v>
      </c>
      <c r="C5792" t="s" s="12">
        <v>883</v>
      </c>
      <c r="D5792" s="17">
        <v>4500000</v>
      </c>
      <c r="E5792" s="17"/>
      <c r="F5792" s="18"/>
      <c r="G5792" s="18"/>
      <c r="H5792" s="18"/>
      <c r="I5792" s="18"/>
    </row>
    <row r="5793" ht="20.35" customHeight="1">
      <c r="A5793" s="10">
        <v>45704</v>
      </c>
      <c r="B5793" t="s" s="11">
        <v>21</v>
      </c>
      <c r="C5793" t="s" s="12">
        <v>883</v>
      </c>
      <c r="D5793" s="13"/>
      <c r="E5793" s="13">
        <v>4500000</v>
      </c>
      <c r="F5793" s="14"/>
      <c r="G5793" s="14"/>
      <c r="H5793" s="14"/>
      <c r="I5793" s="14"/>
    </row>
    <row r="5794" ht="20.7" customHeight="1">
      <c r="A5794" s="10">
        <v>45704</v>
      </c>
      <c r="B5794" t="s" s="11">
        <v>8</v>
      </c>
      <c r="C5794" t="s" s="12">
        <v>8</v>
      </c>
      <c r="D5794" s="15" cm="1">
        <f t="array" ref="D5794">SUM(D5792:D5793)</f>
        <v>4500000</v>
      </c>
      <c r="E5794" s="15" cm="1">
        <f t="array" ref="E5794">SUM(E5792:E5793)</f>
        <v>4500000</v>
      </c>
      <c r="F5794" s="16" cm="1">
        <f t="array" ref="F5794">SUM(F5792:F5793)</f>
        <v>0</v>
      </c>
      <c r="G5794" s="16" cm="1">
        <f t="array" ref="G5794">SUM(G5792:G5793)</f>
        <v>0</v>
      </c>
      <c r="H5794" s="16" cm="1">
        <f t="array" ref="H5794">SUM(H5792:H5793)</f>
        <v>0</v>
      </c>
      <c r="I5794" s="16" cm="1">
        <f t="array" ref="I5794">SUM(I5792:I5793)</f>
        <v>0</v>
      </c>
    </row>
    <row r="5795" ht="20.35" customHeight="1">
      <c r="A5795" s="10">
        <v>45704</v>
      </c>
      <c r="B5795" t="s" s="11">
        <v>5</v>
      </c>
      <c r="C5795" t="s" s="12">
        <v>883</v>
      </c>
      <c r="D5795" s="17">
        <v>1500000</v>
      </c>
      <c r="E5795" s="17"/>
      <c r="F5795" s="18"/>
      <c r="G5795" s="18"/>
      <c r="H5795" s="18"/>
      <c r="I5795" s="18"/>
    </row>
    <row r="5796" ht="20.35" customHeight="1">
      <c r="A5796" s="10">
        <v>45704</v>
      </c>
      <c r="B5796" t="s" s="11">
        <v>21</v>
      </c>
      <c r="C5796" t="s" s="12">
        <v>883</v>
      </c>
      <c r="D5796" s="13"/>
      <c r="E5796" s="13">
        <v>1500000</v>
      </c>
      <c r="F5796" s="14"/>
      <c r="G5796" s="14"/>
      <c r="H5796" s="14"/>
      <c r="I5796" s="14"/>
    </row>
    <row r="5797" ht="20.7" customHeight="1">
      <c r="A5797" s="10">
        <v>45704</v>
      </c>
      <c r="B5797" t="s" s="11">
        <v>8</v>
      </c>
      <c r="C5797" t="s" s="12">
        <v>8</v>
      </c>
      <c r="D5797" s="15" cm="1">
        <f t="array" ref="D5797">SUM(D5795:D5796)</f>
        <v>1500000</v>
      </c>
      <c r="E5797" s="15" cm="1">
        <f t="array" ref="E5797">SUM(E5795:E5796)</f>
        <v>1500000</v>
      </c>
      <c r="F5797" s="16" cm="1">
        <f t="array" ref="F5797">SUM(F5795:F5796)</f>
        <v>0</v>
      </c>
      <c r="G5797" s="16" cm="1">
        <f t="array" ref="G5797">SUM(G5795:G5796)</f>
        <v>0</v>
      </c>
      <c r="H5797" s="16" cm="1">
        <f t="array" ref="H5797">SUM(H5795:H5796)</f>
        <v>0</v>
      </c>
      <c r="I5797" s="16" cm="1">
        <f t="array" ref="I5797">SUM(I5795:I5796)</f>
        <v>0</v>
      </c>
    </row>
    <row r="5798" ht="20.35" customHeight="1">
      <c r="A5798" s="10">
        <v>45704</v>
      </c>
      <c r="B5798" t="s" s="11">
        <v>5</v>
      </c>
      <c r="C5798" t="s" s="12">
        <v>883</v>
      </c>
      <c r="D5798" s="17">
        <v>3000000</v>
      </c>
      <c r="E5798" s="17"/>
      <c r="F5798" s="18"/>
      <c r="G5798" s="18"/>
      <c r="H5798" s="18"/>
      <c r="I5798" s="18"/>
    </row>
    <row r="5799" ht="20.35" customHeight="1">
      <c r="A5799" s="10">
        <v>45704</v>
      </c>
      <c r="B5799" t="s" s="11">
        <v>21</v>
      </c>
      <c r="C5799" t="s" s="12">
        <v>883</v>
      </c>
      <c r="D5799" s="13"/>
      <c r="E5799" s="13">
        <v>3000000</v>
      </c>
      <c r="F5799" s="14"/>
      <c r="G5799" s="14"/>
      <c r="H5799" s="14"/>
      <c r="I5799" s="14"/>
    </row>
    <row r="5800" ht="20.7" customHeight="1">
      <c r="A5800" s="10">
        <v>45704</v>
      </c>
      <c r="B5800" t="s" s="11">
        <v>8</v>
      </c>
      <c r="C5800" t="s" s="12">
        <v>8</v>
      </c>
      <c r="D5800" s="15" cm="1">
        <f t="array" ref="D5800">SUM(D5798:D5799)</f>
        <v>3000000</v>
      </c>
      <c r="E5800" s="15" cm="1">
        <f t="array" ref="E5800">SUM(E5798:E5799)</f>
        <v>3000000</v>
      </c>
      <c r="F5800" s="16" cm="1">
        <f t="array" ref="F5800">SUM(F5798:F5799)</f>
        <v>0</v>
      </c>
      <c r="G5800" s="16" cm="1">
        <f t="array" ref="G5800">SUM(G5798:G5799)</f>
        <v>0</v>
      </c>
      <c r="H5800" s="16" cm="1">
        <f t="array" ref="H5800">SUM(H5798:H5799)</f>
        <v>0</v>
      </c>
      <c r="I5800" s="16" cm="1">
        <f t="array" ref="I5800">SUM(I5798:I5799)</f>
        <v>0</v>
      </c>
    </row>
    <row r="5801" ht="20.35" customHeight="1">
      <c r="A5801" s="10">
        <v>45704</v>
      </c>
      <c r="B5801" t="s" s="11">
        <v>5</v>
      </c>
      <c r="C5801" t="s" s="12">
        <v>867</v>
      </c>
      <c r="D5801" s="17"/>
      <c r="E5801" s="17">
        <v>8950000</v>
      </c>
      <c r="F5801" s="18"/>
      <c r="G5801" s="18"/>
      <c r="H5801" s="18"/>
      <c r="I5801" s="18"/>
    </row>
    <row r="5802" ht="20.35" customHeight="1">
      <c r="A5802" s="10">
        <v>45704</v>
      </c>
      <c r="B5802" t="s" s="11">
        <v>814</v>
      </c>
      <c r="C5802" t="s" s="12">
        <v>867</v>
      </c>
      <c r="D5802" s="13">
        <v>8950000</v>
      </c>
      <c r="E5802" s="13"/>
      <c r="F5802" s="14"/>
      <c r="G5802" s="14"/>
      <c r="H5802" s="14"/>
      <c r="I5802" s="14"/>
    </row>
    <row r="5803" ht="20.7" customHeight="1">
      <c r="A5803" s="10">
        <v>45704</v>
      </c>
      <c r="B5803" t="s" s="11">
        <v>8</v>
      </c>
      <c r="C5803" t="s" s="12">
        <v>8</v>
      </c>
      <c r="D5803" s="15" cm="1">
        <f t="array" ref="D5803">SUM(D5801:D5802)</f>
        <v>8950000</v>
      </c>
      <c r="E5803" s="15" cm="1">
        <f t="array" ref="E5803">SUM(E5801:E5802)</f>
        <v>8950000</v>
      </c>
      <c r="F5803" s="16" cm="1">
        <f t="array" ref="F5803">SUM(F5801:F5802)</f>
        <v>0</v>
      </c>
      <c r="G5803" s="16" cm="1">
        <f t="array" ref="G5803">SUM(G5801:G5802)</f>
        <v>0</v>
      </c>
      <c r="H5803" s="16" cm="1">
        <f t="array" ref="H5803">SUM(H5801:H5802)</f>
        <v>0</v>
      </c>
      <c r="I5803" s="16" cm="1">
        <f t="array" ref="I5803">SUM(I5801:I5802)</f>
        <v>0</v>
      </c>
    </row>
    <row r="5804" ht="20.35" customHeight="1">
      <c r="A5804" s="10">
        <v>45704</v>
      </c>
      <c r="B5804" t="s" s="11">
        <v>5</v>
      </c>
      <c r="C5804" t="s" s="12">
        <v>883</v>
      </c>
      <c r="D5804" s="17">
        <v>1000000</v>
      </c>
      <c r="E5804" s="17"/>
      <c r="F5804" s="18"/>
      <c r="G5804" s="18"/>
      <c r="H5804" s="18"/>
      <c r="I5804" s="18"/>
    </row>
    <row r="5805" ht="20.35" customHeight="1">
      <c r="A5805" s="10">
        <v>45704</v>
      </c>
      <c r="B5805" t="s" s="11">
        <v>21</v>
      </c>
      <c r="C5805" t="s" s="12">
        <v>883</v>
      </c>
      <c r="D5805" s="13"/>
      <c r="E5805" s="13">
        <v>1000000</v>
      </c>
      <c r="F5805" s="14"/>
      <c r="G5805" s="14"/>
      <c r="H5805" s="14"/>
      <c r="I5805" s="14"/>
    </row>
    <row r="5806" ht="20.7" customHeight="1">
      <c r="A5806" s="10">
        <v>45704</v>
      </c>
      <c r="B5806" t="s" s="11">
        <v>8</v>
      </c>
      <c r="C5806" t="s" s="12">
        <v>8</v>
      </c>
      <c r="D5806" s="15" cm="1">
        <f t="array" ref="D5806">SUM(D5804:D5805)</f>
        <v>1000000</v>
      </c>
      <c r="E5806" s="15" cm="1">
        <f t="array" ref="E5806">SUM(E5804:E5805)</f>
        <v>1000000</v>
      </c>
      <c r="F5806" s="16" cm="1">
        <f t="array" ref="F5806">SUM(F5804:F5805)</f>
        <v>0</v>
      </c>
      <c r="G5806" s="16" cm="1">
        <f t="array" ref="G5806">SUM(G5804:G5805)</f>
        <v>0</v>
      </c>
      <c r="H5806" s="16" cm="1">
        <f t="array" ref="H5806">SUM(H5804:H5805)</f>
        <v>0</v>
      </c>
      <c r="I5806" s="16" cm="1">
        <f t="array" ref="I5806">SUM(I5804:I5805)</f>
        <v>0</v>
      </c>
    </row>
    <row r="5807" ht="20.35" customHeight="1">
      <c r="A5807" s="10">
        <v>45704</v>
      </c>
      <c r="B5807" t="s" s="11">
        <v>5</v>
      </c>
      <c r="C5807" t="s" s="12">
        <v>867</v>
      </c>
      <c r="D5807" s="17"/>
      <c r="E5807" s="17">
        <v>1000000</v>
      </c>
      <c r="F5807" s="18"/>
      <c r="G5807" s="18"/>
      <c r="H5807" s="18"/>
      <c r="I5807" s="18"/>
    </row>
    <row r="5808" ht="20.35" customHeight="1">
      <c r="A5808" s="10">
        <v>45704</v>
      </c>
      <c r="B5808" t="s" s="11">
        <v>814</v>
      </c>
      <c r="C5808" t="s" s="12">
        <v>867</v>
      </c>
      <c r="D5808" s="13">
        <v>1000000</v>
      </c>
      <c r="E5808" s="13"/>
      <c r="F5808" s="14"/>
      <c r="G5808" s="14"/>
      <c r="H5808" s="14"/>
      <c r="I5808" s="14"/>
    </row>
    <row r="5809" ht="20.7" customHeight="1">
      <c r="A5809" s="10">
        <v>45704</v>
      </c>
      <c r="B5809" t="s" s="11">
        <v>8</v>
      </c>
      <c r="C5809" t="s" s="12">
        <v>8</v>
      </c>
      <c r="D5809" s="15" cm="1">
        <f t="array" ref="D5809">SUM(D5807:D5808)</f>
        <v>1000000</v>
      </c>
      <c r="E5809" s="15" cm="1">
        <f t="array" ref="E5809">SUM(E5807:E5808)</f>
        <v>1000000</v>
      </c>
      <c r="F5809" s="16" cm="1">
        <f t="array" ref="F5809">SUM(F5807:F5808)</f>
        <v>0</v>
      </c>
      <c r="G5809" s="16" cm="1">
        <f t="array" ref="G5809">SUM(G5807:G5808)</f>
        <v>0</v>
      </c>
      <c r="H5809" s="16" cm="1">
        <f t="array" ref="H5809">SUM(H5807:H5808)</f>
        <v>0</v>
      </c>
      <c r="I5809" s="16" cm="1">
        <f t="array" ref="I5809">SUM(I5807:I5808)</f>
        <v>0</v>
      </c>
    </row>
    <row r="5810" ht="21.25" customHeight="1">
      <c r="A5810" s="10">
        <v>45704</v>
      </c>
      <c r="B5810" t="s" s="11">
        <v>5</v>
      </c>
      <c r="C5810" t="s" s="12">
        <v>884</v>
      </c>
      <c r="D5810" s="17">
        <v>100000</v>
      </c>
      <c r="E5810" s="17"/>
      <c r="F5810" s="18"/>
      <c r="G5810" s="18"/>
      <c r="H5810" s="18"/>
      <c r="I5810" s="18"/>
    </row>
    <row r="5811" ht="21.25" customHeight="1">
      <c r="A5811" s="10">
        <v>45704</v>
      </c>
      <c r="B5811" t="s" s="11">
        <v>814</v>
      </c>
      <c r="C5811" t="s" s="12">
        <v>884</v>
      </c>
      <c r="D5811" s="13"/>
      <c r="E5811" s="13">
        <v>100000</v>
      </c>
      <c r="F5811" s="14"/>
      <c r="G5811" s="14"/>
      <c r="H5811" s="14"/>
      <c r="I5811" s="14"/>
    </row>
    <row r="5812" ht="20.7" customHeight="1">
      <c r="A5812" s="10">
        <v>45704</v>
      </c>
      <c r="B5812" t="s" s="11">
        <v>8</v>
      </c>
      <c r="C5812" t="s" s="12">
        <v>8</v>
      </c>
      <c r="D5812" s="15" cm="1">
        <f t="array" ref="D5812">SUM(D5810:D5811)</f>
        <v>100000</v>
      </c>
      <c r="E5812" s="15" cm="1">
        <f t="array" ref="E5812">SUM(E5810:E5811)</f>
        <v>100000</v>
      </c>
      <c r="F5812" s="16" cm="1">
        <f t="array" ref="F5812">SUM(F5810:F5811)</f>
        <v>0</v>
      </c>
      <c r="G5812" s="16" cm="1">
        <f t="array" ref="G5812">SUM(G5810:G5811)</f>
        <v>0</v>
      </c>
      <c r="H5812" s="16" cm="1">
        <f t="array" ref="H5812">SUM(H5810:H5811)</f>
        <v>0</v>
      </c>
      <c r="I5812" s="16" cm="1">
        <f t="array" ref="I5812">SUM(I5810:I5811)</f>
        <v>0</v>
      </c>
    </row>
    <row r="5813" ht="21.25" customHeight="1">
      <c r="A5813" s="10">
        <v>45704</v>
      </c>
      <c r="B5813" t="s" s="11">
        <v>5</v>
      </c>
      <c r="C5813" t="s" s="12">
        <v>884</v>
      </c>
      <c r="D5813" s="17"/>
      <c r="E5813" s="17">
        <v>128000</v>
      </c>
      <c r="F5813" s="18"/>
      <c r="G5813" s="18"/>
      <c r="H5813" s="18"/>
      <c r="I5813" s="18"/>
    </row>
    <row r="5814" ht="20.9" customHeight="1">
      <c r="A5814" s="10">
        <v>45704</v>
      </c>
      <c r="B5814" t="s" s="11">
        <v>12</v>
      </c>
      <c r="C5814" t="s" s="12">
        <v>884</v>
      </c>
      <c r="D5814" s="19">
        <v>18667</v>
      </c>
      <c r="E5814" s="19"/>
      <c r="F5814" s="20"/>
      <c r="G5814" s="20"/>
      <c r="H5814" s="20"/>
      <c r="I5814" s="20"/>
    </row>
    <row r="5815" ht="21.25" customHeight="1">
      <c r="A5815" s="10">
        <v>45704</v>
      </c>
      <c r="B5815" t="s" s="11">
        <v>89</v>
      </c>
      <c r="C5815" t="s" s="12">
        <v>884</v>
      </c>
      <c r="D5815" s="13">
        <v>109333</v>
      </c>
      <c r="E5815" s="13"/>
      <c r="F5815" s="14"/>
      <c r="G5815" s="14"/>
      <c r="H5815" s="14"/>
      <c r="I5815" s="14"/>
    </row>
    <row r="5816" ht="20.7" customHeight="1">
      <c r="A5816" s="10">
        <v>45704</v>
      </c>
      <c r="B5816" t="s" s="11">
        <v>8</v>
      </c>
      <c r="C5816" t="s" s="12">
        <v>8</v>
      </c>
      <c r="D5816" s="15" cm="1">
        <f t="array" ref="D5816">SUM(D5813:D5815)</f>
        <v>128000</v>
      </c>
      <c r="E5816" s="15" cm="1">
        <f t="array" ref="E5816">SUM(E5813:E5815)</f>
        <v>128000</v>
      </c>
      <c r="F5816" s="16" cm="1">
        <f t="array" ref="F5816">SUM(F5813:F5815)</f>
        <v>0</v>
      </c>
      <c r="G5816" s="16" cm="1">
        <f t="array" ref="G5816">SUM(G5813:G5815)</f>
        <v>0</v>
      </c>
      <c r="H5816" s="16" cm="1">
        <f t="array" ref="H5816">SUM(H5813:H5815)</f>
        <v>0</v>
      </c>
      <c r="I5816" s="16" cm="1">
        <f t="array" ref="I5816">SUM(I5813:I5815)</f>
        <v>0</v>
      </c>
    </row>
    <row r="5817" ht="20.65" customHeight="1">
      <c r="A5817" s="10">
        <v>45704</v>
      </c>
      <c r="B5817" t="s" s="11">
        <v>89</v>
      </c>
      <c r="C5817" t="s" s="12">
        <v>885</v>
      </c>
      <c r="D5817" s="17"/>
      <c r="E5817" s="17">
        <v>67000</v>
      </c>
      <c r="F5817" s="18"/>
      <c r="G5817" s="18"/>
      <c r="H5817" s="18"/>
      <c r="I5817" s="18"/>
    </row>
    <row r="5818" ht="20.65" customHeight="1">
      <c r="A5818" s="10">
        <v>45704</v>
      </c>
      <c r="B5818" t="s" s="11">
        <v>107</v>
      </c>
      <c r="C5818" t="s" s="12">
        <v>885</v>
      </c>
      <c r="D5818" s="13">
        <v>67000</v>
      </c>
      <c r="E5818" s="13"/>
      <c r="F5818" s="14"/>
      <c r="G5818" s="14"/>
      <c r="H5818" s="14"/>
      <c r="I5818" s="14"/>
    </row>
    <row r="5819" ht="20.7" customHeight="1">
      <c r="A5819" s="10">
        <v>45704</v>
      </c>
      <c r="B5819" t="s" s="11">
        <v>8</v>
      </c>
      <c r="C5819" t="s" s="12">
        <v>8</v>
      </c>
      <c r="D5819" s="15" cm="1">
        <f t="array" ref="D5819">SUM(D5817:D5818)</f>
        <v>67000</v>
      </c>
      <c r="E5819" s="15" cm="1">
        <f t="array" ref="E5819">SUM(E5817:E5818)</f>
        <v>67000</v>
      </c>
      <c r="F5819" s="16" cm="1">
        <f t="array" ref="F5819">SUM(F5817:F5818)</f>
        <v>0</v>
      </c>
      <c r="G5819" s="16" cm="1">
        <f t="array" ref="G5819">SUM(G5817:G5818)</f>
        <v>0</v>
      </c>
      <c r="H5819" s="16" cm="1">
        <f t="array" ref="H5819">SUM(H5817:H5818)</f>
        <v>0</v>
      </c>
      <c r="I5819" s="16" cm="1">
        <f t="array" ref="I5819">SUM(I5817:I5818)</f>
        <v>0</v>
      </c>
    </row>
    <row r="5820" ht="20.65" customHeight="1">
      <c r="A5820" s="10">
        <v>45704</v>
      </c>
      <c r="B5820" t="s" s="11">
        <v>89</v>
      </c>
      <c r="C5820" t="s" s="12">
        <v>885</v>
      </c>
      <c r="D5820" s="17"/>
      <c r="E5820" s="17">
        <v>12000</v>
      </c>
      <c r="F5820" s="18"/>
      <c r="G5820" s="18"/>
      <c r="H5820" s="18"/>
      <c r="I5820" s="18"/>
    </row>
    <row r="5821" ht="20.65" customHeight="1">
      <c r="A5821" s="10">
        <v>45704</v>
      </c>
      <c r="B5821" t="s" s="11">
        <v>107</v>
      </c>
      <c r="C5821" t="s" s="12">
        <v>885</v>
      </c>
      <c r="D5821" s="13">
        <v>12000</v>
      </c>
      <c r="E5821" s="13"/>
      <c r="F5821" s="14"/>
      <c r="G5821" s="14"/>
      <c r="H5821" s="14"/>
      <c r="I5821" s="14"/>
    </row>
    <row r="5822" ht="20.7" customHeight="1">
      <c r="A5822" s="10">
        <v>45704</v>
      </c>
      <c r="B5822" t="s" s="11">
        <v>8</v>
      </c>
      <c r="C5822" t="s" s="12">
        <v>8</v>
      </c>
      <c r="D5822" s="15" cm="1">
        <f t="array" ref="D5822">SUM(D5820:D5821)</f>
        <v>12000</v>
      </c>
      <c r="E5822" s="15" cm="1">
        <f t="array" ref="E5822">SUM(E5820:E5821)</f>
        <v>12000</v>
      </c>
      <c r="F5822" s="16" cm="1">
        <f t="array" ref="F5822">SUM(F5820:F5821)</f>
        <v>0</v>
      </c>
      <c r="G5822" s="16" cm="1">
        <f t="array" ref="G5822">SUM(G5820:G5821)</f>
        <v>0</v>
      </c>
      <c r="H5822" s="16" cm="1">
        <f t="array" ref="H5822">SUM(H5820:H5821)</f>
        <v>0</v>
      </c>
      <c r="I5822" s="16" cm="1">
        <f t="array" ref="I5822">SUM(I5820:I5821)</f>
        <v>0</v>
      </c>
    </row>
    <row r="5823" ht="20.65" customHeight="1">
      <c r="A5823" s="10">
        <v>45704</v>
      </c>
      <c r="B5823" t="s" s="11">
        <v>89</v>
      </c>
      <c r="C5823" t="s" s="12">
        <v>886</v>
      </c>
      <c r="D5823" s="17"/>
      <c r="E5823" s="17">
        <v>15666</v>
      </c>
      <c r="F5823" s="18"/>
      <c r="G5823" s="18"/>
      <c r="H5823" s="18"/>
      <c r="I5823" s="18"/>
    </row>
    <row r="5824" ht="20.35" customHeight="1">
      <c r="A5824" s="10">
        <v>45704</v>
      </c>
      <c r="B5824" t="s" s="11">
        <v>10</v>
      </c>
      <c r="C5824" t="s" s="12">
        <v>886</v>
      </c>
      <c r="D5824" s="19">
        <v>966</v>
      </c>
      <c r="E5824" s="19"/>
      <c r="F5824" s="20"/>
      <c r="G5824" s="20"/>
      <c r="H5824" s="20"/>
      <c r="I5824" s="20"/>
    </row>
    <row r="5825" ht="20.65" customHeight="1">
      <c r="A5825" s="10">
        <v>45704</v>
      </c>
      <c r="B5825" t="s" s="11">
        <v>93</v>
      </c>
      <c r="C5825" t="s" s="12">
        <v>886</v>
      </c>
      <c r="D5825" s="13">
        <v>14700</v>
      </c>
      <c r="E5825" s="13"/>
      <c r="F5825" s="14"/>
      <c r="G5825" s="14"/>
      <c r="H5825" s="14"/>
      <c r="I5825" s="14"/>
    </row>
    <row r="5826" ht="20.7" customHeight="1">
      <c r="A5826" s="10">
        <v>45704</v>
      </c>
      <c r="B5826" t="s" s="11">
        <v>8</v>
      </c>
      <c r="C5826" t="s" s="12">
        <v>8</v>
      </c>
      <c r="D5826" s="15" cm="1">
        <f t="array" ref="D5826">SUM(D5823:D5825)</f>
        <v>15666</v>
      </c>
      <c r="E5826" s="15" cm="1">
        <f t="array" ref="E5826">SUM(E5823:E5825)</f>
        <v>15666</v>
      </c>
      <c r="F5826" s="16" cm="1">
        <f t="array" ref="F5826">SUM(F5823:F5825)</f>
        <v>0</v>
      </c>
      <c r="G5826" s="16" cm="1">
        <f t="array" ref="G5826">SUM(G5823:G5825)</f>
        <v>0</v>
      </c>
      <c r="H5826" s="16" cm="1">
        <f t="array" ref="H5826">SUM(H5823:H5825)</f>
        <v>0</v>
      </c>
      <c r="I5826" s="16" cm="1">
        <f t="array" ref="I5826">SUM(I5823:I5825)</f>
        <v>0</v>
      </c>
    </row>
    <row r="5827" ht="20.35" customHeight="1">
      <c r="A5827" s="10">
        <v>45704</v>
      </c>
      <c r="B5827" t="s" s="11">
        <v>93</v>
      </c>
      <c r="C5827" t="s" s="12">
        <v>96</v>
      </c>
      <c r="D5827" s="17"/>
      <c r="E5827" s="17">
        <v>14700</v>
      </c>
      <c r="F5827" s="18"/>
      <c r="G5827" s="18"/>
      <c r="H5827" s="18"/>
      <c r="I5827" s="18"/>
    </row>
    <row r="5828" ht="20.35" customHeight="1">
      <c r="A5828" s="10">
        <v>45704</v>
      </c>
      <c r="B5828" t="s" s="11">
        <v>5</v>
      </c>
      <c r="C5828" t="s" s="12">
        <v>96</v>
      </c>
      <c r="D5828" s="13">
        <v>14700</v>
      </c>
      <c r="E5828" s="13"/>
      <c r="F5828" s="14"/>
      <c r="G5828" s="14"/>
      <c r="H5828" s="14"/>
      <c r="I5828" s="14"/>
    </row>
    <row r="5829" ht="20.7" customHeight="1">
      <c r="A5829" s="10">
        <v>45704</v>
      </c>
      <c r="B5829" t="s" s="11">
        <v>8</v>
      </c>
      <c r="C5829" t="s" s="12">
        <v>8</v>
      </c>
      <c r="D5829" s="15" cm="1">
        <f t="array" ref="D5829">SUM(D5827:D5828)</f>
        <v>14700</v>
      </c>
      <c r="E5829" s="15" cm="1">
        <f t="array" ref="E5829">SUM(E5827:E5828)</f>
        <v>14700</v>
      </c>
      <c r="F5829" s="16" cm="1">
        <f t="array" ref="F5829">SUM(F5827:F5828)</f>
        <v>0</v>
      </c>
      <c r="G5829" s="16" cm="1">
        <f t="array" ref="G5829">SUM(G5827:G5828)</f>
        <v>0</v>
      </c>
      <c r="H5829" s="16" cm="1">
        <f t="array" ref="H5829">SUM(H5827:H5828)</f>
        <v>0</v>
      </c>
      <c r="I5829" s="16" cm="1">
        <f t="array" ref="I5829">SUM(I5827:I5828)</f>
        <v>0</v>
      </c>
    </row>
    <row r="5830" ht="20.35" customHeight="1">
      <c r="A5830" s="10">
        <v>45704</v>
      </c>
      <c r="B5830" t="s" s="11">
        <v>107</v>
      </c>
      <c r="C5830" t="s" s="12">
        <v>96</v>
      </c>
      <c r="D5830" s="17"/>
      <c r="E5830" s="17">
        <v>79000</v>
      </c>
      <c r="F5830" s="18"/>
      <c r="G5830" s="18"/>
      <c r="H5830" s="18"/>
      <c r="I5830" s="18"/>
    </row>
    <row r="5831" ht="20.35" customHeight="1">
      <c r="A5831" s="10">
        <v>45704</v>
      </c>
      <c r="B5831" t="s" s="11">
        <v>5</v>
      </c>
      <c r="C5831" t="s" s="12">
        <v>96</v>
      </c>
      <c r="D5831" s="13">
        <v>79000</v>
      </c>
      <c r="E5831" s="13"/>
      <c r="F5831" s="14"/>
      <c r="G5831" s="14"/>
      <c r="H5831" s="14"/>
      <c r="I5831" s="14"/>
    </row>
    <row r="5832" ht="20.7" customHeight="1">
      <c r="A5832" s="10">
        <v>45704</v>
      </c>
      <c r="B5832" t="s" s="11">
        <v>8</v>
      </c>
      <c r="C5832" t="s" s="12">
        <v>8</v>
      </c>
      <c r="D5832" s="15" cm="1">
        <f t="array" ref="D5832">SUM(D5830:D5831)</f>
        <v>79000</v>
      </c>
      <c r="E5832" s="15" cm="1">
        <f t="array" ref="E5832">SUM(E5830:E5831)</f>
        <v>79000</v>
      </c>
      <c r="F5832" s="16" cm="1">
        <f t="array" ref="F5832">SUM(F5830:F5831)</f>
        <v>0</v>
      </c>
      <c r="G5832" s="16" cm="1">
        <f t="array" ref="G5832">SUM(G5830:G5831)</f>
        <v>0</v>
      </c>
      <c r="H5832" s="16" cm="1">
        <f t="array" ref="H5832">SUM(H5830:H5831)</f>
        <v>0</v>
      </c>
      <c r="I5832" s="16" cm="1">
        <f t="array" ref="I5832">SUM(I5830:I5831)</f>
        <v>0</v>
      </c>
    </row>
    <row r="5833" ht="21.25" customHeight="1">
      <c r="A5833" s="10">
        <v>45704</v>
      </c>
      <c r="B5833" t="s" s="11">
        <v>5</v>
      </c>
      <c r="C5833" t="s" s="12">
        <v>884</v>
      </c>
      <c r="D5833" s="17"/>
      <c r="E5833" s="17">
        <v>119400</v>
      </c>
      <c r="F5833" s="18"/>
      <c r="G5833" s="18"/>
      <c r="H5833" s="18"/>
      <c r="I5833" s="18"/>
    </row>
    <row r="5834" ht="21.25" customHeight="1">
      <c r="A5834" s="10">
        <v>45704</v>
      </c>
      <c r="B5834" t="s" s="11">
        <v>814</v>
      </c>
      <c r="C5834" t="s" s="12">
        <v>884</v>
      </c>
      <c r="D5834" s="13">
        <v>119400</v>
      </c>
      <c r="E5834" s="13"/>
      <c r="F5834" s="14"/>
      <c r="G5834" s="14"/>
      <c r="H5834" s="14"/>
      <c r="I5834" s="14"/>
    </row>
    <row r="5835" ht="20.7" customHeight="1">
      <c r="A5835" s="10">
        <v>45704</v>
      </c>
      <c r="B5835" t="s" s="11">
        <v>8</v>
      </c>
      <c r="C5835" t="s" s="12">
        <v>8</v>
      </c>
      <c r="D5835" s="15" cm="1">
        <f t="array" ref="D5835">SUM(D5833:D5834)</f>
        <v>119400</v>
      </c>
      <c r="E5835" s="15" cm="1">
        <f t="array" ref="E5835">SUM(E5833:E5834)</f>
        <v>119400</v>
      </c>
      <c r="F5835" s="16" cm="1">
        <f t="array" ref="F5835">SUM(F5833:F5834)</f>
        <v>0</v>
      </c>
      <c r="G5835" s="16" cm="1">
        <f t="array" ref="G5835">SUM(G5833:G5834)</f>
        <v>0</v>
      </c>
      <c r="H5835" s="16" cm="1">
        <f t="array" ref="H5835">SUM(H5833:H5834)</f>
        <v>0</v>
      </c>
      <c r="I5835" s="16" cm="1">
        <f t="array" ref="I5835">SUM(I5833:I5834)</f>
        <v>0</v>
      </c>
    </row>
    <row r="5836" ht="20.65" customHeight="1">
      <c r="A5836" s="10">
        <v>45704</v>
      </c>
      <c r="B5836" t="s" s="11">
        <v>89</v>
      </c>
      <c r="C5836" t="s" s="12">
        <v>887</v>
      </c>
      <c r="D5836" s="17"/>
      <c r="E5836" s="17">
        <v>14667</v>
      </c>
      <c r="F5836" s="18"/>
      <c r="G5836" s="18"/>
      <c r="H5836" s="18"/>
      <c r="I5836" s="18"/>
    </row>
    <row r="5837" ht="20.35" customHeight="1">
      <c r="A5837" s="10">
        <v>45704</v>
      </c>
      <c r="B5837" t="s" s="11">
        <v>91</v>
      </c>
      <c r="C5837" t="s" s="12">
        <v>887</v>
      </c>
      <c r="D5837" s="19"/>
      <c r="E5837" s="19">
        <v>33</v>
      </c>
      <c r="F5837" s="20"/>
      <c r="G5837" s="20"/>
      <c r="H5837" s="20"/>
      <c r="I5837" s="20"/>
    </row>
    <row r="5838" ht="20.65" customHeight="1">
      <c r="A5838" s="10">
        <v>45704</v>
      </c>
      <c r="B5838" t="s" s="11">
        <v>107</v>
      </c>
      <c r="C5838" t="s" s="12">
        <v>887</v>
      </c>
      <c r="D5838" s="13">
        <v>14700</v>
      </c>
      <c r="E5838" s="13"/>
      <c r="F5838" s="14"/>
      <c r="G5838" s="14"/>
      <c r="H5838" s="14"/>
      <c r="I5838" s="14"/>
    </row>
    <row r="5839" ht="20.7" customHeight="1">
      <c r="A5839" s="10">
        <v>45704</v>
      </c>
      <c r="B5839" t="s" s="11">
        <v>8</v>
      </c>
      <c r="C5839" t="s" s="12">
        <v>8</v>
      </c>
      <c r="D5839" s="15" cm="1">
        <f t="array" ref="D5839">SUM(D5836:D5838)</f>
        <v>14700</v>
      </c>
      <c r="E5839" s="15" cm="1">
        <f t="array" ref="E5839">SUM(E5836:E5838)</f>
        <v>14700</v>
      </c>
      <c r="F5839" s="16" cm="1">
        <f t="array" ref="F5839">SUM(F5836:F5838)</f>
        <v>0</v>
      </c>
      <c r="G5839" s="16" cm="1">
        <f t="array" ref="G5839">SUM(G5836:G5838)</f>
        <v>0</v>
      </c>
      <c r="H5839" s="16" cm="1">
        <f t="array" ref="H5839">SUM(H5836:H5838)</f>
        <v>0</v>
      </c>
      <c r="I5839" s="16" cm="1">
        <f t="array" ref="I5839">SUM(I5836:I5838)</f>
        <v>0</v>
      </c>
    </row>
    <row r="5840" ht="21.25" customHeight="1">
      <c r="A5840" s="10">
        <v>45705</v>
      </c>
      <c r="B5840" t="s" s="11">
        <v>5</v>
      </c>
      <c r="C5840" t="s" s="12">
        <v>799</v>
      </c>
      <c r="D5840" s="17">
        <v>1</v>
      </c>
      <c r="E5840" s="17"/>
      <c r="F5840" s="18"/>
      <c r="G5840" s="18"/>
      <c r="H5840" s="18"/>
      <c r="I5840" s="18"/>
    </row>
    <row r="5841" ht="21.25" customHeight="1">
      <c r="A5841" s="10">
        <v>45705</v>
      </c>
      <c r="B5841" t="s" s="11">
        <v>91</v>
      </c>
      <c r="C5841" t="s" s="12">
        <v>799</v>
      </c>
      <c r="D5841" s="13"/>
      <c r="E5841" s="13">
        <v>1</v>
      </c>
      <c r="F5841" s="14"/>
      <c r="G5841" s="14"/>
      <c r="H5841" s="14"/>
      <c r="I5841" s="14"/>
    </row>
    <row r="5842" ht="20.7" customHeight="1">
      <c r="A5842" s="10">
        <v>45705</v>
      </c>
      <c r="B5842" t="s" s="11">
        <v>8</v>
      </c>
      <c r="C5842" t="s" s="12">
        <v>8</v>
      </c>
      <c r="D5842" s="15" cm="1">
        <f t="array" ref="D5842">SUM(D5840:D5841)</f>
        <v>1</v>
      </c>
      <c r="E5842" s="15" cm="1">
        <f t="array" ref="E5842">SUM(E5840:E5841)</f>
        <v>1</v>
      </c>
      <c r="F5842" s="16" cm="1">
        <f t="array" ref="F5842">SUM(F5840:F5841)</f>
        <v>0</v>
      </c>
      <c r="G5842" s="16" cm="1">
        <f t="array" ref="G5842">SUM(G5840:G5841)</f>
        <v>0</v>
      </c>
      <c r="H5842" s="16" cm="1">
        <f t="array" ref="H5842">SUM(H5840:H5841)</f>
        <v>0</v>
      </c>
      <c r="I5842" s="16" cm="1">
        <f t="array" ref="I5842">SUM(I5840:I5841)</f>
        <v>0</v>
      </c>
    </row>
    <row r="5843" ht="21.25" customHeight="1">
      <c r="A5843" s="10">
        <v>45705</v>
      </c>
      <c r="B5843" t="s" s="11">
        <v>5</v>
      </c>
      <c r="C5843" t="s" s="12">
        <v>799</v>
      </c>
      <c r="D5843" s="17">
        <v>2</v>
      </c>
      <c r="E5843" s="17"/>
      <c r="F5843" s="18"/>
      <c r="G5843" s="18"/>
      <c r="H5843" s="18"/>
      <c r="I5843" s="18"/>
    </row>
    <row r="5844" ht="21.25" customHeight="1">
      <c r="A5844" s="10">
        <v>45705</v>
      </c>
      <c r="B5844" t="s" s="11">
        <v>91</v>
      </c>
      <c r="C5844" t="s" s="12">
        <v>799</v>
      </c>
      <c r="D5844" s="13"/>
      <c r="E5844" s="13">
        <v>2</v>
      </c>
      <c r="F5844" s="14"/>
      <c r="G5844" s="14"/>
      <c r="H5844" s="14"/>
      <c r="I5844" s="14"/>
    </row>
    <row r="5845" ht="20.7" customHeight="1">
      <c r="A5845" s="10">
        <v>45705</v>
      </c>
      <c r="B5845" t="s" s="11">
        <v>8</v>
      </c>
      <c r="C5845" t="s" s="12">
        <v>8</v>
      </c>
      <c r="D5845" s="15" cm="1">
        <f t="array" ref="D5845">SUM(D5843:D5844)</f>
        <v>2</v>
      </c>
      <c r="E5845" s="15" cm="1">
        <f t="array" ref="E5845">SUM(E5843:E5844)</f>
        <v>2</v>
      </c>
      <c r="F5845" s="16" cm="1">
        <f t="array" ref="F5845">SUM(F5843:F5844)</f>
        <v>0</v>
      </c>
      <c r="G5845" s="16" cm="1">
        <f t="array" ref="G5845">SUM(G5843:G5844)</f>
        <v>0</v>
      </c>
      <c r="H5845" s="16" cm="1">
        <f t="array" ref="H5845">SUM(H5843:H5844)</f>
        <v>0</v>
      </c>
      <c r="I5845" s="16" cm="1">
        <f t="array" ref="I5845">SUM(I5843:I5844)</f>
        <v>0</v>
      </c>
    </row>
    <row r="5846" ht="20.35" customHeight="1">
      <c r="A5846" s="10">
        <v>45705</v>
      </c>
      <c r="B5846" t="s" s="11">
        <v>107</v>
      </c>
      <c r="C5846" t="s" s="12">
        <v>96</v>
      </c>
      <c r="D5846" s="17"/>
      <c r="E5846" s="17">
        <v>14700</v>
      </c>
      <c r="F5846" s="18"/>
      <c r="G5846" s="18"/>
      <c r="H5846" s="18"/>
      <c r="I5846" s="18"/>
    </row>
    <row r="5847" ht="20.35" customHeight="1">
      <c r="A5847" s="10">
        <v>45705</v>
      </c>
      <c r="B5847" t="s" s="11">
        <v>5</v>
      </c>
      <c r="C5847" t="s" s="12">
        <v>96</v>
      </c>
      <c r="D5847" s="13">
        <v>14700</v>
      </c>
      <c r="E5847" s="13"/>
      <c r="F5847" s="14"/>
      <c r="G5847" s="14"/>
      <c r="H5847" s="14"/>
      <c r="I5847" s="14"/>
    </row>
    <row r="5848" ht="20.7" customHeight="1">
      <c r="A5848" s="10">
        <v>45705</v>
      </c>
      <c r="B5848" t="s" s="11">
        <v>8</v>
      </c>
      <c r="C5848" t="s" s="12">
        <v>8</v>
      </c>
      <c r="D5848" s="15" cm="1">
        <f t="array" ref="D5848">SUM(D5846:D5847)</f>
        <v>14700</v>
      </c>
      <c r="E5848" s="15" cm="1">
        <f t="array" ref="E5848">SUM(E5846:E5847)</f>
        <v>14700</v>
      </c>
      <c r="F5848" s="16" cm="1">
        <f t="array" ref="F5848">SUM(F5846:F5847)</f>
        <v>0</v>
      </c>
      <c r="G5848" s="16" cm="1">
        <f t="array" ref="G5848">SUM(G5846:G5847)</f>
        <v>0</v>
      </c>
      <c r="H5848" s="16" cm="1">
        <f t="array" ref="H5848">SUM(H5846:H5847)</f>
        <v>0</v>
      </c>
      <c r="I5848" s="16" cm="1">
        <f t="array" ref="I5848">SUM(I5846:I5847)</f>
        <v>0</v>
      </c>
    </row>
    <row r="5849" ht="20.35" customHeight="1">
      <c r="A5849" s="10">
        <v>45705</v>
      </c>
      <c r="B5849" t="s" s="11">
        <v>5</v>
      </c>
      <c r="C5849" t="s" s="12">
        <v>867</v>
      </c>
      <c r="D5849" s="17"/>
      <c r="E5849" s="17">
        <v>14703</v>
      </c>
      <c r="F5849" s="18"/>
      <c r="G5849" s="18"/>
      <c r="H5849" s="18"/>
      <c r="I5849" s="18"/>
    </row>
    <row r="5850" ht="20.35" customHeight="1">
      <c r="A5850" s="10">
        <v>45705</v>
      </c>
      <c r="B5850" t="s" s="11">
        <v>814</v>
      </c>
      <c r="C5850" t="s" s="12">
        <v>867</v>
      </c>
      <c r="D5850" s="13">
        <v>14703</v>
      </c>
      <c r="E5850" s="13"/>
      <c r="F5850" s="14"/>
      <c r="G5850" s="14"/>
      <c r="H5850" s="14"/>
      <c r="I5850" s="14"/>
    </row>
    <row r="5851" ht="20.7" customHeight="1">
      <c r="A5851" s="10">
        <v>45705</v>
      </c>
      <c r="B5851" t="s" s="11">
        <v>8</v>
      </c>
      <c r="C5851" t="s" s="12">
        <v>8</v>
      </c>
      <c r="D5851" s="15" cm="1">
        <f t="array" ref="D5851">SUM(D5849:D5850)</f>
        <v>14703</v>
      </c>
      <c r="E5851" s="15" cm="1">
        <f t="array" ref="E5851">SUM(E5849:E5850)</f>
        <v>14703</v>
      </c>
      <c r="F5851" s="16" cm="1">
        <f t="array" ref="F5851">SUM(F5849:F5850)</f>
        <v>0</v>
      </c>
      <c r="G5851" s="16" cm="1">
        <f t="array" ref="G5851">SUM(G5849:G5850)</f>
        <v>0</v>
      </c>
      <c r="H5851" s="16" cm="1">
        <f t="array" ref="H5851">SUM(H5849:H5850)</f>
        <v>0</v>
      </c>
      <c r="I5851" s="16" cm="1">
        <f t="array" ref="I5851">SUM(I5849:I5850)</f>
        <v>0</v>
      </c>
    </row>
    <row r="5852" ht="20.35" customHeight="1">
      <c r="A5852" s="10">
        <v>45705</v>
      </c>
      <c r="B5852" t="s" s="11">
        <v>843</v>
      </c>
      <c r="C5852" t="s" s="12">
        <v>888</v>
      </c>
      <c r="D5852" s="17"/>
      <c r="E5852" s="17">
        <v>162294</v>
      </c>
      <c r="F5852" s="18"/>
      <c r="G5852" s="18"/>
      <c r="H5852" s="18"/>
      <c r="I5852" s="18"/>
    </row>
    <row r="5853" ht="20.35" customHeight="1">
      <c r="A5853" s="10">
        <v>45705</v>
      </c>
      <c r="B5853" t="s" s="11">
        <v>5</v>
      </c>
      <c r="C5853" t="s" s="12">
        <v>888</v>
      </c>
      <c r="D5853" s="13">
        <v>162294</v>
      </c>
      <c r="E5853" s="13"/>
      <c r="F5853" s="14"/>
      <c r="G5853" s="14"/>
      <c r="H5853" s="14"/>
      <c r="I5853" s="14"/>
    </row>
    <row r="5854" ht="20.7" customHeight="1">
      <c r="A5854" s="10">
        <v>45705</v>
      </c>
      <c r="B5854" t="s" s="11">
        <v>8</v>
      </c>
      <c r="C5854" t="s" s="12">
        <v>8</v>
      </c>
      <c r="D5854" s="15" cm="1">
        <f t="array" ref="D5854">SUM(D5852:D5853)</f>
        <v>162294</v>
      </c>
      <c r="E5854" s="15" cm="1">
        <f t="array" ref="E5854">SUM(E5852:E5853)</f>
        <v>162294</v>
      </c>
      <c r="F5854" s="16" cm="1">
        <f t="array" ref="F5854">SUM(F5852:F5853)</f>
        <v>0</v>
      </c>
      <c r="G5854" s="16" cm="1">
        <f t="array" ref="G5854">SUM(G5852:G5853)</f>
        <v>0</v>
      </c>
      <c r="H5854" s="16" cm="1">
        <f t="array" ref="H5854">SUM(H5852:H5853)</f>
        <v>0</v>
      </c>
      <c r="I5854" s="16" cm="1">
        <f t="array" ref="I5854">SUM(I5852:I5853)</f>
        <v>0</v>
      </c>
    </row>
    <row r="5855" ht="20.35" customHeight="1">
      <c r="A5855" s="10">
        <v>45705</v>
      </c>
      <c r="B5855" t="s" s="11">
        <v>5</v>
      </c>
      <c r="C5855" t="s" s="12">
        <v>888</v>
      </c>
      <c r="D5855" s="17"/>
      <c r="E5855" s="17">
        <v>162294</v>
      </c>
      <c r="F5855" s="18"/>
      <c r="G5855" s="18"/>
      <c r="H5855" s="18"/>
      <c r="I5855" s="18"/>
    </row>
    <row r="5856" ht="20.35" customHeight="1">
      <c r="A5856" s="10">
        <v>45705</v>
      </c>
      <c r="B5856" t="s" s="11">
        <v>814</v>
      </c>
      <c r="C5856" t="s" s="12">
        <v>888</v>
      </c>
      <c r="D5856" s="13">
        <v>162294</v>
      </c>
      <c r="E5856" s="13"/>
      <c r="F5856" s="14"/>
      <c r="G5856" s="14"/>
      <c r="H5856" s="14"/>
      <c r="I5856" s="14"/>
    </row>
    <row r="5857" ht="20.7" customHeight="1">
      <c r="A5857" s="10">
        <v>45705</v>
      </c>
      <c r="B5857" t="s" s="11">
        <v>8</v>
      </c>
      <c r="C5857" t="s" s="12">
        <v>8</v>
      </c>
      <c r="D5857" s="15" cm="1">
        <f t="array" ref="D5857">SUM(D5855:D5856)</f>
        <v>162294</v>
      </c>
      <c r="E5857" s="15" cm="1">
        <f t="array" ref="E5857">SUM(E5855:E5856)</f>
        <v>162294</v>
      </c>
      <c r="F5857" s="16" cm="1">
        <f t="array" ref="F5857">SUM(F5855:F5856)</f>
        <v>0</v>
      </c>
      <c r="G5857" s="16" cm="1">
        <f t="array" ref="G5857">SUM(G5855:G5856)</f>
        <v>0</v>
      </c>
      <c r="H5857" s="16" cm="1">
        <f t="array" ref="H5857">SUM(H5855:H5856)</f>
        <v>0</v>
      </c>
      <c r="I5857" s="16" cm="1">
        <f t="array" ref="I5857">SUM(I5855:I5856)</f>
        <v>0</v>
      </c>
    </row>
    <row r="5858" ht="20.65" customHeight="1">
      <c r="A5858" s="10">
        <v>45705</v>
      </c>
      <c r="B5858" t="s" s="11">
        <v>814</v>
      </c>
      <c r="C5858" t="s" s="12">
        <v>820</v>
      </c>
      <c r="D5858" s="17">
        <v>476</v>
      </c>
      <c r="E5858" s="17"/>
      <c r="F5858" s="18"/>
      <c r="G5858" s="18"/>
      <c r="H5858" s="18"/>
      <c r="I5858" s="18"/>
    </row>
    <row r="5859" ht="20.65" customHeight="1">
      <c r="A5859" s="10">
        <v>45705</v>
      </c>
      <c r="B5859" t="s" s="11">
        <v>91</v>
      </c>
      <c r="C5859" t="s" s="12">
        <v>820</v>
      </c>
      <c r="D5859" s="13"/>
      <c r="E5859" s="13">
        <v>476</v>
      </c>
      <c r="F5859" s="14"/>
      <c r="G5859" s="14"/>
      <c r="H5859" s="14"/>
      <c r="I5859" s="14"/>
    </row>
    <row r="5860" ht="20.7" customHeight="1">
      <c r="A5860" s="10">
        <v>45705</v>
      </c>
      <c r="B5860" t="s" s="11">
        <v>8</v>
      </c>
      <c r="C5860" t="s" s="12">
        <v>8</v>
      </c>
      <c r="D5860" s="15" cm="1">
        <f t="array" ref="D5860">SUM(D5858:D5859)</f>
        <v>476</v>
      </c>
      <c r="E5860" s="15" cm="1">
        <f t="array" ref="E5860">SUM(E5858:E5859)</f>
        <v>476</v>
      </c>
      <c r="F5860" s="16" cm="1">
        <f t="array" ref="F5860">SUM(F5858:F5859)</f>
        <v>0</v>
      </c>
      <c r="G5860" s="16" cm="1">
        <f t="array" ref="G5860">SUM(G5858:G5859)</f>
        <v>0</v>
      </c>
      <c r="H5860" s="16" cm="1">
        <f t="array" ref="H5860">SUM(H5858:H5859)</f>
        <v>0</v>
      </c>
      <c r="I5860" s="16" cm="1">
        <f t="array" ref="I5860">SUM(I5858:I5859)</f>
        <v>0</v>
      </c>
    </row>
    <row r="5861" ht="20.65" customHeight="1">
      <c r="A5861" s="10">
        <v>45705</v>
      </c>
      <c r="B5861" t="s" s="11">
        <v>843</v>
      </c>
      <c r="C5861" t="s" s="12">
        <v>820</v>
      </c>
      <c r="D5861" s="17">
        <v>16</v>
      </c>
      <c r="E5861" s="17"/>
      <c r="F5861" s="18"/>
      <c r="G5861" s="18"/>
      <c r="H5861" s="18"/>
      <c r="I5861" s="18"/>
    </row>
    <row r="5862" ht="20.65" customHeight="1">
      <c r="A5862" s="10">
        <v>45705</v>
      </c>
      <c r="B5862" t="s" s="11">
        <v>91</v>
      </c>
      <c r="C5862" t="s" s="12">
        <v>820</v>
      </c>
      <c r="D5862" s="13"/>
      <c r="E5862" s="13">
        <v>16</v>
      </c>
      <c r="F5862" s="14"/>
      <c r="G5862" s="14"/>
      <c r="H5862" s="14"/>
      <c r="I5862" s="14"/>
    </row>
    <row r="5863" ht="20.7" customHeight="1">
      <c r="A5863" s="10">
        <v>45705</v>
      </c>
      <c r="B5863" t="s" s="11">
        <v>8</v>
      </c>
      <c r="C5863" t="s" s="12">
        <v>8</v>
      </c>
      <c r="D5863" s="15" cm="1">
        <f t="array" ref="D5863">SUM(D5861:D5862)</f>
        <v>16</v>
      </c>
      <c r="E5863" s="15" cm="1">
        <f t="array" ref="E5863">SUM(E5861:E5862)</f>
        <v>16</v>
      </c>
      <c r="F5863" s="16" cm="1">
        <f t="array" ref="F5863">SUM(F5861:F5862)</f>
        <v>0</v>
      </c>
      <c r="G5863" s="16" cm="1">
        <f t="array" ref="G5863">SUM(G5861:G5862)</f>
        <v>0</v>
      </c>
      <c r="H5863" s="16" cm="1">
        <f t="array" ref="H5863">SUM(H5861:H5862)</f>
        <v>0</v>
      </c>
      <c r="I5863" s="16" cm="1">
        <f t="array" ref="I5863">SUM(I5861:I5862)</f>
        <v>0</v>
      </c>
    </row>
    <row r="5864" ht="21.25" customHeight="1">
      <c r="A5864" s="10">
        <v>45705</v>
      </c>
      <c r="B5864" t="s" s="11">
        <v>843</v>
      </c>
      <c r="C5864" t="s" s="12">
        <v>889</v>
      </c>
      <c r="D5864" s="17"/>
      <c r="E5864" s="17">
        <v>3000</v>
      </c>
      <c r="F5864" s="18"/>
      <c r="G5864" s="18"/>
      <c r="H5864" s="18"/>
      <c r="I5864" s="18"/>
    </row>
    <row r="5865" ht="21.25" customHeight="1">
      <c r="A5865" s="10">
        <v>45705</v>
      </c>
      <c r="B5865" t="s" s="11">
        <v>5</v>
      </c>
      <c r="C5865" t="s" s="12">
        <v>889</v>
      </c>
      <c r="D5865" s="13">
        <v>3000</v>
      </c>
      <c r="E5865" s="13"/>
      <c r="F5865" s="14"/>
      <c r="G5865" s="14"/>
      <c r="H5865" s="14"/>
      <c r="I5865" s="14"/>
    </row>
    <row r="5866" ht="20.7" customHeight="1">
      <c r="A5866" s="10">
        <v>45705</v>
      </c>
      <c r="B5866" t="s" s="11">
        <v>8</v>
      </c>
      <c r="C5866" t="s" s="12">
        <v>8</v>
      </c>
      <c r="D5866" s="15" cm="1">
        <f t="array" ref="D5866">SUM(D5864:D5865)</f>
        <v>3000</v>
      </c>
      <c r="E5866" s="15" cm="1">
        <f t="array" ref="E5866">SUM(E5864:E5865)</f>
        <v>3000</v>
      </c>
      <c r="F5866" s="16" cm="1">
        <f t="array" ref="F5866">SUM(F5864:F5865)</f>
        <v>0</v>
      </c>
      <c r="G5866" s="16" cm="1">
        <f t="array" ref="G5866">SUM(G5864:G5865)</f>
        <v>0</v>
      </c>
      <c r="H5866" s="16" cm="1">
        <f t="array" ref="H5866">SUM(H5864:H5865)</f>
        <v>0</v>
      </c>
      <c r="I5866" s="16" cm="1">
        <f t="array" ref="I5866">SUM(I5864:I5865)</f>
        <v>0</v>
      </c>
    </row>
    <row r="5867" ht="20.35" customHeight="1">
      <c r="A5867" s="10">
        <v>45705</v>
      </c>
      <c r="B5867" t="s" s="11">
        <v>5</v>
      </c>
      <c r="C5867" t="s" s="12">
        <v>439</v>
      </c>
      <c r="D5867" s="17"/>
      <c r="E5867" s="17">
        <v>3000</v>
      </c>
      <c r="F5867" s="18"/>
      <c r="G5867" s="18"/>
      <c r="H5867" s="18"/>
      <c r="I5867" s="18"/>
    </row>
    <row r="5868" ht="20.35" customHeight="1">
      <c r="A5868" s="10">
        <v>45705</v>
      </c>
      <c r="B5868" t="s" s="11">
        <v>121</v>
      </c>
      <c r="C5868" t="s" s="12">
        <v>439</v>
      </c>
      <c r="D5868" s="13">
        <v>3000</v>
      </c>
      <c r="E5868" s="13"/>
      <c r="F5868" s="14"/>
      <c r="G5868" s="14"/>
      <c r="H5868" s="14"/>
      <c r="I5868" s="14"/>
    </row>
    <row r="5869" ht="20.7" customHeight="1">
      <c r="A5869" s="10">
        <v>45705</v>
      </c>
      <c r="B5869" t="s" s="11">
        <v>8</v>
      </c>
      <c r="C5869" t="s" s="12">
        <v>8</v>
      </c>
      <c r="D5869" s="15" cm="1">
        <f t="array" ref="D5869">SUM(D5867:D5868)</f>
        <v>3000</v>
      </c>
      <c r="E5869" s="15" cm="1">
        <f t="array" ref="E5869">SUM(E5867:E5868)</f>
        <v>3000</v>
      </c>
      <c r="F5869" s="16" cm="1">
        <f t="array" ref="F5869">SUM(F5867:F5868)</f>
        <v>0</v>
      </c>
      <c r="G5869" s="16" cm="1">
        <f t="array" ref="G5869">SUM(G5867:G5868)</f>
        <v>0</v>
      </c>
      <c r="H5869" s="16" cm="1">
        <f t="array" ref="H5869">SUM(H5867:H5868)</f>
        <v>0</v>
      </c>
      <c r="I5869" s="16" cm="1">
        <f t="array" ref="I5869">SUM(I5867:I5868)</f>
        <v>0</v>
      </c>
    </row>
    <row r="5870" ht="20.35" customHeight="1">
      <c r="A5870" s="10">
        <v>45705</v>
      </c>
      <c r="B5870" t="s" s="11">
        <v>843</v>
      </c>
      <c r="C5870" t="s" s="12">
        <v>890</v>
      </c>
      <c r="D5870" s="17"/>
      <c r="E5870" s="17">
        <v>2700</v>
      </c>
      <c r="F5870" s="18"/>
      <c r="G5870" s="18"/>
      <c r="H5870" s="18"/>
      <c r="I5870" s="18"/>
    </row>
    <row r="5871" ht="20.35" customHeight="1">
      <c r="A5871" s="10">
        <v>45705</v>
      </c>
      <c r="B5871" t="s" s="11">
        <v>5</v>
      </c>
      <c r="C5871" t="s" s="12">
        <v>890</v>
      </c>
      <c r="D5871" s="13">
        <v>2700</v>
      </c>
      <c r="E5871" s="13"/>
      <c r="F5871" s="14"/>
      <c r="G5871" s="14"/>
      <c r="H5871" s="14"/>
      <c r="I5871" s="14"/>
    </row>
    <row r="5872" ht="20.7" customHeight="1">
      <c r="A5872" s="10">
        <v>45705</v>
      </c>
      <c r="B5872" t="s" s="11">
        <v>8</v>
      </c>
      <c r="C5872" t="s" s="12">
        <v>8</v>
      </c>
      <c r="D5872" s="15" cm="1">
        <f t="array" ref="D5872">SUM(D5870:D5871)</f>
        <v>2700</v>
      </c>
      <c r="E5872" s="15" cm="1">
        <f t="array" ref="E5872">SUM(E5870:E5871)</f>
        <v>2700</v>
      </c>
      <c r="F5872" s="16" cm="1">
        <f t="array" ref="F5872">SUM(F5870:F5871)</f>
        <v>0</v>
      </c>
      <c r="G5872" s="16" cm="1">
        <f t="array" ref="G5872">SUM(G5870:G5871)</f>
        <v>0</v>
      </c>
      <c r="H5872" s="16" cm="1">
        <f t="array" ref="H5872">SUM(H5870:H5871)</f>
        <v>0</v>
      </c>
      <c r="I5872" s="16" cm="1">
        <f t="array" ref="I5872">SUM(I5870:I5871)</f>
        <v>0</v>
      </c>
    </row>
    <row r="5873" ht="20.35" customHeight="1">
      <c r="A5873" s="10">
        <v>45705</v>
      </c>
      <c r="B5873" t="s" s="11">
        <v>5</v>
      </c>
      <c r="C5873" t="s" s="12">
        <v>890</v>
      </c>
      <c r="D5873" s="17"/>
      <c r="E5873" s="17">
        <v>2700</v>
      </c>
      <c r="F5873" s="18"/>
      <c r="G5873" s="18"/>
      <c r="H5873" s="18"/>
      <c r="I5873" s="18"/>
    </row>
    <row r="5874" ht="20.35" customHeight="1">
      <c r="A5874" s="10">
        <v>45705</v>
      </c>
      <c r="B5874" t="s" s="11">
        <v>10</v>
      </c>
      <c r="C5874" t="s" s="12">
        <v>890</v>
      </c>
      <c r="D5874" s="13">
        <v>2700</v>
      </c>
      <c r="E5874" s="13"/>
      <c r="F5874" s="14"/>
      <c r="G5874" s="14"/>
      <c r="H5874" s="14"/>
      <c r="I5874" s="14"/>
    </row>
    <row r="5875" ht="20.7" customHeight="1">
      <c r="A5875" s="10">
        <v>45705</v>
      </c>
      <c r="B5875" t="s" s="11">
        <v>8</v>
      </c>
      <c r="C5875" t="s" s="12">
        <v>8</v>
      </c>
      <c r="D5875" s="15" cm="1">
        <f t="array" ref="D5875">SUM(D5873:D5874)</f>
        <v>2700</v>
      </c>
      <c r="E5875" s="15" cm="1">
        <f t="array" ref="E5875">SUM(E5873:E5874)</f>
        <v>2700</v>
      </c>
      <c r="F5875" s="16" cm="1">
        <f t="array" ref="F5875">SUM(F5873:F5874)</f>
        <v>0</v>
      </c>
      <c r="G5875" s="16" cm="1">
        <f t="array" ref="G5875">SUM(G5873:G5874)</f>
        <v>0</v>
      </c>
      <c r="H5875" s="16" cm="1">
        <f t="array" ref="H5875">SUM(H5873:H5874)</f>
        <v>0</v>
      </c>
      <c r="I5875" s="16" cm="1">
        <f t="array" ref="I5875">SUM(I5873:I5874)</f>
        <v>0</v>
      </c>
    </row>
    <row r="5876" ht="21.25" customHeight="1">
      <c r="A5876" s="10">
        <v>45705</v>
      </c>
      <c r="B5876" t="s" s="11">
        <v>121</v>
      </c>
      <c r="C5876" t="s" s="12">
        <v>889</v>
      </c>
      <c r="D5876" s="17"/>
      <c r="E5876" s="17">
        <v>3000</v>
      </c>
      <c r="F5876" s="18"/>
      <c r="G5876" s="18"/>
      <c r="H5876" s="18"/>
      <c r="I5876" s="18"/>
    </row>
    <row r="5877" ht="21.25" customHeight="1">
      <c r="A5877" s="10">
        <v>45705</v>
      </c>
      <c r="B5877" t="s" s="11">
        <v>21</v>
      </c>
      <c r="C5877" t="s" s="12">
        <v>889</v>
      </c>
      <c r="D5877" s="13">
        <v>3000</v>
      </c>
      <c r="E5877" s="13"/>
      <c r="F5877" s="14"/>
      <c r="G5877" s="14"/>
      <c r="H5877" s="14"/>
      <c r="I5877" s="14"/>
    </row>
    <row r="5878" ht="20.7" customHeight="1">
      <c r="A5878" s="10">
        <v>45705</v>
      </c>
      <c r="B5878" t="s" s="11">
        <v>8</v>
      </c>
      <c r="C5878" t="s" s="12">
        <v>8</v>
      </c>
      <c r="D5878" s="15" cm="1">
        <f t="array" ref="D5878">SUM(D5876:D5877)</f>
        <v>3000</v>
      </c>
      <c r="E5878" s="15" cm="1">
        <f t="array" ref="E5878">SUM(E5876:E5877)</f>
        <v>3000</v>
      </c>
      <c r="F5878" s="16" cm="1">
        <f t="array" ref="F5878">SUM(F5876:F5877)</f>
        <v>0</v>
      </c>
      <c r="G5878" s="16" cm="1">
        <f t="array" ref="G5878">SUM(G5876:G5877)</f>
        <v>0</v>
      </c>
      <c r="H5878" s="16" cm="1">
        <f t="array" ref="H5878">SUM(H5876:H5877)</f>
        <v>0</v>
      </c>
      <c r="I5878" s="16" cm="1">
        <f t="array" ref="I5878">SUM(I5876:I5877)</f>
        <v>0</v>
      </c>
    </row>
    <row r="5879" ht="20.35" customHeight="1">
      <c r="A5879" s="10">
        <v>45705</v>
      </c>
      <c r="B5879" t="s" s="11">
        <v>843</v>
      </c>
      <c r="C5879" t="s" s="12">
        <v>695</v>
      </c>
      <c r="D5879" s="17"/>
      <c r="E5879" s="17">
        <v>30000</v>
      </c>
      <c r="F5879" s="18"/>
      <c r="G5879" s="18"/>
      <c r="H5879" s="18"/>
      <c r="I5879" s="18"/>
    </row>
    <row r="5880" ht="20.35" customHeight="1">
      <c r="A5880" s="10">
        <v>45705</v>
      </c>
      <c r="B5880" t="s" s="11">
        <v>5</v>
      </c>
      <c r="C5880" t="s" s="12">
        <v>695</v>
      </c>
      <c r="D5880" s="13">
        <v>30000</v>
      </c>
      <c r="E5880" s="13"/>
      <c r="F5880" s="14"/>
      <c r="G5880" s="14"/>
      <c r="H5880" s="14"/>
      <c r="I5880" s="14"/>
    </row>
    <row r="5881" ht="20.7" customHeight="1">
      <c r="A5881" s="10">
        <v>45705</v>
      </c>
      <c r="B5881" t="s" s="11">
        <v>8</v>
      </c>
      <c r="C5881" t="s" s="12">
        <v>8</v>
      </c>
      <c r="D5881" s="15" cm="1">
        <f t="array" ref="D5881">SUM(D5879:D5880)</f>
        <v>30000</v>
      </c>
      <c r="E5881" s="15" cm="1">
        <f t="array" ref="E5881">SUM(E5879:E5880)</f>
        <v>30000</v>
      </c>
      <c r="F5881" s="16" cm="1">
        <f t="array" ref="F5881">SUM(F5879:F5880)</f>
        <v>0</v>
      </c>
      <c r="G5881" s="16" cm="1">
        <f t="array" ref="G5881">SUM(G5879:G5880)</f>
        <v>0</v>
      </c>
      <c r="H5881" s="16" cm="1">
        <f t="array" ref="H5881">SUM(H5879:H5880)</f>
        <v>0</v>
      </c>
      <c r="I5881" s="16" cm="1">
        <f t="array" ref="I5881">SUM(I5879:I5880)</f>
        <v>0</v>
      </c>
    </row>
    <row r="5882" ht="20.35" customHeight="1">
      <c r="A5882" s="10">
        <v>45705</v>
      </c>
      <c r="B5882" t="s" s="11">
        <v>843</v>
      </c>
      <c r="C5882" t="s" s="12">
        <v>695</v>
      </c>
      <c r="D5882" s="17"/>
      <c r="E5882" s="17">
        <v>10000</v>
      </c>
      <c r="F5882" s="18"/>
      <c r="G5882" s="18"/>
      <c r="H5882" s="18"/>
      <c r="I5882" s="18"/>
    </row>
    <row r="5883" ht="20.35" customHeight="1">
      <c r="A5883" s="10">
        <v>45705</v>
      </c>
      <c r="B5883" t="s" s="11">
        <v>5</v>
      </c>
      <c r="C5883" t="s" s="12">
        <v>695</v>
      </c>
      <c r="D5883" s="13">
        <v>10000</v>
      </c>
      <c r="E5883" s="13"/>
      <c r="F5883" s="14"/>
      <c r="G5883" s="14"/>
      <c r="H5883" s="14"/>
      <c r="I5883" s="14"/>
    </row>
    <row r="5884" ht="20.7" customHeight="1">
      <c r="A5884" s="10">
        <v>45705</v>
      </c>
      <c r="B5884" t="s" s="11">
        <v>8</v>
      </c>
      <c r="C5884" t="s" s="12">
        <v>8</v>
      </c>
      <c r="D5884" s="15" cm="1">
        <f t="array" ref="D5884">SUM(D5882:D5883)</f>
        <v>10000</v>
      </c>
      <c r="E5884" s="15" cm="1">
        <f t="array" ref="E5884">SUM(E5882:E5883)</f>
        <v>10000</v>
      </c>
      <c r="F5884" s="16" cm="1">
        <f t="array" ref="F5884">SUM(F5882:F5883)</f>
        <v>0</v>
      </c>
      <c r="G5884" s="16" cm="1">
        <f t="array" ref="G5884">SUM(G5882:G5883)</f>
        <v>0</v>
      </c>
      <c r="H5884" s="16" cm="1">
        <f t="array" ref="H5884">SUM(H5882:H5883)</f>
        <v>0</v>
      </c>
      <c r="I5884" s="16" cm="1">
        <f t="array" ref="I5884">SUM(I5882:I5883)</f>
        <v>0</v>
      </c>
    </row>
    <row r="5885" ht="21.25" customHeight="1">
      <c r="A5885" s="10">
        <v>45705</v>
      </c>
      <c r="B5885" t="s" s="11">
        <v>5</v>
      </c>
      <c r="C5885" t="s" s="12">
        <v>891</v>
      </c>
      <c r="D5885" s="17"/>
      <c r="E5885" s="17">
        <v>29600</v>
      </c>
      <c r="F5885" s="18"/>
      <c r="G5885" s="18"/>
      <c r="H5885" s="18"/>
      <c r="I5885" s="18"/>
    </row>
    <row r="5886" ht="21.25" customHeight="1">
      <c r="A5886" s="10">
        <v>45705</v>
      </c>
      <c r="B5886" t="s" s="11">
        <v>16</v>
      </c>
      <c r="C5886" t="s" s="12">
        <v>891</v>
      </c>
      <c r="D5886" s="13">
        <v>29600</v>
      </c>
      <c r="E5886" s="13"/>
      <c r="F5886" s="14"/>
      <c r="G5886" s="14"/>
      <c r="H5886" s="14"/>
      <c r="I5886" s="14"/>
    </row>
    <row r="5887" ht="20.7" customHeight="1">
      <c r="A5887" s="10">
        <v>45705</v>
      </c>
      <c r="B5887" t="s" s="11">
        <v>8</v>
      </c>
      <c r="C5887" t="s" s="12">
        <v>8</v>
      </c>
      <c r="D5887" s="15" cm="1">
        <f t="array" ref="D5887">SUM(D5885:D5886)</f>
        <v>29600</v>
      </c>
      <c r="E5887" s="15" cm="1">
        <f t="array" ref="E5887">SUM(E5885:E5886)</f>
        <v>29600</v>
      </c>
      <c r="F5887" s="16" cm="1">
        <f t="array" ref="F5887">SUM(F5885:F5886)</f>
        <v>0</v>
      </c>
      <c r="G5887" s="16" cm="1">
        <f t="array" ref="G5887">SUM(G5885:G5886)</f>
        <v>0</v>
      </c>
      <c r="H5887" s="16" cm="1">
        <f t="array" ref="H5887">SUM(H5885:H5886)</f>
        <v>0</v>
      </c>
      <c r="I5887" s="16" cm="1">
        <f t="array" ref="I5887">SUM(I5885:I5886)</f>
        <v>0</v>
      </c>
    </row>
    <row r="5888" ht="20.35" customHeight="1">
      <c r="A5888" s="10">
        <v>45705</v>
      </c>
      <c r="B5888" t="s" s="11">
        <v>91</v>
      </c>
      <c r="C5888" t="s" s="12">
        <v>17</v>
      </c>
      <c r="D5888" s="17"/>
      <c r="E5888" s="17">
        <v>500</v>
      </c>
      <c r="F5888" s="18"/>
      <c r="G5888" s="18"/>
      <c r="H5888" s="18"/>
      <c r="I5888" s="18"/>
    </row>
    <row r="5889" ht="20.35" customHeight="1">
      <c r="A5889" s="10">
        <v>45705</v>
      </c>
      <c r="B5889" t="s" s="11">
        <v>5</v>
      </c>
      <c r="C5889" t="s" s="12">
        <v>17</v>
      </c>
      <c r="D5889" s="13">
        <v>500</v>
      </c>
      <c r="E5889" s="13"/>
      <c r="F5889" s="14"/>
      <c r="G5889" s="14"/>
      <c r="H5889" s="14"/>
      <c r="I5889" s="14"/>
    </row>
    <row r="5890" ht="20.7" customHeight="1">
      <c r="A5890" s="10">
        <v>45705</v>
      </c>
      <c r="B5890" t="s" s="11">
        <v>8</v>
      </c>
      <c r="C5890" t="s" s="12">
        <v>8</v>
      </c>
      <c r="D5890" s="15" cm="1">
        <f t="array" ref="D5890">SUM(D5888:D5889)</f>
        <v>500</v>
      </c>
      <c r="E5890" s="15" cm="1">
        <f t="array" ref="E5890">SUM(E5888:E5889)</f>
        <v>500</v>
      </c>
      <c r="F5890" s="16" cm="1">
        <f t="array" ref="F5890">SUM(F5888:F5889)</f>
        <v>0</v>
      </c>
      <c r="G5890" s="16" cm="1">
        <f t="array" ref="G5890">SUM(G5888:G5889)</f>
        <v>0</v>
      </c>
      <c r="H5890" s="16" cm="1">
        <f t="array" ref="H5890">SUM(H5888:H5889)</f>
        <v>0</v>
      </c>
      <c r="I5890" s="16" cm="1">
        <f t="array" ref="I5890">SUM(I5888:I5889)</f>
        <v>0</v>
      </c>
    </row>
    <row r="5891" ht="21.25" customHeight="1">
      <c r="A5891" s="10">
        <v>45705</v>
      </c>
      <c r="B5891" t="s" s="11">
        <v>21</v>
      </c>
      <c r="C5891" t="s" s="12">
        <v>892</v>
      </c>
      <c r="D5891" s="17"/>
      <c r="E5891" s="17">
        <v>3200</v>
      </c>
      <c r="F5891" s="18"/>
      <c r="G5891" s="18"/>
      <c r="H5891" s="18"/>
      <c r="I5891" s="18"/>
    </row>
    <row r="5892" ht="21.25" customHeight="1">
      <c r="A5892" s="10">
        <v>45705</v>
      </c>
      <c r="B5892" t="s" s="11">
        <v>16</v>
      </c>
      <c r="C5892" t="s" s="12">
        <v>892</v>
      </c>
      <c r="D5892" s="13">
        <v>3200</v>
      </c>
      <c r="E5892" s="13"/>
      <c r="F5892" s="14"/>
      <c r="G5892" s="14"/>
      <c r="H5892" s="14"/>
      <c r="I5892" s="14"/>
    </row>
    <row r="5893" ht="20.7" customHeight="1">
      <c r="A5893" s="10">
        <v>45705</v>
      </c>
      <c r="B5893" t="s" s="11">
        <v>8</v>
      </c>
      <c r="C5893" t="s" s="12">
        <v>8</v>
      </c>
      <c r="D5893" s="15" cm="1">
        <f t="array" ref="D5893">SUM(D5891:D5892)</f>
        <v>3200</v>
      </c>
      <c r="E5893" s="15" cm="1">
        <f t="array" ref="E5893">SUM(E5891:E5892)</f>
        <v>3200</v>
      </c>
      <c r="F5893" s="16" cm="1">
        <f t="array" ref="F5893">SUM(F5891:F5892)</f>
        <v>0</v>
      </c>
      <c r="G5893" s="16" cm="1">
        <f t="array" ref="G5893">SUM(G5891:G5892)</f>
        <v>0</v>
      </c>
      <c r="H5893" s="16" cm="1">
        <f t="array" ref="H5893">SUM(H5891:H5892)</f>
        <v>0</v>
      </c>
      <c r="I5893" s="16" cm="1">
        <f t="array" ref="I5893">SUM(I5891:I5892)</f>
        <v>0</v>
      </c>
    </row>
    <row r="5894" ht="21.25" customHeight="1">
      <c r="A5894" s="10">
        <v>45706</v>
      </c>
      <c r="B5894" t="s" s="11">
        <v>5</v>
      </c>
      <c r="C5894" t="s" s="12">
        <v>799</v>
      </c>
      <c r="D5894" s="17">
        <v>1</v>
      </c>
      <c r="E5894" s="17"/>
      <c r="F5894" s="18"/>
      <c r="G5894" s="18"/>
      <c r="H5894" s="18"/>
      <c r="I5894" s="18"/>
    </row>
    <row r="5895" ht="21.25" customHeight="1">
      <c r="A5895" s="10">
        <v>45706</v>
      </c>
      <c r="B5895" t="s" s="11">
        <v>91</v>
      </c>
      <c r="C5895" t="s" s="12">
        <v>799</v>
      </c>
      <c r="D5895" s="13"/>
      <c r="E5895" s="13">
        <v>1</v>
      </c>
      <c r="F5895" s="14"/>
      <c r="G5895" s="14"/>
      <c r="H5895" s="14"/>
      <c r="I5895" s="14"/>
    </row>
    <row r="5896" ht="20.7" customHeight="1">
      <c r="A5896" s="10">
        <v>45706</v>
      </c>
      <c r="B5896" t="s" s="11">
        <v>8</v>
      </c>
      <c r="C5896" t="s" s="12">
        <v>8</v>
      </c>
      <c r="D5896" s="15" cm="1">
        <f t="array" ref="D5896">SUM(D5894:D5895)</f>
        <v>1</v>
      </c>
      <c r="E5896" s="15" cm="1">
        <f t="array" ref="E5896">SUM(E5894:E5895)</f>
        <v>1</v>
      </c>
      <c r="F5896" s="16" cm="1">
        <f t="array" ref="F5896">SUM(F5894:F5895)</f>
        <v>0</v>
      </c>
      <c r="G5896" s="16" cm="1">
        <f t="array" ref="G5896">SUM(G5894:G5895)</f>
        <v>0</v>
      </c>
      <c r="H5896" s="16" cm="1">
        <f t="array" ref="H5896">SUM(H5894:H5895)</f>
        <v>0</v>
      </c>
      <c r="I5896" s="16" cm="1">
        <f t="array" ref="I5896">SUM(I5894:I5895)</f>
        <v>0</v>
      </c>
    </row>
    <row r="5897" ht="20.65" customHeight="1">
      <c r="A5897" s="10">
        <v>45706</v>
      </c>
      <c r="B5897" t="s" s="11">
        <v>814</v>
      </c>
      <c r="C5897" t="s" s="12">
        <v>820</v>
      </c>
      <c r="D5897" s="17">
        <v>486</v>
      </c>
      <c r="E5897" s="17"/>
      <c r="F5897" s="18"/>
      <c r="G5897" s="18"/>
      <c r="H5897" s="18"/>
      <c r="I5897" s="18"/>
    </row>
    <row r="5898" ht="20.65" customHeight="1">
      <c r="A5898" s="10">
        <v>45706</v>
      </c>
      <c r="B5898" t="s" s="11">
        <v>91</v>
      </c>
      <c r="C5898" t="s" s="12">
        <v>820</v>
      </c>
      <c r="D5898" s="13"/>
      <c r="E5898" s="13">
        <v>486</v>
      </c>
      <c r="F5898" s="14"/>
      <c r="G5898" s="14"/>
      <c r="H5898" s="14"/>
      <c r="I5898" s="14"/>
    </row>
    <row r="5899" ht="20.7" customHeight="1">
      <c r="A5899" s="10">
        <v>45706</v>
      </c>
      <c r="B5899" t="s" s="11">
        <v>8</v>
      </c>
      <c r="C5899" t="s" s="12">
        <v>8</v>
      </c>
      <c r="D5899" s="15" cm="1">
        <f t="array" ref="D5899">SUM(D5897:D5898)</f>
        <v>486</v>
      </c>
      <c r="E5899" s="15" cm="1">
        <f t="array" ref="E5899">SUM(E5897:E5898)</f>
        <v>486</v>
      </c>
      <c r="F5899" s="16" cm="1">
        <f t="array" ref="F5899">SUM(F5897:F5898)</f>
        <v>0</v>
      </c>
      <c r="G5899" s="16" cm="1">
        <f t="array" ref="G5899">SUM(G5897:G5898)</f>
        <v>0</v>
      </c>
      <c r="H5899" s="16" cm="1">
        <f t="array" ref="H5899">SUM(H5897:H5898)</f>
        <v>0</v>
      </c>
      <c r="I5899" s="16" cm="1">
        <f t="array" ref="I5899">SUM(I5897:I5898)</f>
        <v>0</v>
      </c>
    </row>
    <row r="5900" ht="20.65" customHeight="1">
      <c r="A5900" s="10">
        <v>45706</v>
      </c>
      <c r="B5900" t="s" s="11">
        <v>843</v>
      </c>
      <c r="C5900" t="s" s="12">
        <v>820</v>
      </c>
      <c r="D5900" s="17">
        <v>4</v>
      </c>
      <c r="E5900" s="17"/>
      <c r="F5900" s="18"/>
      <c r="G5900" s="18"/>
      <c r="H5900" s="18"/>
      <c r="I5900" s="18"/>
    </row>
    <row r="5901" ht="20.65" customHeight="1">
      <c r="A5901" s="10">
        <v>45706</v>
      </c>
      <c r="B5901" t="s" s="11">
        <v>91</v>
      </c>
      <c r="C5901" t="s" s="12">
        <v>820</v>
      </c>
      <c r="D5901" s="13"/>
      <c r="E5901" s="13">
        <v>4</v>
      </c>
      <c r="F5901" s="14"/>
      <c r="G5901" s="14"/>
      <c r="H5901" s="14"/>
      <c r="I5901" s="14"/>
    </row>
    <row r="5902" ht="20.7" customHeight="1">
      <c r="A5902" s="10">
        <v>45706</v>
      </c>
      <c r="B5902" t="s" s="11">
        <v>8</v>
      </c>
      <c r="C5902" t="s" s="12">
        <v>8</v>
      </c>
      <c r="D5902" s="15" cm="1">
        <f t="array" ref="D5902">SUM(D5900:D5901)</f>
        <v>4</v>
      </c>
      <c r="E5902" s="15" cm="1">
        <f t="array" ref="E5902">SUM(E5900:E5901)</f>
        <v>4</v>
      </c>
      <c r="F5902" s="16" cm="1">
        <f t="array" ref="F5902">SUM(F5900:F5901)</f>
        <v>0</v>
      </c>
      <c r="G5902" s="16" cm="1">
        <f t="array" ref="G5902">SUM(G5900:G5901)</f>
        <v>0</v>
      </c>
      <c r="H5902" s="16" cm="1">
        <f t="array" ref="H5902">SUM(H5900:H5901)</f>
        <v>0</v>
      </c>
      <c r="I5902" s="16" cm="1">
        <f t="array" ref="I5902">SUM(I5900:I5901)</f>
        <v>0</v>
      </c>
    </row>
    <row r="5903" ht="20.35" customHeight="1">
      <c r="A5903" s="10">
        <v>45706</v>
      </c>
      <c r="B5903" t="s" s="11">
        <v>91</v>
      </c>
      <c r="C5903" t="s" s="12">
        <v>17</v>
      </c>
      <c r="D5903" s="17"/>
      <c r="E5903" s="17">
        <v>100</v>
      </c>
      <c r="F5903" s="18"/>
      <c r="G5903" s="18"/>
      <c r="H5903" s="18"/>
      <c r="I5903" s="18"/>
    </row>
    <row r="5904" ht="20.35" customHeight="1">
      <c r="A5904" s="10">
        <v>45706</v>
      </c>
      <c r="B5904" t="s" s="11">
        <v>5</v>
      </c>
      <c r="C5904" t="s" s="12">
        <v>17</v>
      </c>
      <c r="D5904" s="13">
        <v>100</v>
      </c>
      <c r="E5904" s="13"/>
      <c r="F5904" s="14"/>
      <c r="G5904" s="14"/>
      <c r="H5904" s="14"/>
      <c r="I5904" s="14"/>
    </row>
    <row r="5905" ht="20.7" customHeight="1">
      <c r="A5905" s="10">
        <v>45706</v>
      </c>
      <c r="B5905" t="s" s="11">
        <v>8</v>
      </c>
      <c r="C5905" t="s" s="12">
        <v>8</v>
      </c>
      <c r="D5905" s="15" cm="1">
        <f t="array" ref="D5905">SUM(D5903:D5904)</f>
        <v>100</v>
      </c>
      <c r="E5905" s="15" cm="1">
        <f t="array" ref="E5905">SUM(E5903:E5904)</f>
        <v>100</v>
      </c>
      <c r="F5905" s="16" cm="1">
        <f t="array" ref="F5905">SUM(F5903:F5904)</f>
        <v>0</v>
      </c>
      <c r="G5905" s="16" cm="1">
        <f t="array" ref="G5905">SUM(G5903:G5904)</f>
        <v>0</v>
      </c>
      <c r="H5905" s="16" cm="1">
        <f t="array" ref="H5905">SUM(H5903:H5904)</f>
        <v>0</v>
      </c>
      <c r="I5905" s="16" cm="1">
        <f t="array" ref="I5905">SUM(I5903:I5904)</f>
        <v>0</v>
      </c>
    </row>
    <row r="5906" ht="20.35" customHeight="1">
      <c r="A5906" s="10">
        <v>45706</v>
      </c>
      <c r="B5906" t="s" s="11">
        <v>5</v>
      </c>
      <c r="C5906" t="s" s="12">
        <v>209</v>
      </c>
      <c r="D5906" s="17"/>
      <c r="E5906" s="17">
        <v>3000</v>
      </c>
      <c r="F5906" s="18"/>
      <c r="G5906" s="18"/>
      <c r="H5906" s="18"/>
      <c r="I5906" s="18"/>
    </row>
    <row r="5907" ht="20.35" customHeight="1">
      <c r="A5907" s="10">
        <v>45706</v>
      </c>
      <c r="B5907" t="s" s="11">
        <v>107</v>
      </c>
      <c r="C5907" t="s" s="12">
        <v>209</v>
      </c>
      <c r="D5907" s="13">
        <v>3000</v>
      </c>
      <c r="E5907" s="13"/>
      <c r="F5907" s="14"/>
      <c r="G5907" s="14"/>
      <c r="H5907" s="14"/>
      <c r="I5907" s="14"/>
    </row>
    <row r="5908" ht="20.7" customHeight="1">
      <c r="A5908" s="10">
        <v>45706</v>
      </c>
      <c r="B5908" t="s" s="11">
        <v>8</v>
      </c>
      <c r="C5908" t="s" s="12">
        <v>8</v>
      </c>
      <c r="D5908" s="15" cm="1">
        <f t="array" ref="D5908">SUM(D5906:D5907)</f>
        <v>3000</v>
      </c>
      <c r="E5908" s="15" cm="1">
        <f t="array" ref="E5908">SUM(E5906:E5907)</f>
        <v>3000</v>
      </c>
      <c r="F5908" s="16" cm="1">
        <f t="array" ref="F5908">SUM(F5906:F5907)</f>
        <v>0</v>
      </c>
      <c r="G5908" s="16" cm="1">
        <f t="array" ref="G5908">SUM(G5906:G5907)</f>
        <v>0</v>
      </c>
      <c r="H5908" s="16" cm="1">
        <f t="array" ref="H5908">SUM(H5906:H5907)</f>
        <v>0</v>
      </c>
      <c r="I5908" s="16" cm="1">
        <f t="array" ref="I5908">SUM(I5906:I5907)</f>
        <v>0</v>
      </c>
    </row>
    <row r="5909" ht="21.25" customHeight="1">
      <c r="A5909" s="10">
        <v>45706</v>
      </c>
      <c r="B5909" t="s" s="11">
        <v>21</v>
      </c>
      <c r="C5909" t="s" s="12">
        <v>893</v>
      </c>
      <c r="D5909" s="17"/>
      <c r="E5909" s="17">
        <v>8200</v>
      </c>
      <c r="F5909" s="18"/>
      <c r="G5909" s="18"/>
      <c r="H5909" s="18"/>
      <c r="I5909" s="18"/>
    </row>
    <row r="5910" ht="21.25" customHeight="1">
      <c r="A5910" s="10">
        <v>45706</v>
      </c>
      <c r="B5910" t="s" s="11">
        <v>16</v>
      </c>
      <c r="C5910" t="s" s="12">
        <v>893</v>
      </c>
      <c r="D5910" s="13">
        <v>8200</v>
      </c>
      <c r="E5910" s="13"/>
      <c r="F5910" s="14"/>
      <c r="G5910" s="14"/>
      <c r="H5910" s="14"/>
      <c r="I5910" s="14"/>
    </row>
    <row r="5911" ht="20.7" customHeight="1">
      <c r="A5911" s="10">
        <v>45706</v>
      </c>
      <c r="B5911" t="s" s="11">
        <v>8</v>
      </c>
      <c r="C5911" t="s" s="12">
        <v>8</v>
      </c>
      <c r="D5911" s="15" cm="1">
        <f t="array" ref="D5911">SUM(D5909:D5910)</f>
        <v>8200</v>
      </c>
      <c r="E5911" s="15" cm="1">
        <f t="array" ref="E5911">SUM(E5909:E5910)</f>
        <v>8200</v>
      </c>
      <c r="F5911" s="16" cm="1">
        <f t="array" ref="F5911">SUM(F5909:F5910)</f>
        <v>0</v>
      </c>
      <c r="G5911" s="16" cm="1">
        <f t="array" ref="G5911">SUM(G5909:G5910)</f>
        <v>0</v>
      </c>
      <c r="H5911" s="16" cm="1">
        <f t="array" ref="H5911">SUM(H5909:H5910)</f>
        <v>0</v>
      </c>
      <c r="I5911" s="16" cm="1">
        <f t="array" ref="I5911">SUM(I5909:I5910)</f>
        <v>0</v>
      </c>
    </row>
    <row r="5912" ht="21.25" customHeight="1">
      <c r="A5912" s="10">
        <v>45707</v>
      </c>
      <c r="B5912" t="s" s="11">
        <v>843</v>
      </c>
      <c r="C5912" t="s" s="12">
        <v>894</v>
      </c>
      <c r="D5912" s="17"/>
      <c r="E5912" s="17">
        <v>41000</v>
      </c>
      <c r="F5912" s="18"/>
      <c r="G5912" s="18"/>
      <c r="H5912" s="18"/>
      <c r="I5912" s="18"/>
    </row>
    <row r="5913" ht="21.25" customHeight="1">
      <c r="A5913" s="10">
        <v>45707</v>
      </c>
      <c r="B5913" t="s" s="11">
        <v>5</v>
      </c>
      <c r="C5913" t="s" s="12">
        <v>894</v>
      </c>
      <c r="D5913" s="13">
        <v>41000</v>
      </c>
      <c r="E5913" s="13"/>
      <c r="F5913" s="14"/>
      <c r="G5913" s="14"/>
      <c r="H5913" s="14"/>
      <c r="I5913" s="14"/>
    </row>
    <row r="5914" ht="20.7" customHeight="1">
      <c r="A5914" s="10">
        <v>45707</v>
      </c>
      <c r="B5914" t="s" s="11">
        <v>8</v>
      </c>
      <c r="C5914" t="s" s="12">
        <v>8</v>
      </c>
      <c r="D5914" s="15" cm="1">
        <f t="array" ref="D5914">SUM(D5912:D5913)</f>
        <v>41000</v>
      </c>
      <c r="E5914" s="15" cm="1">
        <f t="array" ref="E5914">SUM(E5912:E5913)</f>
        <v>41000</v>
      </c>
      <c r="F5914" s="16" cm="1">
        <f t="array" ref="F5914">SUM(F5912:F5913)</f>
        <v>0</v>
      </c>
      <c r="G5914" s="16" cm="1">
        <f t="array" ref="G5914">SUM(G5912:G5913)</f>
        <v>0</v>
      </c>
      <c r="H5914" s="16" cm="1">
        <f t="array" ref="H5914">SUM(H5912:H5913)</f>
        <v>0</v>
      </c>
      <c r="I5914" s="16" cm="1">
        <f t="array" ref="I5914">SUM(I5912:I5913)</f>
        <v>0</v>
      </c>
    </row>
    <row r="5915" ht="21.25" customHeight="1">
      <c r="A5915" s="10">
        <v>45707</v>
      </c>
      <c r="B5915" t="s" s="11">
        <v>5</v>
      </c>
      <c r="C5915" t="s" s="12">
        <v>894</v>
      </c>
      <c r="D5915" s="17"/>
      <c r="E5915" s="17">
        <v>41000</v>
      </c>
      <c r="F5915" s="18"/>
      <c r="G5915" s="18"/>
      <c r="H5915" s="18"/>
      <c r="I5915" s="18"/>
    </row>
    <row r="5916" ht="21.25" customHeight="1">
      <c r="A5916" s="10">
        <v>45707</v>
      </c>
      <c r="B5916" t="s" s="11">
        <v>12</v>
      </c>
      <c r="C5916" t="s" s="12">
        <v>894</v>
      </c>
      <c r="D5916" s="13">
        <v>41000</v>
      </c>
      <c r="E5916" s="13"/>
      <c r="F5916" s="14"/>
      <c r="G5916" s="14"/>
      <c r="H5916" s="14"/>
      <c r="I5916" s="14"/>
    </row>
    <row r="5917" ht="20.7" customHeight="1">
      <c r="A5917" s="10">
        <v>45707</v>
      </c>
      <c r="B5917" t="s" s="11">
        <v>8</v>
      </c>
      <c r="C5917" t="s" s="12">
        <v>8</v>
      </c>
      <c r="D5917" s="15" cm="1">
        <f t="array" ref="D5917">SUM(D5915:D5916)</f>
        <v>41000</v>
      </c>
      <c r="E5917" s="15" cm="1">
        <f t="array" ref="E5917">SUM(E5915:E5916)</f>
        <v>41000</v>
      </c>
      <c r="F5917" s="16" cm="1">
        <f t="array" ref="F5917">SUM(F5915:F5916)</f>
        <v>0</v>
      </c>
      <c r="G5917" s="16" cm="1">
        <f t="array" ref="G5917">SUM(G5915:G5916)</f>
        <v>0</v>
      </c>
      <c r="H5917" s="16" cm="1">
        <f t="array" ref="H5917">SUM(H5915:H5916)</f>
        <v>0</v>
      </c>
      <c r="I5917" s="16" cm="1">
        <f t="array" ref="I5917">SUM(I5915:I5916)</f>
        <v>0</v>
      </c>
    </row>
    <row r="5918" ht="20.65" customHeight="1">
      <c r="A5918" s="10">
        <v>45707</v>
      </c>
      <c r="B5918" t="s" s="11">
        <v>814</v>
      </c>
      <c r="C5918" t="s" s="12">
        <v>820</v>
      </c>
      <c r="D5918" s="17">
        <v>486</v>
      </c>
      <c r="E5918" s="17"/>
      <c r="F5918" s="18"/>
      <c r="G5918" s="18"/>
      <c r="H5918" s="18"/>
      <c r="I5918" s="18"/>
    </row>
    <row r="5919" ht="20.65" customHeight="1">
      <c r="A5919" s="10">
        <v>45707</v>
      </c>
      <c r="B5919" t="s" s="11">
        <v>91</v>
      </c>
      <c r="C5919" t="s" s="12">
        <v>820</v>
      </c>
      <c r="D5919" s="13"/>
      <c r="E5919" s="13">
        <v>486</v>
      </c>
      <c r="F5919" s="14"/>
      <c r="G5919" s="14"/>
      <c r="H5919" s="14"/>
      <c r="I5919" s="14"/>
    </row>
    <row r="5920" ht="20.7" customHeight="1">
      <c r="A5920" s="10">
        <v>45707</v>
      </c>
      <c r="B5920" t="s" s="11">
        <v>8</v>
      </c>
      <c r="C5920" t="s" s="12">
        <v>8</v>
      </c>
      <c r="D5920" s="15" cm="1">
        <f t="array" ref="D5920">SUM(D5918:D5919)</f>
        <v>486</v>
      </c>
      <c r="E5920" s="15" cm="1">
        <f t="array" ref="E5920">SUM(E5918:E5919)</f>
        <v>486</v>
      </c>
      <c r="F5920" s="16" cm="1">
        <f t="array" ref="F5920">SUM(F5918:F5919)</f>
        <v>0</v>
      </c>
      <c r="G5920" s="16" cm="1">
        <f t="array" ref="G5920">SUM(G5918:G5919)</f>
        <v>0</v>
      </c>
      <c r="H5920" s="16" cm="1">
        <f t="array" ref="H5920">SUM(H5918:H5919)</f>
        <v>0</v>
      </c>
      <c r="I5920" s="16" cm="1">
        <f t="array" ref="I5920">SUM(I5918:I5919)</f>
        <v>0</v>
      </c>
    </row>
    <row r="5921" ht="20.65" customHeight="1">
      <c r="A5921" s="10">
        <v>45707</v>
      </c>
      <c r="B5921" t="s" s="11">
        <v>843</v>
      </c>
      <c r="C5921" t="s" s="12">
        <v>820</v>
      </c>
      <c r="D5921" s="17">
        <v>4</v>
      </c>
      <c r="E5921" s="17"/>
      <c r="F5921" s="18"/>
      <c r="G5921" s="18"/>
      <c r="H5921" s="18"/>
      <c r="I5921" s="18"/>
    </row>
    <row r="5922" ht="20.65" customHeight="1">
      <c r="A5922" s="10">
        <v>45707</v>
      </c>
      <c r="B5922" t="s" s="11">
        <v>91</v>
      </c>
      <c r="C5922" t="s" s="12">
        <v>820</v>
      </c>
      <c r="D5922" s="13"/>
      <c r="E5922" s="13">
        <v>4</v>
      </c>
      <c r="F5922" s="14"/>
      <c r="G5922" s="14"/>
      <c r="H5922" s="14"/>
      <c r="I5922" s="14"/>
    </row>
    <row r="5923" ht="20.7" customHeight="1">
      <c r="A5923" s="10">
        <v>45707</v>
      </c>
      <c r="B5923" t="s" s="11">
        <v>8</v>
      </c>
      <c r="C5923" t="s" s="12">
        <v>8</v>
      </c>
      <c r="D5923" s="15" cm="1">
        <f t="array" ref="D5923">SUM(D5921:D5922)</f>
        <v>4</v>
      </c>
      <c r="E5923" s="15" cm="1">
        <f t="array" ref="E5923">SUM(E5921:E5922)</f>
        <v>4</v>
      </c>
      <c r="F5923" s="16" cm="1">
        <f t="array" ref="F5923">SUM(F5921:F5922)</f>
        <v>0</v>
      </c>
      <c r="G5923" s="16" cm="1">
        <f t="array" ref="G5923">SUM(G5921:G5922)</f>
        <v>0</v>
      </c>
      <c r="H5923" s="16" cm="1">
        <f t="array" ref="H5923">SUM(H5921:H5922)</f>
        <v>0</v>
      </c>
      <c r="I5923" s="16" cm="1">
        <f t="array" ref="I5923">SUM(I5921:I5922)</f>
        <v>0</v>
      </c>
    </row>
    <row r="5924" ht="20.35" customHeight="1">
      <c r="A5924" s="10">
        <v>45707</v>
      </c>
      <c r="B5924" t="s" s="11">
        <v>91</v>
      </c>
      <c r="C5924" t="s" s="12">
        <v>17</v>
      </c>
      <c r="D5924" s="17"/>
      <c r="E5924" s="17">
        <v>100</v>
      </c>
      <c r="F5924" s="18"/>
      <c r="G5924" s="18"/>
      <c r="H5924" s="18"/>
      <c r="I5924" s="18"/>
    </row>
    <row r="5925" ht="20.35" customHeight="1">
      <c r="A5925" s="10">
        <v>45707</v>
      </c>
      <c r="B5925" t="s" s="11">
        <v>5</v>
      </c>
      <c r="C5925" t="s" s="12">
        <v>17</v>
      </c>
      <c r="D5925" s="13">
        <v>100</v>
      </c>
      <c r="E5925" s="13"/>
      <c r="F5925" s="14"/>
      <c r="G5925" s="14"/>
      <c r="H5925" s="14"/>
      <c r="I5925" s="14"/>
    </row>
    <row r="5926" ht="20.7" customHeight="1">
      <c r="A5926" s="10">
        <v>45707</v>
      </c>
      <c r="B5926" t="s" s="11">
        <v>8</v>
      </c>
      <c r="C5926" t="s" s="12">
        <v>8</v>
      </c>
      <c r="D5926" s="15" cm="1">
        <f t="array" ref="D5926">SUM(D5924:D5925)</f>
        <v>100</v>
      </c>
      <c r="E5926" s="15" cm="1">
        <f t="array" ref="E5926">SUM(E5924:E5925)</f>
        <v>100</v>
      </c>
      <c r="F5926" s="16" cm="1">
        <f t="array" ref="F5926">SUM(F5924:F5925)</f>
        <v>0</v>
      </c>
      <c r="G5926" s="16" cm="1">
        <f t="array" ref="G5926">SUM(G5924:G5925)</f>
        <v>0</v>
      </c>
      <c r="H5926" s="16" cm="1">
        <f t="array" ref="H5926">SUM(H5924:H5925)</f>
        <v>0</v>
      </c>
      <c r="I5926" s="16" cm="1">
        <f t="array" ref="I5926">SUM(I5924:I5925)</f>
        <v>0</v>
      </c>
    </row>
    <row r="5927" ht="20.35" customHeight="1">
      <c r="A5927" s="10">
        <v>45707</v>
      </c>
      <c r="B5927" t="s" s="11">
        <v>91</v>
      </c>
      <c r="C5927" t="s" s="12">
        <v>17</v>
      </c>
      <c r="D5927" s="17"/>
      <c r="E5927" s="17">
        <v>100</v>
      </c>
      <c r="F5927" s="18"/>
      <c r="G5927" s="18"/>
      <c r="H5927" s="18"/>
      <c r="I5927" s="18"/>
    </row>
    <row r="5928" ht="20.35" customHeight="1">
      <c r="A5928" s="10">
        <v>45707</v>
      </c>
      <c r="B5928" t="s" s="11">
        <v>5</v>
      </c>
      <c r="C5928" t="s" s="12">
        <v>17</v>
      </c>
      <c r="D5928" s="13">
        <v>100</v>
      </c>
      <c r="E5928" s="13"/>
      <c r="F5928" s="14"/>
      <c r="G5928" s="14"/>
      <c r="H5928" s="14"/>
      <c r="I5928" s="14"/>
    </row>
    <row r="5929" ht="20.7" customHeight="1">
      <c r="A5929" s="10">
        <v>45707</v>
      </c>
      <c r="B5929" t="s" s="11">
        <v>8</v>
      </c>
      <c r="C5929" t="s" s="12">
        <v>8</v>
      </c>
      <c r="D5929" s="15" cm="1">
        <f t="array" ref="D5929">SUM(D5927:D5928)</f>
        <v>100</v>
      </c>
      <c r="E5929" s="15" cm="1">
        <f t="array" ref="E5929">SUM(E5927:E5928)</f>
        <v>100</v>
      </c>
      <c r="F5929" s="16" cm="1">
        <f t="array" ref="F5929">SUM(F5927:F5928)</f>
        <v>0</v>
      </c>
      <c r="G5929" s="16" cm="1">
        <f t="array" ref="G5929">SUM(G5927:G5928)</f>
        <v>0</v>
      </c>
      <c r="H5929" s="16" cm="1">
        <f t="array" ref="H5929">SUM(H5927:H5928)</f>
        <v>0</v>
      </c>
      <c r="I5929" s="16" cm="1">
        <f t="array" ref="I5929">SUM(I5927:I5928)</f>
        <v>0</v>
      </c>
    </row>
    <row r="5930" ht="21.25" customHeight="1">
      <c r="A5930" s="10">
        <v>45707</v>
      </c>
      <c r="B5930" t="s" s="11">
        <v>822</v>
      </c>
      <c r="C5930" t="s" s="12">
        <v>895</v>
      </c>
      <c r="D5930" s="17"/>
      <c r="E5930" s="17">
        <v>100000</v>
      </c>
      <c r="F5930" s="18"/>
      <c r="G5930" s="18"/>
      <c r="H5930" s="18"/>
      <c r="I5930" s="18"/>
    </row>
    <row r="5931" ht="20.9" customHeight="1">
      <c r="A5931" s="10">
        <v>45707</v>
      </c>
      <c r="B5931" t="s" s="11">
        <v>91</v>
      </c>
      <c r="C5931" t="s" s="12">
        <v>895</v>
      </c>
      <c r="D5931" s="19"/>
      <c r="E5931" s="19">
        <v>1822</v>
      </c>
      <c r="F5931" s="20"/>
      <c r="G5931" s="20"/>
      <c r="H5931" s="20"/>
      <c r="I5931" s="20"/>
    </row>
    <row r="5932" ht="21.25" customHeight="1">
      <c r="A5932" s="10">
        <v>45707</v>
      </c>
      <c r="B5932" t="s" s="11">
        <v>81</v>
      </c>
      <c r="C5932" t="s" s="12">
        <v>895</v>
      </c>
      <c r="D5932" s="13">
        <v>101822</v>
      </c>
      <c r="E5932" s="13"/>
      <c r="F5932" s="14"/>
      <c r="G5932" s="14"/>
      <c r="H5932" s="14"/>
      <c r="I5932" s="14"/>
    </row>
    <row r="5933" ht="20.7" customHeight="1">
      <c r="A5933" s="10">
        <v>45707</v>
      </c>
      <c r="B5933" t="s" s="11">
        <v>8</v>
      </c>
      <c r="C5933" t="s" s="12">
        <v>8</v>
      </c>
      <c r="D5933" s="15" cm="1">
        <f t="array" ref="D5933">SUM(D5930:D5932)</f>
        <v>101822</v>
      </c>
      <c r="E5933" s="15" cm="1">
        <f t="array" ref="E5933">SUM(E5930:E5932)</f>
        <v>101822</v>
      </c>
      <c r="F5933" s="16" cm="1">
        <f t="array" ref="F5933">SUM(F5930:F5932)</f>
        <v>0</v>
      </c>
      <c r="G5933" s="16" cm="1">
        <f t="array" ref="G5933">SUM(G5930:G5932)</f>
        <v>0</v>
      </c>
      <c r="H5933" s="16" cm="1">
        <f t="array" ref="H5933">SUM(H5930:H5932)</f>
        <v>0</v>
      </c>
      <c r="I5933" s="16" cm="1">
        <f t="array" ref="I5933">SUM(I5930:I5932)</f>
        <v>0</v>
      </c>
    </row>
    <row r="5934" ht="20.35" customHeight="1">
      <c r="A5934" s="10">
        <v>45707</v>
      </c>
      <c r="B5934" t="s" s="11">
        <v>5</v>
      </c>
      <c r="C5934" t="s" s="12">
        <v>867</v>
      </c>
      <c r="D5934" s="17"/>
      <c r="E5934" s="17">
        <v>1871</v>
      </c>
      <c r="F5934" s="18"/>
      <c r="G5934" s="18"/>
      <c r="H5934" s="18"/>
      <c r="I5934" s="18"/>
    </row>
    <row r="5935" ht="20.35" customHeight="1">
      <c r="A5935" s="10">
        <v>45707</v>
      </c>
      <c r="B5935" t="s" s="11">
        <v>814</v>
      </c>
      <c r="C5935" t="s" s="12">
        <v>867</v>
      </c>
      <c r="D5935" s="13">
        <v>1871</v>
      </c>
      <c r="E5935" s="13"/>
      <c r="F5935" s="14"/>
      <c r="G5935" s="14"/>
      <c r="H5935" s="14"/>
      <c r="I5935" s="14"/>
    </row>
    <row r="5936" ht="20.7" customHeight="1">
      <c r="A5936" s="10">
        <v>45707</v>
      </c>
      <c r="B5936" t="s" s="11">
        <v>8</v>
      </c>
      <c r="C5936" t="s" s="12">
        <v>8</v>
      </c>
      <c r="D5936" s="15" cm="1">
        <f t="array" ref="D5936">SUM(D5934:D5935)</f>
        <v>1871</v>
      </c>
      <c r="E5936" s="15" cm="1">
        <f t="array" ref="E5936">SUM(E5934:E5935)</f>
        <v>1871</v>
      </c>
      <c r="F5936" s="16" cm="1">
        <f t="array" ref="F5936">SUM(F5934:F5935)</f>
        <v>0</v>
      </c>
      <c r="G5936" s="16" cm="1">
        <f t="array" ref="G5936">SUM(G5934:G5935)</f>
        <v>0</v>
      </c>
      <c r="H5936" s="16" cm="1">
        <f t="array" ref="H5936">SUM(H5934:H5935)</f>
        <v>0</v>
      </c>
      <c r="I5936" s="16" cm="1">
        <f t="array" ref="I5936">SUM(I5934:I5935)</f>
        <v>0</v>
      </c>
    </row>
    <row r="5937" ht="21.25" customHeight="1">
      <c r="A5937" s="10">
        <v>45707</v>
      </c>
      <c r="B5937" t="s" s="11">
        <v>21</v>
      </c>
      <c r="C5937" t="s" s="12">
        <v>868</v>
      </c>
      <c r="D5937" s="17"/>
      <c r="E5937" s="17">
        <v>5300</v>
      </c>
      <c r="F5937" s="18"/>
      <c r="G5937" s="18"/>
      <c r="H5937" s="18"/>
      <c r="I5937" s="18"/>
    </row>
    <row r="5938" ht="21.25" customHeight="1">
      <c r="A5938" s="10">
        <v>45707</v>
      </c>
      <c r="B5938" t="s" s="11">
        <v>16</v>
      </c>
      <c r="C5938" t="s" s="12">
        <v>868</v>
      </c>
      <c r="D5938" s="13">
        <v>5300</v>
      </c>
      <c r="E5938" s="13"/>
      <c r="F5938" s="14"/>
      <c r="G5938" s="14"/>
      <c r="H5938" s="14"/>
      <c r="I5938" s="14"/>
    </row>
    <row r="5939" ht="20.7" customHeight="1">
      <c r="A5939" s="10">
        <v>45707</v>
      </c>
      <c r="B5939" t="s" s="11">
        <v>8</v>
      </c>
      <c r="C5939" t="s" s="12">
        <v>8</v>
      </c>
      <c r="D5939" s="15" cm="1">
        <f t="array" ref="D5939">SUM(D5937:D5938)</f>
        <v>5300</v>
      </c>
      <c r="E5939" s="15" cm="1">
        <f t="array" ref="E5939">SUM(E5937:E5938)</f>
        <v>5300</v>
      </c>
      <c r="F5939" s="16" cm="1">
        <f t="array" ref="F5939">SUM(F5937:F5938)</f>
        <v>0</v>
      </c>
      <c r="G5939" s="16" cm="1">
        <f t="array" ref="G5939">SUM(G5937:G5938)</f>
        <v>0</v>
      </c>
      <c r="H5939" s="16" cm="1">
        <f t="array" ref="H5939">SUM(H5937:H5938)</f>
        <v>0</v>
      </c>
      <c r="I5939" s="16" cm="1">
        <f t="array" ref="I5939">SUM(I5937:I5938)</f>
        <v>0</v>
      </c>
    </row>
    <row r="5940" ht="20.65" customHeight="1">
      <c r="A5940" s="10">
        <v>45708</v>
      </c>
      <c r="B5940" t="s" s="11">
        <v>814</v>
      </c>
      <c r="C5940" t="s" s="12">
        <v>820</v>
      </c>
      <c r="D5940" s="17">
        <v>486</v>
      </c>
      <c r="E5940" s="17"/>
      <c r="F5940" s="18"/>
      <c r="G5940" s="18"/>
      <c r="H5940" s="18"/>
      <c r="I5940" s="18"/>
    </row>
    <row r="5941" ht="20.65" customHeight="1">
      <c r="A5941" s="10">
        <v>45708</v>
      </c>
      <c r="B5941" t="s" s="11">
        <v>91</v>
      </c>
      <c r="C5941" t="s" s="12">
        <v>820</v>
      </c>
      <c r="D5941" s="13"/>
      <c r="E5941" s="13">
        <v>486</v>
      </c>
      <c r="F5941" s="14"/>
      <c r="G5941" s="14"/>
      <c r="H5941" s="14"/>
      <c r="I5941" s="14"/>
    </row>
    <row r="5942" ht="20.7" customHeight="1">
      <c r="A5942" s="10">
        <v>45708</v>
      </c>
      <c r="B5942" t="s" s="11">
        <v>8</v>
      </c>
      <c r="C5942" t="s" s="12">
        <v>8</v>
      </c>
      <c r="D5942" s="15" cm="1">
        <f t="array" ref="D5942">SUM(D5940:D5941)</f>
        <v>486</v>
      </c>
      <c r="E5942" s="15" cm="1">
        <f t="array" ref="E5942">SUM(E5940:E5941)</f>
        <v>486</v>
      </c>
      <c r="F5942" s="16" cm="1">
        <f t="array" ref="F5942">SUM(F5940:F5941)</f>
        <v>0</v>
      </c>
      <c r="G5942" s="16" cm="1">
        <f t="array" ref="G5942">SUM(G5940:G5941)</f>
        <v>0</v>
      </c>
      <c r="H5942" s="16" cm="1">
        <f t="array" ref="H5942">SUM(H5940:H5941)</f>
        <v>0</v>
      </c>
      <c r="I5942" s="16" cm="1">
        <f t="array" ref="I5942">SUM(I5940:I5941)</f>
        <v>0</v>
      </c>
    </row>
    <row r="5943" ht="20.65" customHeight="1">
      <c r="A5943" s="10">
        <v>45708</v>
      </c>
      <c r="B5943" t="s" s="11">
        <v>843</v>
      </c>
      <c r="C5943" t="s" s="12">
        <v>820</v>
      </c>
      <c r="D5943" s="17">
        <v>2</v>
      </c>
      <c r="E5943" s="17"/>
      <c r="F5943" s="18"/>
      <c r="G5943" s="18"/>
      <c r="H5943" s="18"/>
      <c r="I5943" s="18"/>
    </row>
    <row r="5944" ht="20.65" customHeight="1">
      <c r="A5944" s="10">
        <v>45708</v>
      </c>
      <c r="B5944" t="s" s="11">
        <v>91</v>
      </c>
      <c r="C5944" t="s" s="12">
        <v>820</v>
      </c>
      <c r="D5944" s="13"/>
      <c r="E5944" s="13">
        <v>2</v>
      </c>
      <c r="F5944" s="14"/>
      <c r="G5944" s="14"/>
      <c r="H5944" s="14"/>
      <c r="I5944" s="14"/>
    </row>
    <row r="5945" ht="20.7" customHeight="1">
      <c r="A5945" s="10">
        <v>45708</v>
      </c>
      <c r="B5945" t="s" s="11">
        <v>8</v>
      </c>
      <c r="C5945" t="s" s="12">
        <v>8</v>
      </c>
      <c r="D5945" s="15" cm="1">
        <f t="array" ref="D5945">SUM(D5943:D5944)</f>
        <v>2</v>
      </c>
      <c r="E5945" s="15" cm="1">
        <f t="array" ref="E5945">SUM(E5943:E5944)</f>
        <v>2</v>
      </c>
      <c r="F5945" s="16" cm="1">
        <f t="array" ref="F5945">SUM(F5943:F5944)</f>
        <v>0</v>
      </c>
      <c r="G5945" s="16" cm="1">
        <f t="array" ref="G5945">SUM(G5943:G5944)</f>
        <v>0</v>
      </c>
      <c r="H5945" s="16" cm="1">
        <f t="array" ref="H5945">SUM(H5943:H5944)</f>
        <v>0</v>
      </c>
      <c r="I5945" s="16" cm="1">
        <f t="array" ref="I5945">SUM(I5943:I5944)</f>
        <v>0</v>
      </c>
    </row>
    <row r="5946" ht="20.65" customHeight="1">
      <c r="A5946" s="10">
        <v>45708</v>
      </c>
      <c r="B5946" t="s" s="11">
        <v>121</v>
      </c>
      <c r="C5946" t="s" s="12">
        <v>896</v>
      </c>
      <c r="D5946" s="17">
        <v>1730</v>
      </c>
      <c r="E5946" s="17"/>
      <c r="F5946" s="18"/>
      <c r="G5946" s="18"/>
      <c r="H5946" s="18"/>
      <c r="I5946" s="18"/>
    </row>
    <row r="5947" ht="20.65" customHeight="1">
      <c r="A5947" s="10">
        <v>45708</v>
      </c>
      <c r="B5947" t="s" s="11">
        <v>91</v>
      </c>
      <c r="C5947" t="s" s="12">
        <v>896</v>
      </c>
      <c r="D5947" s="13"/>
      <c r="E5947" s="13">
        <v>1730</v>
      </c>
      <c r="F5947" s="14"/>
      <c r="G5947" s="14"/>
      <c r="H5947" s="14"/>
      <c r="I5947" s="14"/>
    </row>
    <row r="5948" ht="20.7" customHeight="1">
      <c r="A5948" s="10">
        <v>45708</v>
      </c>
      <c r="B5948" t="s" s="11">
        <v>8</v>
      </c>
      <c r="C5948" t="s" s="12">
        <v>8</v>
      </c>
      <c r="D5948" s="15" cm="1">
        <f t="array" ref="D5948">SUM(D5946:D5947)</f>
        <v>1730</v>
      </c>
      <c r="E5948" s="15" cm="1">
        <f t="array" ref="E5948">SUM(E5946:E5947)</f>
        <v>1730</v>
      </c>
      <c r="F5948" s="16" cm="1">
        <f t="array" ref="F5948">SUM(F5946:F5947)</f>
        <v>0</v>
      </c>
      <c r="G5948" s="16" cm="1">
        <f t="array" ref="G5948">SUM(G5946:G5947)</f>
        <v>0</v>
      </c>
      <c r="H5948" s="16" cm="1">
        <f t="array" ref="H5948">SUM(H5946:H5947)</f>
        <v>0</v>
      </c>
      <c r="I5948" s="16" cm="1">
        <f t="array" ref="I5948">SUM(I5946:I5947)</f>
        <v>0</v>
      </c>
    </row>
    <row r="5949" ht="20.35" customHeight="1">
      <c r="A5949" s="10">
        <v>45708</v>
      </c>
      <c r="B5949" t="s" s="11">
        <v>39</v>
      </c>
      <c r="C5949" t="s" s="12">
        <v>64</v>
      </c>
      <c r="D5949" s="17"/>
      <c r="E5949" s="17"/>
      <c r="F5949" s="18">
        <v>2000</v>
      </c>
      <c r="G5949" s="18"/>
      <c r="H5949" s="18"/>
      <c r="I5949" s="18"/>
    </row>
    <row r="5950" ht="20.35" customHeight="1">
      <c r="A5950" s="10">
        <v>45708</v>
      </c>
      <c r="B5950" t="s" s="11">
        <v>41</v>
      </c>
      <c r="C5950" t="s" s="12">
        <v>64</v>
      </c>
      <c r="D5950" s="13"/>
      <c r="E5950" s="13"/>
      <c r="F5950" s="14"/>
      <c r="G5950" s="14">
        <v>2000</v>
      </c>
      <c r="H5950" s="14"/>
      <c r="I5950" s="14"/>
    </row>
    <row r="5951" ht="20.7" customHeight="1">
      <c r="A5951" s="10">
        <v>45708</v>
      </c>
      <c r="B5951" t="s" s="11">
        <v>8</v>
      </c>
      <c r="C5951" t="s" s="12">
        <v>8</v>
      </c>
      <c r="D5951" s="15" cm="1">
        <f t="array" ref="D5951">SUM(D5949:D5950)</f>
        <v>0</v>
      </c>
      <c r="E5951" s="15" cm="1">
        <f t="array" ref="E5951">SUM(E5949:E5950)</f>
        <v>0</v>
      </c>
      <c r="F5951" s="16" cm="1">
        <f t="array" ref="F5951">SUM(F5949:F5950)</f>
        <v>2000</v>
      </c>
      <c r="G5951" s="16" cm="1">
        <f t="array" ref="G5951">SUM(G5949:G5950)</f>
        <v>2000</v>
      </c>
      <c r="H5951" s="16" cm="1">
        <f t="array" ref="H5951">SUM(H5949:H5950)</f>
        <v>0</v>
      </c>
      <c r="I5951" s="16" cm="1">
        <f t="array" ref="I5951">SUM(I5949:I5950)</f>
        <v>0</v>
      </c>
    </row>
    <row r="5952" ht="20.35" customHeight="1">
      <c r="A5952" s="10">
        <v>45708</v>
      </c>
      <c r="B5952" t="s" s="11">
        <v>39</v>
      </c>
      <c r="C5952" t="s" s="12">
        <v>897</v>
      </c>
      <c r="D5952" s="17"/>
      <c r="E5952" s="17"/>
      <c r="F5952" s="18"/>
      <c r="G5952" s="18">
        <v>2000</v>
      </c>
      <c r="H5952" s="18"/>
      <c r="I5952" s="18"/>
    </row>
    <row r="5953" ht="20.05" customHeight="1">
      <c r="A5953" s="10">
        <v>45708</v>
      </c>
      <c r="B5953" t="s" s="11">
        <v>44</v>
      </c>
      <c r="C5953" t="s" s="12">
        <v>897</v>
      </c>
      <c r="D5953" s="19"/>
      <c r="E5953" s="19"/>
      <c r="F5953" s="20">
        <v>1976.31</v>
      </c>
      <c r="G5953" s="20"/>
      <c r="H5953" s="20"/>
      <c r="I5953" s="20"/>
    </row>
    <row r="5954" ht="20.05" customHeight="1">
      <c r="A5954" s="10">
        <v>45708</v>
      </c>
      <c r="B5954" t="s" s="11">
        <v>898</v>
      </c>
      <c r="C5954" t="s" s="12">
        <v>897</v>
      </c>
      <c r="D5954" s="19"/>
      <c r="E5954" s="19"/>
      <c r="F5954" s="20">
        <v>23.69</v>
      </c>
      <c r="G5954" s="20"/>
      <c r="H5954" s="20"/>
      <c r="I5954" s="20"/>
    </row>
    <row r="5955" ht="20.05" customHeight="1">
      <c r="A5955" s="10">
        <v>45708</v>
      </c>
      <c r="B5955" t="s" s="11">
        <v>5</v>
      </c>
      <c r="C5955" t="s" s="12">
        <v>897</v>
      </c>
      <c r="D5955" s="19">
        <v>641457</v>
      </c>
      <c r="E5955" s="19"/>
      <c r="F5955" s="20"/>
      <c r="G5955" s="20"/>
      <c r="H5955" s="20"/>
      <c r="I5955" s="20"/>
    </row>
    <row r="5956" ht="20.35" customHeight="1">
      <c r="A5956" s="10">
        <v>45708</v>
      </c>
      <c r="B5956" t="s" s="11">
        <v>46</v>
      </c>
      <c r="C5956" t="s" s="12">
        <v>897</v>
      </c>
      <c r="D5956" s="13"/>
      <c r="E5956" s="13">
        <v>641457</v>
      </c>
      <c r="F5956" s="14"/>
      <c r="G5956" s="14"/>
      <c r="H5956" s="14"/>
      <c r="I5956" s="14"/>
    </row>
    <row r="5957" ht="20.7" customHeight="1">
      <c r="A5957" s="10">
        <v>45708</v>
      </c>
      <c r="B5957" t="s" s="11">
        <v>8</v>
      </c>
      <c r="C5957" t="s" s="12">
        <v>8</v>
      </c>
      <c r="D5957" s="15" cm="1">
        <f t="array" ref="D5957">SUM(D5952:D5956)</f>
        <v>641457</v>
      </c>
      <c r="E5957" s="15" cm="1">
        <f t="array" ref="E5957">SUM(E5952:E5956)</f>
        <v>641457</v>
      </c>
      <c r="F5957" s="16" cm="1">
        <f t="array" ref="F5957">SUM(F5952:F5956)</f>
        <v>2000</v>
      </c>
      <c r="G5957" s="16" cm="1">
        <f t="array" ref="G5957">SUM(G5952:G5956)</f>
        <v>2000</v>
      </c>
      <c r="H5957" s="16" cm="1">
        <f t="array" ref="H5957">SUM(H5952:H5956)</f>
        <v>0</v>
      </c>
      <c r="I5957" s="16" cm="1">
        <f t="array" ref="I5957">SUM(I5952:I5956)</f>
        <v>0</v>
      </c>
    </row>
    <row r="5958" ht="20.35" customHeight="1">
      <c r="A5958" s="10">
        <v>45708</v>
      </c>
      <c r="B5958" t="s" s="11">
        <v>5</v>
      </c>
      <c r="C5958" t="s" s="12">
        <v>867</v>
      </c>
      <c r="D5958" s="17"/>
      <c r="E5958" s="17">
        <v>537862</v>
      </c>
      <c r="F5958" s="18"/>
      <c r="G5958" s="18"/>
      <c r="H5958" s="18"/>
      <c r="I5958" s="18"/>
    </row>
    <row r="5959" ht="20.35" customHeight="1">
      <c r="A5959" s="10">
        <v>45708</v>
      </c>
      <c r="B5959" t="s" s="11">
        <v>814</v>
      </c>
      <c r="C5959" t="s" s="12">
        <v>867</v>
      </c>
      <c r="D5959" s="13">
        <v>537862</v>
      </c>
      <c r="E5959" s="13"/>
      <c r="F5959" s="14"/>
      <c r="G5959" s="14"/>
      <c r="H5959" s="14"/>
      <c r="I5959" s="14"/>
    </row>
    <row r="5960" ht="20.7" customHeight="1">
      <c r="A5960" s="10">
        <v>45708</v>
      </c>
      <c r="B5960" t="s" s="11">
        <v>8</v>
      </c>
      <c r="C5960" t="s" s="12">
        <v>8</v>
      </c>
      <c r="D5960" s="15" cm="1">
        <f t="array" ref="D5960">SUM(D5958:D5959)</f>
        <v>537862</v>
      </c>
      <c r="E5960" s="15" cm="1">
        <f t="array" ref="E5960">SUM(E5958:E5959)</f>
        <v>537862</v>
      </c>
      <c r="F5960" s="16" cm="1">
        <f t="array" ref="F5960">SUM(F5958:F5959)</f>
        <v>0</v>
      </c>
      <c r="G5960" s="16" cm="1">
        <f t="array" ref="G5960">SUM(G5958:G5959)</f>
        <v>0</v>
      </c>
      <c r="H5960" s="16" cm="1">
        <f t="array" ref="H5960">SUM(H5958:H5959)</f>
        <v>0</v>
      </c>
      <c r="I5960" s="16" cm="1">
        <f t="array" ref="I5960">SUM(I5958:I5959)</f>
        <v>0</v>
      </c>
    </row>
    <row r="5961" ht="20.35" customHeight="1">
      <c r="A5961" s="10">
        <v>45708</v>
      </c>
      <c r="B5961" t="s" s="11">
        <v>5</v>
      </c>
      <c r="C5961" t="s" s="12">
        <v>867</v>
      </c>
      <c r="D5961" s="17"/>
      <c r="E5961" s="17">
        <v>109925</v>
      </c>
      <c r="F5961" s="18"/>
      <c r="G5961" s="18"/>
      <c r="H5961" s="18"/>
      <c r="I5961" s="18"/>
    </row>
    <row r="5962" ht="20.35" customHeight="1">
      <c r="A5962" s="10">
        <v>45708</v>
      </c>
      <c r="B5962" t="s" s="11">
        <v>843</v>
      </c>
      <c r="C5962" t="s" s="12">
        <v>867</v>
      </c>
      <c r="D5962" s="13">
        <v>109925</v>
      </c>
      <c r="E5962" s="13"/>
      <c r="F5962" s="14"/>
      <c r="G5962" s="14"/>
      <c r="H5962" s="14"/>
      <c r="I5962" s="14"/>
    </row>
    <row r="5963" ht="20.7" customHeight="1">
      <c r="A5963" s="10">
        <v>45708</v>
      </c>
      <c r="B5963" t="s" s="11">
        <v>8</v>
      </c>
      <c r="C5963" t="s" s="12">
        <v>8</v>
      </c>
      <c r="D5963" s="15" cm="1">
        <f t="array" ref="D5963">SUM(D5961:D5962)</f>
        <v>109925</v>
      </c>
      <c r="E5963" s="15" cm="1">
        <f t="array" ref="E5963">SUM(E5961:E5962)</f>
        <v>109925</v>
      </c>
      <c r="F5963" s="16" cm="1">
        <f t="array" ref="F5963">SUM(F5961:F5962)</f>
        <v>0</v>
      </c>
      <c r="G5963" s="16" cm="1">
        <f t="array" ref="G5963">SUM(G5961:G5962)</f>
        <v>0</v>
      </c>
      <c r="H5963" s="16" cm="1">
        <f t="array" ref="H5963">SUM(H5961:H5962)</f>
        <v>0</v>
      </c>
      <c r="I5963" s="16" cm="1">
        <f t="array" ref="I5963">SUM(I5961:I5962)</f>
        <v>0</v>
      </c>
    </row>
    <row r="5964" ht="20.35" customHeight="1">
      <c r="A5964" s="10">
        <v>45708</v>
      </c>
      <c r="B5964" t="s" s="11">
        <v>107</v>
      </c>
      <c r="C5964" t="s" s="12">
        <v>96</v>
      </c>
      <c r="D5964" s="17"/>
      <c r="E5964" s="17">
        <v>3000</v>
      </c>
      <c r="F5964" s="18"/>
      <c r="G5964" s="18"/>
      <c r="H5964" s="18"/>
      <c r="I5964" s="18"/>
    </row>
    <row r="5965" ht="20.35" customHeight="1">
      <c r="A5965" s="10">
        <v>45708</v>
      </c>
      <c r="B5965" t="s" s="11">
        <v>5</v>
      </c>
      <c r="C5965" t="s" s="12">
        <v>96</v>
      </c>
      <c r="D5965" s="13">
        <v>3000</v>
      </c>
      <c r="E5965" s="13"/>
      <c r="F5965" s="14"/>
      <c r="G5965" s="14"/>
      <c r="H5965" s="14"/>
      <c r="I5965" s="14"/>
    </row>
    <row r="5966" ht="20.7" customHeight="1">
      <c r="A5966" s="10">
        <v>45708</v>
      </c>
      <c r="B5966" t="s" s="11">
        <v>8</v>
      </c>
      <c r="C5966" t="s" s="12">
        <v>8</v>
      </c>
      <c r="D5966" s="15" cm="1">
        <f t="array" ref="D5966">SUM(D5964:D5965)</f>
        <v>3000</v>
      </c>
      <c r="E5966" s="15" cm="1">
        <f t="array" ref="E5966">SUM(E5964:E5965)</f>
        <v>3000</v>
      </c>
      <c r="F5966" s="16" cm="1">
        <f t="array" ref="F5966">SUM(F5964:F5965)</f>
        <v>0</v>
      </c>
      <c r="G5966" s="16" cm="1">
        <f t="array" ref="G5966">SUM(G5964:G5965)</f>
        <v>0</v>
      </c>
      <c r="H5966" s="16" cm="1">
        <f t="array" ref="H5966">SUM(H5964:H5965)</f>
        <v>0</v>
      </c>
      <c r="I5966" s="16" cm="1">
        <f t="array" ref="I5966">SUM(I5964:I5965)</f>
        <v>0</v>
      </c>
    </row>
    <row r="5967" ht="20.35" customHeight="1">
      <c r="A5967" s="10">
        <v>45708</v>
      </c>
      <c r="B5967" t="s" s="11">
        <v>121</v>
      </c>
      <c r="C5967" t="s" s="12">
        <v>96</v>
      </c>
      <c r="D5967" s="17"/>
      <c r="E5967" s="17">
        <v>1730</v>
      </c>
      <c r="F5967" s="18"/>
      <c r="G5967" s="18"/>
      <c r="H5967" s="18"/>
      <c r="I5967" s="18"/>
    </row>
    <row r="5968" ht="20.35" customHeight="1">
      <c r="A5968" s="10">
        <v>45708</v>
      </c>
      <c r="B5968" t="s" s="11">
        <v>5</v>
      </c>
      <c r="C5968" t="s" s="12">
        <v>96</v>
      </c>
      <c r="D5968" s="13">
        <v>1730</v>
      </c>
      <c r="E5968" s="13"/>
      <c r="F5968" s="14"/>
      <c r="G5968" s="14"/>
      <c r="H5968" s="14"/>
      <c r="I5968" s="14"/>
    </row>
    <row r="5969" ht="20.7" customHeight="1">
      <c r="A5969" s="10">
        <v>45708</v>
      </c>
      <c r="B5969" t="s" s="11">
        <v>8</v>
      </c>
      <c r="C5969" t="s" s="12">
        <v>8</v>
      </c>
      <c r="D5969" s="15" cm="1">
        <f t="array" ref="D5969">SUM(D5967:D5968)</f>
        <v>1730</v>
      </c>
      <c r="E5969" s="15" cm="1">
        <f t="array" ref="E5969">SUM(E5967:E5968)</f>
        <v>1730</v>
      </c>
      <c r="F5969" s="16" cm="1">
        <f t="array" ref="F5969">SUM(F5967:F5968)</f>
        <v>0</v>
      </c>
      <c r="G5969" s="16" cm="1">
        <f t="array" ref="G5969">SUM(G5967:G5968)</f>
        <v>0</v>
      </c>
      <c r="H5969" s="16" cm="1">
        <f t="array" ref="H5969">SUM(H5967:H5968)</f>
        <v>0</v>
      </c>
      <c r="I5969" s="16" cm="1">
        <f t="array" ref="I5969">SUM(I5967:I5968)</f>
        <v>0</v>
      </c>
    </row>
    <row r="5970" ht="20.35" customHeight="1">
      <c r="A5970" s="10">
        <v>45708</v>
      </c>
      <c r="B5970" t="s" s="11">
        <v>5</v>
      </c>
      <c r="C5970" t="s" s="12">
        <v>867</v>
      </c>
      <c r="D5970" s="17"/>
      <c r="E5970" s="17">
        <v>4730</v>
      </c>
      <c r="F5970" s="18"/>
      <c r="G5970" s="18"/>
      <c r="H5970" s="18"/>
      <c r="I5970" s="18"/>
    </row>
    <row r="5971" ht="20.35" customHeight="1">
      <c r="A5971" s="10">
        <v>45708</v>
      </c>
      <c r="B5971" t="s" s="11">
        <v>843</v>
      </c>
      <c r="C5971" t="s" s="12">
        <v>867</v>
      </c>
      <c r="D5971" s="13">
        <v>4730</v>
      </c>
      <c r="E5971" s="13"/>
      <c r="F5971" s="14"/>
      <c r="G5971" s="14"/>
      <c r="H5971" s="14"/>
      <c r="I5971" s="14"/>
    </row>
    <row r="5972" ht="20.7" customHeight="1">
      <c r="A5972" s="10">
        <v>45708</v>
      </c>
      <c r="B5972" t="s" s="11">
        <v>8</v>
      </c>
      <c r="C5972" t="s" s="12">
        <v>8</v>
      </c>
      <c r="D5972" s="15" cm="1">
        <f t="array" ref="D5972">SUM(D5970:D5971)</f>
        <v>4730</v>
      </c>
      <c r="E5972" s="15" cm="1">
        <f t="array" ref="E5972">SUM(E5970:E5971)</f>
        <v>4730</v>
      </c>
      <c r="F5972" s="16" cm="1">
        <f t="array" ref="F5972">SUM(F5970:F5971)</f>
        <v>0</v>
      </c>
      <c r="G5972" s="16" cm="1">
        <f t="array" ref="G5972">SUM(G5970:G5971)</f>
        <v>0</v>
      </c>
      <c r="H5972" s="16" cm="1">
        <f t="array" ref="H5972">SUM(H5970:H5971)</f>
        <v>0</v>
      </c>
      <c r="I5972" s="16" cm="1">
        <f t="array" ref="I5972">SUM(I5970:I5971)</f>
        <v>0</v>
      </c>
    </row>
    <row r="5973" ht="20.35" customHeight="1">
      <c r="A5973" s="10">
        <v>45708</v>
      </c>
      <c r="B5973" t="s" s="11">
        <v>21</v>
      </c>
      <c r="C5973" t="s" s="12">
        <v>899</v>
      </c>
      <c r="D5973" s="17"/>
      <c r="E5973" s="17">
        <v>150000</v>
      </c>
      <c r="F5973" s="18"/>
      <c r="G5973" s="18"/>
      <c r="H5973" s="18"/>
      <c r="I5973" s="18"/>
    </row>
    <row r="5974" ht="20.35" customHeight="1">
      <c r="A5974" s="10">
        <v>45708</v>
      </c>
      <c r="B5974" t="s" s="11">
        <v>107</v>
      </c>
      <c r="C5974" t="s" s="12">
        <v>899</v>
      </c>
      <c r="D5974" s="13">
        <v>150000</v>
      </c>
      <c r="E5974" s="13"/>
      <c r="F5974" s="14"/>
      <c r="G5974" s="14"/>
      <c r="H5974" s="14"/>
      <c r="I5974" s="14"/>
    </row>
    <row r="5975" ht="20.7" customHeight="1">
      <c r="A5975" s="10">
        <v>45708</v>
      </c>
      <c r="B5975" t="s" s="11">
        <v>8</v>
      </c>
      <c r="C5975" t="s" s="12">
        <v>8</v>
      </c>
      <c r="D5975" s="15" cm="1">
        <f t="array" ref="D5975">SUM(D5973:D5974)</f>
        <v>150000</v>
      </c>
      <c r="E5975" s="15" cm="1">
        <f t="array" ref="E5975">SUM(E5973:E5974)</f>
        <v>150000</v>
      </c>
      <c r="F5975" s="16" cm="1">
        <f t="array" ref="F5975">SUM(F5973:F5974)</f>
        <v>0</v>
      </c>
      <c r="G5975" s="16" cm="1">
        <f t="array" ref="G5975">SUM(G5973:G5974)</f>
        <v>0</v>
      </c>
      <c r="H5975" s="16" cm="1">
        <f t="array" ref="H5975">SUM(H5973:H5974)</f>
        <v>0</v>
      </c>
      <c r="I5975" s="16" cm="1">
        <f t="array" ref="I5975">SUM(I5973:I5974)</f>
        <v>0</v>
      </c>
    </row>
    <row r="5976" ht="21.25" customHeight="1">
      <c r="A5976" s="10">
        <v>45708</v>
      </c>
      <c r="B5976" t="s" s="11">
        <v>21</v>
      </c>
      <c r="C5976" t="s" s="12">
        <v>900</v>
      </c>
      <c r="D5976" s="17"/>
      <c r="E5976" s="17">
        <v>2800</v>
      </c>
      <c r="F5976" s="18"/>
      <c r="G5976" s="18"/>
      <c r="H5976" s="18"/>
      <c r="I5976" s="18"/>
    </row>
    <row r="5977" ht="21.25" customHeight="1">
      <c r="A5977" s="10">
        <v>45708</v>
      </c>
      <c r="B5977" t="s" s="11">
        <v>16</v>
      </c>
      <c r="C5977" t="s" s="12">
        <v>900</v>
      </c>
      <c r="D5977" s="13">
        <v>2800</v>
      </c>
      <c r="E5977" s="13"/>
      <c r="F5977" s="14"/>
      <c r="G5977" s="14"/>
      <c r="H5977" s="14"/>
      <c r="I5977" s="14"/>
    </row>
    <row r="5978" ht="20.7" customHeight="1">
      <c r="A5978" s="10">
        <v>45708</v>
      </c>
      <c r="B5978" t="s" s="11">
        <v>8</v>
      </c>
      <c r="C5978" t="s" s="12">
        <v>8</v>
      </c>
      <c r="D5978" s="15" cm="1">
        <f t="array" ref="D5978">SUM(D5976:D5977)</f>
        <v>2800</v>
      </c>
      <c r="E5978" s="15" cm="1">
        <f t="array" ref="E5978">SUM(E5976:E5977)</f>
        <v>2800</v>
      </c>
      <c r="F5978" s="16" cm="1">
        <f t="array" ref="F5978">SUM(F5976:F5977)</f>
        <v>0</v>
      </c>
      <c r="G5978" s="16" cm="1">
        <f t="array" ref="G5978">SUM(G5976:G5977)</f>
        <v>0</v>
      </c>
      <c r="H5978" s="16" cm="1">
        <f t="array" ref="H5978">SUM(H5976:H5977)</f>
        <v>0</v>
      </c>
      <c r="I5978" s="16" cm="1">
        <f t="array" ref="I5978">SUM(I5976:I5977)</f>
        <v>0</v>
      </c>
    </row>
    <row r="5979" ht="20.35" customHeight="1">
      <c r="A5979" s="10">
        <v>45709</v>
      </c>
      <c r="B5979" t="s" s="11">
        <v>107</v>
      </c>
      <c r="C5979" t="s" s="12">
        <v>439</v>
      </c>
      <c r="D5979" s="17"/>
      <c r="E5979" s="17">
        <v>50000</v>
      </c>
      <c r="F5979" s="18"/>
      <c r="G5979" s="18"/>
      <c r="H5979" s="18"/>
      <c r="I5979" s="18"/>
    </row>
    <row r="5980" ht="20.35" customHeight="1">
      <c r="A5980" s="10">
        <v>45709</v>
      </c>
      <c r="B5980" t="s" s="11">
        <v>121</v>
      </c>
      <c r="C5980" t="s" s="12">
        <v>439</v>
      </c>
      <c r="D5980" s="13">
        <v>50000</v>
      </c>
      <c r="E5980" s="13"/>
      <c r="F5980" s="14"/>
      <c r="G5980" s="14"/>
      <c r="H5980" s="14"/>
      <c r="I5980" s="14"/>
    </row>
    <row r="5981" ht="20.7" customHeight="1">
      <c r="A5981" s="10">
        <v>45709</v>
      </c>
      <c r="B5981" t="s" s="11">
        <v>8</v>
      </c>
      <c r="C5981" t="s" s="12">
        <v>8</v>
      </c>
      <c r="D5981" s="15" cm="1">
        <f t="array" ref="D5981">SUM(D5979:D5980)</f>
        <v>50000</v>
      </c>
      <c r="E5981" s="15" cm="1">
        <f t="array" ref="E5981">SUM(E5979:E5980)</f>
        <v>50000</v>
      </c>
      <c r="F5981" s="16" cm="1">
        <f t="array" ref="F5981">SUM(F5979:F5980)</f>
        <v>0</v>
      </c>
      <c r="G5981" s="16" cm="1">
        <f t="array" ref="G5981">SUM(G5979:G5980)</f>
        <v>0</v>
      </c>
      <c r="H5981" s="16" cm="1">
        <f t="array" ref="H5981">SUM(H5979:H5980)</f>
        <v>0</v>
      </c>
      <c r="I5981" s="16" cm="1">
        <f t="array" ref="I5981">SUM(I5979:I5980)</f>
        <v>0</v>
      </c>
    </row>
    <row r="5982" ht="20.35" customHeight="1">
      <c r="A5982" s="10">
        <v>45709</v>
      </c>
      <c r="B5982" t="s" s="11">
        <v>121</v>
      </c>
      <c r="C5982" t="s" s="12">
        <v>53</v>
      </c>
      <c r="D5982" s="17"/>
      <c r="E5982" s="17">
        <v>8890</v>
      </c>
      <c r="F5982" s="18"/>
      <c r="G5982" s="18"/>
      <c r="H5982" s="18"/>
      <c r="I5982" s="18"/>
    </row>
    <row r="5983" ht="20.35" customHeight="1">
      <c r="A5983" s="10">
        <v>45709</v>
      </c>
      <c r="B5983" t="s" s="11">
        <v>12</v>
      </c>
      <c r="C5983" t="s" s="12">
        <v>53</v>
      </c>
      <c r="D5983" s="13">
        <v>8890</v>
      </c>
      <c r="E5983" s="13"/>
      <c r="F5983" s="14"/>
      <c r="G5983" s="14"/>
      <c r="H5983" s="14"/>
      <c r="I5983" s="14"/>
    </row>
    <row r="5984" ht="20.7" customHeight="1">
      <c r="A5984" s="10">
        <v>45709</v>
      </c>
      <c r="B5984" t="s" s="11">
        <v>8</v>
      </c>
      <c r="C5984" t="s" s="12">
        <v>8</v>
      </c>
      <c r="D5984" s="15" cm="1">
        <f t="array" ref="D5984">SUM(D5982:D5983)</f>
        <v>8890</v>
      </c>
      <c r="E5984" s="15" cm="1">
        <f t="array" ref="E5984">SUM(E5982:E5983)</f>
        <v>8890</v>
      </c>
      <c r="F5984" s="16" cm="1">
        <f t="array" ref="F5984">SUM(F5982:F5983)</f>
        <v>0</v>
      </c>
      <c r="G5984" s="16" cm="1">
        <f t="array" ref="G5984">SUM(G5982:G5983)</f>
        <v>0</v>
      </c>
      <c r="H5984" s="16" cm="1">
        <f t="array" ref="H5984">SUM(H5982:H5983)</f>
        <v>0</v>
      </c>
      <c r="I5984" s="16" cm="1">
        <f t="array" ref="I5984">SUM(I5982:I5983)</f>
        <v>0</v>
      </c>
    </row>
    <row r="5985" ht="20.35" customHeight="1">
      <c r="A5985" s="10">
        <v>45709</v>
      </c>
      <c r="B5985" t="s" s="11">
        <v>121</v>
      </c>
      <c r="C5985" t="s" s="12">
        <v>901</v>
      </c>
      <c r="D5985" s="17"/>
      <c r="E5985" s="17">
        <v>6200</v>
      </c>
      <c r="F5985" s="18"/>
      <c r="G5985" s="18"/>
      <c r="H5985" s="18"/>
      <c r="I5985" s="18"/>
    </row>
    <row r="5986" ht="20.35" customHeight="1">
      <c r="A5986" s="10">
        <v>45709</v>
      </c>
      <c r="B5986" t="s" s="11">
        <v>16</v>
      </c>
      <c r="C5986" t="s" s="12">
        <v>901</v>
      </c>
      <c r="D5986" s="13">
        <v>6200</v>
      </c>
      <c r="E5986" s="13"/>
      <c r="F5986" s="14"/>
      <c r="G5986" s="14"/>
      <c r="H5986" s="14"/>
      <c r="I5986" s="14"/>
    </row>
    <row r="5987" ht="20.7" customHeight="1">
      <c r="A5987" s="10">
        <v>45709</v>
      </c>
      <c r="B5987" t="s" s="11">
        <v>8</v>
      </c>
      <c r="C5987" t="s" s="12">
        <v>8</v>
      </c>
      <c r="D5987" s="15" cm="1">
        <f t="array" ref="D5987">SUM(D5985:D5986)</f>
        <v>6200</v>
      </c>
      <c r="E5987" s="15" cm="1">
        <f t="array" ref="E5987">SUM(E5985:E5986)</f>
        <v>6200</v>
      </c>
      <c r="F5987" s="16" cm="1">
        <f t="array" ref="F5987">SUM(F5985:F5986)</f>
        <v>0</v>
      </c>
      <c r="G5987" s="16" cm="1">
        <f t="array" ref="G5987">SUM(G5985:G5986)</f>
        <v>0</v>
      </c>
      <c r="H5987" s="16" cm="1">
        <f t="array" ref="H5987">SUM(H5985:H5986)</f>
        <v>0</v>
      </c>
      <c r="I5987" s="16" cm="1">
        <f t="array" ref="I5987">SUM(I5985:I5986)</f>
        <v>0</v>
      </c>
    </row>
    <row r="5988" ht="20.35" customHeight="1">
      <c r="A5988" s="10">
        <v>45709</v>
      </c>
      <c r="B5988" t="s" s="11">
        <v>107</v>
      </c>
      <c r="C5988" t="s" s="12">
        <v>96</v>
      </c>
      <c r="D5988" s="17"/>
      <c r="E5988" s="17">
        <v>100000</v>
      </c>
      <c r="F5988" s="18"/>
      <c r="G5988" s="18"/>
      <c r="H5988" s="18"/>
      <c r="I5988" s="18"/>
    </row>
    <row r="5989" ht="20.35" customHeight="1">
      <c r="A5989" s="10">
        <v>45709</v>
      </c>
      <c r="B5989" t="s" s="11">
        <v>5</v>
      </c>
      <c r="C5989" t="s" s="12">
        <v>96</v>
      </c>
      <c r="D5989" s="13">
        <v>100000</v>
      </c>
      <c r="E5989" s="13"/>
      <c r="F5989" s="14"/>
      <c r="G5989" s="14"/>
      <c r="H5989" s="14"/>
      <c r="I5989" s="14"/>
    </row>
    <row r="5990" ht="20.7" customHeight="1">
      <c r="A5990" s="10">
        <v>45709</v>
      </c>
      <c r="B5990" t="s" s="11">
        <v>8</v>
      </c>
      <c r="C5990" t="s" s="12">
        <v>8</v>
      </c>
      <c r="D5990" s="15" cm="1">
        <f t="array" ref="D5990">SUM(D5988:D5989)</f>
        <v>100000</v>
      </c>
      <c r="E5990" s="15" cm="1">
        <f t="array" ref="E5990">SUM(E5988:E5989)</f>
        <v>100000</v>
      </c>
      <c r="F5990" s="16" cm="1">
        <f t="array" ref="F5990">SUM(F5988:F5989)</f>
        <v>0</v>
      </c>
      <c r="G5990" s="16" cm="1">
        <f t="array" ref="G5990">SUM(G5988:G5989)</f>
        <v>0</v>
      </c>
      <c r="H5990" s="16" cm="1">
        <f t="array" ref="H5990">SUM(H5988:H5989)</f>
        <v>0</v>
      </c>
      <c r="I5990" s="16" cm="1">
        <f t="array" ref="I5990">SUM(I5988:I5989)</f>
        <v>0</v>
      </c>
    </row>
    <row r="5991" ht="20.35" customHeight="1">
      <c r="A5991" s="10">
        <v>45709</v>
      </c>
      <c r="B5991" t="s" s="11">
        <v>121</v>
      </c>
      <c r="C5991" t="s" s="12">
        <v>96</v>
      </c>
      <c r="D5991" s="17"/>
      <c r="E5991" s="17">
        <v>34313</v>
      </c>
      <c r="F5991" s="18"/>
      <c r="G5991" s="18"/>
      <c r="H5991" s="18"/>
      <c r="I5991" s="18"/>
    </row>
    <row r="5992" ht="20.35" customHeight="1">
      <c r="A5992" s="10">
        <v>45709</v>
      </c>
      <c r="B5992" t="s" s="11">
        <v>5</v>
      </c>
      <c r="C5992" t="s" s="12">
        <v>96</v>
      </c>
      <c r="D5992" s="13">
        <v>34313</v>
      </c>
      <c r="E5992" s="13"/>
      <c r="F5992" s="14"/>
      <c r="G5992" s="14"/>
      <c r="H5992" s="14"/>
      <c r="I5992" s="14"/>
    </row>
    <row r="5993" ht="20.7" customHeight="1">
      <c r="A5993" s="10">
        <v>45709</v>
      </c>
      <c r="B5993" t="s" s="11">
        <v>8</v>
      </c>
      <c r="C5993" t="s" s="12">
        <v>8</v>
      </c>
      <c r="D5993" s="15" cm="1">
        <f t="array" ref="D5993">SUM(D5991:D5992)</f>
        <v>34313</v>
      </c>
      <c r="E5993" s="15" cm="1">
        <f t="array" ref="E5993">SUM(E5991:E5992)</f>
        <v>34313</v>
      </c>
      <c r="F5993" s="16" cm="1">
        <f t="array" ref="F5993">SUM(F5991:F5992)</f>
        <v>0</v>
      </c>
      <c r="G5993" s="16" cm="1">
        <f t="array" ref="G5993">SUM(G5991:G5992)</f>
        <v>0</v>
      </c>
      <c r="H5993" s="16" cm="1">
        <f t="array" ref="H5993">SUM(H5991:H5992)</f>
        <v>0</v>
      </c>
      <c r="I5993" s="16" cm="1">
        <f t="array" ref="I5993">SUM(I5991:I5992)</f>
        <v>0</v>
      </c>
    </row>
    <row r="5994" ht="20.35" customHeight="1">
      <c r="A5994" s="10">
        <v>45709</v>
      </c>
      <c r="B5994" t="s" s="11">
        <v>5</v>
      </c>
      <c r="C5994" t="s" s="12">
        <v>867</v>
      </c>
      <c r="D5994" s="17"/>
      <c r="E5994" s="17">
        <v>134313</v>
      </c>
      <c r="F5994" s="18"/>
      <c r="G5994" s="18"/>
      <c r="H5994" s="18"/>
      <c r="I5994" s="18"/>
    </row>
    <row r="5995" ht="20.35" customHeight="1">
      <c r="A5995" s="10">
        <v>45709</v>
      </c>
      <c r="B5995" t="s" s="11">
        <v>843</v>
      </c>
      <c r="C5995" t="s" s="12">
        <v>867</v>
      </c>
      <c r="D5995" s="13">
        <v>134313</v>
      </c>
      <c r="E5995" s="13"/>
      <c r="F5995" s="14"/>
      <c r="G5995" s="14"/>
      <c r="H5995" s="14"/>
      <c r="I5995" s="14"/>
    </row>
    <row r="5996" ht="20.7" customHeight="1">
      <c r="A5996" s="10">
        <v>45709</v>
      </c>
      <c r="B5996" t="s" s="11">
        <v>8</v>
      </c>
      <c r="C5996" t="s" s="12">
        <v>8</v>
      </c>
      <c r="D5996" s="15" cm="1">
        <f t="array" ref="D5996">SUM(D5994:D5995)</f>
        <v>134313</v>
      </c>
      <c r="E5996" s="15" cm="1">
        <f t="array" ref="E5996">SUM(E5994:E5995)</f>
        <v>134313</v>
      </c>
      <c r="F5996" s="16" cm="1">
        <f t="array" ref="F5996">SUM(F5994:F5995)</f>
        <v>0</v>
      </c>
      <c r="G5996" s="16" cm="1">
        <f t="array" ref="G5996">SUM(G5994:G5995)</f>
        <v>0</v>
      </c>
      <c r="H5996" s="16" cm="1">
        <f t="array" ref="H5996">SUM(H5994:H5995)</f>
        <v>0</v>
      </c>
      <c r="I5996" s="16" cm="1">
        <f t="array" ref="I5996">SUM(I5994:I5995)</f>
        <v>0</v>
      </c>
    </row>
    <row r="5997" ht="21.25" customHeight="1">
      <c r="A5997" s="10">
        <v>45709</v>
      </c>
      <c r="B5997" t="s" s="11">
        <v>5</v>
      </c>
      <c r="C5997" t="s" s="12">
        <v>902</v>
      </c>
      <c r="D5997" s="17">
        <v>8</v>
      </c>
      <c r="E5997" s="17"/>
      <c r="F5997" s="18"/>
      <c r="G5997" s="18"/>
      <c r="H5997" s="18"/>
      <c r="I5997" s="18"/>
    </row>
    <row r="5998" ht="21.25" customHeight="1">
      <c r="A5998" s="10">
        <v>45709</v>
      </c>
      <c r="B5998" t="s" s="11">
        <v>7</v>
      </c>
      <c r="C5998" t="s" s="12">
        <v>902</v>
      </c>
      <c r="D5998" s="13"/>
      <c r="E5998" s="13">
        <v>8</v>
      </c>
      <c r="F5998" s="14"/>
      <c r="G5998" s="14"/>
      <c r="H5998" s="14"/>
      <c r="I5998" s="14"/>
    </row>
    <row r="5999" ht="20.7" customHeight="1">
      <c r="A5999" s="10">
        <v>45709</v>
      </c>
      <c r="B5999" t="s" s="11">
        <v>8</v>
      </c>
      <c r="C5999" t="s" s="12">
        <v>8</v>
      </c>
      <c r="D5999" s="15" cm="1">
        <f t="array" ref="D5999">SUM(D5997:D5998)</f>
        <v>8</v>
      </c>
      <c r="E5999" s="15" cm="1">
        <f t="array" ref="E5999">SUM(E5997:E5998)</f>
        <v>8</v>
      </c>
      <c r="F5999" s="16" cm="1">
        <f t="array" ref="F5999">SUM(F5997:F5998)</f>
        <v>0</v>
      </c>
      <c r="G5999" s="16" cm="1">
        <f t="array" ref="G5999">SUM(G5997:G5998)</f>
        <v>0</v>
      </c>
      <c r="H5999" s="16" cm="1">
        <f t="array" ref="H5999">SUM(H5997:H5998)</f>
        <v>0</v>
      </c>
      <c r="I5999" s="16" cm="1">
        <f t="array" ref="I5999">SUM(I5997:I5998)</f>
        <v>0</v>
      </c>
    </row>
    <row r="6000" ht="20.35" customHeight="1">
      <c r="A6000" s="10">
        <v>45709</v>
      </c>
      <c r="B6000" t="s" s="11">
        <v>5</v>
      </c>
      <c r="C6000" t="s" s="12">
        <v>867</v>
      </c>
      <c r="D6000" s="17"/>
      <c r="E6000" s="17">
        <v>8</v>
      </c>
      <c r="F6000" s="18"/>
      <c r="G6000" s="18"/>
      <c r="H6000" s="18"/>
      <c r="I6000" s="18"/>
    </row>
    <row r="6001" ht="20.35" customHeight="1">
      <c r="A6001" s="10">
        <v>45709</v>
      </c>
      <c r="B6001" t="s" s="11">
        <v>814</v>
      </c>
      <c r="C6001" t="s" s="12">
        <v>867</v>
      </c>
      <c r="D6001" s="13">
        <v>8</v>
      </c>
      <c r="E6001" s="13"/>
      <c r="F6001" s="14"/>
      <c r="G6001" s="14"/>
      <c r="H6001" s="14"/>
      <c r="I6001" s="14"/>
    </row>
    <row r="6002" ht="20.7" customHeight="1">
      <c r="A6002" s="10">
        <v>45709</v>
      </c>
      <c r="B6002" t="s" s="11">
        <v>8</v>
      </c>
      <c r="C6002" t="s" s="12">
        <v>8</v>
      </c>
      <c r="D6002" s="15" cm="1">
        <f t="array" ref="D6002">SUM(D6000:D6001)</f>
        <v>8</v>
      </c>
      <c r="E6002" s="15" cm="1">
        <f t="array" ref="E6002">SUM(E6000:E6001)</f>
        <v>8</v>
      </c>
      <c r="F6002" s="16" cm="1">
        <f t="array" ref="F6002">SUM(F6000:F6001)</f>
        <v>0</v>
      </c>
      <c r="G6002" s="16" cm="1">
        <f t="array" ref="G6002">SUM(G6000:G6001)</f>
        <v>0</v>
      </c>
      <c r="H6002" s="16" cm="1">
        <f t="array" ref="H6002">SUM(H6000:H6001)</f>
        <v>0</v>
      </c>
      <c r="I6002" s="16" cm="1">
        <f t="array" ref="I6002">SUM(I6000:I6001)</f>
        <v>0</v>
      </c>
    </row>
    <row r="6003" ht="20.65" customHeight="1">
      <c r="A6003" s="10">
        <v>45709</v>
      </c>
      <c r="B6003" t="s" s="11">
        <v>814</v>
      </c>
      <c r="C6003" t="s" s="12">
        <v>820</v>
      </c>
      <c r="D6003" s="17">
        <v>505</v>
      </c>
      <c r="E6003" s="17"/>
      <c r="F6003" s="18"/>
      <c r="G6003" s="18"/>
      <c r="H6003" s="18"/>
      <c r="I6003" s="18"/>
    </row>
    <row r="6004" ht="20.65" customHeight="1">
      <c r="A6004" s="10">
        <v>45709</v>
      </c>
      <c r="B6004" t="s" s="11">
        <v>91</v>
      </c>
      <c r="C6004" t="s" s="12">
        <v>820</v>
      </c>
      <c r="D6004" s="13"/>
      <c r="E6004" s="13">
        <v>505</v>
      </c>
      <c r="F6004" s="14"/>
      <c r="G6004" s="14"/>
      <c r="H6004" s="14"/>
      <c r="I6004" s="14"/>
    </row>
    <row r="6005" ht="20.7" customHeight="1">
      <c r="A6005" s="10">
        <v>45709</v>
      </c>
      <c r="B6005" t="s" s="11">
        <v>8</v>
      </c>
      <c r="C6005" t="s" s="12">
        <v>8</v>
      </c>
      <c r="D6005" s="15" cm="1">
        <f t="array" ref="D6005">SUM(D6003:D6004)</f>
        <v>505</v>
      </c>
      <c r="E6005" s="15" cm="1">
        <f t="array" ref="E6005">SUM(E6003:E6004)</f>
        <v>505</v>
      </c>
      <c r="F6005" s="16" cm="1">
        <f t="array" ref="F6005">SUM(F6003:F6004)</f>
        <v>0</v>
      </c>
      <c r="G6005" s="16" cm="1">
        <f t="array" ref="G6005">SUM(G6003:G6004)</f>
        <v>0</v>
      </c>
      <c r="H6005" s="16" cm="1">
        <f t="array" ref="H6005">SUM(H6003:H6004)</f>
        <v>0</v>
      </c>
      <c r="I6005" s="16" cm="1">
        <f t="array" ref="I6005">SUM(I6003:I6004)</f>
        <v>0</v>
      </c>
    </row>
    <row r="6006" ht="20.65" customHeight="1">
      <c r="A6006" s="10">
        <v>45709</v>
      </c>
      <c r="B6006" t="s" s="11">
        <v>843</v>
      </c>
      <c r="C6006" t="s" s="12">
        <v>820</v>
      </c>
      <c r="D6006" s="17">
        <v>8</v>
      </c>
      <c r="E6006" s="17"/>
      <c r="F6006" s="18"/>
      <c r="G6006" s="18"/>
      <c r="H6006" s="18"/>
      <c r="I6006" s="18"/>
    </row>
    <row r="6007" ht="20.65" customHeight="1">
      <c r="A6007" s="10">
        <v>45709</v>
      </c>
      <c r="B6007" t="s" s="11">
        <v>91</v>
      </c>
      <c r="C6007" t="s" s="12">
        <v>820</v>
      </c>
      <c r="D6007" s="13"/>
      <c r="E6007" s="13">
        <v>8</v>
      </c>
      <c r="F6007" s="14"/>
      <c r="G6007" s="14"/>
      <c r="H6007" s="14"/>
      <c r="I6007" s="14"/>
    </row>
    <row r="6008" ht="20.7" customHeight="1">
      <c r="A6008" s="10">
        <v>45709</v>
      </c>
      <c r="B6008" t="s" s="11">
        <v>8</v>
      </c>
      <c r="C6008" t="s" s="12">
        <v>8</v>
      </c>
      <c r="D6008" s="15" cm="1">
        <f t="array" ref="D6008">SUM(D6006:D6007)</f>
        <v>8</v>
      </c>
      <c r="E6008" s="15" cm="1">
        <f t="array" ref="E6008">SUM(E6006:E6007)</f>
        <v>8</v>
      </c>
      <c r="F6008" s="16" cm="1">
        <f t="array" ref="F6008">SUM(F6006:F6007)</f>
        <v>0</v>
      </c>
      <c r="G6008" s="16" cm="1">
        <f t="array" ref="G6008">SUM(G6006:G6007)</f>
        <v>0</v>
      </c>
      <c r="H6008" s="16" cm="1">
        <f t="array" ref="H6008">SUM(H6006:H6007)</f>
        <v>0</v>
      </c>
      <c r="I6008" s="16" cm="1">
        <f t="array" ref="I6008">SUM(I6006:I6007)</f>
        <v>0</v>
      </c>
    </row>
    <row r="6009" ht="20.35" customHeight="1">
      <c r="A6009" s="10">
        <v>45709</v>
      </c>
      <c r="B6009" t="s" s="11">
        <v>843</v>
      </c>
      <c r="C6009" t="s" s="12">
        <v>903</v>
      </c>
      <c r="D6009" s="17"/>
      <c r="E6009" s="17">
        <v>100000</v>
      </c>
      <c r="F6009" s="18"/>
      <c r="G6009" s="18"/>
      <c r="H6009" s="18"/>
      <c r="I6009" s="18"/>
    </row>
    <row r="6010" ht="20.35" customHeight="1">
      <c r="A6010" s="10">
        <v>45709</v>
      </c>
      <c r="B6010" t="s" s="11">
        <v>5</v>
      </c>
      <c r="C6010" t="s" s="12">
        <v>903</v>
      </c>
      <c r="D6010" s="13">
        <v>100000</v>
      </c>
      <c r="E6010" s="13"/>
      <c r="F6010" s="14"/>
      <c r="G6010" s="14"/>
      <c r="H6010" s="14"/>
      <c r="I6010" s="14"/>
    </row>
    <row r="6011" ht="20.7" customHeight="1">
      <c r="A6011" s="10">
        <v>45709</v>
      </c>
      <c r="B6011" t="s" s="11">
        <v>8</v>
      </c>
      <c r="C6011" t="s" s="12">
        <v>8</v>
      </c>
      <c r="D6011" s="15" cm="1">
        <f t="array" ref="D6011">SUM(D6009:D6010)</f>
        <v>100000</v>
      </c>
      <c r="E6011" s="15" cm="1">
        <f t="array" ref="E6011">SUM(E6009:E6010)</f>
        <v>100000</v>
      </c>
      <c r="F6011" s="16" cm="1">
        <f t="array" ref="F6011">SUM(F6009:F6010)</f>
        <v>0</v>
      </c>
      <c r="G6011" s="16" cm="1">
        <f t="array" ref="G6011">SUM(G6009:G6010)</f>
        <v>0</v>
      </c>
      <c r="H6011" s="16" cm="1">
        <f t="array" ref="H6011">SUM(H6009:H6010)</f>
        <v>0</v>
      </c>
      <c r="I6011" s="16" cm="1">
        <f t="array" ref="I6011">SUM(I6009:I6010)</f>
        <v>0</v>
      </c>
    </row>
    <row r="6012" ht="20.35" customHeight="1">
      <c r="A6012" s="10">
        <v>45709</v>
      </c>
      <c r="B6012" t="s" s="11">
        <v>5</v>
      </c>
      <c r="C6012" t="s" s="12">
        <v>903</v>
      </c>
      <c r="D6012" s="17"/>
      <c r="E6012" s="17">
        <v>100000</v>
      </c>
      <c r="F6012" s="18"/>
      <c r="G6012" s="18"/>
      <c r="H6012" s="18"/>
      <c r="I6012" s="18"/>
    </row>
    <row r="6013" ht="20.35" customHeight="1">
      <c r="A6013" s="10">
        <v>45709</v>
      </c>
      <c r="B6013" t="s" s="11">
        <v>10</v>
      </c>
      <c r="C6013" t="s" s="12">
        <v>903</v>
      </c>
      <c r="D6013" s="13">
        <v>100000</v>
      </c>
      <c r="E6013" s="13"/>
      <c r="F6013" s="14"/>
      <c r="G6013" s="14"/>
      <c r="H6013" s="14"/>
      <c r="I6013" s="14"/>
    </row>
    <row r="6014" ht="20.7" customHeight="1">
      <c r="A6014" s="10">
        <v>45709</v>
      </c>
      <c r="B6014" t="s" s="11">
        <v>8</v>
      </c>
      <c r="C6014" t="s" s="12">
        <v>8</v>
      </c>
      <c r="D6014" s="15" cm="1">
        <f t="array" ref="D6014">SUM(D6012:D6013)</f>
        <v>100000</v>
      </c>
      <c r="E6014" s="15" cm="1">
        <f t="array" ref="E6014">SUM(E6012:E6013)</f>
        <v>100000</v>
      </c>
      <c r="F6014" s="16" cm="1">
        <f t="array" ref="F6014">SUM(F6012:F6013)</f>
        <v>0</v>
      </c>
      <c r="G6014" s="16" cm="1">
        <f t="array" ref="G6014">SUM(G6012:G6013)</f>
        <v>0</v>
      </c>
      <c r="H6014" s="16" cm="1">
        <f t="array" ref="H6014">SUM(H6012:H6013)</f>
        <v>0</v>
      </c>
      <c r="I6014" s="16" cm="1">
        <f t="array" ref="I6014">SUM(I6012:I6013)</f>
        <v>0</v>
      </c>
    </row>
    <row r="6015" ht="20.35" customHeight="1">
      <c r="A6015" s="10">
        <v>45709</v>
      </c>
      <c r="B6015" t="s" s="11">
        <v>843</v>
      </c>
      <c r="C6015" t="s" s="12">
        <v>904</v>
      </c>
      <c r="D6015" s="17"/>
      <c r="E6015" s="17">
        <v>50000</v>
      </c>
      <c r="F6015" s="18"/>
      <c r="G6015" s="18"/>
      <c r="H6015" s="18"/>
      <c r="I6015" s="18"/>
    </row>
    <row r="6016" ht="20.35" customHeight="1">
      <c r="A6016" s="10">
        <v>45709</v>
      </c>
      <c r="B6016" t="s" s="11">
        <v>5</v>
      </c>
      <c r="C6016" t="s" s="12">
        <v>904</v>
      </c>
      <c r="D6016" s="13">
        <v>50000</v>
      </c>
      <c r="E6016" s="13"/>
      <c r="F6016" s="14"/>
      <c r="G6016" s="14"/>
      <c r="H6016" s="14"/>
      <c r="I6016" s="14"/>
    </row>
    <row r="6017" ht="20.7" customHeight="1">
      <c r="A6017" s="10">
        <v>45709</v>
      </c>
      <c r="B6017" t="s" s="11">
        <v>8</v>
      </c>
      <c r="C6017" t="s" s="12">
        <v>8</v>
      </c>
      <c r="D6017" s="15" cm="1">
        <f t="array" ref="D6017">SUM(D6015:D6016)</f>
        <v>50000</v>
      </c>
      <c r="E6017" s="15" cm="1">
        <f t="array" ref="E6017">SUM(E6015:E6016)</f>
        <v>50000</v>
      </c>
      <c r="F6017" s="16" cm="1">
        <f t="array" ref="F6017">SUM(F6015:F6016)</f>
        <v>0</v>
      </c>
      <c r="G6017" s="16" cm="1">
        <f t="array" ref="G6017">SUM(G6015:G6016)</f>
        <v>0</v>
      </c>
      <c r="H6017" s="16" cm="1">
        <f t="array" ref="H6017">SUM(H6015:H6016)</f>
        <v>0</v>
      </c>
      <c r="I6017" s="16" cm="1">
        <f t="array" ref="I6017">SUM(I6015:I6016)</f>
        <v>0</v>
      </c>
    </row>
    <row r="6018" ht="20.35" customHeight="1">
      <c r="A6018" s="10">
        <v>45709</v>
      </c>
      <c r="B6018" t="s" s="11">
        <v>5</v>
      </c>
      <c r="C6018" t="s" s="12">
        <v>904</v>
      </c>
      <c r="D6018" s="17"/>
      <c r="E6018" s="17">
        <v>8090</v>
      </c>
      <c r="F6018" s="18"/>
      <c r="G6018" s="18"/>
      <c r="H6018" s="18"/>
      <c r="I6018" s="18"/>
    </row>
    <row r="6019" ht="20.35" customHeight="1">
      <c r="A6019" s="10">
        <v>45709</v>
      </c>
      <c r="B6019" t="s" s="11">
        <v>12</v>
      </c>
      <c r="C6019" t="s" s="12">
        <v>904</v>
      </c>
      <c r="D6019" s="13">
        <v>8090</v>
      </c>
      <c r="E6019" s="13"/>
      <c r="F6019" s="14"/>
      <c r="G6019" s="14"/>
      <c r="H6019" s="14"/>
      <c r="I6019" s="14"/>
    </row>
    <row r="6020" ht="20.7" customHeight="1">
      <c r="A6020" s="10">
        <v>45709</v>
      </c>
      <c r="B6020" t="s" s="11">
        <v>8</v>
      </c>
      <c r="C6020" t="s" s="12">
        <v>8</v>
      </c>
      <c r="D6020" s="15" cm="1">
        <f t="array" ref="D6020">SUM(D6018:D6019)</f>
        <v>8090</v>
      </c>
      <c r="E6020" s="15" cm="1">
        <f t="array" ref="E6020">SUM(E6018:E6019)</f>
        <v>8090</v>
      </c>
      <c r="F6020" s="16" cm="1">
        <f t="array" ref="F6020">SUM(F6018:F6019)</f>
        <v>0</v>
      </c>
      <c r="G6020" s="16" cm="1">
        <f t="array" ref="G6020">SUM(G6018:G6019)</f>
        <v>0</v>
      </c>
      <c r="H6020" s="16" cm="1">
        <f t="array" ref="H6020">SUM(H6018:H6019)</f>
        <v>0</v>
      </c>
      <c r="I6020" s="16" cm="1">
        <f t="array" ref="I6020">SUM(I6018:I6019)</f>
        <v>0</v>
      </c>
    </row>
    <row r="6021" ht="20.35" customHeight="1">
      <c r="A6021" s="10">
        <v>45709</v>
      </c>
      <c r="B6021" t="s" s="11">
        <v>91</v>
      </c>
      <c r="C6021" t="s" s="12">
        <v>17</v>
      </c>
      <c r="D6021" s="17"/>
      <c r="E6021" s="17">
        <v>100</v>
      </c>
      <c r="F6021" s="18"/>
      <c r="G6021" s="18"/>
      <c r="H6021" s="18"/>
      <c r="I6021" s="18"/>
    </row>
    <row r="6022" ht="20.35" customHeight="1">
      <c r="A6022" s="10">
        <v>45709</v>
      </c>
      <c r="B6022" t="s" s="11">
        <v>5</v>
      </c>
      <c r="C6022" t="s" s="12">
        <v>17</v>
      </c>
      <c r="D6022" s="13">
        <v>100</v>
      </c>
      <c r="E6022" s="13"/>
      <c r="F6022" s="14"/>
      <c r="G6022" s="14"/>
      <c r="H6022" s="14"/>
      <c r="I6022" s="14"/>
    </row>
    <row r="6023" ht="20.7" customHeight="1">
      <c r="A6023" s="10">
        <v>45709</v>
      </c>
      <c r="B6023" t="s" s="11">
        <v>8</v>
      </c>
      <c r="C6023" t="s" s="12">
        <v>8</v>
      </c>
      <c r="D6023" s="15" cm="1">
        <f t="array" ref="D6023">SUM(D6021:D6022)</f>
        <v>100</v>
      </c>
      <c r="E6023" s="15" cm="1">
        <f t="array" ref="E6023">SUM(E6021:E6022)</f>
        <v>100</v>
      </c>
      <c r="F6023" s="16" cm="1">
        <f t="array" ref="F6023">SUM(F6021:F6022)</f>
        <v>0</v>
      </c>
      <c r="G6023" s="16" cm="1">
        <f t="array" ref="G6023">SUM(G6021:G6022)</f>
        <v>0</v>
      </c>
      <c r="H6023" s="16" cm="1">
        <f t="array" ref="H6023">SUM(H6021:H6022)</f>
        <v>0</v>
      </c>
      <c r="I6023" s="16" cm="1">
        <f t="array" ref="I6023">SUM(I6021:I6022)</f>
        <v>0</v>
      </c>
    </row>
    <row r="6024" ht="20.35" customHeight="1">
      <c r="A6024" s="10">
        <v>45709</v>
      </c>
      <c r="B6024" t="s" s="11">
        <v>814</v>
      </c>
      <c r="C6024" t="s" s="12">
        <v>75</v>
      </c>
      <c r="D6024" s="17"/>
      <c r="E6024" s="17">
        <v>10341670</v>
      </c>
      <c r="F6024" s="18"/>
      <c r="G6024" s="18"/>
      <c r="H6024" s="18"/>
      <c r="I6024" s="18"/>
    </row>
    <row r="6025" ht="20.35" customHeight="1">
      <c r="A6025" s="10">
        <v>45709</v>
      </c>
      <c r="B6025" t="s" s="11">
        <v>5</v>
      </c>
      <c r="C6025" t="s" s="12">
        <v>75</v>
      </c>
      <c r="D6025" s="13">
        <v>10341670</v>
      </c>
      <c r="E6025" s="13"/>
      <c r="F6025" s="14"/>
      <c r="G6025" s="14"/>
      <c r="H6025" s="14"/>
      <c r="I6025" s="14"/>
    </row>
    <row r="6026" ht="20.7" customHeight="1">
      <c r="A6026" s="10">
        <v>45709</v>
      </c>
      <c r="B6026" t="s" s="11">
        <v>8</v>
      </c>
      <c r="C6026" t="s" s="12">
        <v>8</v>
      </c>
      <c r="D6026" s="15" cm="1">
        <f t="array" ref="D6026">SUM(D6024:D6025)</f>
        <v>10341670</v>
      </c>
      <c r="E6026" s="15" cm="1">
        <f t="array" ref="E6026">SUM(E6024:E6025)</f>
        <v>10341670</v>
      </c>
      <c r="F6026" s="16" cm="1">
        <f t="array" ref="F6026">SUM(F6024:F6025)</f>
        <v>0</v>
      </c>
      <c r="G6026" s="16" cm="1">
        <f t="array" ref="G6026">SUM(G6024:G6025)</f>
        <v>0</v>
      </c>
      <c r="H6026" s="16" cm="1">
        <f t="array" ref="H6026">SUM(H6024:H6025)</f>
        <v>0</v>
      </c>
      <c r="I6026" s="16" cm="1">
        <f t="array" ref="I6026">SUM(I6024:I6025)</f>
        <v>0</v>
      </c>
    </row>
    <row r="6027" ht="20.35" customHeight="1">
      <c r="A6027" s="10">
        <v>45709</v>
      </c>
      <c r="B6027" t="s" s="11">
        <v>5</v>
      </c>
      <c r="C6027" t="s" s="12">
        <v>75</v>
      </c>
      <c r="D6027" s="17"/>
      <c r="E6027" s="17">
        <v>10341670</v>
      </c>
      <c r="F6027" s="18"/>
      <c r="G6027" s="18"/>
      <c r="H6027" s="18"/>
      <c r="I6027" s="18"/>
    </row>
    <row r="6028" ht="20.05" customHeight="1">
      <c r="A6028" s="10">
        <v>45709</v>
      </c>
      <c r="B6028" t="s" s="11">
        <v>74</v>
      </c>
      <c r="C6028" t="s" s="12">
        <v>75</v>
      </c>
      <c r="D6028" s="19">
        <v>670835</v>
      </c>
      <c r="E6028" s="19"/>
      <c r="F6028" s="20"/>
      <c r="G6028" s="20"/>
      <c r="H6028" s="20"/>
      <c r="I6028" s="20"/>
    </row>
    <row r="6029" ht="20.35" customHeight="1">
      <c r="A6029" s="10">
        <v>45709</v>
      </c>
      <c r="B6029" t="s" s="11">
        <v>21</v>
      </c>
      <c r="C6029" t="s" s="12">
        <v>75</v>
      </c>
      <c r="D6029" s="13">
        <v>9670835</v>
      </c>
      <c r="E6029" s="13"/>
      <c r="F6029" s="14"/>
      <c r="G6029" s="14"/>
      <c r="H6029" s="14"/>
      <c r="I6029" s="14"/>
    </row>
    <row r="6030" ht="20.7" customHeight="1">
      <c r="A6030" s="10">
        <v>45709</v>
      </c>
      <c r="B6030" t="s" s="11">
        <v>8</v>
      </c>
      <c r="C6030" t="s" s="12">
        <v>8</v>
      </c>
      <c r="D6030" s="15" cm="1">
        <f t="array" ref="D6030">SUM(D6027:D6029)</f>
        <v>10341670</v>
      </c>
      <c r="E6030" s="15" cm="1">
        <f t="array" ref="E6030">SUM(E6027:E6029)</f>
        <v>10341670</v>
      </c>
      <c r="F6030" s="16" cm="1">
        <f t="array" ref="F6030">SUM(F6027:F6029)</f>
        <v>0</v>
      </c>
      <c r="G6030" s="16" cm="1">
        <f t="array" ref="G6030">SUM(G6027:G6029)</f>
        <v>0</v>
      </c>
      <c r="H6030" s="16" cm="1">
        <f t="array" ref="H6030">SUM(H6027:H6029)</f>
        <v>0</v>
      </c>
      <c r="I6030" s="16" cm="1">
        <f t="array" ref="I6030">SUM(I6027:I6029)</f>
        <v>0</v>
      </c>
    </row>
    <row r="6031" ht="20.35" customHeight="1">
      <c r="A6031" s="10">
        <v>45709</v>
      </c>
      <c r="B6031" t="s" s="11">
        <v>5</v>
      </c>
      <c r="C6031" t="s" s="12">
        <v>905</v>
      </c>
      <c r="D6031" s="17">
        <v>1</v>
      </c>
      <c r="E6031" s="17"/>
      <c r="F6031" s="18"/>
      <c r="G6031" s="18"/>
      <c r="H6031" s="18"/>
      <c r="I6031" s="18"/>
    </row>
    <row r="6032" ht="20.35" customHeight="1">
      <c r="A6032" s="10">
        <v>45709</v>
      </c>
      <c r="B6032" t="s" s="11">
        <v>91</v>
      </c>
      <c r="C6032" t="s" s="12">
        <v>905</v>
      </c>
      <c r="D6032" s="13"/>
      <c r="E6032" s="13">
        <v>1</v>
      </c>
      <c r="F6032" s="14"/>
      <c r="G6032" s="14"/>
      <c r="H6032" s="14"/>
      <c r="I6032" s="14"/>
    </row>
    <row r="6033" ht="20.7" customHeight="1">
      <c r="A6033" s="10">
        <v>45709</v>
      </c>
      <c r="B6033" t="s" s="11">
        <v>8</v>
      </c>
      <c r="C6033" t="s" s="12">
        <v>8</v>
      </c>
      <c r="D6033" s="15" cm="1">
        <f t="array" ref="D6033">SUM(D6031:D6032)</f>
        <v>1</v>
      </c>
      <c r="E6033" s="15" cm="1">
        <f t="array" ref="E6033">SUM(E6031:E6032)</f>
        <v>1</v>
      </c>
      <c r="F6033" s="16" cm="1">
        <f t="array" ref="F6033">SUM(F6031:F6032)</f>
        <v>0</v>
      </c>
      <c r="G6033" s="16" cm="1">
        <f t="array" ref="G6033">SUM(G6031:G6032)</f>
        <v>0</v>
      </c>
      <c r="H6033" s="16" cm="1">
        <f t="array" ref="H6033">SUM(H6031:H6032)</f>
        <v>0</v>
      </c>
      <c r="I6033" s="16" cm="1">
        <f t="array" ref="I6033">SUM(I6031:I6032)</f>
        <v>0</v>
      </c>
    </row>
    <row r="6034" ht="20.65" customHeight="1">
      <c r="A6034" s="10">
        <v>45709</v>
      </c>
      <c r="B6034" t="s" s="11">
        <v>814</v>
      </c>
      <c r="C6034" t="s" s="12">
        <v>906</v>
      </c>
      <c r="D6034" s="17"/>
      <c r="E6034" s="17">
        <v>333489</v>
      </c>
      <c r="F6034" s="18"/>
      <c r="G6034" s="18"/>
      <c r="H6034" s="18"/>
      <c r="I6034" s="18"/>
    </row>
    <row r="6035" ht="20.65" customHeight="1">
      <c r="A6035" s="10">
        <v>45709</v>
      </c>
      <c r="B6035" t="s" s="11">
        <v>5</v>
      </c>
      <c r="C6035" t="s" s="12">
        <v>906</v>
      </c>
      <c r="D6035" s="13">
        <v>333489</v>
      </c>
      <c r="E6035" s="13"/>
      <c r="F6035" s="14"/>
      <c r="G6035" s="14"/>
      <c r="H6035" s="14"/>
      <c r="I6035" s="14"/>
    </row>
    <row r="6036" ht="20.7" customHeight="1">
      <c r="A6036" s="10">
        <v>45709</v>
      </c>
      <c r="B6036" t="s" s="11">
        <v>8</v>
      </c>
      <c r="C6036" t="s" s="12">
        <v>8</v>
      </c>
      <c r="D6036" s="15" cm="1">
        <f t="array" ref="D6036">SUM(D6034:D6035)</f>
        <v>333489</v>
      </c>
      <c r="E6036" s="15" cm="1">
        <f t="array" ref="E6036">SUM(E6034:E6035)</f>
        <v>333489</v>
      </c>
      <c r="F6036" s="16" cm="1">
        <f t="array" ref="F6036">SUM(F6034:F6035)</f>
        <v>0</v>
      </c>
      <c r="G6036" s="16" cm="1">
        <f t="array" ref="G6036">SUM(G6034:G6035)</f>
        <v>0</v>
      </c>
      <c r="H6036" s="16" cm="1">
        <f t="array" ref="H6036">SUM(H6034:H6035)</f>
        <v>0</v>
      </c>
      <c r="I6036" s="16" cm="1">
        <f t="array" ref="I6036">SUM(I6034:I6035)</f>
        <v>0</v>
      </c>
    </row>
    <row r="6037" ht="20.65" customHeight="1">
      <c r="A6037" s="10">
        <v>45709</v>
      </c>
      <c r="B6037" t="s" s="11">
        <v>5</v>
      </c>
      <c r="C6037" t="s" s="12">
        <v>906</v>
      </c>
      <c r="D6037" s="17"/>
      <c r="E6037" s="17">
        <v>375500</v>
      </c>
      <c r="F6037" s="18"/>
      <c r="G6037" s="18"/>
      <c r="H6037" s="18"/>
      <c r="I6037" s="18"/>
    </row>
    <row r="6038" ht="20.35" customHeight="1">
      <c r="A6038" s="10">
        <v>45709</v>
      </c>
      <c r="B6038" t="s" s="11">
        <v>74</v>
      </c>
      <c r="C6038" t="s" s="12">
        <v>906</v>
      </c>
      <c r="D6038" s="19">
        <v>187750</v>
      </c>
      <c r="E6038" s="19"/>
      <c r="F6038" s="20"/>
      <c r="G6038" s="20"/>
      <c r="H6038" s="20"/>
      <c r="I6038" s="20"/>
    </row>
    <row r="6039" ht="20.65" customHeight="1">
      <c r="A6039" s="10">
        <v>45709</v>
      </c>
      <c r="B6039" t="s" s="11">
        <v>21</v>
      </c>
      <c r="C6039" t="s" s="12">
        <v>906</v>
      </c>
      <c r="D6039" s="13">
        <v>187750</v>
      </c>
      <c r="E6039" s="13"/>
      <c r="F6039" s="14"/>
      <c r="G6039" s="14"/>
      <c r="H6039" s="14"/>
      <c r="I6039" s="14"/>
    </row>
    <row r="6040" ht="20.7" customHeight="1">
      <c r="A6040" s="10">
        <v>45709</v>
      </c>
      <c r="B6040" t="s" s="11">
        <v>8</v>
      </c>
      <c r="C6040" t="s" s="12">
        <v>8</v>
      </c>
      <c r="D6040" s="15" cm="1">
        <f t="array" ref="D6040">SUM(D6037:D6039)</f>
        <v>375500</v>
      </c>
      <c r="E6040" s="15" cm="1">
        <f t="array" ref="E6040">SUM(E6037:E6039)</f>
        <v>375500</v>
      </c>
      <c r="F6040" s="16" cm="1">
        <f t="array" ref="F6040">SUM(F6037:F6039)</f>
        <v>0</v>
      </c>
      <c r="G6040" s="16" cm="1">
        <f t="array" ref="G6040">SUM(G6037:G6039)</f>
        <v>0</v>
      </c>
      <c r="H6040" s="16" cm="1">
        <f t="array" ref="H6040">SUM(H6037:H6039)</f>
        <v>0</v>
      </c>
      <c r="I6040" s="16" cm="1">
        <f t="array" ref="I6040">SUM(I6037:I6039)</f>
        <v>0</v>
      </c>
    </row>
    <row r="6041" ht="20.35" customHeight="1">
      <c r="A6041" s="10">
        <v>45709</v>
      </c>
      <c r="B6041" t="s" s="11">
        <v>814</v>
      </c>
      <c r="C6041" t="s" s="12">
        <v>901</v>
      </c>
      <c r="D6041" s="17"/>
      <c r="E6041" s="17">
        <v>17021</v>
      </c>
      <c r="F6041" s="18"/>
      <c r="G6041" s="18"/>
      <c r="H6041" s="18"/>
      <c r="I6041" s="18"/>
    </row>
    <row r="6042" ht="20.35" customHeight="1">
      <c r="A6042" s="10">
        <v>45709</v>
      </c>
      <c r="B6042" t="s" s="11">
        <v>5</v>
      </c>
      <c r="C6042" t="s" s="12">
        <v>901</v>
      </c>
      <c r="D6042" s="13">
        <v>17021</v>
      </c>
      <c r="E6042" s="13"/>
      <c r="F6042" s="14"/>
      <c r="G6042" s="14"/>
      <c r="H6042" s="14"/>
      <c r="I6042" s="14"/>
    </row>
    <row r="6043" ht="20.7" customHeight="1">
      <c r="A6043" s="10">
        <v>45709</v>
      </c>
      <c r="B6043" t="s" s="11">
        <v>8</v>
      </c>
      <c r="C6043" t="s" s="12">
        <v>8</v>
      </c>
      <c r="D6043" s="15" cm="1">
        <f t="array" ref="D6043">SUM(D6041:D6042)</f>
        <v>17021</v>
      </c>
      <c r="E6043" s="15" cm="1">
        <f t="array" ref="E6043">SUM(E6041:E6042)</f>
        <v>17021</v>
      </c>
      <c r="F6043" s="16" cm="1">
        <f t="array" ref="F6043">SUM(F6041:F6042)</f>
        <v>0</v>
      </c>
      <c r="G6043" s="16" cm="1">
        <f t="array" ref="G6043">SUM(G6041:G6042)</f>
        <v>0</v>
      </c>
      <c r="H6043" s="16" cm="1">
        <f t="array" ref="H6043">SUM(H6041:H6042)</f>
        <v>0</v>
      </c>
      <c r="I6043" s="16" cm="1">
        <f t="array" ref="I6043">SUM(I6041:I6042)</f>
        <v>0</v>
      </c>
    </row>
    <row r="6044" ht="20.35" customHeight="1">
      <c r="A6044" s="10">
        <v>45709</v>
      </c>
      <c r="B6044" t="s" s="11">
        <v>5</v>
      </c>
      <c r="C6044" t="s" s="12">
        <v>901</v>
      </c>
      <c r="D6044" s="17"/>
      <c r="E6044" s="17">
        <v>6900</v>
      </c>
      <c r="F6044" s="18"/>
      <c r="G6044" s="18"/>
      <c r="H6044" s="18"/>
      <c r="I6044" s="18"/>
    </row>
    <row r="6045" ht="20.35" customHeight="1">
      <c r="A6045" s="10">
        <v>45709</v>
      </c>
      <c r="B6045" t="s" s="11">
        <v>16</v>
      </c>
      <c r="C6045" t="s" s="12">
        <v>901</v>
      </c>
      <c r="D6045" s="13">
        <v>6900</v>
      </c>
      <c r="E6045" s="13"/>
      <c r="F6045" s="14"/>
      <c r="G6045" s="14"/>
      <c r="H6045" s="14"/>
      <c r="I6045" s="14"/>
    </row>
    <row r="6046" ht="20.7" customHeight="1">
      <c r="A6046" s="10">
        <v>45709</v>
      </c>
      <c r="B6046" t="s" s="11">
        <v>8</v>
      </c>
      <c r="C6046" t="s" s="12">
        <v>8</v>
      </c>
      <c r="D6046" s="15" cm="1">
        <f t="array" ref="D6046">SUM(D6044:D6045)</f>
        <v>6900</v>
      </c>
      <c r="E6046" s="15" cm="1">
        <f t="array" ref="E6046">SUM(E6044:E6045)</f>
        <v>6900</v>
      </c>
      <c r="F6046" s="16" cm="1">
        <f t="array" ref="F6046">SUM(F6044:F6045)</f>
        <v>0</v>
      </c>
      <c r="G6046" s="16" cm="1">
        <f t="array" ref="G6046">SUM(G6044:G6045)</f>
        <v>0</v>
      </c>
      <c r="H6046" s="16" cm="1">
        <f t="array" ref="H6046">SUM(H6044:H6045)</f>
        <v>0</v>
      </c>
      <c r="I6046" s="16" cm="1">
        <f t="array" ref="I6046">SUM(I6044:I6045)</f>
        <v>0</v>
      </c>
    </row>
    <row r="6047" ht="20.35" customHeight="1">
      <c r="A6047" s="10">
        <v>45709</v>
      </c>
      <c r="B6047" t="s" s="11">
        <v>91</v>
      </c>
      <c r="C6047" t="s" s="12">
        <v>17</v>
      </c>
      <c r="D6047" s="17"/>
      <c r="E6047" s="17">
        <v>100</v>
      </c>
      <c r="F6047" s="18"/>
      <c r="G6047" s="18"/>
      <c r="H6047" s="18"/>
      <c r="I6047" s="18"/>
    </row>
    <row r="6048" ht="20.35" customHeight="1">
      <c r="A6048" s="10">
        <v>45709</v>
      </c>
      <c r="B6048" t="s" s="11">
        <v>5</v>
      </c>
      <c r="C6048" t="s" s="12">
        <v>17</v>
      </c>
      <c r="D6048" s="13">
        <v>100</v>
      </c>
      <c r="E6048" s="13"/>
      <c r="F6048" s="14"/>
      <c r="G6048" s="14"/>
      <c r="H6048" s="14"/>
      <c r="I6048" s="14"/>
    </row>
    <row r="6049" ht="20.7" customHeight="1">
      <c r="A6049" s="10">
        <v>45709</v>
      </c>
      <c r="B6049" t="s" s="11">
        <v>8</v>
      </c>
      <c r="C6049" t="s" s="12">
        <v>8</v>
      </c>
      <c r="D6049" s="15" cm="1">
        <f t="array" ref="D6049">SUM(D6047:D6048)</f>
        <v>100</v>
      </c>
      <c r="E6049" s="15" cm="1">
        <f t="array" ref="E6049">SUM(E6047:E6048)</f>
        <v>100</v>
      </c>
      <c r="F6049" s="16" cm="1">
        <f t="array" ref="F6049">SUM(F6047:F6048)</f>
        <v>0</v>
      </c>
      <c r="G6049" s="16" cm="1">
        <f t="array" ref="G6049">SUM(G6047:G6048)</f>
        <v>0</v>
      </c>
      <c r="H6049" s="16" cm="1">
        <f t="array" ref="H6049">SUM(H6047:H6048)</f>
        <v>0</v>
      </c>
      <c r="I6049" s="16" cm="1">
        <f t="array" ref="I6049">SUM(I6047:I6048)</f>
        <v>0</v>
      </c>
    </row>
    <row r="6050" ht="20.35" customHeight="1">
      <c r="A6050" s="10">
        <v>45709</v>
      </c>
      <c r="B6050" t="s" s="11">
        <v>5</v>
      </c>
      <c r="C6050" t="s" s="12">
        <v>907</v>
      </c>
      <c r="D6050" s="17"/>
      <c r="E6050" s="17">
        <v>4600</v>
      </c>
      <c r="F6050" s="18"/>
      <c r="G6050" s="18"/>
      <c r="H6050" s="18"/>
      <c r="I6050" s="18"/>
    </row>
    <row r="6051" ht="20.35" customHeight="1">
      <c r="A6051" s="10">
        <v>45709</v>
      </c>
      <c r="B6051" t="s" s="11">
        <v>10</v>
      </c>
      <c r="C6051" t="s" s="12">
        <v>907</v>
      </c>
      <c r="D6051" s="13">
        <v>4600</v>
      </c>
      <c r="E6051" s="13"/>
      <c r="F6051" s="14"/>
      <c r="G6051" s="14"/>
      <c r="H6051" s="14"/>
      <c r="I6051" s="14"/>
    </row>
    <row r="6052" ht="20.7" customHeight="1">
      <c r="A6052" s="10">
        <v>45709</v>
      </c>
      <c r="B6052" t="s" s="11">
        <v>8</v>
      </c>
      <c r="C6052" t="s" s="12">
        <v>8</v>
      </c>
      <c r="D6052" s="15" cm="1">
        <f t="array" ref="D6052">SUM(D6050:D6051)</f>
        <v>4600</v>
      </c>
      <c r="E6052" s="15" cm="1">
        <f t="array" ref="E6052">SUM(E6050:E6051)</f>
        <v>4600</v>
      </c>
      <c r="F6052" s="16" cm="1">
        <f t="array" ref="F6052">SUM(F6050:F6051)</f>
        <v>0</v>
      </c>
      <c r="G6052" s="16" cm="1">
        <f t="array" ref="G6052">SUM(G6050:G6051)</f>
        <v>0</v>
      </c>
      <c r="H6052" s="16" cm="1">
        <f t="array" ref="H6052">SUM(H6050:H6051)</f>
        <v>0</v>
      </c>
      <c r="I6052" s="16" cm="1">
        <f t="array" ref="I6052">SUM(I6050:I6051)</f>
        <v>0</v>
      </c>
    </row>
    <row r="6053" ht="21.25" customHeight="1">
      <c r="A6053" s="10">
        <v>45709</v>
      </c>
      <c r="B6053" t="s" s="11">
        <v>843</v>
      </c>
      <c r="C6053" t="s" s="12">
        <v>908</v>
      </c>
      <c r="D6053" s="17"/>
      <c r="E6053" s="17">
        <v>60000</v>
      </c>
      <c r="F6053" s="18"/>
      <c r="G6053" s="18"/>
      <c r="H6053" s="18"/>
      <c r="I6053" s="18"/>
    </row>
    <row r="6054" ht="21.25" customHeight="1">
      <c r="A6054" s="10">
        <v>45709</v>
      </c>
      <c r="B6054" t="s" s="11">
        <v>5</v>
      </c>
      <c r="C6054" t="s" s="12">
        <v>908</v>
      </c>
      <c r="D6054" s="13">
        <v>60000</v>
      </c>
      <c r="E6054" s="13"/>
      <c r="F6054" s="14"/>
      <c r="G6054" s="14"/>
      <c r="H6054" s="14"/>
      <c r="I6054" s="14"/>
    </row>
    <row r="6055" ht="20.7" customHeight="1">
      <c r="A6055" s="10">
        <v>45709</v>
      </c>
      <c r="B6055" t="s" s="11">
        <v>8</v>
      </c>
      <c r="C6055" t="s" s="12">
        <v>8</v>
      </c>
      <c r="D6055" s="15" cm="1">
        <f t="array" ref="D6055">SUM(D6053:D6054)</f>
        <v>60000</v>
      </c>
      <c r="E6055" s="15" cm="1">
        <f t="array" ref="E6055">SUM(E6053:E6054)</f>
        <v>60000</v>
      </c>
      <c r="F6055" s="16" cm="1">
        <f t="array" ref="F6055">SUM(F6053:F6054)</f>
        <v>0</v>
      </c>
      <c r="G6055" s="16" cm="1">
        <f t="array" ref="G6055">SUM(G6053:G6054)</f>
        <v>0</v>
      </c>
      <c r="H6055" s="16" cm="1">
        <f t="array" ref="H6055">SUM(H6053:H6054)</f>
        <v>0</v>
      </c>
      <c r="I6055" s="16" cm="1">
        <f t="array" ref="I6055">SUM(I6053:I6054)</f>
        <v>0</v>
      </c>
    </row>
    <row r="6056" ht="20.35" customHeight="1">
      <c r="A6056" s="10">
        <v>45709</v>
      </c>
      <c r="B6056" t="s" s="11">
        <v>5</v>
      </c>
      <c r="C6056" t="s" s="12">
        <v>901</v>
      </c>
      <c r="D6056" s="17"/>
      <c r="E6056" s="17">
        <v>6400</v>
      </c>
      <c r="F6056" s="18"/>
      <c r="G6056" s="18"/>
      <c r="H6056" s="18"/>
      <c r="I6056" s="18"/>
    </row>
    <row r="6057" ht="20.35" customHeight="1">
      <c r="A6057" s="10">
        <v>45709</v>
      </c>
      <c r="B6057" t="s" s="11">
        <v>16</v>
      </c>
      <c r="C6057" t="s" s="12">
        <v>901</v>
      </c>
      <c r="D6057" s="13">
        <v>6400</v>
      </c>
      <c r="E6057" s="13"/>
      <c r="F6057" s="14"/>
      <c r="G6057" s="14"/>
      <c r="H6057" s="14"/>
      <c r="I6057" s="14"/>
    </row>
    <row r="6058" ht="20.7" customHeight="1">
      <c r="A6058" s="10">
        <v>45709</v>
      </c>
      <c r="B6058" t="s" s="11">
        <v>8</v>
      </c>
      <c r="C6058" t="s" s="12">
        <v>8</v>
      </c>
      <c r="D6058" s="15" cm="1">
        <f t="array" ref="D6058">SUM(D6056:D6057)</f>
        <v>6400</v>
      </c>
      <c r="E6058" s="15" cm="1">
        <f t="array" ref="E6058">SUM(E6056:E6057)</f>
        <v>6400</v>
      </c>
      <c r="F6058" s="16" cm="1">
        <f t="array" ref="F6058">SUM(F6056:F6057)</f>
        <v>0</v>
      </c>
      <c r="G6058" s="16" cm="1">
        <f t="array" ref="G6058">SUM(G6056:G6057)</f>
        <v>0</v>
      </c>
      <c r="H6058" s="16" cm="1">
        <f t="array" ref="H6058">SUM(H6056:H6057)</f>
        <v>0</v>
      </c>
      <c r="I6058" s="16" cm="1">
        <f t="array" ref="I6058">SUM(I6056:I6057)</f>
        <v>0</v>
      </c>
    </row>
    <row r="6059" ht="20.35" customHeight="1">
      <c r="A6059" s="10">
        <v>45709</v>
      </c>
      <c r="B6059" t="s" s="11">
        <v>5</v>
      </c>
      <c r="C6059" t="s" s="12">
        <v>905</v>
      </c>
      <c r="D6059" s="17">
        <v>1</v>
      </c>
      <c r="E6059" s="17"/>
      <c r="F6059" s="18"/>
      <c r="G6059" s="18"/>
      <c r="H6059" s="18"/>
      <c r="I6059" s="18"/>
    </row>
    <row r="6060" ht="20.35" customHeight="1">
      <c r="A6060" s="10">
        <v>45709</v>
      </c>
      <c r="B6060" t="s" s="11">
        <v>91</v>
      </c>
      <c r="C6060" t="s" s="12">
        <v>905</v>
      </c>
      <c r="D6060" s="13"/>
      <c r="E6060" s="13">
        <v>1</v>
      </c>
      <c r="F6060" s="14"/>
      <c r="G6060" s="14"/>
      <c r="H6060" s="14"/>
      <c r="I6060" s="14"/>
    </row>
    <row r="6061" ht="20.7" customHeight="1">
      <c r="A6061" s="10">
        <v>45709</v>
      </c>
      <c r="B6061" t="s" s="11">
        <v>8</v>
      </c>
      <c r="C6061" t="s" s="12">
        <v>8</v>
      </c>
      <c r="D6061" s="15" cm="1">
        <f t="array" ref="D6061">SUM(D6059:D6060)</f>
        <v>1</v>
      </c>
      <c r="E6061" s="15" cm="1">
        <f t="array" ref="E6061">SUM(E6059:E6060)</f>
        <v>1</v>
      </c>
      <c r="F6061" s="16" cm="1">
        <f t="array" ref="F6061">SUM(F6059:F6060)</f>
        <v>0</v>
      </c>
      <c r="G6061" s="16" cm="1">
        <f t="array" ref="G6061">SUM(G6059:G6060)</f>
        <v>0</v>
      </c>
      <c r="H6061" s="16" cm="1">
        <f t="array" ref="H6061">SUM(H6059:H6060)</f>
        <v>0</v>
      </c>
      <c r="I6061" s="16" cm="1">
        <f t="array" ref="I6061">SUM(I6059:I6060)</f>
        <v>0</v>
      </c>
    </row>
    <row r="6062" ht="21.25" customHeight="1">
      <c r="A6062" s="10">
        <v>45709</v>
      </c>
      <c r="B6062" t="s" s="11">
        <v>5</v>
      </c>
      <c r="C6062" t="s" s="12">
        <v>799</v>
      </c>
      <c r="D6062" s="17">
        <v>4</v>
      </c>
      <c r="E6062" s="17"/>
      <c r="F6062" s="18"/>
      <c r="G6062" s="18"/>
      <c r="H6062" s="18"/>
      <c r="I6062" s="18"/>
    </row>
    <row r="6063" ht="21.25" customHeight="1">
      <c r="A6063" s="10">
        <v>45709</v>
      </c>
      <c r="B6063" t="s" s="11">
        <v>91</v>
      </c>
      <c r="C6063" t="s" s="12">
        <v>799</v>
      </c>
      <c r="D6063" s="13"/>
      <c r="E6063" s="13">
        <v>4</v>
      </c>
      <c r="F6063" s="14"/>
      <c r="G6063" s="14"/>
      <c r="H6063" s="14"/>
      <c r="I6063" s="14"/>
    </row>
    <row r="6064" ht="20.7" customHeight="1">
      <c r="A6064" s="10">
        <v>45709</v>
      </c>
      <c r="B6064" t="s" s="11">
        <v>8</v>
      </c>
      <c r="C6064" t="s" s="12">
        <v>8</v>
      </c>
      <c r="D6064" s="15" cm="1">
        <f t="array" ref="D6064">SUM(D6062:D6063)</f>
        <v>4</v>
      </c>
      <c r="E6064" s="15" cm="1">
        <f t="array" ref="E6064">SUM(E6062:E6063)</f>
        <v>4</v>
      </c>
      <c r="F6064" s="16" cm="1">
        <f t="array" ref="F6064">SUM(F6062:F6063)</f>
        <v>0</v>
      </c>
      <c r="G6064" s="16" cm="1">
        <f t="array" ref="G6064">SUM(G6062:G6063)</f>
        <v>0</v>
      </c>
      <c r="H6064" s="16" cm="1">
        <f t="array" ref="H6064">SUM(H6062:H6063)</f>
        <v>0</v>
      </c>
      <c r="I6064" s="16" cm="1">
        <f t="array" ref="I6064">SUM(I6062:I6063)</f>
        <v>0</v>
      </c>
    </row>
    <row r="6065" ht="21.25" customHeight="1">
      <c r="A6065" s="10">
        <v>45709</v>
      </c>
      <c r="B6065" t="s" s="11">
        <v>5</v>
      </c>
      <c r="C6065" t="s" s="12">
        <v>799</v>
      </c>
      <c r="D6065" s="17">
        <v>3</v>
      </c>
      <c r="E6065" s="17"/>
      <c r="F6065" s="18"/>
      <c r="G6065" s="18"/>
      <c r="H6065" s="18"/>
      <c r="I6065" s="18"/>
    </row>
    <row r="6066" ht="21.25" customHeight="1">
      <c r="A6066" s="10">
        <v>45709</v>
      </c>
      <c r="B6066" t="s" s="11">
        <v>91</v>
      </c>
      <c r="C6066" t="s" s="12">
        <v>799</v>
      </c>
      <c r="D6066" s="13"/>
      <c r="E6066" s="13">
        <v>3</v>
      </c>
      <c r="F6066" s="14"/>
      <c r="G6066" s="14"/>
      <c r="H6066" s="14"/>
      <c r="I6066" s="14"/>
    </row>
    <row r="6067" ht="20.7" customHeight="1">
      <c r="A6067" s="10">
        <v>45709</v>
      </c>
      <c r="B6067" t="s" s="11">
        <v>8</v>
      </c>
      <c r="C6067" t="s" s="12">
        <v>8</v>
      </c>
      <c r="D6067" s="15" cm="1">
        <f t="array" ref="D6067">SUM(D6065:D6066)</f>
        <v>3</v>
      </c>
      <c r="E6067" s="15" cm="1">
        <f t="array" ref="E6067">SUM(E6065:E6066)</f>
        <v>3</v>
      </c>
      <c r="F6067" s="16" cm="1">
        <f t="array" ref="F6067">SUM(F6065:F6066)</f>
        <v>0</v>
      </c>
      <c r="G6067" s="16" cm="1">
        <f t="array" ref="G6067">SUM(G6065:G6066)</f>
        <v>0</v>
      </c>
      <c r="H6067" s="16" cm="1">
        <f t="array" ref="H6067">SUM(H6065:H6066)</f>
        <v>0</v>
      </c>
      <c r="I6067" s="16" cm="1">
        <f t="array" ref="I6067">SUM(I6065:I6066)</f>
        <v>0</v>
      </c>
    </row>
    <row r="6068" ht="20.65" customHeight="1">
      <c r="A6068" s="10">
        <v>45709</v>
      </c>
      <c r="B6068" t="s" s="11">
        <v>107</v>
      </c>
      <c r="C6068" t="s" s="12">
        <v>738</v>
      </c>
      <c r="D6068" s="17">
        <v>100000</v>
      </c>
      <c r="E6068" s="17"/>
      <c r="F6068" s="18"/>
      <c r="G6068" s="18"/>
      <c r="H6068" s="18"/>
      <c r="I6068" s="18"/>
    </row>
    <row r="6069" ht="20.65" customHeight="1">
      <c r="A6069" s="10">
        <v>45709</v>
      </c>
      <c r="B6069" t="s" s="11">
        <v>89</v>
      </c>
      <c r="C6069" t="s" s="12">
        <v>738</v>
      </c>
      <c r="D6069" s="13"/>
      <c r="E6069" s="13">
        <v>100000</v>
      </c>
      <c r="F6069" s="14"/>
      <c r="G6069" s="14"/>
      <c r="H6069" s="14"/>
      <c r="I6069" s="14"/>
    </row>
    <row r="6070" ht="20.7" customHeight="1">
      <c r="A6070" s="10">
        <v>45709</v>
      </c>
      <c r="B6070" t="s" s="11">
        <v>8</v>
      </c>
      <c r="C6070" t="s" s="12">
        <v>8</v>
      </c>
      <c r="D6070" s="15" cm="1">
        <f t="array" ref="D6070">SUM(D6068:D6069)</f>
        <v>100000</v>
      </c>
      <c r="E6070" s="15" cm="1">
        <f t="array" ref="E6070">SUM(E6068:E6069)</f>
        <v>100000</v>
      </c>
      <c r="F6070" s="16" cm="1">
        <f t="array" ref="F6070">SUM(F6068:F6069)</f>
        <v>0</v>
      </c>
      <c r="G6070" s="16" cm="1">
        <f t="array" ref="G6070">SUM(G6068:G6069)</f>
        <v>0</v>
      </c>
      <c r="H6070" s="16" cm="1">
        <f t="array" ref="H6070">SUM(H6068:H6069)</f>
        <v>0</v>
      </c>
      <c r="I6070" s="16" cm="1">
        <f t="array" ref="I6070">SUM(I6068:I6069)</f>
        <v>0</v>
      </c>
    </row>
    <row r="6071" ht="21.25" customHeight="1">
      <c r="A6071" s="10">
        <v>45709</v>
      </c>
      <c r="B6071" t="s" s="11">
        <v>5</v>
      </c>
      <c r="C6071" t="s" s="12">
        <v>908</v>
      </c>
      <c r="D6071" s="17"/>
      <c r="E6071" s="17">
        <v>31500</v>
      </c>
      <c r="F6071" s="18"/>
      <c r="G6071" s="18"/>
      <c r="H6071" s="18"/>
      <c r="I6071" s="18"/>
    </row>
    <row r="6072" ht="20.9" customHeight="1">
      <c r="A6072" s="10">
        <v>45709</v>
      </c>
      <c r="B6072" t="s" s="11">
        <v>10</v>
      </c>
      <c r="C6072" t="s" s="12">
        <v>908</v>
      </c>
      <c r="D6072" s="19">
        <v>21000</v>
      </c>
      <c r="E6072" s="19"/>
      <c r="F6072" s="20"/>
      <c r="G6072" s="20"/>
      <c r="H6072" s="20"/>
      <c r="I6072" s="20"/>
    </row>
    <row r="6073" ht="21.25" customHeight="1">
      <c r="A6073" s="10">
        <v>45709</v>
      </c>
      <c r="B6073" t="s" s="11">
        <v>12</v>
      </c>
      <c r="C6073" t="s" s="12">
        <v>908</v>
      </c>
      <c r="D6073" s="13">
        <v>10500</v>
      </c>
      <c r="E6073" s="13"/>
      <c r="F6073" s="14"/>
      <c r="G6073" s="14"/>
      <c r="H6073" s="14"/>
      <c r="I6073" s="14"/>
    </row>
    <row r="6074" ht="20.7" customHeight="1">
      <c r="A6074" s="10">
        <v>45709</v>
      </c>
      <c r="B6074" t="s" s="11">
        <v>8</v>
      </c>
      <c r="C6074" t="s" s="12">
        <v>8</v>
      </c>
      <c r="D6074" s="15" cm="1">
        <f t="array" ref="D6074">SUM(D6071:D6073)</f>
        <v>31500</v>
      </c>
      <c r="E6074" s="15" cm="1">
        <f t="array" ref="E6074">SUM(E6071:E6073)</f>
        <v>31500</v>
      </c>
      <c r="F6074" s="16" cm="1">
        <f t="array" ref="F6074">SUM(F6071:F6073)</f>
        <v>0</v>
      </c>
      <c r="G6074" s="16" cm="1">
        <f t="array" ref="G6074">SUM(G6071:G6073)</f>
        <v>0</v>
      </c>
      <c r="H6074" s="16" cm="1">
        <f t="array" ref="H6074">SUM(H6071:H6073)</f>
        <v>0</v>
      </c>
      <c r="I6074" s="16" cm="1">
        <f t="array" ref="I6074">SUM(I6071:I6073)</f>
        <v>0</v>
      </c>
    </row>
    <row r="6075" ht="20.35" customHeight="1">
      <c r="A6075" s="10">
        <v>45709</v>
      </c>
      <c r="B6075" t="s" s="11">
        <v>5</v>
      </c>
      <c r="C6075" t="s" s="12">
        <v>604</v>
      </c>
      <c r="D6075" s="17"/>
      <c r="E6075" s="17">
        <v>10000</v>
      </c>
      <c r="F6075" s="18"/>
      <c r="G6075" s="18"/>
      <c r="H6075" s="18"/>
      <c r="I6075" s="18"/>
    </row>
    <row r="6076" ht="20.35" customHeight="1">
      <c r="A6076" s="10">
        <v>45709</v>
      </c>
      <c r="B6076" t="s" s="11">
        <v>93</v>
      </c>
      <c r="C6076" t="s" s="12">
        <v>604</v>
      </c>
      <c r="D6076" s="13">
        <v>10000</v>
      </c>
      <c r="E6076" s="13"/>
      <c r="F6076" s="14"/>
      <c r="G6076" s="14"/>
      <c r="H6076" s="14"/>
      <c r="I6076" s="14"/>
    </row>
    <row r="6077" ht="20.7" customHeight="1">
      <c r="A6077" s="10">
        <v>45709</v>
      </c>
      <c r="B6077" t="s" s="11">
        <v>8</v>
      </c>
      <c r="C6077" t="s" s="12">
        <v>8</v>
      </c>
      <c r="D6077" s="15" cm="1">
        <f t="array" ref="D6077">SUM(D6075:D6076)</f>
        <v>10000</v>
      </c>
      <c r="E6077" s="15" cm="1">
        <f t="array" ref="E6077">SUM(E6075:E6076)</f>
        <v>10000</v>
      </c>
      <c r="F6077" s="16" cm="1">
        <f t="array" ref="F6077">SUM(F6075:F6076)</f>
        <v>0</v>
      </c>
      <c r="G6077" s="16" cm="1">
        <f t="array" ref="G6077">SUM(G6075:G6076)</f>
        <v>0</v>
      </c>
      <c r="H6077" s="16" cm="1">
        <f t="array" ref="H6077">SUM(H6075:H6076)</f>
        <v>0</v>
      </c>
      <c r="I6077" s="16" cm="1">
        <f t="array" ref="I6077">SUM(I6075:I6076)</f>
        <v>0</v>
      </c>
    </row>
    <row r="6078" ht="20.35" customHeight="1">
      <c r="A6078" s="10">
        <v>45709</v>
      </c>
      <c r="B6078" t="s" s="11">
        <v>93</v>
      </c>
      <c r="C6078" t="s" s="12">
        <v>54</v>
      </c>
      <c r="D6078" s="17"/>
      <c r="E6078" s="17">
        <v>3300</v>
      </c>
      <c r="F6078" s="18"/>
      <c r="G6078" s="18"/>
      <c r="H6078" s="18"/>
      <c r="I6078" s="18"/>
    </row>
    <row r="6079" ht="20.35" customHeight="1">
      <c r="A6079" s="10">
        <v>45709</v>
      </c>
      <c r="B6079" t="s" s="11">
        <v>10</v>
      </c>
      <c r="C6079" t="s" s="12">
        <v>54</v>
      </c>
      <c r="D6079" s="13">
        <v>3300</v>
      </c>
      <c r="E6079" s="13"/>
      <c r="F6079" s="14"/>
      <c r="G6079" s="14"/>
      <c r="H6079" s="14"/>
      <c r="I6079" s="14"/>
    </row>
    <row r="6080" ht="20.7" customHeight="1">
      <c r="A6080" s="10">
        <v>45709</v>
      </c>
      <c r="B6080" t="s" s="11">
        <v>8</v>
      </c>
      <c r="C6080" t="s" s="12">
        <v>8</v>
      </c>
      <c r="D6080" s="15" cm="1">
        <f t="array" ref="D6080">SUM(D6078:D6079)</f>
        <v>3300</v>
      </c>
      <c r="E6080" s="15" cm="1">
        <f t="array" ref="E6080">SUM(E6078:E6079)</f>
        <v>3300</v>
      </c>
      <c r="F6080" s="16" cm="1">
        <f t="array" ref="F6080">SUM(F6078:F6079)</f>
        <v>0</v>
      </c>
      <c r="G6080" s="16" cm="1">
        <f t="array" ref="G6080">SUM(G6078:G6079)</f>
        <v>0</v>
      </c>
      <c r="H6080" s="16" cm="1">
        <f t="array" ref="H6080">SUM(H6078:H6079)</f>
        <v>0</v>
      </c>
      <c r="I6080" s="16" cm="1">
        <f t="array" ref="I6080">SUM(I6078:I6079)</f>
        <v>0</v>
      </c>
    </row>
    <row r="6081" ht="20.35" customHeight="1">
      <c r="A6081" s="10">
        <v>45709</v>
      </c>
      <c r="B6081" t="s" s="11">
        <v>91</v>
      </c>
      <c r="C6081" t="s" s="12">
        <v>17</v>
      </c>
      <c r="D6081" s="17"/>
      <c r="E6081" s="17">
        <v>100</v>
      </c>
      <c r="F6081" s="18"/>
      <c r="G6081" s="18"/>
      <c r="H6081" s="18"/>
      <c r="I6081" s="18"/>
    </row>
    <row r="6082" ht="20.35" customHeight="1">
      <c r="A6082" s="10">
        <v>45709</v>
      </c>
      <c r="B6082" t="s" s="11">
        <v>5</v>
      </c>
      <c r="C6082" t="s" s="12">
        <v>17</v>
      </c>
      <c r="D6082" s="13">
        <v>100</v>
      </c>
      <c r="E6082" s="13"/>
      <c r="F6082" s="14"/>
      <c r="G6082" s="14"/>
      <c r="H6082" s="14"/>
      <c r="I6082" s="14"/>
    </row>
    <row r="6083" ht="20.7" customHeight="1">
      <c r="A6083" s="10">
        <v>45709</v>
      </c>
      <c r="B6083" t="s" s="11">
        <v>8</v>
      </c>
      <c r="C6083" t="s" s="12">
        <v>8</v>
      </c>
      <c r="D6083" s="15" cm="1">
        <f t="array" ref="D6083">SUM(D6081:D6082)</f>
        <v>100</v>
      </c>
      <c r="E6083" s="15" cm="1">
        <f t="array" ref="E6083">SUM(E6081:E6082)</f>
        <v>100</v>
      </c>
      <c r="F6083" s="16" cm="1">
        <f t="array" ref="F6083">SUM(F6081:F6082)</f>
        <v>0</v>
      </c>
      <c r="G6083" s="16" cm="1">
        <f t="array" ref="G6083">SUM(G6081:G6082)</f>
        <v>0</v>
      </c>
      <c r="H6083" s="16" cm="1">
        <f t="array" ref="H6083">SUM(H6081:H6082)</f>
        <v>0</v>
      </c>
      <c r="I6083" s="16" cm="1">
        <f t="array" ref="I6083">SUM(I6081:I6082)</f>
        <v>0</v>
      </c>
    </row>
    <row r="6084" ht="20.35" customHeight="1">
      <c r="A6084" s="10">
        <v>45709</v>
      </c>
      <c r="B6084" t="s" s="11">
        <v>107</v>
      </c>
      <c r="C6084" t="s" s="12">
        <v>903</v>
      </c>
      <c r="D6084" s="17"/>
      <c r="E6084" s="17">
        <v>21790</v>
      </c>
      <c r="F6084" s="18"/>
      <c r="G6084" s="18"/>
      <c r="H6084" s="18"/>
      <c r="I6084" s="18"/>
    </row>
    <row r="6085" ht="20.35" customHeight="1">
      <c r="A6085" s="10">
        <v>45709</v>
      </c>
      <c r="B6085" t="s" s="11">
        <v>10</v>
      </c>
      <c r="C6085" t="s" s="12">
        <v>903</v>
      </c>
      <c r="D6085" s="13">
        <v>21790</v>
      </c>
      <c r="E6085" s="13"/>
      <c r="F6085" s="14"/>
      <c r="G6085" s="14"/>
      <c r="H6085" s="14"/>
      <c r="I6085" s="14"/>
    </row>
    <row r="6086" ht="20.7" customHeight="1">
      <c r="A6086" s="10">
        <v>45709</v>
      </c>
      <c r="B6086" t="s" s="11">
        <v>8</v>
      </c>
      <c r="C6086" t="s" s="12">
        <v>8</v>
      </c>
      <c r="D6086" s="15" cm="1">
        <f t="array" ref="D6086">SUM(D6084:D6085)</f>
        <v>21790</v>
      </c>
      <c r="E6086" s="15" cm="1">
        <f t="array" ref="E6086">SUM(E6084:E6085)</f>
        <v>21790</v>
      </c>
      <c r="F6086" s="16" cm="1">
        <f t="array" ref="F6086">SUM(F6084:F6085)</f>
        <v>0</v>
      </c>
      <c r="G6086" s="16" cm="1">
        <f t="array" ref="G6086">SUM(G6084:G6085)</f>
        <v>0</v>
      </c>
      <c r="H6086" s="16" cm="1">
        <f t="array" ref="H6086">SUM(H6084:H6085)</f>
        <v>0</v>
      </c>
      <c r="I6086" s="16" cm="1">
        <f t="array" ref="I6086">SUM(I6084:I6085)</f>
        <v>0</v>
      </c>
    </row>
    <row r="6087" ht="20.35" customHeight="1">
      <c r="A6087" s="10">
        <v>45709</v>
      </c>
      <c r="B6087" t="s" s="11">
        <v>107</v>
      </c>
      <c r="C6087" t="s" s="12">
        <v>909</v>
      </c>
      <c r="D6087" s="17"/>
      <c r="E6087" s="17">
        <v>2900</v>
      </c>
      <c r="F6087" s="18"/>
      <c r="G6087" s="18"/>
      <c r="H6087" s="18"/>
      <c r="I6087" s="18"/>
    </row>
    <row r="6088" ht="20.35" customHeight="1">
      <c r="A6088" s="10">
        <v>45709</v>
      </c>
      <c r="B6088" t="s" s="11">
        <v>10</v>
      </c>
      <c r="C6088" t="s" s="12">
        <v>909</v>
      </c>
      <c r="D6088" s="13">
        <v>2900</v>
      </c>
      <c r="E6088" s="13"/>
      <c r="F6088" s="14"/>
      <c r="G6088" s="14"/>
      <c r="H6088" s="14"/>
      <c r="I6088" s="14"/>
    </row>
    <row r="6089" ht="20.7" customHeight="1">
      <c r="A6089" s="10">
        <v>45709</v>
      </c>
      <c r="B6089" t="s" s="11">
        <v>8</v>
      </c>
      <c r="C6089" t="s" s="12">
        <v>8</v>
      </c>
      <c r="D6089" s="15" cm="1">
        <f t="array" ref="D6089">SUM(D6087:D6088)</f>
        <v>2900</v>
      </c>
      <c r="E6089" s="15" cm="1">
        <f t="array" ref="E6089">SUM(E6087:E6088)</f>
        <v>2900</v>
      </c>
      <c r="F6089" s="16" cm="1">
        <f t="array" ref="F6089">SUM(F6087:F6088)</f>
        <v>0</v>
      </c>
      <c r="G6089" s="16" cm="1">
        <f t="array" ref="G6089">SUM(G6087:G6088)</f>
        <v>0</v>
      </c>
      <c r="H6089" s="16" cm="1">
        <f t="array" ref="H6089">SUM(H6087:H6088)</f>
        <v>0</v>
      </c>
      <c r="I6089" s="16" cm="1">
        <f t="array" ref="I6089">SUM(I6087:I6088)</f>
        <v>0</v>
      </c>
    </row>
    <row r="6090" ht="20.35" customHeight="1">
      <c r="A6090" s="10">
        <v>45709</v>
      </c>
      <c r="B6090" t="s" s="11">
        <v>107</v>
      </c>
      <c r="C6090" t="s" s="12">
        <v>96</v>
      </c>
      <c r="D6090" s="17"/>
      <c r="E6090" s="17">
        <v>75310</v>
      </c>
      <c r="F6090" s="18"/>
      <c r="G6090" s="18"/>
      <c r="H6090" s="18"/>
      <c r="I6090" s="18"/>
    </row>
    <row r="6091" ht="20.35" customHeight="1">
      <c r="A6091" s="10">
        <v>45709</v>
      </c>
      <c r="B6091" t="s" s="11">
        <v>5</v>
      </c>
      <c r="C6091" t="s" s="12">
        <v>96</v>
      </c>
      <c r="D6091" s="13">
        <v>75310</v>
      </c>
      <c r="E6091" s="13"/>
      <c r="F6091" s="14"/>
      <c r="G6091" s="14"/>
      <c r="H6091" s="14"/>
      <c r="I6091" s="14"/>
    </row>
    <row r="6092" ht="20.7" customHeight="1">
      <c r="A6092" s="10">
        <v>45709</v>
      </c>
      <c r="B6092" t="s" s="11">
        <v>8</v>
      </c>
      <c r="C6092" t="s" s="12">
        <v>8</v>
      </c>
      <c r="D6092" s="15" cm="1">
        <f t="array" ref="D6092">SUM(D6090:D6091)</f>
        <v>75310</v>
      </c>
      <c r="E6092" s="15" cm="1">
        <f t="array" ref="E6092">SUM(E6090:E6091)</f>
        <v>75310</v>
      </c>
      <c r="F6092" s="16" cm="1">
        <f t="array" ref="F6092">SUM(F6090:F6091)</f>
        <v>0</v>
      </c>
      <c r="G6092" s="16" cm="1">
        <f t="array" ref="G6092">SUM(G6090:G6091)</f>
        <v>0</v>
      </c>
      <c r="H6092" s="16" cm="1">
        <f t="array" ref="H6092">SUM(H6090:H6091)</f>
        <v>0</v>
      </c>
      <c r="I6092" s="16" cm="1">
        <f t="array" ref="I6092">SUM(I6090:I6091)</f>
        <v>0</v>
      </c>
    </row>
    <row r="6093" ht="20.35" customHeight="1">
      <c r="A6093" s="10">
        <v>45709</v>
      </c>
      <c r="B6093" t="s" s="11">
        <v>5</v>
      </c>
      <c r="C6093" t="s" s="12">
        <v>867</v>
      </c>
      <c r="D6093" s="17"/>
      <c r="E6093" s="17">
        <v>73847</v>
      </c>
      <c r="F6093" s="18"/>
      <c r="G6093" s="18"/>
      <c r="H6093" s="18"/>
      <c r="I6093" s="18"/>
    </row>
    <row r="6094" ht="20.35" customHeight="1">
      <c r="A6094" s="10">
        <v>45709</v>
      </c>
      <c r="B6094" t="s" s="11">
        <v>843</v>
      </c>
      <c r="C6094" t="s" s="12">
        <v>867</v>
      </c>
      <c r="D6094" s="13">
        <v>73847</v>
      </c>
      <c r="E6094" s="13"/>
      <c r="F6094" s="14"/>
      <c r="G6094" s="14"/>
      <c r="H6094" s="14"/>
      <c r="I6094" s="14"/>
    </row>
    <row r="6095" ht="20.7" customHeight="1">
      <c r="A6095" s="10">
        <v>45709</v>
      </c>
      <c r="B6095" t="s" s="11">
        <v>8</v>
      </c>
      <c r="C6095" t="s" s="12">
        <v>8</v>
      </c>
      <c r="D6095" s="15" cm="1">
        <f t="array" ref="D6095">SUM(D6093:D6094)</f>
        <v>73847</v>
      </c>
      <c r="E6095" s="15" cm="1">
        <f t="array" ref="E6095">SUM(E6093:E6094)</f>
        <v>73847</v>
      </c>
      <c r="F6095" s="16" cm="1">
        <f t="array" ref="F6095">SUM(F6093:F6094)</f>
        <v>0</v>
      </c>
      <c r="G6095" s="16" cm="1">
        <f t="array" ref="G6095">SUM(G6093:G6094)</f>
        <v>0</v>
      </c>
      <c r="H6095" s="16" cm="1">
        <f t="array" ref="H6095">SUM(H6093:H6094)</f>
        <v>0</v>
      </c>
      <c r="I6095" s="16" cm="1">
        <f t="array" ref="I6095">SUM(I6093:I6094)</f>
        <v>0</v>
      </c>
    </row>
    <row r="6096" ht="21.25" customHeight="1">
      <c r="A6096" s="10">
        <v>45709</v>
      </c>
      <c r="B6096" t="s" s="11">
        <v>21</v>
      </c>
      <c r="C6096" t="s" s="12">
        <v>910</v>
      </c>
      <c r="D6096" s="17"/>
      <c r="E6096" s="17">
        <v>7500</v>
      </c>
      <c r="F6096" s="18"/>
      <c r="G6096" s="18"/>
      <c r="H6096" s="18"/>
      <c r="I6096" s="18"/>
    </row>
    <row r="6097" ht="21.25" customHeight="1">
      <c r="A6097" s="10">
        <v>45709</v>
      </c>
      <c r="B6097" t="s" s="11">
        <v>16</v>
      </c>
      <c r="C6097" t="s" s="12">
        <v>910</v>
      </c>
      <c r="D6097" s="13">
        <v>7500</v>
      </c>
      <c r="E6097" s="13"/>
      <c r="F6097" s="14"/>
      <c r="G6097" s="14"/>
      <c r="H6097" s="14"/>
      <c r="I6097" s="14"/>
    </row>
    <row r="6098" ht="20.7" customHeight="1">
      <c r="A6098" s="10">
        <v>45709</v>
      </c>
      <c r="B6098" t="s" s="11">
        <v>8</v>
      </c>
      <c r="C6098" t="s" s="12">
        <v>8</v>
      </c>
      <c r="D6098" s="15" cm="1">
        <f t="array" ref="D6098">SUM(D6096:D6097)</f>
        <v>7500</v>
      </c>
      <c r="E6098" s="15" cm="1">
        <f t="array" ref="E6098">SUM(E6096:E6097)</f>
        <v>7500</v>
      </c>
      <c r="F6098" s="16" cm="1">
        <f t="array" ref="F6098">SUM(F6096:F6097)</f>
        <v>0</v>
      </c>
      <c r="G6098" s="16" cm="1">
        <f t="array" ref="G6098">SUM(G6096:G6097)</f>
        <v>0</v>
      </c>
      <c r="H6098" s="16" cm="1">
        <f t="array" ref="H6098">SUM(H6096:H6097)</f>
        <v>0</v>
      </c>
      <c r="I6098" s="16" cm="1">
        <f t="array" ref="I6098">SUM(I6096:I6097)</f>
        <v>0</v>
      </c>
    </row>
    <row r="6099" ht="20.35" customHeight="1">
      <c r="A6099" s="10">
        <v>45710</v>
      </c>
      <c r="B6099" t="s" s="11">
        <v>5</v>
      </c>
      <c r="C6099" t="s" s="12">
        <v>901</v>
      </c>
      <c r="D6099" s="17"/>
      <c r="E6099" s="17">
        <v>9400</v>
      </c>
      <c r="F6099" s="18"/>
      <c r="G6099" s="18"/>
      <c r="H6099" s="18"/>
      <c r="I6099" s="18"/>
    </row>
    <row r="6100" ht="20.35" customHeight="1">
      <c r="A6100" s="10">
        <v>45710</v>
      </c>
      <c r="B6100" t="s" s="11">
        <v>16</v>
      </c>
      <c r="C6100" t="s" s="12">
        <v>901</v>
      </c>
      <c r="D6100" s="13">
        <v>9400</v>
      </c>
      <c r="E6100" s="13"/>
      <c r="F6100" s="14"/>
      <c r="G6100" s="14"/>
      <c r="H6100" s="14"/>
      <c r="I6100" s="14"/>
    </row>
    <row r="6101" ht="20.7" customHeight="1">
      <c r="A6101" s="10">
        <v>45710</v>
      </c>
      <c r="B6101" t="s" s="11">
        <v>8</v>
      </c>
      <c r="C6101" t="s" s="12">
        <v>8</v>
      </c>
      <c r="D6101" s="15" cm="1">
        <f t="array" ref="D6101">SUM(D6099:D6100)</f>
        <v>9400</v>
      </c>
      <c r="E6101" s="15" cm="1">
        <f t="array" ref="E6101">SUM(E6099:E6100)</f>
        <v>9400</v>
      </c>
      <c r="F6101" s="16" cm="1">
        <f t="array" ref="F6101">SUM(F6099:F6100)</f>
        <v>0</v>
      </c>
      <c r="G6101" s="16" cm="1">
        <f t="array" ref="G6101">SUM(G6099:G6100)</f>
        <v>0</v>
      </c>
      <c r="H6101" s="16" cm="1">
        <f t="array" ref="H6101">SUM(H6099:H6100)</f>
        <v>0</v>
      </c>
      <c r="I6101" s="16" cm="1">
        <f t="array" ref="I6101">SUM(I6099:I6100)</f>
        <v>0</v>
      </c>
    </row>
    <row r="6102" ht="20.35" customHeight="1">
      <c r="A6102" s="10">
        <v>45710</v>
      </c>
      <c r="B6102" t="s" s="11">
        <v>91</v>
      </c>
      <c r="C6102" t="s" s="12">
        <v>17</v>
      </c>
      <c r="D6102" s="17"/>
      <c r="E6102" s="17">
        <v>100</v>
      </c>
      <c r="F6102" s="18"/>
      <c r="G6102" s="18"/>
      <c r="H6102" s="18"/>
      <c r="I6102" s="18"/>
    </row>
    <row r="6103" ht="20.35" customHeight="1">
      <c r="A6103" s="10">
        <v>45710</v>
      </c>
      <c r="B6103" t="s" s="11">
        <v>5</v>
      </c>
      <c r="C6103" t="s" s="12">
        <v>17</v>
      </c>
      <c r="D6103" s="13">
        <v>100</v>
      </c>
      <c r="E6103" s="13"/>
      <c r="F6103" s="14"/>
      <c r="G6103" s="14"/>
      <c r="H6103" s="14"/>
      <c r="I6103" s="14"/>
    </row>
    <row r="6104" ht="20.7" customHeight="1">
      <c r="A6104" s="10">
        <v>45710</v>
      </c>
      <c r="B6104" t="s" s="11">
        <v>8</v>
      </c>
      <c r="C6104" t="s" s="12">
        <v>8</v>
      </c>
      <c r="D6104" s="15" cm="1">
        <f t="array" ref="D6104">SUM(D6102:D6103)</f>
        <v>100</v>
      </c>
      <c r="E6104" s="15" cm="1">
        <f t="array" ref="E6104">SUM(E6102:E6103)</f>
        <v>100</v>
      </c>
      <c r="F6104" s="16" cm="1">
        <f t="array" ref="F6104">SUM(F6102:F6103)</f>
        <v>0</v>
      </c>
      <c r="G6104" s="16" cm="1">
        <f t="array" ref="G6104">SUM(G6102:G6103)</f>
        <v>0</v>
      </c>
      <c r="H6104" s="16" cm="1">
        <f t="array" ref="H6104">SUM(H6102:H6103)</f>
        <v>0</v>
      </c>
      <c r="I6104" s="16" cm="1">
        <f t="array" ref="I6104">SUM(I6102:I6103)</f>
        <v>0</v>
      </c>
    </row>
    <row r="6105" ht="20.65" customHeight="1">
      <c r="A6105" s="10">
        <v>45710</v>
      </c>
      <c r="B6105" t="s" s="11">
        <v>843</v>
      </c>
      <c r="C6105" t="s" s="12">
        <v>820</v>
      </c>
      <c r="D6105" s="17">
        <v>8</v>
      </c>
      <c r="E6105" s="17"/>
      <c r="F6105" s="18"/>
      <c r="G6105" s="18"/>
      <c r="H6105" s="18"/>
      <c r="I6105" s="18"/>
    </row>
    <row r="6106" ht="20.65" customHeight="1">
      <c r="A6106" s="10">
        <v>45710</v>
      </c>
      <c r="B6106" t="s" s="11">
        <v>91</v>
      </c>
      <c r="C6106" t="s" s="12">
        <v>820</v>
      </c>
      <c r="D6106" s="13"/>
      <c r="E6106" s="13">
        <v>8</v>
      </c>
      <c r="F6106" s="14"/>
      <c r="G6106" s="14"/>
      <c r="H6106" s="14"/>
      <c r="I6106" s="14"/>
    </row>
    <row r="6107" ht="20.7" customHeight="1">
      <c r="A6107" s="10">
        <v>45710</v>
      </c>
      <c r="B6107" t="s" s="11">
        <v>8</v>
      </c>
      <c r="C6107" t="s" s="12">
        <v>8</v>
      </c>
      <c r="D6107" s="15" cm="1">
        <f t="array" ref="D6107">SUM(D6105:D6106)</f>
        <v>8</v>
      </c>
      <c r="E6107" s="15" cm="1">
        <f t="array" ref="E6107">SUM(E6105:E6106)</f>
        <v>8</v>
      </c>
      <c r="F6107" s="16" cm="1">
        <f t="array" ref="F6107">SUM(F6105:F6106)</f>
        <v>0</v>
      </c>
      <c r="G6107" s="16" cm="1">
        <f t="array" ref="G6107">SUM(G6105:G6106)</f>
        <v>0</v>
      </c>
      <c r="H6107" s="16" cm="1">
        <f t="array" ref="H6107">SUM(H6105:H6106)</f>
        <v>0</v>
      </c>
      <c r="I6107" s="16" cm="1">
        <f t="array" ref="I6107">SUM(I6105:I6106)</f>
        <v>0</v>
      </c>
    </row>
    <row r="6108" ht="20.65" customHeight="1">
      <c r="A6108" s="10">
        <v>45710</v>
      </c>
      <c r="B6108" t="s" s="11">
        <v>843</v>
      </c>
      <c r="C6108" t="s" s="12">
        <v>876</v>
      </c>
      <c r="D6108" s="17"/>
      <c r="E6108" s="17">
        <v>10000</v>
      </c>
      <c r="F6108" s="18"/>
      <c r="G6108" s="18"/>
      <c r="H6108" s="18"/>
      <c r="I6108" s="18"/>
    </row>
    <row r="6109" ht="20.65" customHeight="1">
      <c r="A6109" s="10">
        <v>45710</v>
      </c>
      <c r="B6109" t="s" s="11">
        <v>5</v>
      </c>
      <c r="C6109" t="s" s="12">
        <v>876</v>
      </c>
      <c r="D6109" s="13">
        <v>10000</v>
      </c>
      <c r="E6109" s="13"/>
      <c r="F6109" s="14"/>
      <c r="G6109" s="14"/>
      <c r="H6109" s="14"/>
      <c r="I6109" s="14"/>
    </row>
    <row r="6110" ht="20.7" customHeight="1">
      <c r="A6110" s="10">
        <v>45710</v>
      </c>
      <c r="B6110" t="s" s="11">
        <v>8</v>
      </c>
      <c r="C6110" t="s" s="12">
        <v>8</v>
      </c>
      <c r="D6110" s="15" cm="1">
        <f t="array" ref="D6110">SUM(D6108:D6109)</f>
        <v>10000</v>
      </c>
      <c r="E6110" s="15" cm="1">
        <f t="array" ref="E6110">SUM(E6108:E6109)</f>
        <v>10000</v>
      </c>
      <c r="F6110" s="16" cm="1">
        <f t="array" ref="F6110">SUM(F6108:F6109)</f>
        <v>0</v>
      </c>
      <c r="G6110" s="16" cm="1">
        <f t="array" ref="G6110">SUM(G6108:G6109)</f>
        <v>0</v>
      </c>
      <c r="H6110" s="16" cm="1">
        <f t="array" ref="H6110">SUM(H6108:H6109)</f>
        <v>0</v>
      </c>
      <c r="I6110" s="16" cm="1">
        <f t="array" ref="I6110">SUM(I6108:I6109)</f>
        <v>0</v>
      </c>
    </row>
    <row r="6111" ht="20.65" customHeight="1">
      <c r="A6111" s="10">
        <v>45710</v>
      </c>
      <c r="B6111" t="s" s="11">
        <v>843</v>
      </c>
      <c r="C6111" t="s" s="12">
        <v>876</v>
      </c>
      <c r="D6111" s="17"/>
      <c r="E6111" s="17">
        <v>50000</v>
      </c>
      <c r="F6111" s="18"/>
      <c r="G6111" s="18"/>
      <c r="H6111" s="18"/>
      <c r="I6111" s="18"/>
    </row>
    <row r="6112" ht="20.65" customHeight="1">
      <c r="A6112" s="10">
        <v>45710</v>
      </c>
      <c r="B6112" t="s" s="11">
        <v>5</v>
      </c>
      <c r="C6112" t="s" s="12">
        <v>876</v>
      </c>
      <c r="D6112" s="13">
        <v>50000</v>
      </c>
      <c r="E6112" s="13"/>
      <c r="F6112" s="14"/>
      <c r="G6112" s="14"/>
      <c r="H6112" s="14"/>
      <c r="I6112" s="14"/>
    </row>
    <row r="6113" ht="20.7" customHeight="1">
      <c r="A6113" s="10">
        <v>45710</v>
      </c>
      <c r="B6113" t="s" s="11">
        <v>8</v>
      </c>
      <c r="C6113" t="s" s="12">
        <v>8</v>
      </c>
      <c r="D6113" s="15" cm="1">
        <f t="array" ref="D6113">SUM(D6111:D6112)</f>
        <v>50000</v>
      </c>
      <c r="E6113" s="15" cm="1">
        <f t="array" ref="E6113">SUM(E6111:E6112)</f>
        <v>50000</v>
      </c>
      <c r="F6113" s="16" cm="1">
        <f t="array" ref="F6113">SUM(F6111:F6112)</f>
        <v>0</v>
      </c>
      <c r="G6113" s="16" cm="1">
        <f t="array" ref="G6113">SUM(G6111:G6112)</f>
        <v>0</v>
      </c>
      <c r="H6113" s="16" cm="1">
        <f t="array" ref="H6113">SUM(H6111:H6112)</f>
        <v>0</v>
      </c>
      <c r="I6113" s="16" cm="1">
        <f t="array" ref="I6113">SUM(I6111:I6112)</f>
        <v>0</v>
      </c>
    </row>
    <row r="6114" ht="20.65" customHeight="1">
      <c r="A6114" s="10">
        <v>45710</v>
      </c>
      <c r="B6114" t="s" s="11">
        <v>5</v>
      </c>
      <c r="C6114" t="s" s="12">
        <v>876</v>
      </c>
      <c r="D6114" s="17"/>
      <c r="E6114" s="17">
        <v>28500</v>
      </c>
      <c r="F6114" s="18"/>
      <c r="G6114" s="18"/>
      <c r="H6114" s="18"/>
      <c r="I6114" s="18"/>
    </row>
    <row r="6115" ht="20.65" customHeight="1">
      <c r="A6115" s="10">
        <v>45710</v>
      </c>
      <c r="B6115" t="s" s="11">
        <v>12</v>
      </c>
      <c r="C6115" t="s" s="12">
        <v>876</v>
      </c>
      <c r="D6115" s="13">
        <v>28500</v>
      </c>
      <c r="E6115" s="13"/>
      <c r="F6115" s="14"/>
      <c r="G6115" s="14"/>
      <c r="H6115" s="14"/>
      <c r="I6115" s="14"/>
    </row>
    <row r="6116" ht="20.7" customHeight="1">
      <c r="A6116" s="10">
        <v>45710</v>
      </c>
      <c r="B6116" t="s" s="11">
        <v>8</v>
      </c>
      <c r="C6116" t="s" s="12">
        <v>8</v>
      </c>
      <c r="D6116" s="15" cm="1">
        <f t="array" ref="D6116">SUM(D6114:D6115)</f>
        <v>28500</v>
      </c>
      <c r="E6116" s="15" cm="1">
        <f t="array" ref="E6116">SUM(E6114:E6115)</f>
        <v>28500</v>
      </c>
      <c r="F6116" s="16" cm="1">
        <f t="array" ref="F6116">SUM(F6114:F6115)</f>
        <v>0</v>
      </c>
      <c r="G6116" s="16" cm="1">
        <f t="array" ref="G6116">SUM(G6114:G6115)</f>
        <v>0</v>
      </c>
      <c r="H6116" s="16" cm="1">
        <f t="array" ref="H6116">SUM(H6114:H6115)</f>
        <v>0</v>
      </c>
      <c r="I6116" s="16" cm="1">
        <f t="array" ref="I6116">SUM(I6114:I6115)</f>
        <v>0</v>
      </c>
    </row>
    <row r="6117" ht="20.35" customHeight="1">
      <c r="A6117" s="10">
        <v>45710</v>
      </c>
      <c r="B6117" t="s" s="11">
        <v>91</v>
      </c>
      <c r="C6117" t="s" s="12">
        <v>17</v>
      </c>
      <c r="D6117" s="17"/>
      <c r="E6117" s="17">
        <v>100</v>
      </c>
      <c r="F6117" s="18"/>
      <c r="G6117" s="18"/>
      <c r="H6117" s="18"/>
      <c r="I6117" s="18"/>
    </row>
    <row r="6118" ht="20.35" customHeight="1">
      <c r="A6118" s="10">
        <v>45710</v>
      </c>
      <c r="B6118" t="s" s="11">
        <v>5</v>
      </c>
      <c r="C6118" t="s" s="12">
        <v>17</v>
      </c>
      <c r="D6118" s="13">
        <v>100</v>
      </c>
      <c r="E6118" s="13"/>
      <c r="F6118" s="14"/>
      <c r="G6118" s="14"/>
      <c r="H6118" s="14"/>
      <c r="I6118" s="14"/>
    </row>
    <row r="6119" ht="20.7" customHeight="1">
      <c r="A6119" s="10">
        <v>45710</v>
      </c>
      <c r="B6119" t="s" s="11">
        <v>8</v>
      </c>
      <c r="C6119" t="s" s="12">
        <v>8</v>
      </c>
      <c r="D6119" s="15" cm="1">
        <f t="array" ref="D6119">SUM(D6117:D6118)</f>
        <v>100</v>
      </c>
      <c r="E6119" s="15" cm="1">
        <f t="array" ref="E6119">SUM(E6117:E6118)</f>
        <v>100</v>
      </c>
      <c r="F6119" s="16" cm="1">
        <f t="array" ref="F6119">SUM(F6117:F6118)</f>
        <v>0</v>
      </c>
      <c r="G6119" s="16" cm="1">
        <f t="array" ref="G6119">SUM(G6117:G6118)</f>
        <v>0</v>
      </c>
      <c r="H6119" s="16" cm="1">
        <f t="array" ref="H6119">SUM(H6117:H6118)</f>
        <v>0</v>
      </c>
      <c r="I6119" s="16" cm="1">
        <f t="array" ref="I6119">SUM(I6117:I6118)</f>
        <v>0</v>
      </c>
    </row>
    <row r="6120" ht="20.65" customHeight="1">
      <c r="A6120" s="10">
        <v>45710</v>
      </c>
      <c r="B6120" t="s" s="11">
        <v>5</v>
      </c>
      <c r="C6120" t="s" s="12">
        <v>876</v>
      </c>
      <c r="D6120" s="17"/>
      <c r="E6120" s="17">
        <v>28150</v>
      </c>
      <c r="F6120" s="18"/>
      <c r="G6120" s="18"/>
      <c r="H6120" s="18"/>
      <c r="I6120" s="18"/>
    </row>
    <row r="6121" ht="20.65" customHeight="1">
      <c r="A6121" s="10">
        <v>45710</v>
      </c>
      <c r="B6121" t="s" s="11">
        <v>12</v>
      </c>
      <c r="C6121" t="s" s="12">
        <v>876</v>
      </c>
      <c r="D6121" s="13">
        <v>28150</v>
      </c>
      <c r="E6121" s="13"/>
      <c r="F6121" s="14"/>
      <c r="G6121" s="14"/>
      <c r="H6121" s="14"/>
      <c r="I6121" s="14"/>
    </row>
    <row r="6122" ht="20.7" customHeight="1">
      <c r="A6122" s="10">
        <v>45710</v>
      </c>
      <c r="B6122" t="s" s="11">
        <v>8</v>
      </c>
      <c r="C6122" t="s" s="12">
        <v>8</v>
      </c>
      <c r="D6122" s="15" cm="1">
        <f t="array" ref="D6122">SUM(D6120:D6121)</f>
        <v>28150</v>
      </c>
      <c r="E6122" s="15" cm="1">
        <f t="array" ref="E6122">SUM(E6120:E6121)</f>
        <v>28150</v>
      </c>
      <c r="F6122" s="16" cm="1">
        <f t="array" ref="F6122">SUM(F6120:F6121)</f>
        <v>0</v>
      </c>
      <c r="G6122" s="16" cm="1">
        <f t="array" ref="G6122">SUM(G6120:G6121)</f>
        <v>0</v>
      </c>
      <c r="H6122" s="16" cm="1">
        <f t="array" ref="H6122">SUM(H6120:H6121)</f>
        <v>0</v>
      </c>
      <c r="I6122" s="16" cm="1">
        <f t="array" ref="I6122">SUM(I6120:I6121)</f>
        <v>0</v>
      </c>
    </row>
    <row r="6123" ht="21.25" customHeight="1">
      <c r="A6123" s="10">
        <v>45710</v>
      </c>
      <c r="B6123" t="s" s="11">
        <v>5</v>
      </c>
      <c r="C6123" t="s" s="12">
        <v>911</v>
      </c>
      <c r="D6123" s="17"/>
      <c r="E6123" s="17">
        <v>10000</v>
      </c>
      <c r="F6123" s="18"/>
      <c r="G6123" s="18"/>
      <c r="H6123" s="18"/>
      <c r="I6123" s="18"/>
    </row>
    <row r="6124" ht="21.25" customHeight="1">
      <c r="A6124" s="10">
        <v>45710</v>
      </c>
      <c r="B6124" t="s" s="11">
        <v>10</v>
      </c>
      <c r="C6124" t="s" s="12">
        <v>911</v>
      </c>
      <c r="D6124" s="13">
        <v>10000</v>
      </c>
      <c r="E6124" s="13"/>
      <c r="F6124" s="14"/>
      <c r="G6124" s="14"/>
      <c r="H6124" s="14"/>
      <c r="I6124" s="14"/>
    </row>
    <row r="6125" ht="20.7" customHeight="1">
      <c r="A6125" s="10">
        <v>45710</v>
      </c>
      <c r="B6125" t="s" s="11">
        <v>8</v>
      </c>
      <c r="C6125" t="s" s="12">
        <v>8</v>
      </c>
      <c r="D6125" s="15" cm="1">
        <f t="array" ref="D6125">SUM(D6123:D6124)</f>
        <v>10000</v>
      </c>
      <c r="E6125" s="15" cm="1">
        <f t="array" ref="E6125">SUM(E6123:E6124)</f>
        <v>10000</v>
      </c>
      <c r="F6125" s="16" cm="1">
        <f t="array" ref="F6125">SUM(F6123:F6124)</f>
        <v>0</v>
      </c>
      <c r="G6125" s="16" cm="1">
        <f t="array" ref="G6125">SUM(G6123:G6124)</f>
        <v>0</v>
      </c>
      <c r="H6125" s="16" cm="1">
        <f t="array" ref="H6125">SUM(H6123:H6124)</f>
        <v>0</v>
      </c>
      <c r="I6125" s="16" cm="1">
        <f t="array" ref="I6125">SUM(I6123:I6124)</f>
        <v>0</v>
      </c>
    </row>
    <row r="6126" ht="21.25" customHeight="1">
      <c r="A6126" s="10">
        <v>45710</v>
      </c>
      <c r="B6126" t="s" s="11">
        <v>5</v>
      </c>
      <c r="C6126" t="s" s="12">
        <v>799</v>
      </c>
      <c r="D6126" s="17">
        <v>2</v>
      </c>
      <c r="E6126" s="17"/>
      <c r="F6126" s="18"/>
      <c r="G6126" s="18"/>
      <c r="H6126" s="18"/>
      <c r="I6126" s="18"/>
    </row>
    <row r="6127" ht="21.25" customHeight="1">
      <c r="A6127" s="10">
        <v>45710</v>
      </c>
      <c r="B6127" t="s" s="11">
        <v>91</v>
      </c>
      <c r="C6127" t="s" s="12">
        <v>799</v>
      </c>
      <c r="D6127" s="13"/>
      <c r="E6127" s="13">
        <v>2</v>
      </c>
      <c r="F6127" s="14"/>
      <c r="G6127" s="14"/>
      <c r="H6127" s="14"/>
      <c r="I6127" s="14"/>
    </row>
    <row r="6128" ht="20.7" customHeight="1">
      <c r="A6128" s="10">
        <v>45710</v>
      </c>
      <c r="B6128" t="s" s="11">
        <v>8</v>
      </c>
      <c r="C6128" t="s" s="12">
        <v>8</v>
      </c>
      <c r="D6128" s="15" cm="1">
        <f t="array" ref="D6128">SUM(D6126:D6127)</f>
        <v>2</v>
      </c>
      <c r="E6128" s="15" cm="1">
        <f t="array" ref="E6128">SUM(E6126:E6127)</f>
        <v>2</v>
      </c>
      <c r="F6128" s="16" cm="1">
        <f t="array" ref="F6128">SUM(F6126:F6127)</f>
        <v>0</v>
      </c>
      <c r="G6128" s="16" cm="1">
        <f t="array" ref="G6128">SUM(G6126:G6127)</f>
        <v>0</v>
      </c>
      <c r="H6128" s="16" cm="1">
        <f t="array" ref="H6128">SUM(H6126:H6127)</f>
        <v>0</v>
      </c>
      <c r="I6128" s="16" cm="1">
        <f t="array" ref="I6128">SUM(I6126:I6127)</f>
        <v>0</v>
      </c>
    </row>
    <row r="6129" ht="21.25" customHeight="1">
      <c r="A6129" s="10">
        <v>45710</v>
      </c>
      <c r="B6129" t="s" s="11">
        <v>5</v>
      </c>
      <c r="C6129" t="s" s="12">
        <v>799</v>
      </c>
      <c r="D6129" s="17">
        <v>1</v>
      </c>
      <c r="E6129" s="17"/>
      <c r="F6129" s="18"/>
      <c r="G6129" s="18"/>
      <c r="H6129" s="18"/>
      <c r="I6129" s="18"/>
    </row>
    <row r="6130" ht="21.25" customHeight="1">
      <c r="A6130" s="10">
        <v>45710</v>
      </c>
      <c r="B6130" t="s" s="11">
        <v>91</v>
      </c>
      <c r="C6130" t="s" s="12">
        <v>799</v>
      </c>
      <c r="D6130" s="13"/>
      <c r="E6130" s="13">
        <v>1</v>
      </c>
      <c r="F6130" s="14"/>
      <c r="G6130" s="14"/>
      <c r="H6130" s="14"/>
      <c r="I6130" s="14"/>
    </row>
    <row r="6131" ht="20.7" customHeight="1">
      <c r="A6131" s="10">
        <v>45710</v>
      </c>
      <c r="B6131" t="s" s="11">
        <v>8</v>
      </c>
      <c r="C6131" t="s" s="12">
        <v>8</v>
      </c>
      <c r="D6131" s="15" cm="1">
        <f t="array" ref="D6131">SUM(D6129:D6130)</f>
        <v>1</v>
      </c>
      <c r="E6131" s="15" cm="1">
        <f t="array" ref="E6131">SUM(E6129:E6130)</f>
        <v>1</v>
      </c>
      <c r="F6131" s="16" cm="1">
        <f t="array" ref="F6131">SUM(F6129:F6130)</f>
        <v>0</v>
      </c>
      <c r="G6131" s="16" cm="1">
        <f t="array" ref="G6131">SUM(G6129:G6130)</f>
        <v>0</v>
      </c>
      <c r="H6131" s="16" cm="1">
        <f t="array" ref="H6131">SUM(H6129:H6130)</f>
        <v>0</v>
      </c>
      <c r="I6131" s="16" cm="1">
        <f t="array" ref="I6131">SUM(I6129:I6130)</f>
        <v>0</v>
      </c>
    </row>
    <row r="6132" ht="21.25" customHeight="1">
      <c r="A6132" s="10">
        <v>45710</v>
      </c>
      <c r="B6132" t="s" s="11">
        <v>5</v>
      </c>
      <c r="C6132" t="s" s="12">
        <v>799</v>
      </c>
      <c r="D6132" s="17">
        <v>1</v>
      </c>
      <c r="E6132" s="17"/>
      <c r="F6132" s="18"/>
      <c r="G6132" s="18"/>
      <c r="H6132" s="18"/>
      <c r="I6132" s="18"/>
    </row>
    <row r="6133" ht="21.25" customHeight="1">
      <c r="A6133" s="10">
        <v>45710</v>
      </c>
      <c r="B6133" t="s" s="11">
        <v>91</v>
      </c>
      <c r="C6133" t="s" s="12">
        <v>799</v>
      </c>
      <c r="D6133" s="13"/>
      <c r="E6133" s="13">
        <v>1</v>
      </c>
      <c r="F6133" s="14"/>
      <c r="G6133" s="14"/>
      <c r="H6133" s="14"/>
      <c r="I6133" s="14"/>
    </row>
    <row r="6134" ht="20.7" customHeight="1">
      <c r="A6134" s="10">
        <v>45710</v>
      </c>
      <c r="B6134" t="s" s="11">
        <v>8</v>
      </c>
      <c r="C6134" t="s" s="12">
        <v>8</v>
      </c>
      <c r="D6134" s="15" cm="1">
        <f t="array" ref="D6134">SUM(D6132:D6133)</f>
        <v>1</v>
      </c>
      <c r="E6134" s="15" cm="1">
        <f t="array" ref="E6134">SUM(E6132:E6133)</f>
        <v>1</v>
      </c>
      <c r="F6134" s="16" cm="1">
        <f t="array" ref="F6134">SUM(F6132:F6133)</f>
        <v>0</v>
      </c>
      <c r="G6134" s="16" cm="1">
        <f t="array" ref="G6134">SUM(G6132:G6133)</f>
        <v>0</v>
      </c>
      <c r="H6134" s="16" cm="1">
        <f t="array" ref="H6134">SUM(H6132:H6133)</f>
        <v>0</v>
      </c>
      <c r="I6134" s="16" cm="1">
        <f t="array" ref="I6134">SUM(I6132:I6133)</f>
        <v>0</v>
      </c>
    </row>
    <row r="6135" ht="21.25" customHeight="1">
      <c r="A6135" s="10">
        <v>45710</v>
      </c>
      <c r="B6135" t="s" s="11">
        <v>5</v>
      </c>
      <c r="C6135" t="s" s="12">
        <v>799</v>
      </c>
      <c r="D6135" s="17">
        <v>1</v>
      </c>
      <c r="E6135" s="17"/>
      <c r="F6135" s="18"/>
      <c r="G6135" s="18"/>
      <c r="H6135" s="18"/>
      <c r="I6135" s="18"/>
    </row>
    <row r="6136" ht="21.25" customHeight="1">
      <c r="A6136" s="10">
        <v>45710</v>
      </c>
      <c r="B6136" t="s" s="11">
        <v>91</v>
      </c>
      <c r="C6136" t="s" s="12">
        <v>799</v>
      </c>
      <c r="D6136" s="13"/>
      <c r="E6136" s="13">
        <v>1</v>
      </c>
      <c r="F6136" s="14"/>
      <c r="G6136" s="14"/>
      <c r="H6136" s="14"/>
      <c r="I6136" s="14"/>
    </row>
    <row r="6137" ht="20.7" customHeight="1">
      <c r="A6137" s="10">
        <v>45710</v>
      </c>
      <c r="B6137" t="s" s="11">
        <v>8</v>
      </c>
      <c r="C6137" t="s" s="12">
        <v>8</v>
      </c>
      <c r="D6137" s="15" cm="1">
        <f t="array" ref="D6137">SUM(D6135:D6136)</f>
        <v>1</v>
      </c>
      <c r="E6137" s="15" cm="1">
        <f t="array" ref="E6137">SUM(E6135:E6136)</f>
        <v>1</v>
      </c>
      <c r="F6137" s="16" cm="1">
        <f t="array" ref="F6137">SUM(F6135:F6136)</f>
        <v>0</v>
      </c>
      <c r="G6137" s="16" cm="1">
        <f t="array" ref="G6137">SUM(G6135:G6136)</f>
        <v>0</v>
      </c>
      <c r="H6137" s="16" cm="1">
        <f t="array" ref="H6137">SUM(H6135:H6136)</f>
        <v>0</v>
      </c>
      <c r="I6137" s="16" cm="1">
        <f t="array" ref="I6137">SUM(I6135:I6136)</f>
        <v>0</v>
      </c>
    </row>
    <row r="6138" ht="20.65" customHeight="1">
      <c r="A6138" s="10">
        <v>45711</v>
      </c>
      <c r="B6138" t="s" s="11">
        <v>843</v>
      </c>
      <c r="C6138" t="s" s="12">
        <v>820</v>
      </c>
      <c r="D6138" s="17">
        <v>5</v>
      </c>
      <c r="E6138" s="17"/>
      <c r="F6138" s="18"/>
      <c r="G6138" s="18"/>
      <c r="H6138" s="18"/>
      <c r="I6138" s="18"/>
    </row>
    <row r="6139" ht="20.65" customHeight="1">
      <c r="A6139" s="10">
        <v>45711</v>
      </c>
      <c r="B6139" t="s" s="11">
        <v>91</v>
      </c>
      <c r="C6139" t="s" s="12">
        <v>820</v>
      </c>
      <c r="D6139" s="13"/>
      <c r="E6139" s="13">
        <v>5</v>
      </c>
      <c r="F6139" s="14"/>
      <c r="G6139" s="14"/>
      <c r="H6139" s="14"/>
      <c r="I6139" s="14"/>
    </row>
    <row r="6140" ht="20.7" customHeight="1">
      <c r="A6140" s="10">
        <v>45711</v>
      </c>
      <c r="B6140" t="s" s="11">
        <v>8</v>
      </c>
      <c r="C6140" t="s" s="12">
        <v>8</v>
      </c>
      <c r="D6140" s="15" cm="1">
        <f t="array" ref="D6140">SUM(D6138:D6139)</f>
        <v>5</v>
      </c>
      <c r="E6140" s="15" cm="1">
        <f t="array" ref="E6140">SUM(E6138:E6139)</f>
        <v>5</v>
      </c>
      <c r="F6140" s="16" cm="1">
        <f t="array" ref="F6140">SUM(F6138:F6139)</f>
        <v>0</v>
      </c>
      <c r="G6140" s="16" cm="1">
        <f t="array" ref="G6140">SUM(G6138:G6139)</f>
        <v>0</v>
      </c>
      <c r="H6140" s="16" cm="1">
        <f t="array" ref="H6140">SUM(H6138:H6139)</f>
        <v>0</v>
      </c>
      <c r="I6140" s="16" cm="1">
        <f t="array" ref="I6140">SUM(I6138:I6139)</f>
        <v>0</v>
      </c>
    </row>
    <row r="6141" ht="20.35" customHeight="1">
      <c r="A6141" s="10">
        <v>45711</v>
      </c>
      <c r="B6141" t="s" s="11">
        <v>93</v>
      </c>
      <c r="C6141" t="s" s="12">
        <v>96</v>
      </c>
      <c r="D6141" s="17"/>
      <c r="E6141" s="17">
        <v>6700</v>
      </c>
      <c r="F6141" s="18"/>
      <c r="G6141" s="18"/>
      <c r="H6141" s="18"/>
      <c r="I6141" s="18"/>
    </row>
    <row r="6142" ht="20.35" customHeight="1">
      <c r="A6142" s="10">
        <v>45711</v>
      </c>
      <c r="B6142" t="s" s="11">
        <v>5</v>
      </c>
      <c r="C6142" t="s" s="12">
        <v>96</v>
      </c>
      <c r="D6142" s="13">
        <v>6700</v>
      </c>
      <c r="E6142" s="13"/>
      <c r="F6142" s="14"/>
      <c r="G6142" s="14"/>
      <c r="H6142" s="14"/>
      <c r="I6142" s="14"/>
    </row>
    <row r="6143" ht="20.7" customHeight="1">
      <c r="A6143" s="10">
        <v>45711</v>
      </c>
      <c r="B6143" t="s" s="11">
        <v>8</v>
      </c>
      <c r="C6143" t="s" s="12">
        <v>8</v>
      </c>
      <c r="D6143" s="15" cm="1">
        <f t="array" ref="D6143">SUM(D6141:D6142)</f>
        <v>6700</v>
      </c>
      <c r="E6143" s="15" cm="1">
        <f t="array" ref="E6143">SUM(E6141:E6142)</f>
        <v>6700</v>
      </c>
      <c r="F6143" s="16" cm="1">
        <f t="array" ref="F6143">SUM(F6141:F6142)</f>
        <v>0</v>
      </c>
      <c r="G6143" s="16" cm="1">
        <f t="array" ref="G6143">SUM(G6141:G6142)</f>
        <v>0</v>
      </c>
      <c r="H6143" s="16" cm="1">
        <f t="array" ref="H6143">SUM(H6141:H6142)</f>
        <v>0</v>
      </c>
      <c r="I6143" s="16" cm="1">
        <f t="array" ref="I6143">SUM(I6141:I6142)</f>
        <v>0</v>
      </c>
    </row>
    <row r="6144" ht="21.25" customHeight="1">
      <c r="A6144" s="10">
        <v>45711</v>
      </c>
      <c r="B6144" t="s" s="11">
        <v>843</v>
      </c>
      <c r="C6144" t="s" s="12">
        <v>912</v>
      </c>
      <c r="D6144" s="17"/>
      <c r="E6144" s="17">
        <v>50000</v>
      </c>
      <c r="F6144" s="18"/>
      <c r="G6144" s="18"/>
      <c r="H6144" s="18"/>
      <c r="I6144" s="18"/>
    </row>
    <row r="6145" ht="21.25" customHeight="1">
      <c r="A6145" s="10">
        <v>45711</v>
      </c>
      <c r="B6145" t="s" s="11">
        <v>5</v>
      </c>
      <c r="C6145" t="s" s="12">
        <v>912</v>
      </c>
      <c r="D6145" s="13">
        <v>50000</v>
      </c>
      <c r="E6145" s="13"/>
      <c r="F6145" s="14"/>
      <c r="G6145" s="14"/>
      <c r="H6145" s="14"/>
      <c r="I6145" s="14"/>
    </row>
    <row r="6146" ht="20.7" customHeight="1">
      <c r="A6146" s="10">
        <v>45711</v>
      </c>
      <c r="B6146" t="s" s="11">
        <v>8</v>
      </c>
      <c r="C6146" t="s" s="12">
        <v>8</v>
      </c>
      <c r="D6146" s="15" cm="1">
        <f t="array" ref="D6146">SUM(D6144:D6145)</f>
        <v>50000</v>
      </c>
      <c r="E6146" s="15" cm="1">
        <f t="array" ref="E6146">SUM(E6144:E6145)</f>
        <v>50000</v>
      </c>
      <c r="F6146" s="16" cm="1">
        <f t="array" ref="F6146">SUM(F6144:F6145)</f>
        <v>0</v>
      </c>
      <c r="G6146" s="16" cm="1">
        <f t="array" ref="G6146">SUM(G6144:G6145)</f>
        <v>0</v>
      </c>
      <c r="H6146" s="16" cm="1">
        <f t="array" ref="H6146">SUM(H6144:H6145)</f>
        <v>0</v>
      </c>
      <c r="I6146" s="16" cm="1">
        <f t="array" ref="I6146">SUM(I6144:I6145)</f>
        <v>0</v>
      </c>
    </row>
    <row r="6147" ht="21.25" customHeight="1">
      <c r="A6147" s="10">
        <v>45711</v>
      </c>
      <c r="B6147" t="s" s="11">
        <v>5</v>
      </c>
      <c r="C6147" t="s" s="12">
        <v>912</v>
      </c>
      <c r="D6147" s="17"/>
      <c r="E6147" s="17">
        <v>20000</v>
      </c>
      <c r="F6147" s="18"/>
      <c r="G6147" s="18"/>
      <c r="H6147" s="18"/>
      <c r="I6147" s="18"/>
    </row>
    <row r="6148" ht="20.9" customHeight="1">
      <c r="A6148" s="10">
        <v>45711</v>
      </c>
      <c r="B6148" t="s" s="11">
        <v>10</v>
      </c>
      <c r="C6148" t="s" s="12">
        <v>912</v>
      </c>
      <c r="D6148" s="19">
        <v>10000</v>
      </c>
      <c r="E6148" s="19"/>
      <c r="F6148" s="20"/>
      <c r="G6148" s="20"/>
      <c r="H6148" s="20"/>
      <c r="I6148" s="20"/>
    </row>
    <row r="6149" ht="21.25" customHeight="1">
      <c r="A6149" s="10">
        <v>45711</v>
      </c>
      <c r="B6149" t="s" s="11">
        <v>21</v>
      </c>
      <c r="C6149" t="s" s="12">
        <v>912</v>
      </c>
      <c r="D6149" s="13">
        <v>10000</v>
      </c>
      <c r="E6149" s="13"/>
      <c r="F6149" s="14"/>
      <c r="G6149" s="14"/>
      <c r="H6149" s="14"/>
      <c r="I6149" s="14"/>
    </row>
    <row r="6150" ht="20.7" customHeight="1">
      <c r="A6150" s="10">
        <v>45711</v>
      </c>
      <c r="B6150" t="s" s="11">
        <v>8</v>
      </c>
      <c r="C6150" t="s" s="12">
        <v>8</v>
      </c>
      <c r="D6150" s="15" cm="1">
        <f t="array" ref="D6150">SUM(D6147:D6149)</f>
        <v>20000</v>
      </c>
      <c r="E6150" s="15" cm="1">
        <f t="array" ref="E6150">SUM(E6147:E6149)</f>
        <v>20000</v>
      </c>
      <c r="F6150" s="16" cm="1">
        <f t="array" ref="F6150">SUM(F6147:F6149)</f>
        <v>0</v>
      </c>
      <c r="G6150" s="16" cm="1">
        <f t="array" ref="G6150">SUM(G6147:G6149)</f>
        <v>0</v>
      </c>
      <c r="H6150" s="16" cm="1">
        <f t="array" ref="H6150">SUM(H6147:H6149)</f>
        <v>0</v>
      </c>
      <c r="I6150" s="16" cm="1">
        <f t="array" ref="I6150">SUM(I6147:I6149)</f>
        <v>0</v>
      </c>
    </row>
    <row r="6151" ht="21.25" customHeight="1">
      <c r="A6151" s="10">
        <v>45711</v>
      </c>
      <c r="B6151" t="s" s="11">
        <v>843</v>
      </c>
      <c r="C6151" t="s" s="12">
        <v>913</v>
      </c>
      <c r="D6151" s="17"/>
      <c r="E6151" s="17">
        <v>20000</v>
      </c>
      <c r="F6151" s="18"/>
      <c r="G6151" s="18"/>
      <c r="H6151" s="18"/>
      <c r="I6151" s="18"/>
    </row>
    <row r="6152" ht="21.25" customHeight="1">
      <c r="A6152" s="10">
        <v>45711</v>
      </c>
      <c r="B6152" t="s" s="11">
        <v>5</v>
      </c>
      <c r="C6152" t="s" s="12">
        <v>913</v>
      </c>
      <c r="D6152" s="13">
        <v>20000</v>
      </c>
      <c r="E6152" s="13"/>
      <c r="F6152" s="14"/>
      <c r="G6152" s="14"/>
      <c r="H6152" s="14"/>
      <c r="I6152" s="14"/>
    </row>
    <row r="6153" ht="20.7" customHeight="1">
      <c r="A6153" s="10">
        <v>45711</v>
      </c>
      <c r="B6153" t="s" s="11">
        <v>8</v>
      </c>
      <c r="C6153" t="s" s="12">
        <v>8</v>
      </c>
      <c r="D6153" s="15" cm="1">
        <f t="array" ref="D6153">SUM(D6151:D6152)</f>
        <v>20000</v>
      </c>
      <c r="E6153" s="15" cm="1">
        <f t="array" ref="E6153">SUM(E6151:E6152)</f>
        <v>20000</v>
      </c>
      <c r="F6153" s="16" cm="1">
        <f t="array" ref="F6153">SUM(F6151:F6152)</f>
        <v>0</v>
      </c>
      <c r="G6153" s="16" cm="1">
        <f t="array" ref="G6153">SUM(G6151:G6152)</f>
        <v>0</v>
      </c>
      <c r="H6153" s="16" cm="1">
        <f t="array" ref="H6153">SUM(H6151:H6152)</f>
        <v>0</v>
      </c>
      <c r="I6153" s="16" cm="1">
        <f t="array" ref="I6153">SUM(I6151:I6152)</f>
        <v>0</v>
      </c>
    </row>
    <row r="6154" ht="21.25" customHeight="1">
      <c r="A6154" s="10">
        <v>45711</v>
      </c>
      <c r="B6154" t="s" s="11">
        <v>5</v>
      </c>
      <c r="C6154" t="s" s="12">
        <v>913</v>
      </c>
      <c r="D6154" s="17"/>
      <c r="E6154" s="17">
        <v>48340</v>
      </c>
      <c r="F6154" s="18"/>
      <c r="G6154" s="18"/>
      <c r="H6154" s="18"/>
      <c r="I6154" s="18"/>
    </row>
    <row r="6155" ht="21.25" customHeight="1">
      <c r="A6155" s="10">
        <v>45711</v>
      </c>
      <c r="B6155" t="s" s="11">
        <v>10</v>
      </c>
      <c r="C6155" t="s" s="12">
        <v>913</v>
      </c>
      <c r="D6155" s="13">
        <v>48340</v>
      </c>
      <c r="E6155" s="13"/>
      <c r="F6155" s="14"/>
      <c r="G6155" s="14"/>
      <c r="H6155" s="14"/>
      <c r="I6155" s="14"/>
    </row>
    <row r="6156" ht="20.7" customHeight="1">
      <c r="A6156" s="10">
        <v>45711</v>
      </c>
      <c r="B6156" t="s" s="11">
        <v>8</v>
      </c>
      <c r="C6156" t="s" s="12">
        <v>8</v>
      </c>
      <c r="D6156" s="15" cm="1">
        <f t="array" ref="D6156">SUM(D6154:D6155)</f>
        <v>48340</v>
      </c>
      <c r="E6156" s="15" cm="1">
        <f t="array" ref="E6156">SUM(E6154:E6155)</f>
        <v>48340</v>
      </c>
      <c r="F6156" s="16" cm="1">
        <f t="array" ref="F6156">SUM(F6154:F6155)</f>
        <v>0</v>
      </c>
      <c r="G6156" s="16" cm="1">
        <f t="array" ref="G6156">SUM(G6154:G6155)</f>
        <v>0</v>
      </c>
      <c r="H6156" s="16" cm="1">
        <f t="array" ref="H6156">SUM(H6154:H6155)</f>
        <v>0</v>
      </c>
      <c r="I6156" s="16" cm="1">
        <f t="array" ref="I6156">SUM(I6154:I6155)</f>
        <v>0</v>
      </c>
    </row>
    <row r="6157" ht="21.25" customHeight="1">
      <c r="A6157" s="10">
        <v>45711</v>
      </c>
      <c r="B6157" t="s" s="11">
        <v>843</v>
      </c>
      <c r="C6157" t="s" s="12">
        <v>914</v>
      </c>
      <c r="D6157" s="17"/>
      <c r="E6157" s="17">
        <v>30000</v>
      </c>
      <c r="F6157" s="18"/>
      <c r="G6157" s="18"/>
      <c r="H6157" s="18"/>
      <c r="I6157" s="18"/>
    </row>
    <row r="6158" ht="21.25" customHeight="1">
      <c r="A6158" s="10">
        <v>45711</v>
      </c>
      <c r="B6158" t="s" s="11">
        <v>5</v>
      </c>
      <c r="C6158" t="s" s="12">
        <v>914</v>
      </c>
      <c r="D6158" s="13">
        <v>30000</v>
      </c>
      <c r="E6158" s="13"/>
      <c r="F6158" s="14"/>
      <c r="G6158" s="14"/>
      <c r="H6158" s="14"/>
      <c r="I6158" s="14"/>
    </row>
    <row r="6159" ht="20.7" customHeight="1">
      <c r="A6159" s="10">
        <v>45711</v>
      </c>
      <c r="B6159" t="s" s="11">
        <v>8</v>
      </c>
      <c r="C6159" t="s" s="12">
        <v>8</v>
      </c>
      <c r="D6159" s="15" cm="1">
        <f t="array" ref="D6159">SUM(D6157:D6158)</f>
        <v>30000</v>
      </c>
      <c r="E6159" s="15" cm="1">
        <f t="array" ref="E6159">SUM(E6157:E6158)</f>
        <v>30000</v>
      </c>
      <c r="F6159" s="16" cm="1">
        <f t="array" ref="F6159">SUM(F6157:F6158)</f>
        <v>0</v>
      </c>
      <c r="G6159" s="16" cm="1">
        <f t="array" ref="G6159">SUM(G6157:G6158)</f>
        <v>0</v>
      </c>
      <c r="H6159" s="16" cm="1">
        <f t="array" ref="H6159">SUM(H6157:H6158)</f>
        <v>0</v>
      </c>
      <c r="I6159" s="16" cm="1">
        <f t="array" ref="I6159">SUM(I6157:I6158)</f>
        <v>0</v>
      </c>
    </row>
    <row r="6160" ht="20.35" customHeight="1">
      <c r="A6160" s="10">
        <v>45711</v>
      </c>
      <c r="B6160" t="s" s="11">
        <v>5</v>
      </c>
      <c r="C6160" t="s" s="12">
        <v>604</v>
      </c>
      <c r="D6160" s="17"/>
      <c r="E6160" s="17">
        <v>20900</v>
      </c>
      <c r="F6160" s="18"/>
      <c r="G6160" s="18"/>
      <c r="H6160" s="18"/>
      <c r="I6160" s="18"/>
    </row>
    <row r="6161" ht="20.35" customHeight="1">
      <c r="A6161" s="10">
        <v>45711</v>
      </c>
      <c r="B6161" t="s" s="11">
        <v>93</v>
      </c>
      <c r="C6161" t="s" s="12">
        <v>604</v>
      </c>
      <c r="D6161" s="13">
        <v>20900</v>
      </c>
      <c r="E6161" s="13"/>
      <c r="F6161" s="14"/>
      <c r="G6161" s="14"/>
      <c r="H6161" s="14"/>
      <c r="I6161" s="14"/>
    </row>
    <row r="6162" ht="20.7" customHeight="1">
      <c r="A6162" s="10">
        <v>45711</v>
      </c>
      <c r="B6162" t="s" s="11">
        <v>8</v>
      </c>
      <c r="C6162" t="s" s="12">
        <v>8</v>
      </c>
      <c r="D6162" s="15" cm="1">
        <f t="array" ref="D6162">SUM(D6160:D6161)</f>
        <v>20900</v>
      </c>
      <c r="E6162" s="15" cm="1">
        <f t="array" ref="E6162">SUM(E6160:E6161)</f>
        <v>20900</v>
      </c>
      <c r="F6162" s="16" cm="1">
        <f t="array" ref="F6162">SUM(F6160:F6161)</f>
        <v>0</v>
      </c>
      <c r="G6162" s="16" cm="1">
        <f t="array" ref="G6162">SUM(G6160:G6161)</f>
        <v>0</v>
      </c>
      <c r="H6162" s="16" cm="1">
        <f t="array" ref="H6162">SUM(H6160:H6161)</f>
        <v>0</v>
      </c>
      <c r="I6162" s="16" cm="1">
        <f t="array" ref="I6162">SUM(I6160:I6161)</f>
        <v>0</v>
      </c>
    </row>
    <row r="6163" ht="21.25" customHeight="1">
      <c r="A6163" s="10">
        <v>45711</v>
      </c>
      <c r="B6163" t="s" s="11">
        <v>93</v>
      </c>
      <c r="C6163" t="s" s="12">
        <v>914</v>
      </c>
      <c r="D6163" s="17"/>
      <c r="E6163" s="17">
        <v>20900</v>
      </c>
      <c r="F6163" s="18"/>
      <c r="G6163" s="18"/>
      <c r="H6163" s="18"/>
      <c r="I6163" s="18"/>
    </row>
    <row r="6164" ht="21.25" customHeight="1">
      <c r="A6164" s="10">
        <v>45711</v>
      </c>
      <c r="B6164" t="s" s="11">
        <v>12</v>
      </c>
      <c r="C6164" t="s" s="12">
        <v>914</v>
      </c>
      <c r="D6164" s="13">
        <v>20900</v>
      </c>
      <c r="E6164" s="13"/>
      <c r="F6164" s="14"/>
      <c r="G6164" s="14"/>
      <c r="H6164" s="14"/>
      <c r="I6164" s="14"/>
    </row>
    <row r="6165" ht="20.7" customHeight="1">
      <c r="A6165" s="10">
        <v>45711</v>
      </c>
      <c r="B6165" t="s" s="11">
        <v>8</v>
      </c>
      <c r="C6165" t="s" s="12">
        <v>8</v>
      </c>
      <c r="D6165" s="15" cm="1">
        <f t="array" ref="D6165">SUM(D6163:D6164)</f>
        <v>20900</v>
      </c>
      <c r="E6165" s="15" cm="1">
        <f t="array" ref="E6165">SUM(E6163:E6164)</f>
        <v>20900</v>
      </c>
      <c r="F6165" s="16" cm="1">
        <f t="array" ref="F6165">SUM(F6163:F6164)</f>
        <v>0</v>
      </c>
      <c r="G6165" s="16" cm="1">
        <f t="array" ref="G6165">SUM(G6163:G6164)</f>
        <v>0</v>
      </c>
      <c r="H6165" s="16" cm="1">
        <f t="array" ref="H6165">SUM(H6163:H6164)</f>
        <v>0</v>
      </c>
      <c r="I6165" s="16" cm="1">
        <f t="array" ref="I6165">SUM(I6163:I6164)</f>
        <v>0</v>
      </c>
    </row>
    <row r="6166" ht="20.35" customHeight="1">
      <c r="A6166" s="10">
        <v>45711</v>
      </c>
      <c r="B6166" t="s" s="11">
        <v>93</v>
      </c>
      <c r="C6166" t="s" s="12">
        <v>368</v>
      </c>
      <c r="D6166" s="17">
        <v>150000</v>
      </c>
      <c r="E6166" s="17"/>
      <c r="F6166" s="18"/>
      <c r="G6166" s="18"/>
      <c r="H6166" s="18"/>
      <c r="I6166" s="18"/>
    </row>
    <row r="6167" ht="20.35" customHeight="1">
      <c r="A6167" s="10">
        <v>45711</v>
      </c>
      <c r="B6167" t="s" s="11">
        <v>21</v>
      </c>
      <c r="C6167" t="s" s="12">
        <v>368</v>
      </c>
      <c r="D6167" s="13"/>
      <c r="E6167" s="13">
        <v>150000</v>
      </c>
      <c r="F6167" s="14"/>
      <c r="G6167" s="14"/>
      <c r="H6167" s="14"/>
      <c r="I6167" s="14"/>
    </row>
    <row r="6168" ht="20.7" customHeight="1">
      <c r="A6168" s="10">
        <v>45711</v>
      </c>
      <c r="B6168" t="s" s="11">
        <v>8</v>
      </c>
      <c r="C6168" t="s" s="12">
        <v>8</v>
      </c>
      <c r="D6168" s="15" cm="1">
        <f t="array" ref="D6168">SUM(D6166:D6167)</f>
        <v>150000</v>
      </c>
      <c r="E6168" s="15" cm="1">
        <f t="array" ref="E6168">SUM(E6166:E6167)</f>
        <v>150000</v>
      </c>
      <c r="F6168" s="16" cm="1">
        <f t="array" ref="F6168">SUM(F6166:F6167)</f>
        <v>0</v>
      </c>
      <c r="G6168" s="16" cm="1">
        <f t="array" ref="G6168">SUM(G6166:G6167)</f>
        <v>0</v>
      </c>
      <c r="H6168" s="16" cm="1">
        <f t="array" ref="H6168">SUM(H6166:H6167)</f>
        <v>0</v>
      </c>
      <c r="I6168" s="16" cm="1">
        <f t="array" ref="I6168">SUM(I6166:I6167)</f>
        <v>0</v>
      </c>
    </row>
    <row r="6169" ht="20.35" customHeight="1">
      <c r="A6169" s="10">
        <v>45711</v>
      </c>
      <c r="B6169" t="s" s="11">
        <v>93</v>
      </c>
      <c r="C6169" t="s" s="12">
        <v>96</v>
      </c>
      <c r="D6169" s="17"/>
      <c r="E6169" s="17">
        <v>150000</v>
      </c>
      <c r="F6169" s="18"/>
      <c r="G6169" s="18"/>
      <c r="H6169" s="18"/>
      <c r="I6169" s="18"/>
    </row>
    <row r="6170" ht="20.35" customHeight="1">
      <c r="A6170" s="10">
        <v>45711</v>
      </c>
      <c r="B6170" t="s" s="11">
        <v>5</v>
      </c>
      <c r="C6170" t="s" s="12">
        <v>96</v>
      </c>
      <c r="D6170" s="13">
        <v>150000</v>
      </c>
      <c r="E6170" s="13"/>
      <c r="F6170" s="14"/>
      <c r="G6170" s="14"/>
      <c r="H6170" s="14"/>
      <c r="I6170" s="14"/>
    </row>
    <row r="6171" ht="20.7" customHeight="1">
      <c r="A6171" s="10">
        <v>45711</v>
      </c>
      <c r="B6171" t="s" s="11">
        <v>8</v>
      </c>
      <c r="C6171" t="s" s="12">
        <v>8</v>
      </c>
      <c r="D6171" s="15" cm="1">
        <f t="array" ref="D6171">SUM(D6169:D6170)</f>
        <v>150000</v>
      </c>
      <c r="E6171" s="15" cm="1">
        <f t="array" ref="E6171">SUM(E6169:E6170)</f>
        <v>150000</v>
      </c>
      <c r="F6171" s="16" cm="1">
        <f t="array" ref="F6171">SUM(F6169:F6170)</f>
        <v>0</v>
      </c>
      <c r="G6171" s="16" cm="1">
        <f t="array" ref="G6171">SUM(G6169:G6170)</f>
        <v>0</v>
      </c>
      <c r="H6171" s="16" cm="1">
        <f t="array" ref="H6171">SUM(H6169:H6170)</f>
        <v>0</v>
      </c>
      <c r="I6171" s="16" cm="1">
        <f t="array" ref="I6171">SUM(I6169:I6170)</f>
        <v>0</v>
      </c>
    </row>
    <row r="6172" ht="20.35" customHeight="1">
      <c r="A6172" s="10">
        <v>45711</v>
      </c>
      <c r="B6172" t="s" s="11">
        <v>5</v>
      </c>
      <c r="C6172" t="s" s="12">
        <v>915</v>
      </c>
      <c r="D6172" s="17"/>
      <c r="E6172" s="17">
        <v>60000</v>
      </c>
      <c r="F6172" s="18"/>
      <c r="G6172" s="18"/>
      <c r="H6172" s="18"/>
      <c r="I6172" s="18"/>
    </row>
    <row r="6173" ht="20.05" customHeight="1">
      <c r="A6173" s="10">
        <v>45711</v>
      </c>
      <c r="B6173" t="s" s="11">
        <v>21</v>
      </c>
      <c r="C6173" t="s" s="12">
        <v>915</v>
      </c>
      <c r="D6173" s="19">
        <v>30000</v>
      </c>
      <c r="E6173" s="19"/>
      <c r="F6173" s="20"/>
      <c r="G6173" s="20"/>
      <c r="H6173" s="20"/>
      <c r="I6173" s="20"/>
    </row>
    <row r="6174" ht="20.35" customHeight="1">
      <c r="A6174" s="10">
        <v>45711</v>
      </c>
      <c r="B6174" t="s" s="11">
        <v>74</v>
      </c>
      <c r="C6174" t="s" s="12">
        <v>915</v>
      </c>
      <c r="D6174" s="13">
        <v>30000</v>
      </c>
      <c r="E6174" s="13"/>
      <c r="F6174" s="14"/>
      <c r="G6174" s="14"/>
      <c r="H6174" s="14"/>
      <c r="I6174" s="14"/>
    </row>
    <row r="6175" ht="20.7" customHeight="1">
      <c r="A6175" s="10">
        <v>45711</v>
      </c>
      <c r="B6175" t="s" s="11">
        <v>8</v>
      </c>
      <c r="C6175" t="s" s="12">
        <v>8</v>
      </c>
      <c r="D6175" s="15" cm="1">
        <f t="array" ref="D6175">SUM(D6172:D6174)</f>
        <v>60000</v>
      </c>
      <c r="E6175" s="15" cm="1">
        <f t="array" ref="E6175">SUM(E6172:E6174)</f>
        <v>60000</v>
      </c>
      <c r="F6175" s="16" cm="1">
        <f t="array" ref="F6175">SUM(F6172:F6174)</f>
        <v>0</v>
      </c>
      <c r="G6175" s="16" cm="1">
        <f t="array" ref="G6175">SUM(G6172:G6174)</f>
        <v>0</v>
      </c>
      <c r="H6175" s="16" cm="1">
        <f t="array" ref="H6175">SUM(H6172:H6174)</f>
        <v>0</v>
      </c>
      <c r="I6175" s="16" cm="1">
        <f t="array" ref="I6175">SUM(I6172:I6174)</f>
        <v>0</v>
      </c>
    </row>
    <row r="6176" ht="20.35" customHeight="1">
      <c r="A6176" s="10">
        <v>45711</v>
      </c>
      <c r="B6176" t="s" s="11">
        <v>5</v>
      </c>
      <c r="C6176" t="s" s="12">
        <v>916</v>
      </c>
      <c r="D6176" s="17"/>
      <c r="E6176" s="17">
        <v>12250</v>
      </c>
      <c r="F6176" s="18"/>
      <c r="G6176" s="18"/>
      <c r="H6176" s="18"/>
      <c r="I6176" s="18"/>
    </row>
    <row r="6177" ht="20.05" customHeight="1">
      <c r="A6177" s="10">
        <v>45711</v>
      </c>
      <c r="B6177" t="s" s="11">
        <v>21</v>
      </c>
      <c r="C6177" t="s" s="12">
        <v>916</v>
      </c>
      <c r="D6177" s="19">
        <v>6125</v>
      </c>
      <c r="E6177" s="19"/>
      <c r="F6177" s="20"/>
      <c r="G6177" s="20"/>
      <c r="H6177" s="20"/>
      <c r="I6177" s="20"/>
    </row>
    <row r="6178" ht="20.35" customHeight="1">
      <c r="A6178" s="10">
        <v>45711</v>
      </c>
      <c r="B6178" t="s" s="11">
        <v>74</v>
      </c>
      <c r="C6178" t="s" s="12">
        <v>916</v>
      </c>
      <c r="D6178" s="13">
        <v>6125</v>
      </c>
      <c r="E6178" s="13"/>
      <c r="F6178" s="14"/>
      <c r="G6178" s="14"/>
      <c r="H6178" s="14"/>
      <c r="I6178" s="14"/>
    </row>
    <row r="6179" ht="20.7" customHeight="1">
      <c r="A6179" s="10">
        <v>45711</v>
      </c>
      <c r="B6179" t="s" s="11">
        <v>8</v>
      </c>
      <c r="C6179" t="s" s="12">
        <v>8</v>
      </c>
      <c r="D6179" s="15" cm="1">
        <f t="array" ref="D6179">SUM(D6176:D6178)</f>
        <v>12250</v>
      </c>
      <c r="E6179" s="15" cm="1">
        <f t="array" ref="E6179">SUM(E6176:E6178)</f>
        <v>12250</v>
      </c>
      <c r="F6179" s="16" cm="1">
        <f t="array" ref="F6179">SUM(F6176:F6178)</f>
        <v>0</v>
      </c>
      <c r="G6179" s="16" cm="1">
        <f t="array" ref="G6179">SUM(G6176:G6178)</f>
        <v>0</v>
      </c>
      <c r="H6179" s="16" cm="1">
        <f t="array" ref="H6179">SUM(H6176:H6178)</f>
        <v>0</v>
      </c>
      <c r="I6179" s="16" cm="1">
        <f t="array" ref="I6179">SUM(I6176:I6178)</f>
        <v>0</v>
      </c>
    </row>
    <row r="6180" ht="21.25" customHeight="1">
      <c r="A6180" s="10">
        <v>45711</v>
      </c>
      <c r="B6180" t="s" s="11">
        <v>5</v>
      </c>
      <c r="C6180" t="s" s="12">
        <v>917</v>
      </c>
      <c r="D6180" s="17"/>
      <c r="E6180" s="17">
        <v>7000</v>
      </c>
      <c r="F6180" s="18"/>
      <c r="G6180" s="18"/>
      <c r="H6180" s="18"/>
      <c r="I6180" s="18"/>
    </row>
    <row r="6181" ht="21.25" customHeight="1">
      <c r="A6181" s="10">
        <v>45711</v>
      </c>
      <c r="B6181" t="s" s="11">
        <v>12</v>
      </c>
      <c r="C6181" t="s" s="12">
        <v>917</v>
      </c>
      <c r="D6181" s="13">
        <v>7000</v>
      </c>
      <c r="E6181" s="13"/>
      <c r="F6181" s="14"/>
      <c r="G6181" s="14"/>
      <c r="H6181" s="14"/>
      <c r="I6181" s="14"/>
    </row>
    <row r="6182" ht="20.7" customHeight="1">
      <c r="A6182" s="10">
        <v>45711</v>
      </c>
      <c r="B6182" t="s" s="11">
        <v>8</v>
      </c>
      <c r="C6182" t="s" s="12">
        <v>8</v>
      </c>
      <c r="D6182" s="15" cm="1">
        <f t="array" ref="D6182">SUM(D6180:D6181)</f>
        <v>7000</v>
      </c>
      <c r="E6182" s="15" cm="1">
        <f t="array" ref="E6182">SUM(E6180:E6181)</f>
        <v>7000</v>
      </c>
      <c r="F6182" s="16" cm="1">
        <f t="array" ref="F6182">SUM(F6180:F6181)</f>
        <v>0</v>
      </c>
      <c r="G6182" s="16" cm="1">
        <f t="array" ref="G6182">SUM(G6180:G6181)</f>
        <v>0</v>
      </c>
      <c r="H6182" s="16" cm="1">
        <f t="array" ref="H6182">SUM(H6180:H6181)</f>
        <v>0</v>
      </c>
      <c r="I6182" s="16" cm="1">
        <f t="array" ref="I6182">SUM(I6180:I6181)</f>
        <v>0</v>
      </c>
    </row>
    <row r="6183" ht="21.25" customHeight="1">
      <c r="A6183" s="10">
        <v>45711</v>
      </c>
      <c r="B6183" t="s" s="11">
        <v>21</v>
      </c>
      <c r="C6183" t="s" s="12">
        <v>918</v>
      </c>
      <c r="D6183" s="17"/>
      <c r="E6183" s="17">
        <v>1500</v>
      </c>
      <c r="F6183" s="18"/>
      <c r="G6183" s="18"/>
      <c r="H6183" s="18"/>
      <c r="I6183" s="18"/>
    </row>
    <row r="6184" ht="21.25" customHeight="1">
      <c r="A6184" s="10">
        <v>45711</v>
      </c>
      <c r="B6184" t="s" s="11">
        <v>16</v>
      </c>
      <c r="C6184" t="s" s="12">
        <v>918</v>
      </c>
      <c r="D6184" s="13">
        <v>1500</v>
      </c>
      <c r="E6184" s="13"/>
      <c r="F6184" s="14"/>
      <c r="G6184" s="14"/>
      <c r="H6184" s="14"/>
      <c r="I6184" s="14"/>
    </row>
    <row r="6185" ht="20.7" customHeight="1">
      <c r="A6185" s="10">
        <v>45711</v>
      </c>
      <c r="B6185" t="s" s="11">
        <v>8</v>
      </c>
      <c r="C6185" t="s" s="12">
        <v>8</v>
      </c>
      <c r="D6185" s="15" cm="1">
        <f t="array" ref="D6185">SUM(D6183:D6184)</f>
        <v>1500</v>
      </c>
      <c r="E6185" s="15" cm="1">
        <f t="array" ref="E6185">SUM(E6183:E6184)</f>
        <v>1500</v>
      </c>
      <c r="F6185" s="16" cm="1">
        <f t="array" ref="F6185">SUM(F6183:F6184)</f>
        <v>0</v>
      </c>
      <c r="G6185" s="16" cm="1">
        <f t="array" ref="G6185">SUM(G6183:G6184)</f>
        <v>0</v>
      </c>
      <c r="H6185" s="16" cm="1">
        <f t="array" ref="H6185">SUM(H6183:H6184)</f>
        <v>0</v>
      </c>
      <c r="I6185" s="16" cm="1">
        <f t="array" ref="I6185">SUM(I6183:I6184)</f>
        <v>0</v>
      </c>
    </row>
    <row r="6186" ht="20.35" customHeight="1">
      <c r="A6186" s="10">
        <v>45711</v>
      </c>
      <c r="B6186" t="s" s="11">
        <v>39</v>
      </c>
      <c r="C6186" t="s" s="12">
        <v>64</v>
      </c>
      <c r="D6186" s="17"/>
      <c r="E6186" s="17"/>
      <c r="F6186" s="18">
        <v>50</v>
      </c>
      <c r="G6186" s="18"/>
      <c r="H6186" s="18"/>
      <c r="I6186" s="18"/>
    </row>
    <row r="6187" ht="20.35" customHeight="1">
      <c r="A6187" s="10">
        <v>45711</v>
      </c>
      <c r="B6187" t="s" s="11">
        <v>41</v>
      </c>
      <c r="C6187" t="s" s="12">
        <v>64</v>
      </c>
      <c r="D6187" s="13"/>
      <c r="E6187" s="13"/>
      <c r="F6187" s="14"/>
      <c r="G6187" s="14">
        <v>50</v>
      </c>
      <c r="H6187" s="14"/>
      <c r="I6187" s="14"/>
    </row>
    <row r="6188" ht="20.7" customHeight="1">
      <c r="A6188" s="10">
        <v>45711</v>
      </c>
      <c r="B6188" t="s" s="11">
        <v>8</v>
      </c>
      <c r="C6188" t="s" s="12">
        <v>8</v>
      </c>
      <c r="D6188" s="15" cm="1">
        <f t="array" ref="D6188">SUM(D6186:D6187)</f>
        <v>0</v>
      </c>
      <c r="E6188" s="15" cm="1">
        <f t="array" ref="E6188">SUM(E6186:E6187)</f>
        <v>0</v>
      </c>
      <c r="F6188" s="16" cm="1">
        <f t="array" ref="F6188">SUM(F6186:F6187)</f>
        <v>50</v>
      </c>
      <c r="G6188" s="16" cm="1">
        <f t="array" ref="G6188">SUM(G6186:G6187)</f>
        <v>50</v>
      </c>
      <c r="H6188" s="16" cm="1">
        <f t="array" ref="H6188">SUM(H6186:H6187)</f>
        <v>0</v>
      </c>
      <c r="I6188" s="16" cm="1">
        <f t="array" ref="I6188">SUM(I6186:I6187)</f>
        <v>0</v>
      </c>
    </row>
    <row r="6189" ht="20.35" customHeight="1">
      <c r="A6189" s="10">
        <v>45711</v>
      </c>
      <c r="B6189" t="s" s="11">
        <v>39</v>
      </c>
      <c r="C6189" t="s" s="12">
        <v>68</v>
      </c>
      <c r="D6189" s="17"/>
      <c r="E6189" s="17"/>
      <c r="F6189" s="18"/>
      <c r="G6189" s="18">
        <v>8.49</v>
      </c>
      <c r="H6189" s="18"/>
      <c r="I6189" s="18"/>
    </row>
    <row r="6190" ht="20.35" customHeight="1">
      <c r="A6190" s="10">
        <v>45711</v>
      </c>
      <c r="B6190" t="s" s="11">
        <v>44</v>
      </c>
      <c r="C6190" t="s" s="12">
        <v>68</v>
      </c>
      <c r="D6190" s="13"/>
      <c r="E6190" s="13"/>
      <c r="F6190" s="14">
        <v>8.49</v>
      </c>
      <c r="G6190" s="14"/>
      <c r="H6190" s="14"/>
      <c r="I6190" s="14"/>
    </row>
    <row r="6191" ht="20.7" customHeight="1">
      <c r="A6191" s="10">
        <v>45711</v>
      </c>
      <c r="B6191" t="s" s="11">
        <v>8</v>
      </c>
      <c r="C6191" t="s" s="12">
        <v>8</v>
      </c>
      <c r="D6191" s="15" cm="1">
        <f t="array" ref="D6191">SUM(D6189:D6190)</f>
        <v>0</v>
      </c>
      <c r="E6191" s="15" cm="1">
        <f t="array" ref="E6191">SUM(E6189:E6190)</f>
        <v>0</v>
      </c>
      <c r="F6191" s="16" cm="1">
        <f t="array" ref="F6191">SUM(F6189:F6190)</f>
        <v>8.49</v>
      </c>
      <c r="G6191" s="16" cm="1">
        <f t="array" ref="G6191">SUM(G6189:G6190)</f>
        <v>8.49</v>
      </c>
      <c r="H6191" s="16" cm="1">
        <f t="array" ref="H6191">SUM(H6189:H6190)</f>
        <v>0</v>
      </c>
      <c r="I6191" s="16" cm="1">
        <f t="array" ref="I6191">SUM(I6189:I6190)</f>
        <v>0</v>
      </c>
    </row>
    <row r="6192" ht="21.25" customHeight="1">
      <c r="A6192" s="10">
        <v>45712</v>
      </c>
      <c r="B6192" t="s" s="11">
        <v>81</v>
      </c>
      <c r="C6192" t="s" s="12">
        <v>895</v>
      </c>
      <c r="D6192" s="17"/>
      <c r="E6192" s="17">
        <v>101822</v>
      </c>
      <c r="F6192" s="18"/>
      <c r="G6192" s="18"/>
      <c r="H6192" s="18"/>
      <c r="I6192" s="18"/>
    </row>
    <row r="6193" ht="21.25" customHeight="1">
      <c r="A6193" s="10">
        <v>45712</v>
      </c>
      <c r="B6193" t="s" s="11">
        <v>121</v>
      </c>
      <c r="C6193" t="s" s="12">
        <v>895</v>
      </c>
      <c r="D6193" s="13">
        <v>101822</v>
      </c>
      <c r="E6193" s="13"/>
      <c r="F6193" s="14"/>
      <c r="G6193" s="14"/>
      <c r="H6193" s="14"/>
      <c r="I6193" s="14"/>
    </row>
    <row r="6194" ht="20.7" customHeight="1">
      <c r="A6194" s="10">
        <v>45712</v>
      </c>
      <c r="B6194" t="s" s="11">
        <v>8</v>
      </c>
      <c r="C6194" t="s" s="12">
        <v>8</v>
      </c>
      <c r="D6194" s="15" cm="1">
        <f t="array" ref="D6194">SUM(D6192:D6193)</f>
        <v>101822</v>
      </c>
      <c r="E6194" s="15" cm="1">
        <f t="array" ref="E6194">SUM(E6192:E6193)</f>
        <v>101822</v>
      </c>
      <c r="F6194" s="16" cm="1">
        <f t="array" ref="F6194">SUM(F6192:F6193)</f>
        <v>0</v>
      </c>
      <c r="G6194" s="16" cm="1">
        <f t="array" ref="G6194">SUM(G6192:G6193)</f>
        <v>0</v>
      </c>
      <c r="H6194" s="16" cm="1">
        <f t="array" ref="H6194">SUM(H6192:H6193)</f>
        <v>0</v>
      </c>
      <c r="I6194" s="16" cm="1">
        <f t="array" ref="I6194">SUM(I6192:I6193)</f>
        <v>0</v>
      </c>
    </row>
    <row r="6195" ht="20.35" customHeight="1">
      <c r="A6195" s="10">
        <v>45712</v>
      </c>
      <c r="B6195" t="s" s="11">
        <v>121</v>
      </c>
      <c r="C6195" t="s" s="12">
        <v>96</v>
      </c>
      <c r="D6195" s="17"/>
      <c r="E6195" s="17">
        <v>102419</v>
      </c>
      <c r="F6195" s="18"/>
      <c r="G6195" s="18"/>
      <c r="H6195" s="18"/>
      <c r="I6195" s="18"/>
    </row>
    <row r="6196" ht="20.35" customHeight="1">
      <c r="A6196" s="10">
        <v>45712</v>
      </c>
      <c r="B6196" t="s" s="11">
        <v>5</v>
      </c>
      <c r="C6196" t="s" s="12">
        <v>96</v>
      </c>
      <c r="D6196" s="13">
        <v>102419</v>
      </c>
      <c r="E6196" s="13"/>
      <c r="F6196" s="14"/>
      <c r="G6196" s="14"/>
      <c r="H6196" s="14"/>
      <c r="I6196" s="14"/>
    </row>
    <row r="6197" ht="20.7" customHeight="1">
      <c r="A6197" s="10">
        <v>45712</v>
      </c>
      <c r="B6197" t="s" s="11">
        <v>8</v>
      </c>
      <c r="C6197" t="s" s="12">
        <v>8</v>
      </c>
      <c r="D6197" s="15" cm="1">
        <f t="array" ref="D6197">SUM(D6195:D6196)</f>
        <v>102419</v>
      </c>
      <c r="E6197" s="15" cm="1">
        <f t="array" ref="E6197">SUM(E6195:E6196)</f>
        <v>102419</v>
      </c>
      <c r="F6197" s="16" cm="1">
        <f t="array" ref="F6197">SUM(F6195:F6196)</f>
        <v>0</v>
      </c>
      <c r="G6197" s="16" cm="1">
        <f t="array" ref="G6197">SUM(G6195:G6196)</f>
        <v>0</v>
      </c>
      <c r="H6197" s="16" cm="1">
        <f t="array" ref="H6197">SUM(H6195:H6196)</f>
        <v>0</v>
      </c>
      <c r="I6197" s="16" cm="1">
        <f t="array" ref="I6197">SUM(I6195:I6196)</f>
        <v>0</v>
      </c>
    </row>
    <row r="6198" ht="20.35" customHeight="1">
      <c r="A6198" s="10">
        <v>45712</v>
      </c>
      <c r="B6198" t="s" s="11">
        <v>5</v>
      </c>
      <c r="C6198" t="s" s="12">
        <v>867</v>
      </c>
      <c r="D6198" s="17"/>
      <c r="E6198" s="17">
        <v>159987</v>
      </c>
      <c r="F6198" s="18"/>
      <c r="G6198" s="18"/>
      <c r="H6198" s="18"/>
      <c r="I6198" s="18"/>
    </row>
    <row r="6199" ht="20.35" customHeight="1">
      <c r="A6199" s="10">
        <v>45712</v>
      </c>
      <c r="B6199" t="s" s="11">
        <v>843</v>
      </c>
      <c r="C6199" t="s" s="12">
        <v>867</v>
      </c>
      <c r="D6199" s="13">
        <v>159987</v>
      </c>
      <c r="E6199" s="13"/>
      <c r="F6199" s="14"/>
      <c r="G6199" s="14"/>
      <c r="H6199" s="14"/>
      <c r="I6199" s="14"/>
    </row>
    <row r="6200" ht="20.7" customHeight="1">
      <c r="A6200" s="10">
        <v>45712</v>
      </c>
      <c r="B6200" t="s" s="11">
        <v>8</v>
      </c>
      <c r="C6200" t="s" s="12">
        <v>8</v>
      </c>
      <c r="D6200" s="15" cm="1">
        <f t="array" ref="D6200">SUM(D6198:D6199)</f>
        <v>159987</v>
      </c>
      <c r="E6200" s="15" cm="1">
        <f t="array" ref="E6200">SUM(E6198:E6199)</f>
        <v>159987</v>
      </c>
      <c r="F6200" s="16" cm="1">
        <f t="array" ref="F6200">SUM(F6198:F6199)</f>
        <v>0</v>
      </c>
      <c r="G6200" s="16" cm="1">
        <f t="array" ref="G6200">SUM(G6198:G6199)</f>
        <v>0</v>
      </c>
      <c r="H6200" s="16" cm="1">
        <f t="array" ref="H6200">SUM(H6198:H6199)</f>
        <v>0</v>
      </c>
      <c r="I6200" s="16" cm="1">
        <f t="array" ref="I6200">SUM(I6198:I6199)</f>
        <v>0</v>
      </c>
    </row>
    <row r="6201" ht="21.25" customHeight="1">
      <c r="A6201" s="10">
        <v>45712</v>
      </c>
      <c r="B6201" t="s" s="11">
        <v>441</v>
      </c>
      <c r="C6201" t="s" s="12">
        <v>919</v>
      </c>
      <c r="D6201" s="17"/>
      <c r="E6201" s="17">
        <v>18963</v>
      </c>
      <c r="F6201" s="18"/>
      <c r="G6201" s="18"/>
      <c r="H6201" s="18"/>
      <c r="I6201" s="18"/>
    </row>
    <row r="6202" ht="20.9" customHeight="1">
      <c r="A6202" s="10">
        <v>45712</v>
      </c>
      <c r="B6202" t="s" s="11">
        <v>91</v>
      </c>
      <c r="C6202" t="s" s="12">
        <v>919</v>
      </c>
      <c r="D6202" s="19"/>
      <c r="E6202" s="19">
        <v>1109</v>
      </c>
      <c r="F6202" s="20"/>
      <c r="G6202" s="20"/>
      <c r="H6202" s="20"/>
      <c r="I6202" s="20"/>
    </row>
    <row r="6203" ht="21.25" customHeight="1">
      <c r="A6203" s="10">
        <v>45712</v>
      </c>
      <c r="B6203" t="s" s="11">
        <v>121</v>
      </c>
      <c r="C6203" t="s" s="12">
        <v>919</v>
      </c>
      <c r="D6203" s="13">
        <v>20072</v>
      </c>
      <c r="E6203" s="13"/>
      <c r="F6203" s="14"/>
      <c r="G6203" s="14"/>
      <c r="H6203" s="14"/>
      <c r="I6203" s="14"/>
    </row>
    <row r="6204" ht="20.7" customHeight="1">
      <c r="A6204" s="10">
        <v>45712</v>
      </c>
      <c r="B6204" t="s" s="11">
        <v>8</v>
      </c>
      <c r="C6204" t="s" s="12">
        <v>8</v>
      </c>
      <c r="D6204" s="15" cm="1">
        <f t="array" ref="D6204">SUM(D6201:D6203)</f>
        <v>20072</v>
      </c>
      <c r="E6204" s="15" cm="1">
        <f t="array" ref="E6204">SUM(E6201:E6203)</f>
        <v>20072</v>
      </c>
      <c r="F6204" s="16" cm="1">
        <f t="array" ref="F6204">SUM(F6201:F6203)</f>
        <v>0</v>
      </c>
      <c r="G6204" s="16" cm="1">
        <f t="array" ref="G6204">SUM(G6201:G6203)</f>
        <v>0</v>
      </c>
      <c r="H6204" s="16" cm="1">
        <f t="array" ref="H6204">SUM(H6201:H6203)</f>
        <v>0</v>
      </c>
      <c r="I6204" s="16" cm="1">
        <f t="array" ref="I6204">SUM(I6201:I6203)</f>
        <v>0</v>
      </c>
    </row>
    <row r="6205" ht="20.35" customHeight="1">
      <c r="A6205" s="10">
        <v>45712</v>
      </c>
      <c r="B6205" t="s" s="11">
        <v>121</v>
      </c>
      <c r="C6205" t="s" s="12">
        <v>96</v>
      </c>
      <c r="D6205" s="17"/>
      <c r="E6205" s="17">
        <v>20072</v>
      </c>
      <c r="F6205" s="18"/>
      <c r="G6205" s="18"/>
      <c r="H6205" s="18"/>
      <c r="I6205" s="18"/>
    </row>
    <row r="6206" ht="20.35" customHeight="1">
      <c r="A6206" s="10">
        <v>45712</v>
      </c>
      <c r="B6206" t="s" s="11">
        <v>5</v>
      </c>
      <c r="C6206" t="s" s="12">
        <v>96</v>
      </c>
      <c r="D6206" s="13">
        <v>20072</v>
      </c>
      <c r="E6206" s="13"/>
      <c r="F6206" s="14"/>
      <c r="G6206" s="14"/>
      <c r="H6206" s="14"/>
      <c r="I6206" s="14"/>
    </row>
    <row r="6207" ht="20.7" customHeight="1">
      <c r="A6207" s="10">
        <v>45712</v>
      </c>
      <c r="B6207" t="s" s="11">
        <v>8</v>
      </c>
      <c r="C6207" t="s" s="12">
        <v>8</v>
      </c>
      <c r="D6207" s="15" cm="1">
        <f t="array" ref="D6207">SUM(D6205:D6206)</f>
        <v>20072</v>
      </c>
      <c r="E6207" s="15" cm="1">
        <f t="array" ref="E6207">SUM(E6205:E6206)</f>
        <v>20072</v>
      </c>
      <c r="F6207" s="16" cm="1">
        <f t="array" ref="F6207">SUM(F6205:F6206)</f>
        <v>0</v>
      </c>
      <c r="G6207" s="16" cm="1">
        <f t="array" ref="G6207">SUM(G6205:G6206)</f>
        <v>0</v>
      </c>
      <c r="H6207" s="16" cm="1">
        <f t="array" ref="H6207">SUM(H6205:H6206)</f>
        <v>0</v>
      </c>
      <c r="I6207" s="16" cm="1">
        <f t="array" ref="I6207">SUM(I6205:I6206)</f>
        <v>0</v>
      </c>
    </row>
    <row r="6208" ht="20.35" customHeight="1">
      <c r="A6208" s="10">
        <v>45712</v>
      </c>
      <c r="B6208" t="s" s="11">
        <v>91</v>
      </c>
      <c r="C6208" t="s" s="12">
        <v>17</v>
      </c>
      <c r="D6208" s="17"/>
      <c r="E6208" s="17">
        <v>100</v>
      </c>
      <c r="F6208" s="18"/>
      <c r="G6208" s="18"/>
      <c r="H6208" s="18"/>
      <c r="I6208" s="18"/>
    </row>
    <row r="6209" ht="20.35" customHeight="1">
      <c r="A6209" s="10">
        <v>45712</v>
      </c>
      <c r="B6209" t="s" s="11">
        <v>5</v>
      </c>
      <c r="C6209" t="s" s="12">
        <v>17</v>
      </c>
      <c r="D6209" s="13">
        <v>100</v>
      </c>
      <c r="E6209" s="13"/>
      <c r="F6209" s="14"/>
      <c r="G6209" s="14"/>
      <c r="H6209" s="14"/>
      <c r="I6209" s="14"/>
    </row>
    <row r="6210" ht="20.7" customHeight="1">
      <c r="A6210" s="10">
        <v>45712</v>
      </c>
      <c r="B6210" t="s" s="11">
        <v>8</v>
      </c>
      <c r="C6210" t="s" s="12">
        <v>8</v>
      </c>
      <c r="D6210" s="15" cm="1">
        <f t="array" ref="D6210">SUM(D6208:D6209)</f>
        <v>100</v>
      </c>
      <c r="E6210" s="15" cm="1">
        <f t="array" ref="E6210">SUM(E6208:E6209)</f>
        <v>100</v>
      </c>
      <c r="F6210" s="16" cm="1">
        <f t="array" ref="F6210">SUM(F6208:F6209)</f>
        <v>0</v>
      </c>
      <c r="G6210" s="16" cm="1">
        <f t="array" ref="G6210">SUM(G6208:G6209)</f>
        <v>0</v>
      </c>
      <c r="H6210" s="16" cm="1">
        <f t="array" ref="H6210">SUM(H6208:H6209)</f>
        <v>0</v>
      </c>
      <c r="I6210" s="16" cm="1">
        <f t="array" ref="I6210">SUM(I6208:I6209)</f>
        <v>0</v>
      </c>
    </row>
    <row r="6211" ht="20.35" customHeight="1">
      <c r="A6211" s="10">
        <v>45712</v>
      </c>
      <c r="B6211" t="s" s="11">
        <v>5</v>
      </c>
      <c r="C6211" t="s" s="12">
        <v>867</v>
      </c>
      <c r="D6211" s="17"/>
      <c r="E6211" s="17">
        <v>100</v>
      </c>
      <c r="F6211" s="18"/>
      <c r="G6211" s="18"/>
      <c r="H6211" s="18"/>
      <c r="I6211" s="18"/>
    </row>
    <row r="6212" ht="20.35" customHeight="1">
      <c r="A6212" s="10">
        <v>45712</v>
      </c>
      <c r="B6212" t="s" s="11">
        <v>814</v>
      </c>
      <c r="C6212" t="s" s="12">
        <v>867</v>
      </c>
      <c r="D6212" s="13">
        <v>100</v>
      </c>
      <c r="E6212" s="13"/>
      <c r="F6212" s="14"/>
      <c r="G6212" s="14"/>
      <c r="H6212" s="14"/>
      <c r="I6212" s="14"/>
    </row>
    <row r="6213" ht="20.7" customHeight="1">
      <c r="A6213" s="10">
        <v>45712</v>
      </c>
      <c r="B6213" t="s" s="11">
        <v>8</v>
      </c>
      <c r="C6213" t="s" s="12">
        <v>8</v>
      </c>
      <c r="D6213" s="15" cm="1">
        <f t="array" ref="D6213">SUM(D6211:D6212)</f>
        <v>100</v>
      </c>
      <c r="E6213" s="15" cm="1">
        <f t="array" ref="E6213">SUM(E6211:E6212)</f>
        <v>100</v>
      </c>
      <c r="F6213" s="16" cm="1">
        <f t="array" ref="F6213">SUM(F6211:F6212)</f>
        <v>0</v>
      </c>
      <c r="G6213" s="16" cm="1">
        <f t="array" ref="G6213">SUM(G6211:G6212)</f>
        <v>0</v>
      </c>
      <c r="H6213" s="16" cm="1">
        <f t="array" ref="H6213">SUM(H6211:H6212)</f>
        <v>0</v>
      </c>
      <c r="I6213" s="16" cm="1">
        <f t="array" ref="I6213">SUM(I6211:I6212)</f>
        <v>0</v>
      </c>
    </row>
    <row r="6214" ht="20.35" customHeight="1">
      <c r="A6214" s="10">
        <v>45712</v>
      </c>
      <c r="B6214" t="s" s="11">
        <v>5</v>
      </c>
      <c r="C6214" t="s" s="12">
        <v>867</v>
      </c>
      <c r="D6214" s="17"/>
      <c r="E6214" s="17">
        <v>3036</v>
      </c>
      <c r="F6214" s="18"/>
      <c r="G6214" s="18"/>
      <c r="H6214" s="18"/>
      <c r="I6214" s="18"/>
    </row>
    <row r="6215" ht="20.35" customHeight="1">
      <c r="A6215" s="10">
        <v>45712</v>
      </c>
      <c r="B6215" t="s" s="11">
        <v>814</v>
      </c>
      <c r="C6215" t="s" s="12">
        <v>867</v>
      </c>
      <c r="D6215" s="13">
        <v>3036</v>
      </c>
      <c r="E6215" s="13"/>
      <c r="F6215" s="14"/>
      <c r="G6215" s="14"/>
      <c r="H6215" s="14"/>
      <c r="I6215" s="14"/>
    </row>
    <row r="6216" ht="20.7" customHeight="1">
      <c r="A6216" s="10">
        <v>45712</v>
      </c>
      <c r="B6216" t="s" s="11">
        <v>8</v>
      </c>
      <c r="C6216" t="s" s="12">
        <v>8</v>
      </c>
      <c r="D6216" s="15" cm="1">
        <f t="array" ref="D6216">SUM(D6214:D6215)</f>
        <v>3036</v>
      </c>
      <c r="E6216" s="15" cm="1">
        <f t="array" ref="E6216">SUM(E6214:E6215)</f>
        <v>3036</v>
      </c>
      <c r="F6216" s="16" cm="1">
        <f t="array" ref="F6216">SUM(F6214:F6215)</f>
        <v>0</v>
      </c>
      <c r="G6216" s="16" cm="1">
        <f t="array" ref="G6216">SUM(G6214:G6215)</f>
        <v>0</v>
      </c>
      <c r="H6216" s="16" cm="1">
        <f t="array" ref="H6216">SUM(H6214:H6215)</f>
        <v>0</v>
      </c>
      <c r="I6216" s="16" cm="1">
        <f t="array" ref="I6216">SUM(I6214:I6215)</f>
        <v>0</v>
      </c>
    </row>
    <row r="6217" ht="21.25" customHeight="1">
      <c r="A6217" s="10">
        <v>45712</v>
      </c>
      <c r="B6217" t="s" s="11">
        <v>21</v>
      </c>
      <c r="C6217" t="s" s="12">
        <v>920</v>
      </c>
      <c r="D6217" s="17"/>
      <c r="E6217" s="17">
        <v>3000</v>
      </c>
      <c r="F6217" s="18"/>
      <c r="G6217" s="18"/>
      <c r="H6217" s="18"/>
      <c r="I6217" s="18"/>
    </row>
    <row r="6218" ht="21.25" customHeight="1">
      <c r="A6218" s="10">
        <v>45712</v>
      </c>
      <c r="B6218" t="s" s="11">
        <v>16</v>
      </c>
      <c r="C6218" t="s" s="12">
        <v>920</v>
      </c>
      <c r="D6218" s="13">
        <v>3000</v>
      </c>
      <c r="E6218" s="13"/>
      <c r="F6218" s="14"/>
      <c r="G6218" s="14"/>
      <c r="H6218" s="14"/>
      <c r="I6218" s="14"/>
    </row>
    <row r="6219" ht="20.7" customHeight="1">
      <c r="A6219" s="10">
        <v>45712</v>
      </c>
      <c r="B6219" t="s" s="11">
        <v>8</v>
      </c>
      <c r="C6219" t="s" s="12">
        <v>8</v>
      </c>
      <c r="D6219" s="15" cm="1">
        <f t="array" ref="D6219">SUM(D6217:D6218)</f>
        <v>3000</v>
      </c>
      <c r="E6219" s="15" cm="1">
        <f t="array" ref="E6219">SUM(E6217:E6218)</f>
        <v>3000</v>
      </c>
      <c r="F6219" s="16" cm="1">
        <f t="array" ref="F6219">SUM(F6217:F6218)</f>
        <v>0</v>
      </c>
      <c r="G6219" s="16" cm="1">
        <f t="array" ref="G6219">SUM(G6217:G6218)</f>
        <v>0</v>
      </c>
      <c r="H6219" s="16" cm="1">
        <f t="array" ref="H6219">SUM(H6217:H6218)</f>
        <v>0</v>
      </c>
      <c r="I6219" s="16" cm="1">
        <f t="array" ref="I6219">SUM(I6217:I6218)</f>
        <v>0</v>
      </c>
    </row>
    <row r="6220" ht="20.35" customHeight="1">
      <c r="A6220" s="10">
        <v>45713</v>
      </c>
      <c r="B6220" t="s" s="11">
        <v>93</v>
      </c>
      <c r="C6220" t="s" s="12">
        <v>20</v>
      </c>
      <c r="D6220" s="17">
        <v>30000</v>
      </c>
      <c r="E6220" s="17"/>
      <c r="F6220" s="18"/>
      <c r="G6220" s="18"/>
      <c r="H6220" s="18"/>
      <c r="I6220" s="18"/>
    </row>
    <row r="6221" ht="20.35" customHeight="1">
      <c r="A6221" s="10">
        <v>45713</v>
      </c>
      <c r="B6221" t="s" s="11">
        <v>21</v>
      </c>
      <c r="C6221" t="s" s="12">
        <v>20</v>
      </c>
      <c r="D6221" s="13"/>
      <c r="E6221" s="13">
        <v>30000</v>
      </c>
      <c r="F6221" s="14"/>
      <c r="G6221" s="14"/>
      <c r="H6221" s="14"/>
      <c r="I6221" s="14"/>
    </row>
    <row r="6222" ht="20.7" customHeight="1">
      <c r="A6222" s="10">
        <v>45713</v>
      </c>
      <c r="B6222" t="s" s="11">
        <v>8</v>
      </c>
      <c r="C6222" t="s" s="12">
        <v>8</v>
      </c>
      <c r="D6222" s="15" cm="1">
        <f t="array" ref="D6222">SUM(D6220:D6221)</f>
        <v>30000</v>
      </c>
      <c r="E6222" s="15" cm="1">
        <f t="array" ref="E6222">SUM(E6220:E6221)</f>
        <v>30000</v>
      </c>
      <c r="F6222" s="16" cm="1">
        <f t="array" ref="F6222">SUM(F6220:F6221)</f>
        <v>0</v>
      </c>
      <c r="G6222" s="16" cm="1">
        <f t="array" ref="G6222">SUM(G6220:G6221)</f>
        <v>0</v>
      </c>
      <c r="H6222" s="16" cm="1">
        <f t="array" ref="H6222">SUM(H6220:H6221)</f>
        <v>0</v>
      </c>
      <c r="I6222" s="16" cm="1">
        <f t="array" ref="I6222">SUM(I6220:I6221)</f>
        <v>0</v>
      </c>
    </row>
    <row r="6223" ht="20.35" customHeight="1">
      <c r="A6223" s="10">
        <v>45713</v>
      </c>
      <c r="B6223" t="s" s="11">
        <v>93</v>
      </c>
      <c r="C6223" t="s" s="12">
        <v>96</v>
      </c>
      <c r="D6223" s="17"/>
      <c r="E6223" s="17">
        <v>30000</v>
      </c>
      <c r="F6223" s="18"/>
      <c r="G6223" s="18"/>
      <c r="H6223" s="18"/>
      <c r="I6223" s="18"/>
    </row>
    <row r="6224" ht="20.35" customHeight="1">
      <c r="A6224" s="10">
        <v>45713</v>
      </c>
      <c r="B6224" t="s" s="11">
        <v>5</v>
      </c>
      <c r="C6224" t="s" s="12">
        <v>96</v>
      </c>
      <c r="D6224" s="13">
        <v>30000</v>
      </c>
      <c r="E6224" s="13"/>
      <c r="F6224" s="14"/>
      <c r="G6224" s="14"/>
      <c r="H6224" s="14"/>
      <c r="I6224" s="14"/>
    </row>
    <row r="6225" ht="20.7" customHeight="1">
      <c r="A6225" s="10">
        <v>45713</v>
      </c>
      <c r="B6225" t="s" s="11">
        <v>8</v>
      </c>
      <c r="C6225" t="s" s="12">
        <v>8</v>
      </c>
      <c r="D6225" s="15" cm="1">
        <f t="array" ref="D6225">SUM(D6223:D6224)</f>
        <v>30000</v>
      </c>
      <c r="E6225" s="15" cm="1">
        <f t="array" ref="E6225">SUM(E6223:E6224)</f>
        <v>30000</v>
      </c>
      <c r="F6225" s="16" cm="1">
        <f t="array" ref="F6225">SUM(F6223:F6224)</f>
        <v>0</v>
      </c>
      <c r="G6225" s="16" cm="1">
        <f t="array" ref="G6225">SUM(G6223:G6224)</f>
        <v>0</v>
      </c>
      <c r="H6225" s="16" cm="1">
        <f t="array" ref="H6225">SUM(H6223:H6224)</f>
        <v>0</v>
      </c>
      <c r="I6225" s="16" cm="1">
        <f t="array" ref="I6225">SUM(I6223:I6224)</f>
        <v>0</v>
      </c>
    </row>
    <row r="6226" ht="20.65" customHeight="1">
      <c r="A6226" s="10">
        <v>45713</v>
      </c>
      <c r="B6226" t="s" s="11">
        <v>843</v>
      </c>
      <c r="C6226" t="s" s="12">
        <v>820</v>
      </c>
      <c r="D6226" s="17">
        <v>8</v>
      </c>
      <c r="E6226" s="17"/>
      <c r="F6226" s="18"/>
      <c r="G6226" s="18"/>
      <c r="H6226" s="18"/>
      <c r="I6226" s="18"/>
    </row>
    <row r="6227" ht="20.65" customHeight="1">
      <c r="A6227" s="10">
        <v>45713</v>
      </c>
      <c r="B6227" t="s" s="11">
        <v>91</v>
      </c>
      <c r="C6227" t="s" s="12">
        <v>820</v>
      </c>
      <c r="D6227" s="13"/>
      <c r="E6227" s="13">
        <v>8</v>
      </c>
      <c r="F6227" s="14"/>
      <c r="G6227" s="14"/>
      <c r="H6227" s="14"/>
      <c r="I6227" s="14"/>
    </row>
    <row r="6228" ht="20.7" customHeight="1">
      <c r="A6228" s="10">
        <v>45713</v>
      </c>
      <c r="B6228" t="s" s="11">
        <v>8</v>
      </c>
      <c r="C6228" t="s" s="12">
        <v>8</v>
      </c>
      <c r="D6228" s="15" cm="1">
        <f t="array" ref="D6228">SUM(D6226:D6227)</f>
        <v>8</v>
      </c>
      <c r="E6228" s="15" cm="1">
        <f t="array" ref="E6228">SUM(E6226:E6227)</f>
        <v>8</v>
      </c>
      <c r="F6228" s="16" cm="1">
        <f t="array" ref="F6228">SUM(F6226:F6227)</f>
        <v>0</v>
      </c>
      <c r="G6228" s="16" cm="1">
        <f t="array" ref="G6228">SUM(G6226:G6227)</f>
        <v>0</v>
      </c>
      <c r="H6228" s="16" cm="1">
        <f t="array" ref="H6228">SUM(H6226:H6227)</f>
        <v>0</v>
      </c>
      <c r="I6228" s="16" cm="1">
        <f t="array" ref="I6228">SUM(I6226:I6227)</f>
        <v>0</v>
      </c>
    </row>
    <row r="6229" ht="20.35" customHeight="1">
      <c r="A6229" s="10">
        <v>45713</v>
      </c>
      <c r="B6229" t="s" s="11">
        <v>5</v>
      </c>
      <c r="C6229" t="s" s="12">
        <v>921</v>
      </c>
      <c r="D6229" s="17"/>
      <c r="E6229" s="17">
        <v>70000</v>
      </c>
      <c r="F6229" s="18"/>
      <c r="G6229" s="18"/>
      <c r="H6229" s="18"/>
      <c r="I6229" s="18"/>
    </row>
    <row r="6230" ht="20.35" customHeight="1">
      <c r="A6230" s="10">
        <v>45713</v>
      </c>
      <c r="B6230" t="s" s="11">
        <v>106</v>
      </c>
      <c r="C6230" t="s" s="12">
        <v>921</v>
      </c>
      <c r="D6230" s="13">
        <v>70000</v>
      </c>
      <c r="E6230" s="13"/>
      <c r="F6230" s="14"/>
      <c r="G6230" s="14"/>
      <c r="H6230" s="14"/>
      <c r="I6230" s="14"/>
    </row>
    <row r="6231" ht="20.7" customHeight="1">
      <c r="A6231" s="10">
        <v>45713</v>
      </c>
      <c r="B6231" t="s" s="11">
        <v>8</v>
      </c>
      <c r="C6231" t="s" s="12">
        <v>8</v>
      </c>
      <c r="D6231" s="15" cm="1">
        <f t="array" ref="D6231">SUM(D6229:D6230)</f>
        <v>70000</v>
      </c>
      <c r="E6231" s="15" cm="1">
        <f t="array" ref="E6231">SUM(E6229:E6230)</f>
        <v>70000</v>
      </c>
      <c r="F6231" s="16" cm="1">
        <f t="array" ref="F6231">SUM(F6229:F6230)</f>
        <v>0</v>
      </c>
      <c r="G6231" s="16" cm="1">
        <f t="array" ref="G6231">SUM(G6229:G6230)</f>
        <v>0</v>
      </c>
      <c r="H6231" s="16" cm="1">
        <f t="array" ref="H6231">SUM(H6229:H6230)</f>
        <v>0</v>
      </c>
      <c r="I6231" s="16" cm="1">
        <f t="array" ref="I6231">SUM(I6229:I6230)</f>
        <v>0</v>
      </c>
    </row>
    <row r="6232" ht="20.35" customHeight="1">
      <c r="A6232" s="10">
        <v>45713</v>
      </c>
      <c r="B6232" t="s" s="11">
        <v>5</v>
      </c>
      <c r="C6232" t="s" s="12">
        <v>922</v>
      </c>
      <c r="D6232" s="17"/>
      <c r="E6232" s="17">
        <v>3200</v>
      </c>
      <c r="F6232" s="18"/>
      <c r="G6232" s="18"/>
      <c r="H6232" s="18"/>
      <c r="I6232" s="18"/>
    </row>
    <row r="6233" ht="20.35" customHeight="1">
      <c r="A6233" s="10">
        <v>45713</v>
      </c>
      <c r="B6233" t="s" s="11">
        <v>12</v>
      </c>
      <c r="C6233" t="s" s="12">
        <v>922</v>
      </c>
      <c r="D6233" s="13">
        <v>3200</v>
      </c>
      <c r="E6233" s="13"/>
      <c r="F6233" s="14"/>
      <c r="G6233" s="14"/>
      <c r="H6233" s="14"/>
      <c r="I6233" s="14"/>
    </row>
    <row r="6234" ht="20.7" customHeight="1">
      <c r="A6234" s="10">
        <v>45713</v>
      </c>
      <c r="B6234" t="s" s="11">
        <v>8</v>
      </c>
      <c r="C6234" t="s" s="12">
        <v>8</v>
      </c>
      <c r="D6234" s="15" cm="1">
        <f t="array" ref="D6234">SUM(D6232:D6233)</f>
        <v>3200</v>
      </c>
      <c r="E6234" s="15" cm="1">
        <f t="array" ref="E6234">SUM(E6232:E6233)</f>
        <v>3200</v>
      </c>
      <c r="F6234" s="16" cm="1">
        <f t="array" ref="F6234">SUM(F6232:F6233)</f>
        <v>0</v>
      </c>
      <c r="G6234" s="16" cm="1">
        <f t="array" ref="G6234">SUM(G6232:G6233)</f>
        <v>0</v>
      </c>
      <c r="H6234" s="16" cm="1">
        <f t="array" ref="H6234">SUM(H6232:H6233)</f>
        <v>0</v>
      </c>
      <c r="I6234" s="16" cm="1">
        <f t="array" ref="I6234">SUM(I6232:I6233)</f>
        <v>0</v>
      </c>
    </row>
    <row r="6235" ht="20.35" customHeight="1">
      <c r="A6235" s="10">
        <v>45713</v>
      </c>
      <c r="B6235" t="s" s="11">
        <v>91</v>
      </c>
      <c r="C6235" t="s" s="12">
        <v>17</v>
      </c>
      <c r="D6235" s="17"/>
      <c r="E6235" s="17">
        <v>100</v>
      </c>
      <c r="F6235" s="18"/>
      <c r="G6235" s="18"/>
      <c r="H6235" s="18"/>
      <c r="I6235" s="18"/>
    </row>
    <row r="6236" ht="20.35" customHeight="1">
      <c r="A6236" s="10">
        <v>45713</v>
      </c>
      <c r="B6236" t="s" s="11">
        <v>5</v>
      </c>
      <c r="C6236" t="s" s="12">
        <v>17</v>
      </c>
      <c r="D6236" s="13">
        <v>100</v>
      </c>
      <c r="E6236" s="13"/>
      <c r="F6236" s="14"/>
      <c r="G6236" s="14"/>
      <c r="H6236" s="14"/>
      <c r="I6236" s="14"/>
    </row>
    <row r="6237" ht="20.7" customHeight="1">
      <c r="A6237" s="10">
        <v>45713</v>
      </c>
      <c r="B6237" t="s" s="11">
        <v>8</v>
      </c>
      <c r="C6237" t="s" s="12">
        <v>8</v>
      </c>
      <c r="D6237" s="15" cm="1">
        <f t="array" ref="D6237">SUM(D6235:D6236)</f>
        <v>100</v>
      </c>
      <c r="E6237" s="15" cm="1">
        <f t="array" ref="E6237">SUM(E6235:E6236)</f>
        <v>100</v>
      </c>
      <c r="F6237" s="16" cm="1">
        <f t="array" ref="F6237">SUM(F6235:F6236)</f>
        <v>0</v>
      </c>
      <c r="G6237" s="16" cm="1">
        <f t="array" ref="G6237">SUM(G6235:G6236)</f>
        <v>0</v>
      </c>
      <c r="H6237" s="16" cm="1">
        <f t="array" ref="H6237">SUM(H6235:H6236)</f>
        <v>0</v>
      </c>
      <c r="I6237" s="16" cm="1">
        <f t="array" ref="I6237">SUM(I6235:I6236)</f>
        <v>0</v>
      </c>
    </row>
    <row r="6238" ht="20.35" customHeight="1">
      <c r="A6238" s="10">
        <v>45713</v>
      </c>
      <c r="B6238" t="s" s="11">
        <v>843</v>
      </c>
      <c r="C6238" t="s" s="12">
        <v>923</v>
      </c>
      <c r="D6238" s="17"/>
      <c r="E6238" s="17">
        <v>50000</v>
      </c>
      <c r="F6238" s="18"/>
      <c r="G6238" s="18"/>
      <c r="H6238" s="18"/>
      <c r="I6238" s="18"/>
    </row>
    <row r="6239" ht="20.35" customHeight="1">
      <c r="A6239" s="10">
        <v>45713</v>
      </c>
      <c r="B6239" t="s" s="11">
        <v>5</v>
      </c>
      <c r="C6239" t="s" s="12">
        <v>923</v>
      </c>
      <c r="D6239" s="13">
        <v>50000</v>
      </c>
      <c r="E6239" s="13"/>
      <c r="F6239" s="14"/>
      <c r="G6239" s="14"/>
      <c r="H6239" s="14"/>
      <c r="I6239" s="14"/>
    </row>
    <row r="6240" ht="20.7" customHeight="1">
      <c r="A6240" s="10">
        <v>45713</v>
      </c>
      <c r="B6240" t="s" s="11">
        <v>8</v>
      </c>
      <c r="C6240" t="s" s="12">
        <v>8</v>
      </c>
      <c r="D6240" s="15" cm="1">
        <f t="array" ref="D6240">SUM(D6238:D6239)</f>
        <v>50000</v>
      </c>
      <c r="E6240" s="15" cm="1">
        <f t="array" ref="E6240">SUM(E6238:E6239)</f>
        <v>50000</v>
      </c>
      <c r="F6240" s="16" cm="1">
        <f t="array" ref="F6240">SUM(F6238:F6239)</f>
        <v>0</v>
      </c>
      <c r="G6240" s="16" cm="1">
        <f t="array" ref="G6240">SUM(G6238:G6239)</f>
        <v>0</v>
      </c>
      <c r="H6240" s="16" cm="1">
        <f t="array" ref="H6240">SUM(H6238:H6239)</f>
        <v>0</v>
      </c>
      <c r="I6240" s="16" cm="1">
        <f t="array" ref="I6240">SUM(I6238:I6239)</f>
        <v>0</v>
      </c>
    </row>
    <row r="6241" ht="20.35" customHeight="1">
      <c r="A6241" s="10">
        <v>45713</v>
      </c>
      <c r="B6241" t="s" s="11">
        <v>5</v>
      </c>
      <c r="C6241" t="s" s="12">
        <v>922</v>
      </c>
      <c r="D6241" s="17"/>
      <c r="E6241" s="17">
        <v>8900</v>
      </c>
      <c r="F6241" s="18"/>
      <c r="G6241" s="18"/>
      <c r="H6241" s="18"/>
      <c r="I6241" s="18"/>
    </row>
    <row r="6242" ht="20.35" customHeight="1">
      <c r="A6242" s="10">
        <v>45713</v>
      </c>
      <c r="B6242" t="s" s="11">
        <v>10</v>
      </c>
      <c r="C6242" t="s" s="12">
        <v>922</v>
      </c>
      <c r="D6242" s="13">
        <v>8900</v>
      </c>
      <c r="E6242" s="13"/>
      <c r="F6242" s="14"/>
      <c r="G6242" s="14"/>
      <c r="H6242" s="14"/>
      <c r="I6242" s="14"/>
    </row>
    <row r="6243" ht="20.7" customHeight="1">
      <c r="A6243" s="10">
        <v>45713</v>
      </c>
      <c r="B6243" t="s" s="11">
        <v>8</v>
      </c>
      <c r="C6243" t="s" s="12">
        <v>8</v>
      </c>
      <c r="D6243" s="15" cm="1">
        <f t="array" ref="D6243">SUM(D6241:D6242)</f>
        <v>8900</v>
      </c>
      <c r="E6243" s="15" cm="1">
        <f t="array" ref="E6243">SUM(E6241:E6242)</f>
        <v>8900</v>
      </c>
      <c r="F6243" s="16" cm="1">
        <f t="array" ref="F6243">SUM(F6241:F6242)</f>
        <v>0</v>
      </c>
      <c r="G6243" s="16" cm="1">
        <f t="array" ref="G6243">SUM(G6241:G6242)</f>
        <v>0</v>
      </c>
      <c r="H6243" s="16" cm="1">
        <f t="array" ref="H6243">SUM(H6241:H6242)</f>
        <v>0</v>
      </c>
      <c r="I6243" s="16" cm="1">
        <f t="array" ref="I6243">SUM(I6241:I6242)</f>
        <v>0</v>
      </c>
    </row>
    <row r="6244" ht="20.65" customHeight="1">
      <c r="A6244" s="10">
        <v>45713</v>
      </c>
      <c r="B6244" t="s" s="11">
        <v>5</v>
      </c>
      <c r="C6244" t="s" s="12">
        <v>876</v>
      </c>
      <c r="D6244" s="17"/>
      <c r="E6244" s="17">
        <v>11000</v>
      </c>
      <c r="F6244" s="18"/>
      <c r="G6244" s="18"/>
      <c r="H6244" s="18"/>
      <c r="I6244" s="18"/>
    </row>
    <row r="6245" ht="20.35" customHeight="1">
      <c r="A6245" s="10">
        <v>45713</v>
      </c>
      <c r="B6245" t="s" s="11">
        <v>10</v>
      </c>
      <c r="C6245" t="s" s="12">
        <v>876</v>
      </c>
      <c r="D6245" s="19">
        <v>5500</v>
      </c>
      <c r="E6245" s="19"/>
      <c r="F6245" s="20"/>
      <c r="G6245" s="20"/>
      <c r="H6245" s="20"/>
      <c r="I6245" s="20"/>
    </row>
    <row r="6246" ht="20.65" customHeight="1">
      <c r="A6246" s="10">
        <v>45713</v>
      </c>
      <c r="B6246" t="s" s="11">
        <v>12</v>
      </c>
      <c r="C6246" t="s" s="12">
        <v>876</v>
      </c>
      <c r="D6246" s="13">
        <v>5500</v>
      </c>
      <c r="E6246" s="13"/>
      <c r="F6246" s="14"/>
      <c r="G6246" s="14"/>
      <c r="H6246" s="14"/>
      <c r="I6246" s="14"/>
    </row>
    <row r="6247" ht="20.7" customHeight="1">
      <c r="A6247" s="10">
        <v>45713</v>
      </c>
      <c r="B6247" t="s" s="11">
        <v>8</v>
      </c>
      <c r="C6247" t="s" s="12">
        <v>8</v>
      </c>
      <c r="D6247" s="15" cm="1">
        <f t="array" ref="D6247">SUM(D6244:D6246)</f>
        <v>11000</v>
      </c>
      <c r="E6247" s="15" cm="1">
        <f t="array" ref="E6247">SUM(E6244:E6246)</f>
        <v>11000</v>
      </c>
      <c r="F6247" s="16" cm="1">
        <f t="array" ref="F6247">SUM(F6244:F6246)</f>
        <v>0</v>
      </c>
      <c r="G6247" s="16" cm="1">
        <f t="array" ref="G6247">SUM(G6244:G6246)</f>
        <v>0</v>
      </c>
      <c r="H6247" s="16" cm="1">
        <f t="array" ref="H6247">SUM(H6244:H6246)</f>
        <v>0</v>
      </c>
      <c r="I6247" s="16" cm="1">
        <f t="array" ref="I6247">SUM(I6244:I6246)</f>
        <v>0</v>
      </c>
    </row>
    <row r="6248" ht="20.35" customHeight="1">
      <c r="A6248" s="10">
        <v>45713</v>
      </c>
      <c r="B6248" t="s" s="11">
        <v>91</v>
      </c>
      <c r="C6248" t="s" s="12">
        <v>17</v>
      </c>
      <c r="D6248" s="17"/>
      <c r="E6248" s="17">
        <v>100</v>
      </c>
      <c r="F6248" s="18"/>
      <c r="G6248" s="18"/>
      <c r="H6248" s="18"/>
      <c r="I6248" s="18"/>
    </row>
    <row r="6249" ht="20.35" customHeight="1">
      <c r="A6249" s="10">
        <v>45713</v>
      </c>
      <c r="B6249" t="s" s="11">
        <v>5</v>
      </c>
      <c r="C6249" t="s" s="12">
        <v>17</v>
      </c>
      <c r="D6249" s="13">
        <v>100</v>
      </c>
      <c r="E6249" s="13"/>
      <c r="F6249" s="14"/>
      <c r="G6249" s="14"/>
      <c r="H6249" s="14"/>
      <c r="I6249" s="14"/>
    </row>
    <row r="6250" ht="20.7" customHeight="1">
      <c r="A6250" s="10">
        <v>45713</v>
      </c>
      <c r="B6250" t="s" s="11">
        <v>8</v>
      </c>
      <c r="C6250" t="s" s="12">
        <v>8</v>
      </c>
      <c r="D6250" s="15" cm="1">
        <f t="array" ref="D6250">SUM(D6248:D6249)</f>
        <v>100</v>
      </c>
      <c r="E6250" s="15" cm="1">
        <f t="array" ref="E6250">SUM(E6248:E6249)</f>
        <v>100</v>
      </c>
      <c r="F6250" s="16" cm="1">
        <f t="array" ref="F6250">SUM(F6248:F6249)</f>
        <v>0</v>
      </c>
      <c r="G6250" s="16" cm="1">
        <f t="array" ref="G6250">SUM(G6248:G6249)</f>
        <v>0</v>
      </c>
      <c r="H6250" s="16" cm="1">
        <f t="array" ref="H6250">SUM(H6248:H6249)</f>
        <v>0</v>
      </c>
      <c r="I6250" s="16" cm="1">
        <f t="array" ref="I6250">SUM(I6248:I6249)</f>
        <v>0</v>
      </c>
    </row>
    <row r="6251" ht="20.35" customHeight="1">
      <c r="A6251" s="10">
        <v>45713</v>
      </c>
      <c r="B6251" t="s" s="11">
        <v>5</v>
      </c>
      <c r="C6251" t="s" s="12">
        <v>924</v>
      </c>
      <c r="D6251" s="17"/>
      <c r="E6251" s="17">
        <v>16000</v>
      </c>
      <c r="F6251" s="18"/>
      <c r="G6251" s="18"/>
      <c r="H6251" s="18"/>
      <c r="I6251" s="18"/>
    </row>
    <row r="6252" ht="20.35" customHeight="1">
      <c r="A6252" s="10">
        <v>45713</v>
      </c>
      <c r="B6252" t="s" s="11">
        <v>89</v>
      </c>
      <c r="C6252" t="s" s="12">
        <v>924</v>
      </c>
      <c r="D6252" s="13">
        <v>16000</v>
      </c>
      <c r="E6252" s="13"/>
      <c r="F6252" s="14"/>
      <c r="G6252" s="14"/>
      <c r="H6252" s="14"/>
      <c r="I6252" s="14"/>
    </row>
    <row r="6253" ht="20.7" customHeight="1">
      <c r="A6253" s="10">
        <v>45713</v>
      </c>
      <c r="B6253" t="s" s="11">
        <v>8</v>
      </c>
      <c r="C6253" t="s" s="12">
        <v>8</v>
      </c>
      <c r="D6253" s="15" cm="1">
        <f t="array" ref="D6253">SUM(D6251:D6252)</f>
        <v>16000</v>
      </c>
      <c r="E6253" s="15" cm="1">
        <f t="array" ref="E6253">SUM(E6251:E6252)</f>
        <v>16000</v>
      </c>
      <c r="F6253" s="16" cm="1">
        <f t="array" ref="F6253">SUM(F6251:F6252)</f>
        <v>0</v>
      </c>
      <c r="G6253" s="16" cm="1">
        <f t="array" ref="G6253">SUM(G6251:G6252)</f>
        <v>0</v>
      </c>
      <c r="H6253" s="16" cm="1">
        <f t="array" ref="H6253">SUM(H6251:H6252)</f>
        <v>0</v>
      </c>
      <c r="I6253" s="16" cm="1">
        <f t="array" ref="I6253">SUM(I6251:I6252)</f>
        <v>0</v>
      </c>
    </row>
    <row r="6254" ht="21.25" customHeight="1">
      <c r="A6254" s="10">
        <v>45713</v>
      </c>
      <c r="B6254" t="s" s="11">
        <v>5</v>
      </c>
      <c r="C6254" t="s" s="12">
        <v>799</v>
      </c>
      <c r="D6254" s="17">
        <v>3</v>
      </c>
      <c r="E6254" s="17"/>
      <c r="F6254" s="18"/>
      <c r="G6254" s="18"/>
      <c r="H6254" s="18"/>
      <c r="I6254" s="18"/>
    </row>
    <row r="6255" ht="21.25" customHeight="1">
      <c r="A6255" s="10">
        <v>45713</v>
      </c>
      <c r="B6255" t="s" s="11">
        <v>91</v>
      </c>
      <c r="C6255" t="s" s="12">
        <v>799</v>
      </c>
      <c r="D6255" s="13"/>
      <c r="E6255" s="13">
        <v>3</v>
      </c>
      <c r="F6255" s="14"/>
      <c r="G6255" s="14"/>
      <c r="H6255" s="14"/>
      <c r="I6255" s="14"/>
    </row>
    <row r="6256" ht="20.7" customHeight="1">
      <c r="A6256" s="10">
        <v>45713</v>
      </c>
      <c r="B6256" t="s" s="11">
        <v>8</v>
      </c>
      <c r="C6256" t="s" s="12">
        <v>8</v>
      </c>
      <c r="D6256" s="15" cm="1">
        <f t="array" ref="D6256">SUM(D6254:D6255)</f>
        <v>3</v>
      </c>
      <c r="E6256" s="15" cm="1">
        <f t="array" ref="E6256">SUM(E6254:E6255)</f>
        <v>3</v>
      </c>
      <c r="F6256" s="16" cm="1">
        <f t="array" ref="F6256">SUM(F6254:F6255)</f>
        <v>0</v>
      </c>
      <c r="G6256" s="16" cm="1">
        <f t="array" ref="G6256">SUM(G6254:G6255)</f>
        <v>0</v>
      </c>
      <c r="H6256" s="16" cm="1">
        <f t="array" ref="H6256">SUM(H6254:H6255)</f>
        <v>0</v>
      </c>
      <c r="I6256" s="16" cm="1">
        <f t="array" ref="I6256">SUM(I6254:I6255)</f>
        <v>0</v>
      </c>
    </row>
    <row r="6257" ht="21.25" customHeight="1">
      <c r="A6257" s="10">
        <v>45713</v>
      </c>
      <c r="B6257" t="s" s="11">
        <v>5</v>
      </c>
      <c r="C6257" t="s" s="12">
        <v>799</v>
      </c>
      <c r="D6257" s="17">
        <v>11</v>
      </c>
      <c r="E6257" s="17"/>
      <c r="F6257" s="18"/>
      <c r="G6257" s="18"/>
      <c r="H6257" s="18"/>
      <c r="I6257" s="18"/>
    </row>
    <row r="6258" ht="21.25" customHeight="1">
      <c r="A6258" s="10">
        <v>45713</v>
      </c>
      <c r="B6258" t="s" s="11">
        <v>91</v>
      </c>
      <c r="C6258" t="s" s="12">
        <v>799</v>
      </c>
      <c r="D6258" s="13"/>
      <c r="E6258" s="13">
        <v>11</v>
      </c>
      <c r="F6258" s="14"/>
      <c r="G6258" s="14"/>
      <c r="H6258" s="14"/>
      <c r="I6258" s="14"/>
    </row>
    <row r="6259" ht="20.7" customHeight="1">
      <c r="A6259" s="10">
        <v>45713</v>
      </c>
      <c r="B6259" t="s" s="11">
        <v>8</v>
      </c>
      <c r="C6259" t="s" s="12">
        <v>8</v>
      </c>
      <c r="D6259" s="15" cm="1">
        <f t="array" ref="D6259">SUM(D6257:D6258)</f>
        <v>11</v>
      </c>
      <c r="E6259" s="15" cm="1">
        <f t="array" ref="E6259">SUM(E6257:E6258)</f>
        <v>11</v>
      </c>
      <c r="F6259" s="16" cm="1">
        <f t="array" ref="F6259">SUM(F6257:F6258)</f>
        <v>0</v>
      </c>
      <c r="G6259" s="16" cm="1">
        <f t="array" ref="G6259">SUM(G6257:G6258)</f>
        <v>0</v>
      </c>
      <c r="H6259" s="16" cm="1">
        <f t="array" ref="H6259">SUM(H6257:H6258)</f>
        <v>0</v>
      </c>
      <c r="I6259" s="16" cm="1">
        <f t="array" ref="I6259">SUM(I6257:I6258)</f>
        <v>0</v>
      </c>
    </row>
    <row r="6260" ht="21.25" customHeight="1">
      <c r="A6260" s="10">
        <v>45713</v>
      </c>
      <c r="B6260" t="s" s="11">
        <v>5</v>
      </c>
      <c r="C6260" t="s" s="12">
        <v>799</v>
      </c>
      <c r="D6260" s="17">
        <v>1</v>
      </c>
      <c r="E6260" s="17"/>
      <c r="F6260" s="18"/>
      <c r="G6260" s="18"/>
      <c r="H6260" s="18"/>
      <c r="I6260" s="18"/>
    </row>
    <row r="6261" ht="21.25" customHeight="1">
      <c r="A6261" s="10">
        <v>45713</v>
      </c>
      <c r="B6261" t="s" s="11">
        <v>91</v>
      </c>
      <c r="C6261" t="s" s="12">
        <v>799</v>
      </c>
      <c r="D6261" s="13"/>
      <c r="E6261" s="13">
        <v>1</v>
      </c>
      <c r="F6261" s="14"/>
      <c r="G6261" s="14"/>
      <c r="H6261" s="14"/>
      <c r="I6261" s="14"/>
    </row>
    <row r="6262" ht="20.7" customHeight="1">
      <c r="A6262" s="10">
        <v>45713</v>
      </c>
      <c r="B6262" t="s" s="11">
        <v>8</v>
      </c>
      <c r="C6262" t="s" s="12">
        <v>8</v>
      </c>
      <c r="D6262" s="15" cm="1">
        <f t="array" ref="D6262">SUM(D6260:D6261)</f>
        <v>1</v>
      </c>
      <c r="E6262" s="15" cm="1">
        <f t="array" ref="E6262">SUM(E6260:E6261)</f>
        <v>1</v>
      </c>
      <c r="F6262" s="16" cm="1">
        <f t="array" ref="F6262">SUM(F6260:F6261)</f>
        <v>0</v>
      </c>
      <c r="G6262" s="16" cm="1">
        <f t="array" ref="G6262">SUM(G6260:G6261)</f>
        <v>0</v>
      </c>
      <c r="H6262" s="16" cm="1">
        <f t="array" ref="H6262">SUM(H6260:H6261)</f>
        <v>0</v>
      </c>
      <c r="I6262" s="16" cm="1">
        <f t="array" ref="I6262">SUM(I6260:I6261)</f>
        <v>0</v>
      </c>
    </row>
    <row r="6263" ht="21.25" customHeight="1">
      <c r="A6263" s="10">
        <v>45713</v>
      </c>
      <c r="B6263" t="s" s="11">
        <v>5</v>
      </c>
      <c r="C6263" t="s" s="12">
        <v>799</v>
      </c>
      <c r="D6263" s="17">
        <v>4</v>
      </c>
      <c r="E6263" s="17"/>
      <c r="F6263" s="18"/>
      <c r="G6263" s="18"/>
      <c r="H6263" s="18"/>
      <c r="I6263" s="18"/>
    </row>
    <row r="6264" ht="21.25" customHeight="1">
      <c r="A6264" s="10">
        <v>45713</v>
      </c>
      <c r="B6264" t="s" s="11">
        <v>91</v>
      </c>
      <c r="C6264" t="s" s="12">
        <v>799</v>
      </c>
      <c r="D6264" s="13"/>
      <c r="E6264" s="13">
        <v>4</v>
      </c>
      <c r="F6264" s="14"/>
      <c r="G6264" s="14"/>
      <c r="H6264" s="14"/>
      <c r="I6264" s="14"/>
    </row>
    <row r="6265" ht="20.7" customHeight="1">
      <c r="A6265" s="10">
        <v>45713</v>
      </c>
      <c r="B6265" t="s" s="11">
        <v>8</v>
      </c>
      <c r="C6265" t="s" s="12">
        <v>8</v>
      </c>
      <c r="D6265" s="15" cm="1">
        <f t="array" ref="D6265">SUM(D6263:D6264)</f>
        <v>4</v>
      </c>
      <c r="E6265" s="15" cm="1">
        <f t="array" ref="E6265">SUM(E6263:E6264)</f>
        <v>4</v>
      </c>
      <c r="F6265" s="16" cm="1">
        <f t="array" ref="F6265">SUM(F6263:F6264)</f>
        <v>0</v>
      </c>
      <c r="G6265" s="16" cm="1">
        <f t="array" ref="G6265">SUM(G6263:G6264)</f>
        <v>0</v>
      </c>
      <c r="H6265" s="16" cm="1">
        <f t="array" ref="H6265">SUM(H6263:H6264)</f>
        <v>0</v>
      </c>
      <c r="I6265" s="16" cm="1">
        <f t="array" ref="I6265">SUM(I6263:I6264)</f>
        <v>0</v>
      </c>
    </row>
    <row r="6266" ht="21.25" customHeight="1">
      <c r="A6266" s="10">
        <v>45713</v>
      </c>
      <c r="B6266" t="s" s="11">
        <v>5</v>
      </c>
      <c r="C6266" t="s" s="12">
        <v>799</v>
      </c>
      <c r="D6266" s="17">
        <v>2</v>
      </c>
      <c r="E6266" s="17"/>
      <c r="F6266" s="18"/>
      <c r="G6266" s="18"/>
      <c r="H6266" s="18"/>
      <c r="I6266" s="18"/>
    </row>
    <row r="6267" ht="21.25" customHeight="1">
      <c r="A6267" s="10">
        <v>45713</v>
      </c>
      <c r="B6267" t="s" s="11">
        <v>91</v>
      </c>
      <c r="C6267" t="s" s="12">
        <v>799</v>
      </c>
      <c r="D6267" s="13"/>
      <c r="E6267" s="13">
        <v>2</v>
      </c>
      <c r="F6267" s="14"/>
      <c r="G6267" s="14"/>
      <c r="H6267" s="14"/>
      <c r="I6267" s="14"/>
    </row>
    <row r="6268" ht="20.7" customHeight="1">
      <c r="A6268" s="10">
        <v>45713</v>
      </c>
      <c r="B6268" t="s" s="11">
        <v>8</v>
      </c>
      <c r="C6268" t="s" s="12">
        <v>8</v>
      </c>
      <c r="D6268" s="15" cm="1">
        <f t="array" ref="D6268">SUM(D6266:D6267)</f>
        <v>2</v>
      </c>
      <c r="E6268" s="15" cm="1">
        <f t="array" ref="E6268">SUM(E6266:E6267)</f>
        <v>2</v>
      </c>
      <c r="F6268" s="16" cm="1">
        <f t="array" ref="F6268">SUM(F6266:F6267)</f>
        <v>0</v>
      </c>
      <c r="G6268" s="16" cm="1">
        <f t="array" ref="G6268">SUM(G6266:G6267)</f>
        <v>0</v>
      </c>
      <c r="H6268" s="16" cm="1">
        <f t="array" ref="H6268">SUM(H6266:H6267)</f>
        <v>0</v>
      </c>
      <c r="I6268" s="16" cm="1">
        <f t="array" ref="I6268">SUM(I6266:I6267)</f>
        <v>0</v>
      </c>
    </row>
    <row r="6269" ht="21.25" customHeight="1">
      <c r="A6269" s="10">
        <v>45713</v>
      </c>
      <c r="B6269" t="s" s="11">
        <v>5</v>
      </c>
      <c r="C6269" t="s" s="12">
        <v>799</v>
      </c>
      <c r="D6269" s="17">
        <v>2</v>
      </c>
      <c r="E6269" s="17"/>
      <c r="F6269" s="18"/>
      <c r="G6269" s="18"/>
      <c r="H6269" s="18"/>
      <c r="I6269" s="18"/>
    </row>
    <row r="6270" ht="21.25" customHeight="1">
      <c r="A6270" s="10">
        <v>45713</v>
      </c>
      <c r="B6270" t="s" s="11">
        <v>91</v>
      </c>
      <c r="C6270" t="s" s="12">
        <v>799</v>
      </c>
      <c r="D6270" s="13"/>
      <c r="E6270" s="13">
        <v>2</v>
      </c>
      <c r="F6270" s="14"/>
      <c r="G6270" s="14"/>
      <c r="H6270" s="14"/>
      <c r="I6270" s="14"/>
    </row>
    <row r="6271" ht="20.7" customHeight="1">
      <c r="A6271" s="10">
        <v>45713</v>
      </c>
      <c r="B6271" t="s" s="11">
        <v>8</v>
      </c>
      <c r="C6271" t="s" s="12">
        <v>8</v>
      </c>
      <c r="D6271" s="15" cm="1">
        <f t="array" ref="D6271">SUM(D6269:D6270)</f>
        <v>2</v>
      </c>
      <c r="E6271" s="15" cm="1">
        <f t="array" ref="E6271">SUM(E6269:E6270)</f>
        <v>2</v>
      </c>
      <c r="F6271" s="16" cm="1">
        <f t="array" ref="F6271">SUM(F6269:F6270)</f>
        <v>0</v>
      </c>
      <c r="G6271" s="16" cm="1">
        <f t="array" ref="G6271">SUM(G6269:G6270)</f>
        <v>0</v>
      </c>
      <c r="H6271" s="16" cm="1">
        <f t="array" ref="H6271">SUM(H6269:H6270)</f>
        <v>0</v>
      </c>
      <c r="I6271" s="16" cm="1">
        <f t="array" ref="I6271">SUM(I6269:I6270)</f>
        <v>0</v>
      </c>
    </row>
    <row r="6272" ht="21.25" customHeight="1">
      <c r="A6272" s="10">
        <v>45713</v>
      </c>
      <c r="B6272" t="s" s="11">
        <v>5</v>
      </c>
      <c r="C6272" t="s" s="12">
        <v>799</v>
      </c>
      <c r="D6272" s="17">
        <v>3</v>
      </c>
      <c r="E6272" s="17"/>
      <c r="F6272" s="18"/>
      <c r="G6272" s="18"/>
      <c r="H6272" s="18"/>
      <c r="I6272" s="18"/>
    </row>
    <row r="6273" ht="21.25" customHeight="1">
      <c r="A6273" s="10">
        <v>45713</v>
      </c>
      <c r="B6273" t="s" s="11">
        <v>91</v>
      </c>
      <c r="C6273" t="s" s="12">
        <v>799</v>
      </c>
      <c r="D6273" s="13"/>
      <c r="E6273" s="13">
        <v>3</v>
      </c>
      <c r="F6273" s="14"/>
      <c r="G6273" s="14"/>
      <c r="H6273" s="14"/>
      <c r="I6273" s="14"/>
    </row>
    <row r="6274" ht="20.7" customHeight="1">
      <c r="A6274" s="10">
        <v>45713</v>
      </c>
      <c r="B6274" t="s" s="11">
        <v>8</v>
      </c>
      <c r="C6274" t="s" s="12">
        <v>8</v>
      </c>
      <c r="D6274" s="15" cm="1">
        <f t="array" ref="D6274">SUM(D6272:D6273)</f>
        <v>3</v>
      </c>
      <c r="E6274" s="15" cm="1">
        <f t="array" ref="E6274">SUM(E6272:E6273)</f>
        <v>3</v>
      </c>
      <c r="F6274" s="16" cm="1">
        <f t="array" ref="F6274">SUM(F6272:F6273)</f>
        <v>0</v>
      </c>
      <c r="G6274" s="16" cm="1">
        <f t="array" ref="G6274">SUM(G6272:G6273)</f>
        <v>0</v>
      </c>
      <c r="H6274" s="16" cm="1">
        <f t="array" ref="H6274">SUM(H6272:H6273)</f>
        <v>0</v>
      </c>
      <c r="I6274" s="16" cm="1">
        <f t="array" ref="I6274">SUM(I6272:I6273)</f>
        <v>0</v>
      </c>
    </row>
    <row r="6275" ht="21.25" customHeight="1">
      <c r="A6275" s="10">
        <v>45713</v>
      </c>
      <c r="B6275" t="s" s="11">
        <v>5</v>
      </c>
      <c r="C6275" t="s" s="12">
        <v>799</v>
      </c>
      <c r="D6275" s="17">
        <v>2</v>
      </c>
      <c r="E6275" s="17"/>
      <c r="F6275" s="18"/>
      <c r="G6275" s="18"/>
      <c r="H6275" s="18"/>
      <c r="I6275" s="18"/>
    </row>
    <row r="6276" ht="21.25" customHeight="1">
      <c r="A6276" s="10">
        <v>45713</v>
      </c>
      <c r="B6276" t="s" s="11">
        <v>91</v>
      </c>
      <c r="C6276" t="s" s="12">
        <v>799</v>
      </c>
      <c r="D6276" s="13"/>
      <c r="E6276" s="13">
        <v>2</v>
      </c>
      <c r="F6276" s="14"/>
      <c r="G6276" s="14"/>
      <c r="H6276" s="14"/>
      <c r="I6276" s="14"/>
    </row>
    <row r="6277" ht="20.7" customHeight="1">
      <c r="A6277" s="10">
        <v>45713</v>
      </c>
      <c r="B6277" t="s" s="11">
        <v>8</v>
      </c>
      <c r="C6277" t="s" s="12">
        <v>8</v>
      </c>
      <c r="D6277" s="15" cm="1">
        <f t="array" ref="D6277">SUM(D6275:D6276)</f>
        <v>2</v>
      </c>
      <c r="E6277" s="15" cm="1">
        <f t="array" ref="E6277">SUM(E6275:E6276)</f>
        <v>2</v>
      </c>
      <c r="F6277" s="16" cm="1">
        <f t="array" ref="F6277">SUM(F6275:F6276)</f>
        <v>0</v>
      </c>
      <c r="G6277" s="16" cm="1">
        <f t="array" ref="G6277">SUM(G6275:G6276)</f>
        <v>0</v>
      </c>
      <c r="H6277" s="16" cm="1">
        <f t="array" ref="H6277">SUM(H6275:H6276)</f>
        <v>0</v>
      </c>
      <c r="I6277" s="16" cm="1">
        <f t="array" ref="I6277">SUM(I6275:I6276)</f>
        <v>0</v>
      </c>
    </row>
    <row r="6278" ht="20.35" customHeight="1">
      <c r="A6278" s="10">
        <v>45713</v>
      </c>
      <c r="B6278" t="s" s="11">
        <v>5</v>
      </c>
      <c r="C6278" t="s" s="12">
        <v>867</v>
      </c>
      <c r="D6278" s="17"/>
      <c r="E6278" s="17">
        <v>22253</v>
      </c>
      <c r="F6278" s="18"/>
      <c r="G6278" s="18"/>
      <c r="H6278" s="18"/>
      <c r="I6278" s="18"/>
    </row>
    <row r="6279" ht="20.35" customHeight="1">
      <c r="A6279" s="10">
        <v>45713</v>
      </c>
      <c r="B6279" t="s" s="11">
        <v>843</v>
      </c>
      <c r="C6279" t="s" s="12">
        <v>867</v>
      </c>
      <c r="D6279" s="13">
        <v>22253</v>
      </c>
      <c r="E6279" s="13"/>
      <c r="F6279" s="14"/>
      <c r="G6279" s="14"/>
      <c r="H6279" s="14"/>
      <c r="I6279" s="14"/>
    </row>
    <row r="6280" ht="20.7" customHeight="1">
      <c r="A6280" s="10">
        <v>45713</v>
      </c>
      <c r="B6280" t="s" s="11">
        <v>8</v>
      </c>
      <c r="C6280" t="s" s="12">
        <v>8</v>
      </c>
      <c r="D6280" s="15" cm="1">
        <f t="array" ref="D6280">SUM(D6278:D6279)</f>
        <v>22253</v>
      </c>
      <c r="E6280" s="15" cm="1">
        <f t="array" ref="E6280">SUM(E6278:E6279)</f>
        <v>22253</v>
      </c>
      <c r="F6280" s="16" cm="1">
        <f t="array" ref="F6280">SUM(F6278:F6279)</f>
        <v>0</v>
      </c>
      <c r="G6280" s="16" cm="1">
        <f t="array" ref="G6280">SUM(G6278:G6279)</f>
        <v>0</v>
      </c>
      <c r="H6280" s="16" cm="1">
        <f t="array" ref="H6280">SUM(H6278:H6279)</f>
        <v>0</v>
      </c>
      <c r="I6280" s="16" cm="1">
        <f t="array" ref="I6280">SUM(I6278:I6279)</f>
        <v>0</v>
      </c>
    </row>
    <row r="6281" ht="21.25" customHeight="1">
      <c r="A6281" s="10">
        <v>45713</v>
      </c>
      <c r="B6281" t="s" s="11">
        <v>21</v>
      </c>
      <c r="C6281" t="s" s="12">
        <v>925</v>
      </c>
      <c r="D6281" s="17"/>
      <c r="E6281" s="17">
        <v>1500</v>
      </c>
      <c r="F6281" s="18"/>
      <c r="G6281" s="18"/>
      <c r="H6281" s="18"/>
      <c r="I6281" s="18"/>
    </row>
    <row r="6282" ht="21.25" customHeight="1">
      <c r="A6282" s="10">
        <v>45713</v>
      </c>
      <c r="B6282" t="s" s="11">
        <v>16</v>
      </c>
      <c r="C6282" t="s" s="12">
        <v>925</v>
      </c>
      <c r="D6282" s="13">
        <v>1500</v>
      </c>
      <c r="E6282" s="13"/>
      <c r="F6282" s="14"/>
      <c r="G6282" s="14"/>
      <c r="H6282" s="14"/>
      <c r="I6282" s="14"/>
    </row>
    <row r="6283" ht="20.7" customHeight="1">
      <c r="A6283" s="10">
        <v>45713</v>
      </c>
      <c r="B6283" t="s" s="11">
        <v>8</v>
      </c>
      <c r="C6283" t="s" s="12">
        <v>8</v>
      </c>
      <c r="D6283" s="15" cm="1">
        <f t="array" ref="D6283">SUM(D6281:D6282)</f>
        <v>1500</v>
      </c>
      <c r="E6283" s="15" cm="1">
        <f t="array" ref="E6283">SUM(E6281:E6282)</f>
        <v>1500</v>
      </c>
      <c r="F6283" s="16" cm="1">
        <f t="array" ref="F6283">SUM(F6281:F6282)</f>
        <v>0</v>
      </c>
      <c r="G6283" s="16" cm="1">
        <f t="array" ref="G6283">SUM(G6281:G6282)</f>
        <v>0</v>
      </c>
      <c r="H6283" s="16" cm="1">
        <f t="array" ref="H6283">SUM(H6281:H6282)</f>
        <v>0</v>
      </c>
      <c r="I6283" s="16" cm="1">
        <f t="array" ref="I6283">SUM(I6281:I6282)</f>
        <v>0</v>
      </c>
    </row>
    <row r="6284" ht="20.35" customHeight="1">
      <c r="A6284" s="10">
        <v>45714</v>
      </c>
      <c r="B6284" t="s" s="11">
        <v>843</v>
      </c>
      <c r="C6284" t="s" s="12">
        <v>904</v>
      </c>
      <c r="D6284" s="17"/>
      <c r="E6284" s="17">
        <v>130000</v>
      </c>
      <c r="F6284" s="18"/>
      <c r="G6284" s="18"/>
      <c r="H6284" s="18"/>
      <c r="I6284" s="18"/>
    </row>
    <row r="6285" ht="20.35" customHeight="1">
      <c r="A6285" s="10">
        <v>45714</v>
      </c>
      <c r="B6285" t="s" s="11">
        <v>5</v>
      </c>
      <c r="C6285" t="s" s="12">
        <v>904</v>
      </c>
      <c r="D6285" s="13">
        <v>130000</v>
      </c>
      <c r="E6285" s="13"/>
      <c r="F6285" s="14"/>
      <c r="G6285" s="14"/>
      <c r="H6285" s="14"/>
      <c r="I6285" s="14"/>
    </row>
    <row r="6286" ht="20.7" customHeight="1">
      <c r="A6286" s="10">
        <v>45714</v>
      </c>
      <c r="B6286" t="s" s="11">
        <v>8</v>
      </c>
      <c r="C6286" t="s" s="12">
        <v>8</v>
      </c>
      <c r="D6286" s="15" cm="1">
        <f t="array" ref="D6286">SUM(D6284:D6285)</f>
        <v>130000</v>
      </c>
      <c r="E6286" s="15" cm="1">
        <f t="array" ref="E6286">SUM(E6284:E6285)</f>
        <v>130000</v>
      </c>
      <c r="F6286" s="16" cm="1">
        <f t="array" ref="F6286">SUM(F6284:F6285)</f>
        <v>0</v>
      </c>
      <c r="G6286" s="16" cm="1">
        <f t="array" ref="G6286">SUM(G6284:G6285)</f>
        <v>0</v>
      </c>
      <c r="H6286" s="16" cm="1">
        <f t="array" ref="H6286">SUM(H6284:H6285)</f>
        <v>0</v>
      </c>
      <c r="I6286" s="16" cm="1">
        <f t="array" ref="I6286">SUM(I6284:I6285)</f>
        <v>0</v>
      </c>
    </row>
    <row r="6287" ht="20.35" customHeight="1">
      <c r="A6287" s="10">
        <v>45714</v>
      </c>
      <c r="B6287" t="s" s="11">
        <v>5</v>
      </c>
      <c r="C6287" t="s" s="12">
        <v>904</v>
      </c>
      <c r="D6287" s="17"/>
      <c r="E6287" s="17">
        <v>130000</v>
      </c>
      <c r="F6287" s="18"/>
      <c r="G6287" s="18"/>
      <c r="H6287" s="18"/>
      <c r="I6287" s="18"/>
    </row>
    <row r="6288" ht="20.35" customHeight="1">
      <c r="A6288" s="10">
        <v>45714</v>
      </c>
      <c r="B6288" t="s" s="11">
        <v>10</v>
      </c>
      <c r="C6288" t="s" s="12">
        <v>904</v>
      </c>
      <c r="D6288" s="13">
        <v>130000</v>
      </c>
      <c r="E6288" s="13"/>
      <c r="F6288" s="14"/>
      <c r="G6288" s="14"/>
      <c r="H6288" s="14"/>
      <c r="I6288" s="14"/>
    </row>
    <row r="6289" ht="20.7" customHeight="1">
      <c r="A6289" s="10">
        <v>45714</v>
      </c>
      <c r="B6289" t="s" s="11">
        <v>8</v>
      </c>
      <c r="C6289" t="s" s="12">
        <v>8</v>
      </c>
      <c r="D6289" s="15" cm="1">
        <f t="array" ref="D6289">SUM(D6287:D6288)</f>
        <v>130000</v>
      </c>
      <c r="E6289" s="15" cm="1">
        <f t="array" ref="E6289">SUM(E6287:E6288)</f>
        <v>130000</v>
      </c>
      <c r="F6289" s="16" cm="1">
        <f t="array" ref="F6289">SUM(F6287:F6288)</f>
        <v>0</v>
      </c>
      <c r="G6289" s="16" cm="1">
        <f t="array" ref="G6289">SUM(G6287:G6288)</f>
        <v>0</v>
      </c>
      <c r="H6289" s="16" cm="1">
        <f t="array" ref="H6289">SUM(H6287:H6288)</f>
        <v>0</v>
      </c>
      <c r="I6289" s="16" cm="1">
        <f t="array" ref="I6289">SUM(I6287:I6288)</f>
        <v>0</v>
      </c>
    </row>
    <row r="6290" ht="20.65" customHeight="1">
      <c r="A6290" s="10">
        <v>45714</v>
      </c>
      <c r="B6290" t="s" s="11">
        <v>843</v>
      </c>
      <c r="C6290" t="s" s="12">
        <v>820</v>
      </c>
      <c r="D6290" s="17">
        <v>7</v>
      </c>
      <c r="E6290" s="17"/>
      <c r="F6290" s="18"/>
      <c r="G6290" s="18"/>
      <c r="H6290" s="18"/>
      <c r="I6290" s="18"/>
    </row>
    <row r="6291" ht="20.65" customHeight="1">
      <c r="A6291" s="10">
        <v>45714</v>
      </c>
      <c r="B6291" t="s" s="11">
        <v>91</v>
      </c>
      <c r="C6291" t="s" s="12">
        <v>820</v>
      </c>
      <c r="D6291" s="13"/>
      <c r="E6291" s="13">
        <v>7</v>
      </c>
      <c r="F6291" s="14"/>
      <c r="G6291" s="14"/>
      <c r="H6291" s="14"/>
      <c r="I6291" s="14"/>
    </row>
    <row r="6292" ht="20.7" customHeight="1">
      <c r="A6292" s="10">
        <v>45714</v>
      </c>
      <c r="B6292" t="s" s="11">
        <v>8</v>
      </c>
      <c r="C6292" t="s" s="12">
        <v>8</v>
      </c>
      <c r="D6292" s="15" cm="1">
        <f t="array" ref="D6292">SUM(D6290:D6291)</f>
        <v>7</v>
      </c>
      <c r="E6292" s="15" cm="1">
        <f t="array" ref="E6292">SUM(E6290:E6291)</f>
        <v>7</v>
      </c>
      <c r="F6292" s="16" cm="1">
        <f t="array" ref="F6292">SUM(F6290:F6291)</f>
        <v>0</v>
      </c>
      <c r="G6292" s="16" cm="1">
        <f t="array" ref="G6292">SUM(G6290:G6291)</f>
        <v>0</v>
      </c>
      <c r="H6292" s="16" cm="1">
        <f t="array" ref="H6292">SUM(H6290:H6291)</f>
        <v>0</v>
      </c>
      <c r="I6292" s="16" cm="1">
        <f t="array" ref="I6292">SUM(I6290:I6291)</f>
        <v>0</v>
      </c>
    </row>
    <row r="6293" ht="20.35" customHeight="1">
      <c r="A6293" s="10">
        <v>45714</v>
      </c>
      <c r="B6293" t="s" s="11">
        <v>39</v>
      </c>
      <c r="C6293" t="s" s="12">
        <v>64</v>
      </c>
      <c r="D6293" s="17"/>
      <c r="E6293" s="17"/>
      <c r="F6293" s="18">
        <v>250</v>
      </c>
      <c r="G6293" s="18"/>
      <c r="H6293" s="18"/>
      <c r="I6293" s="18"/>
    </row>
    <row r="6294" ht="20.35" customHeight="1">
      <c r="A6294" s="10">
        <v>45714</v>
      </c>
      <c r="B6294" t="s" s="11">
        <v>41</v>
      </c>
      <c r="C6294" t="s" s="12">
        <v>64</v>
      </c>
      <c r="D6294" s="13"/>
      <c r="E6294" s="13"/>
      <c r="F6294" s="14"/>
      <c r="G6294" s="14">
        <v>250</v>
      </c>
      <c r="H6294" s="14"/>
      <c r="I6294" s="14"/>
    </row>
    <row r="6295" ht="20.7" customHeight="1">
      <c r="A6295" s="10">
        <v>45714</v>
      </c>
      <c r="B6295" t="s" s="11">
        <v>8</v>
      </c>
      <c r="C6295" t="s" s="12">
        <v>8</v>
      </c>
      <c r="D6295" s="15" cm="1">
        <f t="array" ref="D6295">SUM(D6293:D6294)</f>
        <v>0</v>
      </c>
      <c r="E6295" s="15" cm="1">
        <f t="array" ref="E6295">SUM(E6293:E6294)</f>
        <v>0</v>
      </c>
      <c r="F6295" s="16" cm="1">
        <f t="array" ref="F6295">SUM(F6293:F6294)</f>
        <v>250</v>
      </c>
      <c r="G6295" s="16" cm="1">
        <f t="array" ref="G6295">SUM(G6293:G6294)</f>
        <v>250</v>
      </c>
      <c r="H6295" s="16" cm="1">
        <f t="array" ref="H6295">SUM(H6293:H6294)</f>
        <v>0</v>
      </c>
      <c r="I6295" s="16" cm="1">
        <f t="array" ref="I6295">SUM(I6293:I6294)</f>
        <v>0</v>
      </c>
    </row>
    <row r="6296" ht="20.35" customHeight="1">
      <c r="A6296" s="10">
        <v>45714</v>
      </c>
      <c r="B6296" t="s" s="11">
        <v>39</v>
      </c>
      <c r="C6296" t="s" s="12">
        <v>926</v>
      </c>
      <c r="D6296" s="17"/>
      <c r="E6296" s="17"/>
      <c r="F6296" s="18"/>
      <c r="G6296" s="18">
        <v>291.51</v>
      </c>
      <c r="H6296" s="18"/>
      <c r="I6296" s="18"/>
    </row>
    <row r="6297" ht="20.05" customHeight="1">
      <c r="A6297" s="10">
        <v>45714</v>
      </c>
      <c r="B6297" t="s" s="11">
        <v>44</v>
      </c>
      <c r="C6297" t="s" s="12">
        <v>926</v>
      </c>
      <c r="D6297" s="19"/>
      <c r="E6297" s="19"/>
      <c r="F6297" s="20">
        <v>281.58</v>
      </c>
      <c r="G6297" s="20"/>
      <c r="H6297" s="20"/>
      <c r="I6297" s="20"/>
    </row>
    <row r="6298" ht="20.05" customHeight="1">
      <c r="A6298" s="10">
        <v>45714</v>
      </c>
      <c r="B6298" t="s" s="11">
        <v>898</v>
      </c>
      <c r="C6298" t="s" s="12">
        <v>926</v>
      </c>
      <c r="D6298" s="19"/>
      <c r="E6298" s="19"/>
      <c r="F6298" s="20">
        <v>9.93</v>
      </c>
      <c r="G6298" s="20"/>
      <c r="H6298" s="20"/>
      <c r="I6298" s="20"/>
    </row>
    <row r="6299" ht="20.05" customHeight="1">
      <c r="A6299" s="10">
        <v>45714</v>
      </c>
      <c r="B6299" t="s" s="11">
        <v>5</v>
      </c>
      <c r="C6299" t="s" s="12">
        <v>926</v>
      </c>
      <c r="D6299" s="19">
        <v>91069</v>
      </c>
      <c r="E6299" s="19"/>
      <c r="F6299" s="20"/>
      <c r="G6299" s="20"/>
      <c r="H6299" s="20"/>
      <c r="I6299" s="20"/>
    </row>
    <row r="6300" ht="20.35" customHeight="1">
      <c r="A6300" s="10">
        <v>45714</v>
      </c>
      <c r="B6300" t="s" s="11">
        <v>46</v>
      </c>
      <c r="C6300" t="s" s="12">
        <v>926</v>
      </c>
      <c r="D6300" s="13"/>
      <c r="E6300" s="13">
        <v>91069</v>
      </c>
      <c r="F6300" s="14"/>
      <c r="G6300" s="14"/>
      <c r="H6300" s="14"/>
      <c r="I6300" s="14"/>
    </row>
    <row r="6301" ht="20.7" customHeight="1">
      <c r="A6301" s="10">
        <v>45714</v>
      </c>
      <c r="B6301" t="s" s="11">
        <v>8</v>
      </c>
      <c r="C6301" t="s" s="12">
        <v>8</v>
      </c>
      <c r="D6301" s="15" cm="1">
        <f t="array" ref="D6301">SUM(D6296:D6300)</f>
        <v>91069</v>
      </c>
      <c r="E6301" s="15" cm="1">
        <f t="array" ref="E6301">SUM(E6296:E6300)</f>
        <v>91069</v>
      </c>
      <c r="F6301" s="16" cm="1">
        <f t="array" ref="F6301">SUM(F6296:F6300)</f>
        <v>291.51</v>
      </c>
      <c r="G6301" s="16" cm="1">
        <f t="array" ref="G6301">SUM(G6296:G6300)</f>
        <v>291.51</v>
      </c>
      <c r="H6301" s="16" cm="1">
        <f t="array" ref="H6301">SUM(H6296:H6300)</f>
        <v>0</v>
      </c>
      <c r="I6301" s="16" cm="1">
        <f t="array" ref="I6301">SUM(I6296:I6300)</f>
        <v>0</v>
      </c>
    </row>
    <row r="6302" ht="20.35" customHeight="1">
      <c r="A6302" s="10">
        <v>45714</v>
      </c>
      <c r="B6302" t="s" s="11">
        <v>91</v>
      </c>
      <c r="C6302" t="s" s="12">
        <v>17</v>
      </c>
      <c r="D6302" s="17"/>
      <c r="E6302" s="17">
        <v>100</v>
      </c>
      <c r="F6302" s="18"/>
      <c r="G6302" s="18"/>
      <c r="H6302" s="18"/>
      <c r="I6302" s="18"/>
    </row>
    <row r="6303" ht="20.35" customHeight="1">
      <c r="A6303" s="10">
        <v>45714</v>
      </c>
      <c r="B6303" t="s" s="11">
        <v>5</v>
      </c>
      <c r="C6303" t="s" s="12">
        <v>17</v>
      </c>
      <c r="D6303" s="13">
        <v>100</v>
      </c>
      <c r="E6303" s="13"/>
      <c r="F6303" s="14"/>
      <c r="G6303" s="14"/>
      <c r="H6303" s="14"/>
      <c r="I6303" s="14"/>
    </row>
    <row r="6304" ht="20.7" customHeight="1">
      <c r="A6304" s="10">
        <v>45714</v>
      </c>
      <c r="B6304" t="s" s="11">
        <v>8</v>
      </c>
      <c r="C6304" t="s" s="12">
        <v>8</v>
      </c>
      <c r="D6304" s="15" cm="1">
        <f t="array" ref="D6304">SUM(D6302:D6303)</f>
        <v>100</v>
      </c>
      <c r="E6304" s="15" cm="1">
        <f t="array" ref="E6304">SUM(E6302:E6303)</f>
        <v>100</v>
      </c>
      <c r="F6304" s="16" cm="1">
        <f t="array" ref="F6304">SUM(F6302:F6303)</f>
        <v>0</v>
      </c>
      <c r="G6304" s="16" cm="1">
        <f t="array" ref="G6304">SUM(G6302:G6303)</f>
        <v>0</v>
      </c>
      <c r="H6304" s="16" cm="1">
        <f t="array" ref="H6304">SUM(H6302:H6303)</f>
        <v>0</v>
      </c>
      <c r="I6304" s="16" cm="1">
        <f t="array" ref="I6304">SUM(I6302:I6303)</f>
        <v>0</v>
      </c>
    </row>
    <row r="6305" ht="20.35" customHeight="1">
      <c r="A6305" s="10">
        <v>45714</v>
      </c>
      <c r="B6305" t="s" s="11">
        <v>5</v>
      </c>
      <c r="C6305" t="s" s="12">
        <v>867</v>
      </c>
      <c r="D6305" s="17"/>
      <c r="E6305" s="17">
        <v>27732</v>
      </c>
      <c r="F6305" s="18"/>
      <c r="G6305" s="18"/>
      <c r="H6305" s="18"/>
      <c r="I6305" s="18"/>
    </row>
    <row r="6306" ht="20.35" customHeight="1">
      <c r="A6306" s="10">
        <v>45714</v>
      </c>
      <c r="B6306" t="s" s="11">
        <v>843</v>
      </c>
      <c r="C6306" t="s" s="12">
        <v>867</v>
      </c>
      <c r="D6306" s="13">
        <v>27732</v>
      </c>
      <c r="E6306" s="13"/>
      <c r="F6306" s="14"/>
      <c r="G6306" s="14"/>
      <c r="H6306" s="14"/>
      <c r="I6306" s="14"/>
    </row>
    <row r="6307" ht="20.7" customHeight="1">
      <c r="A6307" s="10">
        <v>45714</v>
      </c>
      <c r="B6307" t="s" s="11">
        <v>8</v>
      </c>
      <c r="C6307" t="s" s="12">
        <v>8</v>
      </c>
      <c r="D6307" s="15" cm="1">
        <f t="array" ref="D6307">SUM(D6305:D6306)</f>
        <v>27732</v>
      </c>
      <c r="E6307" s="15" cm="1">
        <f t="array" ref="E6307">SUM(E6305:E6306)</f>
        <v>27732</v>
      </c>
      <c r="F6307" s="16" cm="1">
        <f t="array" ref="F6307">SUM(F6305:F6306)</f>
        <v>0</v>
      </c>
      <c r="G6307" s="16" cm="1">
        <f t="array" ref="G6307">SUM(G6305:G6306)</f>
        <v>0</v>
      </c>
      <c r="H6307" s="16" cm="1">
        <f t="array" ref="H6307">SUM(H6305:H6306)</f>
        <v>0</v>
      </c>
      <c r="I6307" s="16" cm="1">
        <f t="array" ref="I6307">SUM(I6305:I6306)</f>
        <v>0</v>
      </c>
    </row>
    <row r="6308" ht="20.35" customHeight="1">
      <c r="A6308" s="10">
        <v>45714</v>
      </c>
      <c r="B6308" t="s" s="11">
        <v>5</v>
      </c>
      <c r="C6308" t="s" s="12">
        <v>20</v>
      </c>
      <c r="D6308" s="17"/>
      <c r="E6308" s="17">
        <v>30000</v>
      </c>
      <c r="F6308" s="18"/>
      <c r="G6308" s="18"/>
      <c r="H6308" s="18"/>
      <c r="I6308" s="18"/>
    </row>
    <row r="6309" ht="20.35" customHeight="1">
      <c r="A6309" s="10">
        <v>45714</v>
      </c>
      <c r="B6309" t="s" s="11">
        <v>21</v>
      </c>
      <c r="C6309" t="s" s="12">
        <v>20</v>
      </c>
      <c r="D6309" s="13">
        <v>30000</v>
      </c>
      <c r="E6309" s="13"/>
      <c r="F6309" s="14"/>
      <c r="G6309" s="14"/>
      <c r="H6309" s="14"/>
      <c r="I6309" s="14"/>
    </row>
    <row r="6310" ht="20.7" customHeight="1">
      <c r="A6310" s="10">
        <v>45714</v>
      </c>
      <c r="B6310" t="s" s="11">
        <v>8</v>
      </c>
      <c r="C6310" t="s" s="12">
        <v>8</v>
      </c>
      <c r="D6310" s="15" cm="1">
        <f t="array" ref="D6310">SUM(D6308:D6309)</f>
        <v>30000</v>
      </c>
      <c r="E6310" s="15" cm="1">
        <f t="array" ref="E6310">SUM(E6308:E6309)</f>
        <v>30000</v>
      </c>
      <c r="F6310" s="16" cm="1">
        <f t="array" ref="F6310">SUM(F6308:F6309)</f>
        <v>0</v>
      </c>
      <c r="G6310" s="16" cm="1">
        <f t="array" ref="G6310">SUM(G6308:G6309)</f>
        <v>0</v>
      </c>
      <c r="H6310" s="16" cm="1">
        <f t="array" ref="H6310">SUM(H6308:H6309)</f>
        <v>0</v>
      </c>
      <c r="I6310" s="16" cm="1">
        <f t="array" ref="I6310">SUM(I6308:I6309)</f>
        <v>0</v>
      </c>
    </row>
    <row r="6311" ht="21.25" customHeight="1">
      <c r="A6311" s="10">
        <v>45714</v>
      </c>
      <c r="B6311" t="s" s="11">
        <v>21</v>
      </c>
      <c r="C6311" t="s" s="12">
        <v>927</v>
      </c>
      <c r="D6311" s="17"/>
      <c r="E6311" s="17">
        <v>1500</v>
      </c>
      <c r="F6311" s="18"/>
      <c r="G6311" s="18"/>
      <c r="H6311" s="18"/>
      <c r="I6311" s="18"/>
    </row>
    <row r="6312" ht="21.25" customHeight="1">
      <c r="A6312" s="10">
        <v>45714</v>
      </c>
      <c r="B6312" t="s" s="11">
        <v>16</v>
      </c>
      <c r="C6312" t="s" s="12">
        <v>927</v>
      </c>
      <c r="D6312" s="13">
        <v>1500</v>
      </c>
      <c r="E6312" s="13"/>
      <c r="F6312" s="14"/>
      <c r="G6312" s="14"/>
      <c r="H6312" s="14"/>
      <c r="I6312" s="14"/>
    </row>
    <row r="6313" ht="20.7" customHeight="1">
      <c r="A6313" s="10">
        <v>45714</v>
      </c>
      <c r="B6313" t="s" s="11">
        <v>8</v>
      </c>
      <c r="C6313" t="s" s="12">
        <v>8</v>
      </c>
      <c r="D6313" s="15" cm="1">
        <f t="array" ref="D6313">SUM(D6311:D6312)</f>
        <v>1500</v>
      </c>
      <c r="E6313" s="15" cm="1">
        <f t="array" ref="E6313">SUM(E6311:E6312)</f>
        <v>1500</v>
      </c>
      <c r="F6313" s="16" cm="1">
        <f t="array" ref="F6313">SUM(F6311:F6312)</f>
        <v>0</v>
      </c>
      <c r="G6313" s="16" cm="1">
        <f t="array" ref="G6313">SUM(G6311:G6312)</f>
        <v>0</v>
      </c>
      <c r="H6313" s="16" cm="1">
        <f t="array" ref="H6313">SUM(H6311:H6312)</f>
        <v>0</v>
      </c>
      <c r="I6313" s="16" cm="1">
        <f t="array" ref="I6313">SUM(I6311:I6312)</f>
        <v>0</v>
      </c>
    </row>
    <row r="6314" ht="20.65" customHeight="1">
      <c r="A6314" s="10">
        <v>45715</v>
      </c>
      <c r="B6314" t="s" s="11">
        <v>843</v>
      </c>
      <c r="C6314" t="s" s="12">
        <v>820</v>
      </c>
      <c r="D6314" s="17">
        <v>1</v>
      </c>
      <c r="E6314" s="17"/>
      <c r="F6314" s="18"/>
      <c r="G6314" s="18"/>
      <c r="H6314" s="18"/>
      <c r="I6314" s="18"/>
    </row>
    <row r="6315" ht="20.65" customHeight="1">
      <c r="A6315" s="10">
        <v>45715</v>
      </c>
      <c r="B6315" t="s" s="11">
        <v>91</v>
      </c>
      <c r="C6315" t="s" s="12">
        <v>820</v>
      </c>
      <c r="D6315" s="13"/>
      <c r="E6315" s="13">
        <v>1</v>
      </c>
      <c r="F6315" s="14"/>
      <c r="G6315" s="14"/>
      <c r="H6315" s="14"/>
      <c r="I6315" s="14"/>
    </row>
    <row r="6316" ht="20.7" customHeight="1">
      <c r="A6316" s="10">
        <v>45715</v>
      </c>
      <c r="B6316" t="s" s="11">
        <v>8</v>
      </c>
      <c r="C6316" t="s" s="12">
        <v>8</v>
      </c>
      <c r="D6316" s="15" cm="1">
        <f t="array" ref="D6316">SUM(D6314:D6315)</f>
        <v>1</v>
      </c>
      <c r="E6316" s="15" cm="1">
        <f t="array" ref="E6316">SUM(E6314:E6315)</f>
        <v>1</v>
      </c>
      <c r="F6316" s="16" cm="1">
        <f t="array" ref="F6316">SUM(F6314:F6315)</f>
        <v>0</v>
      </c>
      <c r="G6316" s="16" cm="1">
        <f t="array" ref="G6316">SUM(G6314:G6315)</f>
        <v>0</v>
      </c>
      <c r="H6316" s="16" cm="1">
        <f t="array" ref="H6316">SUM(H6314:H6315)</f>
        <v>0</v>
      </c>
      <c r="I6316" s="16" cm="1">
        <f t="array" ref="I6316">SUM(I6314:I6315)</f>
        <v>0</v>
      </c>
    </row>
    <row r="6317" ht="21.25" customHeight="1">
      <c r="A6317" s="10">
        <v>45715</v>
      </c>
      <c r="B6317" t="s" s="11">
        <v>5</v>
      </c>
      <c r="C6317" t="s" s="12">
        <v>928</v>
      </c>
      <c r="D6317" s="17"/>
      <c r="E6317" s="17">
        <v>10000</v>
      </c>
      <c r="F6317" s="18"/>
      <c r="G6317" s="18"/>
      <c r="H6317" s="18"/>
      <c r="I6317" s="18"/>
    </row>
    <row r="6318" ht="21.25" customHeight="1">
      <c r="A6318" s="10">
        <v>45715</v>
      </c>
      <c r="B6318" t="s" s="11">
        <v>10</v>
      </c>
      <c r="C6318" t="s" s="12">
        <v>928</v>
      </c>
      <c r="D6318" s="13">
        <v>10000</v>
      </c>
      <c r="E6318" s="13"/>
      <c r="F6318" s="14"/>
      <c r="G6318" s="14"/>
      <c r="H6318" s="14"/>
      <c r="I6318" s="14"/>
    </row>
    <row r="6319" ht="20.7" customHeight="1">
      <c r="A6319" s="10">
        <v>45715</v>
      </c>
      <c r="B6319" t="s" s="11">
        <v>8</v>
      </c>
      <c r="C6319" t="s" s="12">
        <v>8</v>
      </c>
      <c r="D6319" s="15" cm="1">
        <f t="array" ref="D6319">SUM(D6317:D6318)</f>
        <v>10000</v>
      </c>
      <c r="E6319" s="15" cm="1">
        <f t="array" ref="E6319">SUM(E6317:E6318)</f>
        <v>10000</v>
      </c>
      <c r="F6319" s="16" cm="1">
        <f t="array" ref="F6319">SUM(F6317:F6318)</f>
        <v>0</v>
      </c>
      <c r="G6319" s="16" cm="1">
        <f t="array" ref="G6319">SUM(G6317:G6318)</f>
        <v>0</v>
      </c>
      <c r="H6319" s="16" cm="1">
        <f t="array" ref="H6319">SUM(H6317:H6318)</f>
        <v>0</v>
      </c>
      <c r="I6319" s="16" cm="1">
        <f t="array" ref="I6319">SUM(I6317:I6318)</f>
        <v>0</v>
      </c>
    </row>
    <row r="6320" ht="21.25" customHeight="1">
      <c r="A6320" s="10">
        <v>45715</v>
      </c>
      <c r="B6320" t="s" s="11">
        <v>5</v>
      </c>
      <c r="C6320" t="s" s="12">
        <v>929</v>
      </c>
      <c r="D6320" s="17"/>
      <c r="E6320" s="17">
        <v>15200</v>
      </c>
      <c r="F6320" s="18"/>
      <c r="G6320" s="18"/>
      <c r="H6320" s="18"/>
      <c r="I6320" s="18"/>
    </row>
    <row r="6321" ht="21.25" customHeight="1">
      <c r="A6321" s="10">
        <v>45715</v>
      </c>
      <c r="B6321" t="s" s="11">
        <v>10</v>
      </c>
      <c r="C6321" t="s" s="12">
        <v>929</v>
      </c>
      <c r="D6321" s="13">
        <v>15200</v>
      </c>
      <c r="E6321" s="13"/>
      <c r="F6321" s="14"/>
      <c r="G6321" s="14"/>
      <c r="H6321" s="14"/>
      <c r="I6321" s="14"/>
    </row>
    <row r="6322" ht="20.7" customHeight="1">
      <c r="A6322" s="10">
        <v>45715</v>
      </c>
      <c r="B6322" t="s" s="11">
        <v>8</v>
      </c>
      <c r="C6322" t="s" s="12">
        <v>8</v>
      </c>
      <c r="D6322" s="15" cm="1">
        <f t="array" ref="D6322">SUM(D6320:D6321)</f>
        <v>15200</v>
      </c>
      <c r="E6322" s="15" cm="1">
        <f t="array" ref="E6322">SUM(E6320:E6321)</f>
        <v>15200</v>
      </c>
      <c r="F6322" s="16" cm="1">
        <f t="array" ref="F6322">SUM(F6320:F6321)</f>
        <v>0</v>
      </c>
      <c r="G6322" s="16" cm="1">
        <f t="array" ref="G6322">SUM(G6320:G6321)</f>
        <v>0</v>
      </c>
      <c r="H6322" s="16" cm="1">
        <f t="array" ref="H6322">SUM(H6320:H6321)</f>
        <v>0</v>
      </c>
      <c r="I6322" s="16" cm="1">
        <f t="array" ref="I6322">SUM(I6320:I6321)</f>
        <v>0</v>
      </c>
    </row>
    <row r="6323" ht="20.35" customHeight="1">
      <c r="A6323" s="10">
        <v>45715</v>
      </c>
      <c r="B6323" t="s" s="11">
        <v>5</v>
      </c>
      <c r="C6323" t="s" s="12">
        <v>890</v>
      </c>
      <c r="D6323" s="17"/>
      <c r="E6323" s="17">
        <v>500</v>
      </c>
      <c r="F6323" s="18"/>
      <c r="G6323" s="18"/>
      <c r="H6323" s="18"/>
      <c r="I6323" s="18"/>
    </row>
    <row r="6324" ht="20.35" customHeight="1">
      <c r="A6324" s="10">
        <v>45715</v>
      </c>
      <c r="B6324" t="s" s="11">
        <v>10</v>
      </c>
      <c r="C6324" t="s" s="12">
        <v>890</v>
      </c>
      <c r="D6324" s="13">
        <v>500</v>
      </c>
      <c r="E6324" s="13"/>
      <c r="F6324" s="14"/>
      <c r="G6324" s="14"/>
      <c r="H6324" s="14"/>
      <c r="I6324" s="14"/>
    </row>
    <row r="6325" ht="20.7" customHeight="1">
      <c r="A6325" s="10">
        <v>45715</v>
      </c>
      <c r="B6325" t="s" s="11">
        <v>8</v>
      </c>
      <c r="C6325" t="s" s="12">
        <v>8</v>
      </c>
      <c r="D6325" s="15" cm="1">
        <f t="array" ref="D6325">SUM(D6323:D6324)</f>
        <v>500</v>
      </c>
      <c r="E6325" s="15" cm="1">
        <f t="array" ref="E6325">SUM(E6323:E6324)</f>
        <v>500</v>
      </c>
      <c r="F6325" s="16" cm="1">
        <f t="array" ref="F6325">SUM(F6323:F6324)</f>
        <v>0</v>
      </c>
      <c r="G6325" s="16" cm="1">
        <f t="array" ref="G6325">SUM(G6323:G6324)</f>
        <v>0</v>
      </c>
      <c r="H6325" s="16" cm="1">
        <f t="array" ref="H6325">SUM(H6323:H6324)</f>
        <v>0</v>
      </c>
      <c r="I6325" s="16" cm="1">
        <f t="array" ref="I6325">SUM(I6323:I6324)</f>
        <v>0</v>
      </c>
    </row>
    <row r="6326" ht="20.35" customHeight="1">
      <c r="A6326" s="10">
        <v>45715</v>
      </c>
      <c r="B6326" t="s" s="11">
        <v>5</v>
      </c>
      <c r="C6326" t="s" s="12">
        <v>901</v>
      </c>
      <c r="D6326" s="17">
        <v>3000</v>
      </c>
      <c r="E6326" s="17"/>
      <c r="F6326" s="18"/>
      <c r="G6326" s="18"/>
      <c r="H6326" s="18"/>
      <c r="I6326" s="18"/>
    </row>
    <row r="6327" ht="20.35" customHeight="1">
      <c r="A6327" s="10">
        <v>45715</v>
      </c>
      <c r="B6327" t="s" s="11">
        <v>814</v>
      </c>
      <c r="C6327" t="s" s="12">
        <v>901</v>
      </c>
      <c r="D6327" s="13"/>
      <c r="E6327" s="13">
        <v>3000</v>
      </c>
      <c r="F6327" s="14"/>
      <c r="G6327" s="14"/>
      <c r="H6327" s="14"/>
      <c r="I6327" s="14"/>
    </row>
    <row r="6328" ht="20.7" customHeight="1">
      <c r="A6328" s="10">
        <v>45715</v>
      </c>
      <c r="B6328" t="s" s="11">
        <v>8</v>
      </c>
      <c r="C6328" t="s" s="12">
        <v>8</v>
      </c>
      <c r="D6328" s="15" cm="1">
        <f t="array" ref="D6328">SUM(D6326:D6327)</f>
        <v>3000</v>
      </c>
      <c r="E6328" s="15" cm="1">
        <f t="array" ref="E6328">SUM(E6326:E6327)</f>
        <v>3000</v>
      </c>
      <c r="F6328" s="16" cm="1">
        <f t="array" ref="F6328">SUM(F6326:F6327)</f>
        <v>0</v>
      </c>
      <c r="G6328" s="16" cm="1">
        <f t="array" ref="G6328">SUM(G6326:G6327)</f>
        <v>0</v>
      </c>
      <c r="H6328" s="16" cm="1">
        <f t="array" ref="H6328">SUM(H6326:H6327)</f>
        <v>0</v>
      </c>
      <c r="I6328" s="16" cm="1">
        <f t="array" ref="I6328">SUM(I6326:I6327)</f>
        <v>0</v>
      </c>
    </row>
    <row r="6329" ht="20.35" customHeight="1">
      <c r="A6329" s="10">
        <v>45715</v>
      </c>
      <c r="B6329" t="s" s="11">
        <v>91</v>
      </c>
      <c r="C6329" t="s" s="12">
        <v>17</v>
      </c>
      <c r="D6329" s="17"/>
      <c r="E6329" s="17">
        <v>100</v>
      </c>
      <c r="F6329" s="18"/>
      <c r="G6329" s="18"/>
      <c r="H6329" s="18"/>
      <c r="I6329" s="18"/>
    </row>
    <row r="6330" ht="20.35" customHeight="1">
      <c r="A6330" s="10">
        <v>45715</v>
      </c>
      <c r="B6330" t="s" s="11">
        <v>5</v>
      </c>
      <c r="C6330" t="s" s="12">
        <v>17</v>
      </c>
      <c r="D6330" s="13">
        <v>100</v>
      </c>
      <c r="E6330" s="13"/>
      <c r="F6330" s="14"/>
      <c r="G6330" s="14"/>
      <c r="H6330" s="14"/>
      <c r="I6330" s="14"/>
    </row>
    <row r="6331" ht="20.7" customHeight="1">
      <c r="A6331" s="10">
        <v>45715</v>
      </c>
      <c r="B6331" t="s" s="11">
        <v>8</v>
      </c>
      <c r="C6331" t="s" s="12">
        <v>8</v>
      </c>
      <c r="D6331" s="15" cm="1">
        <f t="array" ref="D6331">SUM(D6329:D6330)</f>
        <v>100</v>
      </c>
      <c r="E6331" s="15" cm="1">
        <f t="array" ref="E6331">SUM(E6329:E6330)</f>
        <v>100</v>
      </c>
      <c r="F6331" s="16" cm="1">
        <f t="array" ref="F6331">SUM(F6329:F6330)</f>
        <v>0</v>
      </c>
      <c r="G6331" s="16" cm="1">
        <f t="array" ref="G6331">SUM(G6329:G6330)</f>
        <v>0</v>
      </c>
      <c r="H6331" s="16" cm="1">
        <f t="array" ref="H6331">SUM(H6329:H6330)</f>
        <v>0</v>
      </c>
      <c r="I6331" s="16" cm="1">
        <f t="array" ref="I6331">SUM(I6329:I6330)</f>
        <v>0</v>
      </c>
    </row>
    <row r="6332" ht="20.35" customHeight="1">
      <c r="A6332" s="10">
        <v>45715</v>
      </c>
      <c r="B6332" t="s" s="11">
        <v>5</v>
      </c>
      <c r="C6332" t="s" s="12">
        <v>901</v>
      </c>
      <c r="D6332" s="17"/>
      <c r="E6332" s="17">
        <v>6200</v>
      </c>
      <c r="F6332" s="18"/>
      <c r="G6332" s="18"/>
      <c r="H6332" s="18"/>
      <c r="I6332" s="18"/>
    </row>
    <row r="6333" ht="20.35" customHeight="1">
      <c r="A6333" s="10">
        <v>45715</v>
      </c>
      <c r="B6333" t="s" s="11">
        <v>21</v>
      </c>
      <c r="C6333" t="s" s="12">
        <v>901</v>
      </c>
      <c r="D6333" s="13">
        <v>6200</v>
      </c>
      <c r="E6333" s="13"/>
      <c r="F6333" s="14"/>
      <c r="G6333" s="14"/>
      <c r="H6333" s="14"/>
      <c r="I6333" s="14"/>
    </row>
    <row r="6334" ht="20.7" customHeight="1">
      <c r="A6334" s="10">
        <v>45715</v>
      </c>
      <c r="B6334" t="s" s="11">
        <v>8</v>
      </c>
      <c r="C6334" t="s" s="12">
        <v>8</v>
      </c>
      <c r="D6334" s="15" cm="1">
        <f t="array" ref="D6334">SUM(D6332:D6333)</f>
        <v>6200</v>
      </c>
      <c r="E6334" s="15" cm="1">
        <f t="array" ref="E6334">SUM(E6332:E6333)</f>
        <v>6200</v>
      </c>
      <c r="F6334" s="16" cm="1">
        <f t="array" ref="F6334">SUM(F6332:F6333)</f>
        <v>0</v>
      </c>
      <c r="G6334" s="16" cm="1">
        <f t="array" ref="G6334">SUM(G6332:G6333)</f>
        <v>0</v>
      </c>
      <c r="H6334" s="16" cm="1">
        <f t="array" ref="H6334">SUM(H6332:H6333)</f>
        <v>0</v>
      </c>
      <c r="I6334" s="16" cm="1">
        <f t="array" ref="I6334">SUM(I6332:I6333)</f>
        <v>0</v>
      </c>
    </row>
    <row r="6335" ht="20.35" customHeight="1">
      <c r="A6335" s="10">
        <v>45715</v>
      </c>
      <c r="B6335" t="s" s="11">
        <v>91</v>
      </c>
      <c r="C6335" t="s" s="12">
        <v>17</v>
      </c>
      <c r="D6335" s="17"/>
      <c r="E6335" s="17">
        <v>100</v>
      </c>
      <c r="F6335" s="18"/>
      <c r="G6335" s="18"/>
      <c r="H6335" s="18"/>
      <c r="I6335" s="18"/>
    </row>
    <row r="6336" ht="20.35" customHeight="1">
      <c r="A6336" s="10">
        <v>45715</v>
      </c>
      <c r="B6336" t="s" s="11">
        <v>5</v>
      </c>
      <c r="C6336" t="s" s="12">
        <v>17</v>
      </c>
      <c r="D6336" s="13">
        <v>100</v>
      </c>
      <c r="E6336" s="13"/>
      <c r="F6336" s="14"/>
      <c r="G6336" s="14"/>
      <c r="H6336" s="14"/>
      <c r="I6336" s="14"/>
    </row>
    <row r="6337" ht="20.7" customHeight="1">
      <c r="A6337" s="10">
        <v>45715</v>
      </c>
      <c r="B6337" t="s" s="11">
        <v>8</v>
      </c>
      <c r="C6337" t="s" s="12">
        <v>8</v>
      </c>
      <c r="D6337" s="15" cm="1">
        <f t="array" ref="D6337">SUM(D6335:D6336)</f>
        <v>100</v>
      </c>
      <c r="E6337" s="15" cm="1">
        <f t="array" ref="E6337">SUM(E6335:E6336)</f>
        <v>100</v>
      </c>
      <c r="F6337" s="16" cm="1">
        <f t="array" ref="F6337">SUM(F6335:F6336)</f>
        <v>0</v>
      </c>
      <c r="G6337" s="16" cm="1">
        <f t="array" ref="G6337">SUM(G6335:G6336)</f>
        <v>0</v>
      </c>
      <c r="H6337" s="16" cm="1">
        <f t="array" ref="H6337">SUM(H6335:H6336)</f>
        <v>0</v>
      </c>
      <c r="I6337" s="16" cm="1">
        <f t="array" ref="I6337">SUM(I6335:I6336)</f>
        <v>0</v>
      </c>
    </row>
    <row r="6338" ht="21.25" customHeight="1">
      <c r="A6338" s="10">
        <v>45715</v>
      </c>
      <c r="B6338" t="s" s="11">
        <v>5</v>
      </c>
      <c r="C6338" t="s" s="12">
        <v>930</v>
      </c>
      <c r="D6338" s="17">
        <v>30731</v>
      </c>
      <c r="E6338" s="17"/>
      <c r="F6338" s="18"/>
      <c r="G6338" s="18"/>
      <c r="H6338" s="18"/>
      <c r="I6338" s="18"/>
    </row>
    <row r="6339" ht="21.25" customHeight="1">
      <c r="A6339" s="10">
        <v>45715</v>
      </c>
      <c r="B6339" t="s" s="11">
        <v>843</v>
      </c>
      <c r="C6339" t="s" s="12">
        <v>930</v>
      </c>
      <c r="D6339" s="13"/>
      <c r="E6339" s="13">
        <v>30731</v>
      </c>
      <c r="F6339" s="14"/>
      <c r="G6339" s="14"/>
      <c r="H6339" s="14"/>
      <c r="I6339" s="14"/>
    </row>
    <row r="6340" ht="20.7" customHeight="1">
      <c r="A6340" s="10">
        <v>45715</v>
      </c>
      <c r="B6340" t="s" s="11">
        <v>8</v>
      </c>
      <c r="C6340" t="s" s="12">
        <v>8</v>
      </c>
      <c r="D6340" s="15" cm="1">
        <f t="array" ref="D6340">SUM(D6338:D6339)</f>
        <v>30731</v>
      </c>
      <c r="E6340" s="15" cm="1">
        <f t="array" ref="E6340">SUM(E6338:E6339)</f>
        <v>30731</v>
      </c>
      <c r="F6340" s="16" cm="1">
        <f t="array" ref="F6340">SUM(F6338:F6339)</f>
        <v>0</v>
      </c>
      <c r="G6340" s="16" cm="1">
        <f t="array" ref="G6340">SUM(G6338:G6339)</f>
        <v>0</v>
      </c>
      <c r="H6340" s="16" cm="1">
        <f t="array" ref="H6340">SUM(H6338:H6339)</f>
        <v>0</v>
      </c>
      <c r="I6340" s="16" cm="1">
        <f t="array" ref="I6340">SUM(I6338:I6339)</f>
        <v>0</v>
      </c>
    </row>
    <row r="6341" ht="21.25" customHeight="1">
      <c r="A6341" s="10">
        <v>45715</v>
      </c>
      <c r="B6341" t="s" s="11">
        <v>5</v>
      </c>
      <c r="C6341" t="s" s="12">
        <v>930</v>
      </c>
      <c r="D6341" s="17">
        <v>136</v>
      </c>
      <c r="E6341" s="17"/>
      <c r="F6341" s="18"/>
      <c r="G6341" s="18"/>
      <c r="H6341" s="18"/>
      <c r="I6341" s="18"/>
    </row>
    <row r="6342" ht="21.25" customHeight="1">
      <c r="A6342" s="10">
        <v>45715</v>
      </c>
      <c r="B6342" t="s" s="11">
        <v>814</v>
      </c>
      <c r="C6342" t="s" s="12">
        <v>930</v>
      </c>
      <c r="D6342" s="13"/>
      <c r="E6342" s="13">
        <v>136</v>
      </c>
      <c r="F6342" s="14"/>
      <c r="G6342" s="14"/>
      <c r="H6342" s="14"/>
      <c r="I6342" s="14"/>
    </row>
    <row r="6343" ht="20.7" customHeight="1">
      <c r="A6343" s="10">
        <v>45715</v>
      </c>
      <c r="B6343" t="s" s="11">
        <v>8</v>
      </c>
      <c r="C6343" t="s" s="12">
        <v>8</v>
      </c>
      <c r="D6343" s="15" cm="1">
        <f t="array" ref="D6343">SUM(D6341:D6342)</f>
        <v>136</v>
      </c>
      <c r="E6343" s="15" cm="1">
        <f t="array" ref="E6343">SUM(E6341:E6342)</f>
        <v>136</v>
      </c>
      <c r="F6343" s="16" cm="1">
        <f t="array" ref="F6343">SUM(F6341:F6342)</f>
        <v>0</v>
      </c>
      <c r="G6343" s="16" cm="1">
        <f t="array" ref="G6343">SUM(G6341:G6342)</f>
        <v>0</v>
      </c>
      <c r="H6343" s="16" cm="1">
        <f t="array" ref="H6343">SUM(H6341:H6342)</f>
        <v>0</v>
      </c>
      <c r="I6343" s="16" cm="1">
        <f t="array" ref="I6343">SUM(I6341:I6342)</f>
        <v>0</v>
      </c>
    </row>
    <row r="6344" ht="21.25" customHeight="1">
      <c r="A6344" s="10">
        <v>45715</v>
      </c>
      <c r="B6344" t="s" s="11">
        <v>5</v>
      </c>
      <c r="C6344" t="s" s="12">
        <v>930</v>
      </c>
      <c r="D6344" s="17"/>
      <c r="E6344" s="17">
        <v>18500</v>
      </c>
      <c r="F6344" s="18"/>
      <c r="G6344" s="18"/>
      <c r="H6344" s="18"/>
      <c r="I6344" s="18"/>
    </row>
    <row r="6345" ht="21.25" customHeight="1">
      <c r="A6345" s="10">
        <v>45715</v>
      </c>
      <c r="B6345" t="s" s="11">
        <v>10</v>
      </c>
      <c r="C6345" t="s" s="12">
        <v>930</v>
      </c>
      <c r="D6345" s="13">
        <v>18500</v>
      </c>
      <c r="E6345" s="13"/>
      <c r="F6345" s="14"/>
      <c r="G6345" s="14"/>
      <c r="H6345" s="14"/>
      <c r="I6345" s="14"/>
    </row>
    <row r="6346" ht="20.7" customHeight="1">
      <c r="A6346" s="10">
        <v>45715</v>
      </c>
      <c r="B6346" t="s" s="11">
        <v>8</v>
      </c>
      <c r="C6346" t="s" s="12">
        <v>8</v>
      </c>
      <c r="D6346" s="15" cm="1">
        <f t="array" ref="D6346">SUM(D6344:D6345)</f>
        <v>18500</v>
      </c>
      <c r="E6346" s="15" cm="1">
        <f t="array" ref="E6346">SUM(E6344:E6345)</f>
        <v>18500</v>
      </c>
      <c r="F6346" s="16" cm="1">
        <f t="array" ref="F6346">SUM(F6344:F6345)</f>
        <v>0</v>
      </c>
      <c r="G6346" s="16" cm="1">
        <f t="array" ref="G6346">SUM(G6344:G6345)</f>
        <v>0</v>
      </c>
      <c r="H6346" s="16" cm="1">
        <f t="array" ref="H6346">SUM(H6344:H6345)</f>
        <v>0</v>
      </c>
      <c r="I6346" s="16" cm="1">
        <f t="array" ref="I6346">SUM(I6344:I6345)</f>
        <v>0</v>
      </c>
    </row>
    <row r="6347" ht="20.65" customHeight="1">
      <c r="A6347" s="10">
        <v>45715</v>
      </c>
      <c r="B6347" t="s" s="11">
        <v>5</v>
      </c>
      <c r="C6347" t="s" s="12">
        <v>741</v>
      </c>
      <c r="D6347" s="17"/>
      <c r="E6347" s="17">
        <v>12000</v>
      </c>
      <c r="F6347" s="18"/>
      <c r="G6347" s="18"/>
      <c r="H6347" s="18"/>
      <c r="I6347" s="18"/>
    </row>
    <row r="6348" ht="20.35" customHeight="1">
      <c r="A6348" s="10">
        <v>45715</v>
      </c>
      <c r="B6348" t="s" s="11">
        <v>21</v>
      </c>
      <c r="C6348" t="s" s="12">
        <v>741</v>
      </c>
      <c r="D6348" s="19">
        <v>6000</v>
      </c>
      <c r="E6348" s="19"/>
      <c r="F6348" s="20"/>
      <c r="G6348" s="20"/>
      <c r="H6348" s="20"/>
      <c r="I6348" s="20"/>
    </row>
    <row r="6349" ht="20.65" customHeight="1">
      <c r="A6349" s="10">
        <v>45715</v>
      </c>
      <c r="B6349" t="s" s="11">
        <v>74</v>
      </c>
      <c r="C6349" t="s" s="12">
        <v>741</v>
      </c>
      <c r="D6349" s="13">
        <v>6000</v>
      </c>
      <c r="E6349" s="13"/>
      <c r="F6349" s="14"/>
      <c r="G6349" s="14"/>
      <c r="H6349" s="14"/>
      <c r="I6349" s="14"/>
    </row>
    <row r="6350" ht="20.7" customHeight="1">
      <c r="A6350" s="10">
        <v>45715</v>
      </c>
      <c r="B6350" t="s" s="11">
        <v>8</v>
      </c>
      <c r="C6350" t="s" s="12">
        <v>8</v>
      </c>
      <c r="D6350" s="15" cm="1">
        <f t="array" ref="D6350">SUM(D6347:D6349)</f>
        <v>12000</v>
      </c>
      <c r="E6350" s="15" cm="1">
        <f t="array" ref="E6350">SUM(E6347:E6349)</f>
        <v>12000</v>
      </c>
      <c r="F6350" s="16" cm="1">
        <f t="array" ref="F6350">SUM(F6347:F6349)</f>
        <v>0</v>
      </c>
      <c r="G6350" s="16" cm="1">
        <f t="array" ref="G6350">SUM(G6347:G6349)</f>
        <v>0</v>
      </c>
      <c r="H6350" s="16" cm="1">
        <f t="array" ref="H6350">SUM(H6347:H6349)</f>
        <v>0</v>
      </c>
      <c r="I6350" s="16" cm="1">
        <f t="array" ref="I6350">SUM(I6347:I6349)</f>
        <v>0</v>
      </c>
    </row>
    <row r="6351" ht="20.35" customHeight="1">
      <c r="A6351" s="10">
        <v>45715</v>
      </c>
      <c r="B6351" t="s" s="11">
        <v>5</v>
      </c>
      <c r="C6351" t="s" s="12">
        <v>19</v>
      </c>
      <c r="D6351" s="17"/>
      <c r="E6351" s="17">
        <v>3000</v>
      </c>
      <c r="F6351" s="18"/>
      <c r="G6351" s="18"/>
      <c r="H6351" s="18"/>
      <c r="I6351" s="18"/>
    </row>
    <row r="6352" ht="20.35" customHeight="1">
      <c r="A6352" s="10">
        <v>45715</v>
      </c>
      <c r="B6352" t="s" s="11">
        <v>12</v>
      </c>
      <c r="C6352" t="s" s="12">
        <v>19</v>
      </c>
      <c r="D6352" s="13">
        <v>3000</v>
      </c>
      <c r="E6352" s="13"/>
      <c r="F6352" s="14"/>
      <c r="G6352" s="14"/>
      <c r="H6352" s="14"/>
      <c r="I6352" s="14"/>
    </row>
    <row r="6353" ht="20.7" customHeight="1">
      <c r="A6353" s="10">
        <v>45715</v>
      </c>
      <c r="B6353" t="s" s="11">
        <v>8</v>
      </c>
      <c r="C6353" t="s" s="12">
        <v>8</v>
      </c>
      <c r="D6353" s="15" cm="1">
        <f t="array" ref="D6353">SUM(D6351:D6352)</f>
        <v>3000</v>
      </c>
      <c r="E6353" s="15" cm="1">
        <f t="array" ref="E6353">SUM(E6351:E6352)</f>
        <v>3000</v>
      </c>
      <c r="F6353" s="16" cm="1">
        <f t="array" ref="F6353">SUM(F6351:F6352)</f>
        <v>0</v>
      </c>
      <c r="G6353" s="16" cm="1">
        <f t="array" ref="G6353">SUM(G6351:G6352)</f>
        <v>0</v>
      </c>
      <c r="H6353" s="16" cm="1">
        <f t="array" ref="H6353">SUM(H6351:H6352)</f>
        <v>0</v>
      </c>
      <c r="I6353" s="16" cm="1">
        <f t="array" ref="I6353">SUM(I6351:I6352)</f>
        <v>0</v>
      </c>
    </row>
    <row r="6354" ht="20.35" customHeight="1">
      <c r="A6354" s="10">
        <v>45715</v>
      </c>
      <c r="B6354" t="s" s="11">
        <v>91</v>
      </c>
      <c r="C6354" t="s" s="12">
        <v>17</v>
      </c>
      <c r="D6354" s="17"/>
      <c r="E6354" s="17">
        <v>100</v>
      </c>
      <c r="F6354" s="18"/>
      <c r="G6354" s="18"/>
      <c r="H6354" s="18"/>
      <c r="I6354" s="18"/>
    </row>
    <row r="6355" ht="20.35" customHeight="1">
      <c r="A6355" s="10">
        <v>45715</v>
      </c>
      <c r="B6355" t="s" s="11">
        <v>5</v>
      </c>
      <c r="C6355" t="s" s="12">
        <v>17</v>
      </c>
      <c r="D6355" s="13">
        <v>100</v>
      </c>
      <c r="E6355" s="13"/>
      <c r="F6355" s="14"/>
      <c r="G6355" s="14"/>
      <c r="H6355" s="14"/>
      <c r="I6355" s="14"/>
    </row>
    <row r="6356" ht="20.7" customHeight="1">
      <c r="A6356" s="10">
        <v>45715</v>
      </c>
      <c r="B6356" t="s" s="11">
        <v>8</v>
      </c>
      <c r="C6356" t="s" s="12">
        <v>8</v>
      </c>
      <c r="D6356" s="15" cm="1">
        <f t="array" ref="D6356">SUM(D6354:D6355)</f>
        <v>100</v>
      </c>
      <c r="E6356" s="15" cm="1">
        <f t="array" ref="E6356">SUM(E6354:E6355)</f>
        <v>100</v>
      </c>
      <c r="F6356" s="16" cm="1">
        <f t="array" ref="F6356">SUM(F6354:F6355)</f>
        <v>0</v>
      </c>
      <c r="G6356" s="16" cm="1">
        <f t="array" ref="G6356">SUM(G6354:G6355)</f>
        <v>0</v>
      </c>
      <c r="H6356" s="16" cm="1">
        <f t="array" ref="H6356">SUM(H6354:H6355)</f>
        <v>0</v>
      </c>
      <c r="I6356" s="16" cm="1">
        <f t="array" ref="I6356">SUM(I6354:I6355)</f>
        <v>0</v>
      </c>
    </row>
    <row r="6357" ht="21.25" customHeight="1">
      <c r="A6357" s="10">
        <v>45715</v>
      </c>
      <c r="B6357" t="s" s="11">
        <v>5</v>
      </c>
      <c r="C6357" t="s" s="12">
        <v>799</v>
      </c>
      <c r="D6357" s="17">
        <v>2</v>
      </c>
      <c r="E6357" s="17"/>
      <c r="F6357" s="18"/>
      <c r="G6357" s="18"/>
      <c r="H6357" s="18"/>
      <c r="I6357" s="18"/>
    </row>
    <row r="6358" ht="21.25" customHeight="1">
      <c r="A6358" s="10">
        <v>45715</v>
      </c>
      <c r="B6358" t="s" s="11">
        <v>91</v>
      </c>
      <c r="C6358" t="s" s="12">
        <v>799</v>
      </c>
      <c r="D6358" s="13"/>
      <c r="E6358" s="13">
        <v>2</v>
      </c>
      <c r="F6358" s="14"/>
      <c r="G6358" s="14"/>
      <c r="H6358" s="14"/>
      <c r="I6358" s="14"/>
    </row>
    <row r="6359" ht="20.7" customHeight="1">
      <c r="A6359" s="10">
        <v>45715</v>
      </c>
      <c r="B6359" t="s" s="11">
        <v>8</v>
      </c>
      <c r="C6359" t="s" s="12">
        <v>8</v>
      </c>
      <c r="D6359" s="15" cm="1">
        <f t="array" ref="D6359">SUM(D6357:D6358)</f>
        <v>2</v>
      </c>
      <c r="E6359" s="15" cm="1">
        <f t="array" ref="E6359">SUM(E6357:E6358)</f>
        <v>2</v>
      </c>
      <c r="F6359" s="16" cm="1">
        <f t="array" ref="F6359">SUM(F6357:F6358)</f>
        <v>0</v>
      </c>
      <c r="G6359" s="16" cm="1">
        <f t="array" ref="G6359">SUM(G6357:G6358)</f>
        <v>0</v>
      </c>
      <c r="H6359" s="16" cm="1">
        <f t="array" ref="H6359">SUM(H6357:H6358)</f>
        <v>0</v>
      </c>
      <c r="I6359" s="16" cm="1">
        <f t="array" ref="I6359">SUM(I6357:I6358)</f>
        <v>0</v>
      </c>
    </row>
    <row r="6360" ht="21.25" customHeight="1">
      <c r="A6360" s="10">
        <v>45715</v>
      </c>
      <c r="B6360" t="s" s="11">
        <v>5</v>
      </c>
      <c r="C6360" t="s" s="12">
        <v>799</v>
      </c>
      <c r="D6360" s="17">
        <v>2</v>
      </c>
      <c r="E6360" s="17"/>
      <c r="F6360" s="18"/>
      <c r="G6360" s="18"/>
      <c r="H6360" s="18"/>
      <c r="I6360" s="18"/>
    </row>
    <row r="6361" ht="21.25" customHeight="1">
      <c r="A6361" s="10">
        <v>45715</v>
      </c>
      <c r="B6361" t="s" s="11">
        <v>91</v>
      </c>
      <c r="C6361" t="s" s="12">
        <v>799</v>
      </c>
      <c r="D6361" s="13"/>
      <c r="E6361" s="13">
        <v>2</v>
      </c>
      <c r="F6361" s="14"/>
      <c r="G6361" s="14"/>
      <c r="H6361" s="14"/>
      <c r="I6361" s="14"/>
    </row>
    <row r="6362" ht="20.7" customHeight="1">
      <c r="A6362" s="10">
        <v>45715</v>
      </c>
      <c r="B6362" t="s" s="11">
        <v>8</v>
      </c>
      <c r="C6362" t="s" s="12">
        <v>8</v>
      </c>
      <c r="D6362" s="15" cm="1">
        <f t="array" ref="D6362">SUM(D6360:D6361)</f>
        <v>2</v>
      </c>
      <c r="E6362" s="15" cm="1">
        <f t="array" ref="E6362">SUM(E6360:E6361)</f>
        <v>2</v>
      </c>
      <c r="F6362" s="16" cm="1">
        <f t="array" ref="F6362">SUM(F6360:F6361)</f>
        <v>0</v>
      </c>
      <c r="G6362" s="16" cm="1">
        <f t="array" ref="G6362">SUM(G6360:G6361)</f>
        <v>0</v>
      </c>
      <c r="H6362" s="16" cm="1">
        <f t="array" ref="H6362">SUM(H6360:H6361)</f>
        <v>0</v>
      </c>
      <c r="I6362" s="16" cm="1">
        <f t="array" ref="I6362">SUM(I6360:I6361)</f>
        <v>0</v>
      </c>
    </row>
    <row r="6363" ht="21.25" customHeight="1">
      <c r="A6363" s="10">
        <v>45715</v>
      </c>
      <c r="B6363" t="s" s="11">
        <v>5</v>
      </c>
      <c r="C6363" t="s" s="12">
        <v>799</v>
      </c>
      <c r="D6363" s="17">
        <v>10</v>
      </c>
      <c r="E6363" s="17"/>
      <c r="F6363" s="18"/>
      <c r="G6363" s="18"/>
      <c r="H6363" s="18"/>
      <c r="I6363" s="18"/>
    </row>
    <row r="6364" ht="21.25" customHeight="1">
      <c r="A6364" s="10">
        <v>45715</v>
      </c>
      <c r="B6364" t="s" s="11">
        <v>91</v>
      </c>
      <c r="C6364" t="s" s="12">
        <v>799</v>
      </c>
      <c r="D6364" s="13"/>
      <c r="E6364" s="13">
        <v>10</v>
      </c>
      <c r="F6364" s="14"/>
      <c r="G6364" s="14"/>
      <c r="H6364" s="14"/>
      <c r="I6364" s="14"/>
    </row>
    <row r="6365" ht="20.7" customHeight="1">
      <c r="A6365" s="10">
        <v>45715</v>
      </c>
      <c r="B6365" t="s" s="11">
        <v>8</v>
      </c>
      <c r="C6365" t="s" s="12">
        <v>8</v>
      </c>
      <c r="D6365" s="15" cm="1">
        <f t="array" ref="D6365">SUM(D6363:D6364)</f>
        <v>10</v>
      </c>
      <c r="E6365" s="15" cm="1">
        <f t="array" ref="E6365">SUM(E6363:E6364)</f>
        <v>10</v>
      </c>
      <c r="F6365" s="16" cm="1">
        <f t="array" ref="F6365">SUM(F6363:F6364)</f>
        <v>0</v>
      </c>
      <c r="G6365" s="16" cm="1">
        <f t="array" ref="G6365">SUM(G6363:G6364)</f>
        <v>0</v>
      </c>
      <c r="H6365" s="16" cm="1">
        <f t="array" ref="H6365">SUM(H6363:H6364)</f>
        <v>0</v>
      </c>
      <c r="I6365" s="16" cm="1">
        <f t="array" ref="I6365">SUM(I6363:I6364)</f>
        <v>0</v>
      </c>
    </row>
    <row r="6366" ht="21.25" customHeight="1">
      <c r="A6366" s="10">
        <v>45715</v>
      </c>
      <c r="B6366" t="s" s="11">
        <v>5</v>
      </c>
      <c r="C6366" t="s" s="12">
        <v>799</v>
      </c>
      <c r="D6366" s="17">
        <v>2</v>
      </c>
      <c r="E6366" s="17"/>
      <c r="F6366" s="18"/>
      <c r="G6366" s="18"/>
      <c r="H6366" s="18"/>
      <c r="I6366" s="18"/>
    </row>
    <row r="6367" ht="21.25" customHeight="1">
      <c r="A6367" s="10">
        <v>45715</v>
      </c>
      <c r="B6367" t="s" s="11">
        <v>91</v>
      </c>
      <c r="C6367" t="s" s="12">
        <v>799</v>
      </c>
      <c r="D6367" s="13"/>
      <c r="E6367" s="13">
        <v>2</v>
      </c>
      <c r="F6367" s="14"/>
      <c r="G6367" s="14"/>
      <c r="H6367" s="14"/>
      <c r="I6367" s="14"/>
    </row>
    <row r="6368" ht="20.7" customHeight="1">
      <c r="A6368" s="10">
        <v>45715</v>
      </c>
      <c r="B6368" t="s" s="11">
        <v>8</v>
      </c>
      <c r="C6368" t="s" s="12">
        <v>8</v>
      </c>
      <c r="D6368" s="15" cm="1">
        <f t="array" ref="D6368">SUM(D6366:D6367)</f>
        <v>2</v>
      </c>
      <c r="E6368" s="15" cm="1">
        <f t="array" ref="E6368">SUM(E6366:E6367)</f>
        <v>2</v>
      </c>
      <c r="F6368" s="16" cm="1">
        <f t="array" ref="F6368">SUM(F6366:F6367)</f>
        <v>0</v>
      </c>
      <c r="G6368" s="16" cm="1">
        <f t="array" ref="G6368">SUM(G6366:G6367)</f>
        <v>0</v>
      </c>
      <c r="H6368" s="16" cm="1">
        <f t="array" ref="H6368">SUM(H6366:H6367)</f>
        <v>0</v>
      </c>
      <c r="I6368" s="16" cm="1">
        <f t="array" ref="I6368">SUM(I6366:I6367)</f>
        <v>0</v>
      </c>
    </row>
    <row r="6369" ht="21.25" customHeight="1">
      <c r="A6369" s="10">
        <v>45715</v>
      </c>
      <c r="B6369" t="s" s="11">
        <v>21</v>
      </c>
      <c r="C6369" t="s" s="12">
        <v>927</v>
      </c>
      <c r="D6369" s="17"/>
      <c r="E6369" s="17">
        <v>1600</v>
      </c>
      <c r="F6369" s="18"/>
      <c r="G6369" s="18"/>
      <c r="H6369" s="18"/>
      <c r="I6369" s="18"/>
    </row>
    <row r="6370" ht="21.25" customHeight="1">
      <c r="A6370" s="10">
        <v>45715</v>
      </c>
      <c r="B6370" t="s" s="11">
        <v>16</v>
      </c>
      <c r="C6370" t="s" s="12">
        <v>927</v>
      </c>
      <c r="D6370" s="13">
        <v>1600</v>
      </c>
      <c r="E6370" s="13"/>
      <c r="F6370" s="14"/>
      <c r="G6370" s="14"/>
      <c r="H6370" s="14"/>
      <c r="I6370" s="14"/>
    </row>
    <row r="6371" ht="20.7" customHeight="1">
      <c r="A6371" s="10">
        <v>45715</v>
      </c>
      <c r="B6371" t="s" s="11">
        <v>8</v>
      </c>
      <c r="C6371" t="s" s="12">
        <v>8</v>
      </c>
      <c r="D6371" s="15" cm="1">
        <f t="array" ref="D6371">SUM(D6369:D6370)</f>
        <v>1600</v>
      </c>
      <c r="E6371" s="15" cm="1">
        <f t="array" ref="E6371">SUM(E6369:E6370)</f>
        <v>1600</v>
      </c>
      <c r="F6371" s="16" cm="1">
        <f t="array" ref="F6371">SUM(F6369:F6370)</f>
        <v>0</v>
      </c>
      <c r="G6371" s="16" cm="1">
        <f t="array" ref="G6371">SUM(G6369:G6370)</f>
        <v>0</v>
      </c>
      <c r="H6371" s="16" cm="1">
        <f t="array" ref="H6371">SUM(H6369:H6370)</f>
        <v>0</v>
      </c>
      <c r="I6371" s="16" cm="1">
        <f t="array" ref="I6371">SUM(I6369:I6370)</f>
        <v>0</v>
      </c>
    </row>
    <row r="6372" ht="20.35" customHeight="1">
      <c r="A6372" s="10">
        <v>45716</v>
      </c>
      <c r="B6372" t="s" s="11">
        <v>107</v>
      </c>
      <c r="C6372" t="s" s="12">
        <v>931</v>
      </c>
      <c r="D6372" s="17">
        <v>67600</v>
      </c>
      <c r="E6372" s="17"/>
      <c r="F6372" s="18"/>
      <c r="G6372" s="18"/>
      <c r="H6372" s="18"/>
      <c r="I6372" s="18"/>
    </row>
    <row r="6373" ht="20.35" customHeight="1">
      <c r="A6373" s="10">
        <v>45716</v>
      </c>
      <c r="B6373" t="s" s="11">
        <v>10</v>
      </c>
      <c r="C6373" t="s" s="12">
        <v>931</v>
      </c>
      <c r="D6373" s="13"/>
      <c r="E6373" s="13">
        <v>67600</v>
      </c>
      <c r="F6373" s="14"/>
      <c r="G6373" s="14"/>
      <c r="H6373" s="14"/>
      <c r="I6373" s="14"/>
    </row>
    <row r="6374" ht="20.7" customHeight="1">
      <c r="A6374" s="10">
        <v>45716</v>
      </c>
      <c r="B6374" t="s" s="11">
        <v>8</v>
      </c>
      <c r="C6374" t="s" s="12">
        <v>8</v>
      </c>
      <c r="D6374" s="15" cm="1">
        <f t="array" ref="D6374">SUM(D6372:D6373)</f>
        <v>67600</v>
      </c>
      <c r="E6374" s="15" cm="1">
        <f t="array" ref="E6374">SUM(E6372:E6373)</f>
        <v>67600</v>
      </c>
      <c r="F6374" s="16" cm="1">
        <f t="array" ref="F6374">SUM(F6372:F6373)</f>
        <v>0</v>
      </c>
      <c r="G6374" s="16" cm="1">
        <f t="array" ref="G6374">SUM(G6372:G6373)</f>
        <v>0</v>
      </c>
      <c r="H6374" s="16" cm="1">
        <f t="array" ref="H6374">SUM(H6372:H6373)</f>
        <v>0</v>
      </c>
      <c r="I6374" s="16" cm="1">
        <f t="array" ref="I6374">SUM(I6372:I6373)</f>
        <v>0</v>
      </c>
    </row>
    <row r="6375" ht="20.35" customHeight="1">
      <c r="A6375" s="10">
        <v>45716</v>
      </c>
      <c r="B6375" t="s" s="11">
        <v>107</v>
      </c>
      <c r="C6375" t="s" s="12">
        <v>909</v>
      </c>
      <c r="D6375" s="17"/>
      <c r="E6375" s="17">
        <v>2900</v>
      </c>
      <c r="F6375" s="18"/>
      <c r="G6375" s="18"/>
      <c r="H6375" s="18"/>
      <c r="I6375" s="18"/>
    </row>
    <row r="6376" ht="20.35" customHeight="1">
      <c r="A6376" s="10">
        <v>45716</v>
      </c>
      <c r="B6376" t="s" s="11">
        <v>10</v>
      </c>
      <c r="C6376" t="s" s="12">
        <v>909</v>
      </c>
      <c r="D6376" s="13">
        <v>2900</v>
      </c>
      <c r="E6376" s="13"/>
      <c r="F6376" s="14"/>
      <c r="G6376" s="14"/>
      <c r="H6376" s="14"/>
      <c r="I6376" s="14"/>
    </row>
    <row r="6377" ht="20.7" customHeight="1">
      <c r="A6377" s="10">
        <v>45716</v>
      </c>
      <c r="B6377" t="s" s="11">
        <v>8</v>
      </c>
      <c r="C6377" t="s" s="12">
        <v>8</v>
      </c>
      <c r="D6377" s="15" cm="1">
        <f t="array" ref="D6377">SUM(D6375:D6376)</f>
        <v>2900</v>
      </c>
      <c r="E6377" s="15" cm="1">
        <f t="array" ref="E6377">SUM(E6375:E6376)</f>
        <v>2900</v>
      </c>
      <c r="F6377" s="16" cm="1">
        <f t="array" ref="F6377">SUM(F6375:F6376)</f>
        <v>0</v>
      </c>
      <c r="G6377" s="16" cm="1">
        <f t="array" ref="G6377">SUM(G6375:G6376)</f>
        <v>0</v>
      </c>
      <c r="H6377" s="16" cm="1">
        <f t="array" ref="H6377">SUM(H6375:H6376)</f>
        <v>0</v>
      </c>
      <c r="I6377" s="16" cm="1">
        <f t="array" ref="I6377">SUM(I6375:I6376)</f>
        <v>0</v>
      </c>
    </row>
    <row r="6378" ht="20.65" customHeight="1">
      <c r="A6378" s="10">
        <v>45716</v>
      </c>
      <c r="B6378" t="s" s="11">
        <v>5</v>
      </c>
      <c r="C6378" t="s" s="12">
        <v>932</v>
      </c>
      <c r="D6378" s="17">
        <v>435150</v>
      </c>
      <c r="E6378" s="17"/>
      <c r="F6378" s="18"/>
      <c r="G6378" s="18"/>
      <c r="H6378" s="18"/>
      <c r="I6378" s="18"/>
    </row>
    <row r="6379" ht="20.65" customHeight="1">
      <c r="A6379" s="10">
        <v>45716</v>
      </c>
      <c r="B6379" t="s" s="11">
        <v>91</v>
      </c>
      <c r="C6379" t="s" s="12">
        <v>932</v>
      </c>
      <c r="D6379" s="13"/>
      <c r="E6379" s="13">
        <v>435150</v>
      </c>
      <c r="F6379" s="14"/>
      <c r="G6379" s="14"/>
      <c r="H6379" s="14"/>
      <c r="I6379" s="14"/>
    </row>
    <row r="6380" ht="20.7" customHeight="1">
      <c r="A6380" s="10">
        <v>45716</v>
      </c>
      <c r="B6380" t="s" s="11">
        <v>8</v>
      </c>
      <c r="C6380" t="s" s="12">
        <v>8</v>
      </c>
      <c r="D6380" s="15" cm="1">
        <f t="array" ref="D6380">SUM(D6378:D6379)</f>
        <v>435150</v>
      </c>
      <c r="E6380" s="15" cm="1">
        <f t="array" ref="E6380">SUM(E6378:E6379)</f>
        <v>435150</v>
      </c>
      <c r="F6380" s="16" cm="1">
        <f t="array" ref="F6380">SUM(F6378:F6379)</f>
        <v>0</v>
      </c>
      <c r="G6380" s="16" cm="1">
        <f t="array" ref="G6380">SUM(G6378:G6379)</f>
        <v>0</v>
      </c>
      <c r="H6380" s="16" cm="1">
        <f t="array" ref="H6380">SUM(H6378:H6379)</f>
        <v>0</v>
      </c>
      <c r="I6380" s="16" cm="1">
        <f t="array" ref="I6380">SUM(I6378:I6379)</f>
        <v>0</v>
      </c>
    </row>
    <row r="6381" ht="20.35" customHeight="1">
      <c r="A6381" s="10">
        <v>45716</v>
      </c>
      <c r="B6381" t="s" s="11">
        <v>5</v>
      </c>
      <c r="C6381" t="s" s="12">
        <v>933</v>
      </c>
      <c r="D6381" s="17"/>
      <c r="E6381" s="17">
        <v>72330</v>
      </c>
      <c r="F6381" s="18"/>
      <c r="G6381" s="18"/>
      <c r="H6381" s="18"/>
      <c r="I6381" s="18"/>
    </row>
    <row r="6382" ht="20.35" customHeight="1">
      <c r="A6382" s="10">
        <v>45716</v>
      </c>
      <c r="B6382" t="s" s="11">
        <v>10</v>
      </c>
      <c r="C6382" t="s" s="12">
        <v>933</v>
      </c>
      <c r="D6382" s="13">
        <v>72330</v>
      </c>
      <c r="E6382" s="13"/>
      <c r="F6382" s="14"/>
      <c r="G6382" s="14"/>
      <c r="H6382" s="14"/>
      <c r="I6382" s="14"/>
    </row>
    <row r="6383" ht="20.7" customHeight="1">
      <c r="A6383" s="10">
        <v>45716</v>
      </c>
      <c r="B6383" t="s" s="11">
        <v>8</v>
      </c>
      <c r="C6383" t="s" s="12">
        <v>8</v>
      </c>
      <c r="D6383" s="15" cm="1">
        <f t="array" ref="D6383">SUM(D6381:D6382)</f>
        <v>72330</v>
      </c>
      <c r="E6383" s="15" cm="1">
        <f t="array" ref="E6383">SUM(E6381:E6382)</f>
        <v>72330</v>
      </c>
      <c r="F6383" s="16" cm="1">
        <f t="array" ref="F6383">SUM(F6381:F6382)</f>
        <v>0</v>
      </c>
      <c r="G6383" s="16" cm="1">
        <f t="array" ref="G6383">SUM(G6381:G6382)</f>
        <v>0</v>
      </c>
      <c r="H6383" s="16" cm="1">
        <f t="array" ref="H6383">SUM(H6381:H6382)</f>
        <v>0</v>
      </c>
      <c r="I6383" s="16" cm="1">
        <f t="array" ref="I6383">SUM(I6381:I6382)</f>
        <v>0</v>
      </c>
    </row>
    <row r="6384" ht="20.35" customHeight="1">
      <c r="A6384" s="10">
        <v>45716</v>
      </c>
      <c r="B6384" t="s" s="11">
        <v>5</v>
      </c>
      <c r="C6384" t="s" s="12">
        <v>899</v>
      </c>
      <c r="D6384" s="17"/>
      <c r="E6384" s="17">
        <v>150000</v>
      </c>
      <c r="F6384" s="18"/>
      <c r="G6384" s="18"/>
      <c r="H6384" s="18"/>
      <c r="I6384" s="18"/>
    </row>
    <row r="6385" ht="20.35" customHeight="1">
      <c r="A6385" s="10">
        <v>45716</v>
      </c>
      <c r="B6385" t="s" s="11">
        <v>21</v>
      </c>
      <c r="C6385" t="s" s="12">
        <v>899</v>
      </c>
      <c r="D6385" s="13">
        <v>150000</v>
      </c>
      <c r="E6385" s="13"/>
      <c r="F6385" s="14"/>
      <c r="G6385" s="14"/>
      <c r="H6385" s="14"/>
      <c r="I6385" s="14"/>
    </row>
    <row r="6386" ht="20.7" customHeight="1">
      <c r="A6386" s="10">
        <v>45716</v>
      </c>
      <c r="B6386" t="s" s="11">
        <v>8</v>
      </c>
      <c r="C6386" t="s" s="12">
        <v>8</v>
      </c>
      <c r="D6386" s="15" cm="1">
        <f t="array" ref="D6386">SUM(D6384:D6385)</f>
        <v>150000</v>
      </c>
      <c r="E6386" s="15" cm="1">
        <f t="array" ref="E6386">SUM(E6384:E6385)</f>
        <v>150000</v>
      </c>
      <c r="F6386" s="16" cm="1">
        <f t="array" ref="F6386">SUM(F6384:F6385)</f>
        <v>0</v>
      </c>
      <c r="G6386" s="16" cm="1">
        <f t="array" ref="G6386">SUM(G6384:G6385)</f>
        <v>0</v>
      </c>
      <c r="H6386" s="16" cm="1">
        <f t="array" ref="H6386">SUM(H6384:H6385)</f>
        <v>0</v>
      </c>
      <c r="I6386" s="16" cm="1">
        <f t="array" ref="I6386">SUM(I6384:I6385)</f>
        <v>0</v>
      </c>
    </row>
    <row r="6387" ht="20.35" customHeight="1">
      <c r="A6387" s="10">
        <v>45716</v>
      </c>
      <c r="B6387" t="s" s="11">
        <v>107</v>
      </c>
      <c r="C6387" t="s" s="12">
        <v>96</v>
      </c>
      <c r="D6387" s="17"/>
      <c r="E6387" s="17">
        <v>64700</v>
      </c>
      <c r="F6387" s="18"/>
      <c r="G6387" s="18"/>
      <c r="H6387" s="18"/>
      <c r="I6387" s="18"/>
    </row>
    <row r="6388" ht="20.35" customHeight="1">
      <c r="A6388" s="10">
        <v>45716</v>
      </c>
      <c r="B6388" t="s" s="11">
        <v>5</v>
      </c>
      <c r="C6388" t="s" s="12">
        <v>96</v>
      </c>
      <c r="D6388" s="13">
        <v>64700</v>
      </c>
      <c r="E6388" s="13"/>
      <c r="F6388" s="14"/>
      <c r="G6388" s="14"/>
      <c r="H6388" s="14"/>
      <c r="I6388" s="14"/>
    </row>
    <row r="6389" ht="20.7" customHeight="1">
      <c r="A6389" s="10">
        <v>45716</v>
      </c>
      <c r="B6389" t="s" s="11">
        <v>8</v>
      </c>
      <c r="C6389" t="s" s="12">
        <v>8</v>
      </c>
      <c r="D6389" s="15" cm="1">
        <f t="array" ref="D6389">SUM(D6387:D6388)</f>
        <v>64700</v>
      </c>
      <c r="E6389" s="15" cm="1">
        <f t="array" ref="E6389">SUM(E6387:E6388)</f>
        <v>64700</v>
      </c>
      <c r="F6389" s="16" cm="1">
        <f t="array" ref="F6389">SUM(F6387:F6388)</f>
        <v>0</v>
      </c>
      <c r="G6389" s="16" cm="1">
        <f t="array" ref="G6389">SUM(G6387:G6388)</f>
        <v>0</v>
      </c>
      <c r="H6389" s="16" cm="1">
        <f t="array" ref="H6389">SUM(H6387:H6388)</f>
        <v>0</v>
      </c>
      <c r="I6389" s="16" cm="1">
        <f t="array" ref="I6389">SUM(I6387:I6388)</f>
        <v>0</v>
      </c>
    </row>
    <row r="6390" ht="20.35" customHeight="1">
      <c r="A6390" s="10">
        <v>45716</v>
      </c>
      <c r="B6390" t="s" s="11">
        <v>5</v>
      </c>
      <c r="C6390" t="s" s="12">
        <v>439</v>
      </c>
      <c r="D6390" s="17"/>
      <c r="E6390" s="17">
        <v>20000</v>
      </c>
      <c r="F6390" s="18"/>
      <c r="G6390" s="18"/>
      <c r="H6390" s="18"/>
      <c r="I6390" s="18"/>
    </row>
    <row r="6391" ht="20.35" customHeight="1">
      <c r="A6391" s="10">
        <v>45716</v>
      </c>
      <c r="B6391" t="s" s="11">
        <v>121</v>
      </c>
      <c r="C6391" t="s" s="12">
        <v>439</v>
      </c>
      <c r="D6391" s="13">
        <v>20000</v>
      </c>
      <c r="E6391" s="13"/>
      <c r="F6391" s="14"/>
      <c r="G6391" s="14"/>
      <c r="H6391" s="14"/>
      <c r="I6391" s="14"/>
    </row>
    <row r="6392" ht="20.7" customHeight="1">
      <c r="A6392" s="10">
        <v>45716</v>
      </c>
      <c r="B6392" t="s" s="11">
        <v>8</v>
      </c>
      <c r="C6392" t="s" s="12">
        <v>8</v>
      </c>
      <c r="D6392" s="15" cm="1">
        <f t="array" ref="D6392">SUM(D6390:D6391)</f>
        <v>20000</v>
      </c>
      <c r="E6392" s="15" cm="1">
        <f t="array" ref="E6392">SUM(E6390:E6391)</f>
        <v>20000</v>
      </c>
      <c r="F6392" s="16" cm="1">
        <f t="array" ref="F6392">SUM(F6390:F6391)</f>
        <v>0</v>
      </c>
      <c r="G6392" s="16" cm="1">
        <f t="array" ref="G6392">SUM(G6390:G6391)</f>
        <v>0</v>
      </c>
      <c r="H6392" s="16" cm="1">
        <f t="array" ref="H6392">SUM(H6390:H6391)</f>
        <v>0</v>
      </c>
      <c r="I6392" s="16" cm="1">
        <f t="array" ref="I6392">SUM(I6390:I6391)</f>
        <v>0</v>
      </c>
    </row>
    <row r="6393" ht="20.35" customHeight="1">
      <c r="A6393" s="10">
        <v>45716</v>
      </c>
      <c r="B6393" t="s" s="11">
        <v>121</v>
      </c>
      <c r="C6393" t="s" s="12">
        <v>934</v>
      </c>
      <c r="D6393" s="17"/>
      <c r="E6393" s="17">
        <v>10000</v>
      </c>
      <c r="F6393" s="18"/>
      <c r="G6393" s="18"/>
      <c r="H6393" s="18"/>
      <c r="I6393" s="18"/>
    </row>
    <row r="6394" ht="20.35" customHeight="1">
      <c r="A6394" s="10">
        <v>45716</v>
      </c>
      <c r="B6394" t="s" s="11">
        <v>786</v>
      </c>
      <c r="C6394" t="s" s="12">
        <v>934</v>
      </c>
      <c r="D6394" s="13">
        <v>10000</v>
      </c>
      <c r="E6394" s="13"/>
      <c r="F6394" s="14"/>
      <c r="G6394" s="14"/>
      <c r="H6394" s="14"/>
      <c r="I6394" s="14"/>
    </row>
    <row r="6395" ht="20.7" customHeight="1">
      <c r="A6395" s="10">
        <v>45716</v>
      </c>
      <c r="B6395" t="s" s="11">
        <v>8</v>
      </c>
      <c r="C6395" t="s" s="12">
        <v>8</v>
      </c>
      <c r="D6395" s="15" cm="1">
        <f t="array" ref="D6395">SUM(D6393:D6394)</f>
        <v>10000</v>
      </c>
      <c r="E6395" s="15" cm="1">
        <f t="array" ref="E6395">SUM(E6393:E6394)</f>
        <v>10000</v>
      </c>
      <c r="F6395" s="16" cm="1">
        <f t="array" ref="F6395">SUM(F6393:F6394)</f>
        <v>0</v>
      </c>
      <c r="G6395" s="16" cm="1">
        <f t="array" ref="G6395">SUM(G6393:G6394)</f>
        <v>0</v>
      </c>
      <c r="H6395" s="16" cm="1">
        <f t="array" ref="H6395">SUM(H6393:H6394)</f>
        <v>0</v>
      </c>
      <c r="I6395" s="16" cm="1">
        <f t="array" ref="I6395">SUM(I6393:I6394)</f>
        <v>0</v>
      </c>
    </row>
    <row r="6396" ht="20.35" customHeight="1">
      <c r="A6396" s="10">
        <v>45716</v>
      </c>
      <c r="B6396" t="s" s="11">
        <v>121</v>
      </c>
      <c r="C6396" t="s" s="12">
        <v>934</v>
      </c>
      <c r="D6396" s="17"/>
      <c r="E6396" s="17">
        <v>10000</v>
      </c>
      <c r="F6396" s="18"/>
      <c r="G6396" s="18"/>
      <c r="H6396" s="18"/>
      <c r="I6396" s="18"/>
    </row>
    <row r="6397" ht="20.35" customHeight="1">
      <c r="A6397" s="10">
        <v>45716</v>
      </c>
      <c r="B6397" t="s" s="11">
        <v>788</v>
      </c>
      <c r="C6397" t="s" s="12">
        <v>934</v>
      </c>
      <c r="D6397" s="13">
        <v>10000</v>
      </c>
      <c r="E6397" s="13"/>
      <c r="F6397" s="14"/>
      <c r="G6397" s="14"/>
      <c r="H6397" s="14"/>
      <c r="I6397" s="14"/>
    </row>
    <row r="6398" ht="20.7" customHeight="1">
      <c r="A6398" s="10">
        <v>45716</v>
      </c>
      <c r="B6398" t="s" s="11">
        <v>8</v>
      </c>
      <c r="C6398" t="s" s="12">
        <v>8</v>
      </c>
      <c r="D6398" s="15" cm="1">
        <f t="array" ref="D6398">SUM(D6396:D6397)</f>
        <v>10000</v>
      </c>
      <c r="E6398" s="15" cm="1">
        <f t="array" ref="E6398">SUM(E6396:E6397)</f>
        <v>10000</v>
      </c>
      <c r="F6398" s="16" cm="1">
        <f t="array" ref="F6398">SUM(F6396:F6397)</f>
        <v>0</v>
      </c>
      <c r="G6398" s="16" cm="1">
        <f t="array" ref="G6398">SUM(G6396:G6397)</f>
        <v>0</v>
      </c>
      <c r="H6398" s="16" cm="1">
        <f t="array" ref="H6398">SUM(H6396:H6397)</f>
        <v>0</v>
      </c>
      <c r="I6398" s="16" cm="1">
        <f t="array" ref="I6398">SUM(I6396:I6397)</f>
        <v>0</v>
      </c>
    </row>
    <row r="6399" ht="20.35" customHeight="1">
      <c r="A6399" s="10">
        <v>45716</v>
      </c>
      <c r="B6399" t="s" s="11">
        <v>5</v>
      </c>
      <c r="C6399" t="s" s="12">
        <v>439</v>
      </c>
      <c r="D6399" s="17"/>
      <c r="E6399" s="17">
        <v>10000</v>
      </c>
      <c r="F6399" s="18"/>
      <c r="G6399" s="18"/>
      <c r="H6399" s="18"/>
      <c r="I6399" s="18"/>
    </row>
    <row r="6400" ht="20.35" customHeight="1">
      <c r="A6400" s="10">
        <v>45716</v>
      </c>
      <c r="B6400" t="s" s="11">
        <v>121</v>
      </c>
      <c r="C6400" t="s" s="12">
        <v>439</v>
      </c>
      <c r="D6400" s="13">
        <v>10000</v>
      </c>
      <c r="E6400" s="13"/>
      <c r="F6400" s="14"/>
      <c r="G6400" s="14"/>
      <c r="H6400" s="14"/>
      <c r="I6400" s="14"/>
    </row>
    <row r="6401" ht="20.7" customHeight="1">
      <c r="A6401" s="10">
        <v>45716</v>
      </c>
      <c r="B6401" t="s" s="11">
        <v>8</v>
      </c>
      <c r="C6401" t="s" s="12">
        <v>8</v>
      </c>
      <c r="D6401" s="15" cm="1">
        <f t="array" ref="D6401">SUM(D6399:D6400)</f>
        <v>10000</v>
      </c>
      <c r="E6401" s="15" cm="1">
        <f t="array" ref="E6401">SUM(E6399:E6400)</f>
        <v>10000</v>
      </c>
      <c r="F6401" s="16" cm="1">
        <f t="array" ref="F6401">SUM(F6399:F6400)</f>
        <v>0</v>
      </c>
      <c r="G6401" s="16" cm="1">
        <f t="array" ref="G6401">SUM(G6399:G6400)</f>
        <v>0</v>
      </c>
      <c r="H6401" s="16" cm="1">
        <f t="array" ref="H6401">SUM(H6399:H6400)</f>
        <v>0</v>
      </c>
      <c r="I6401" s="16" cm="1">
        <f t="array" ref="I6401">SUM(I6399:I6400)</f>
        <v>0</v>
      </c>
    </row>
    <row r="6402" ht="20.35" customHeight="1">
      <c r="A6402" s="10">
        <v>45716</v>
      </c>
      <c r="B6402" t="s" s="11">
        <v>121</v>
      </c>
      <c r="C6402" t="s" s="12">
        <v>934</v>
      </c>
      <c r="D6402" s="17"/>
      <c r="E6402" s="17">
        <v>10000</v>
      </c>
      <c r="F6402" s="18"/>
      <c r="G6402" s="18"/>
      <c r="H6402" s="18"/>
      <c r="I6402" s="18"/>
    </row>
    <row r="6403" ht="20.35" customHeight="1">
      <c r="A6403" s="10">
        <v>45716</v>
      </c>
      <c r="B6403" t="s" s="11">
        <v>786</v>
      </c>
      <c r="C6403" t="s" s="12">
        <v>934</v>
      </c>
      <c r="D6403" s="13">
        <v>10000</v>
      </c>
      <c r="E6403" s="13"/>
      <c r="F6403" s="14"/>
      <c r="G6403" s="14"/>
      <c r="H6403" s="14"/>
      <c r="I6403" s="14"/>
    </row>
    <row r="6404" ht="20.7" customHeight="1">
      <c r="A6404" s="10">
        <v>45716</v>
      </c>
      <c r="B6404" t="s" s="11">
        <v>8</v>
      </c>
      <c r="C6404" t="s" s="12">
        <v>8</v>
      </c>
      <c r="D6404" s="15" cm="1">
        <f t="array" ref="D6404">SUM(D6402:D6403)</f>
        <v>10000</v>
      </c>
      <c r="E6404" s="15" cm="1">
        <f t="array" ref="E6404">SUM(E6402:E6403)</f>
        <v>10000</v>
      </c>
      <c r="F6404" s="16" cm="1">
        <f t="array" ref="F6404">SUM(F6402:F6403)</f>
        <v>0</v>
      </c>
      <c r="G6404" s="16" cm="1">
        <f t="array" ref="G6404">SUM(G6402:G6403)</f>
        <v>0</v>
      </c>
      <c r="H6404" s="16" cm="1">
        <f t="array" ref="H6404">SUM(H6402:H6403)</f>
        <v>0</v>
      </c>
      <c r="I6404" s="16" cm="1">
        <f t="array" ref="I6404">SUM(I6402:I6403)</f>
        <v>0</v>
      </c>
    </row>
    <row r="6405" ht="20.35" customHeight="1">
      <c r="A6405" s="10">
        <v>45716</v>
      </c>
      <c r="B6405" t="s" s="11">
        <v>5</v>
      </c>
      <c r="C6405" t="s" s="12">
        <v>439</v>
      </c>
      <c r="D6405" s="17"/>
      <c r="E6405" s="17">
        <v>10000</v>
      </c>
      <c r="F6405" s="18"/>
      <c r="G6405" s="18"/>
      <c r="H6405" s="18"/>
      <c r="I6405" s="18"/>
    </row>
    <row r="6406" ht="20.35" customHeight="1">
      <c r="A6406" s="10">
        <v>45716</v>
      </c>
      <c r="B6406" t="s" s="11">
        <v>121</v>
      </c>
      <c r="C6406" t="s" s="12">
        <v>439</v>
      </c>
      <c r="D6406" s="13">
        <v>10000</v>
      </c>
      <c r="E6406" s="13"/>
      <c r="F6406" s="14"/>
      <c r="G6406" s="14"/>
      <c r="H6406" s="14"/>
      <c r="I6406" s="14"/>
    </row>
    <row r="6407" ht="20.7" customHeight="1">
      <c r="A6407" s="10">
        <v>45716</v>
      </c>
      <c r="B6407" t="s" s="11">
        <v>8</v>
      </c>
      <c r="C6407" t="s" s="12">
        <v>8</v>
      </c>
      <c r="D6407" s="15" cm="1">
        <f t="array" ref="D6407">SUM(D6405:D6406)</f>
        <v>10000</v>
      </c>
      <c r="E6407" s="15" cm="1">
        <f t="array" ref="E6407">SUM(E6405:E6406)</f>
        <v>10000</v>
      </c>
      <c r="F6407" s="16" cm="1">
        <f t="array" ref="F6407">SUM(F6405:F6406)</f>
        <v>0</v>
      </c>
      <c r="G6407" s="16" cm="1">
        <f t="array" ref="G6407">SUM(G6405:G6406)</f>
        <v>0</v>
      </c>
      <c r="H6407" s="16" cm="1">
        <f t="array" ref="H6407">SUM(H6405:H6406)</f>
        <v>0</v>
      </c>
      <c r="I6407" s="16" cm="1">
        <f t="array" ref="I6407">SUM(I6405:I6406)</f>
        <v>0</v>
      </c>
    </row>
    <row r="6408" ht="21.25" customHeight="1">
      <c r="A6408" s="10">
        <v>45716</v>
      </c>
      <c r="B6408" t="s" s="11">
        <v>5</v>
      </c>
      <c r="C6408" t="s" s="12">
        <v>935</v>
      </c>
      <c r="D6408" s="17"/>
      <c r="E6408" s="17">
        <v>2800</v>
      </c>
      <c r="F6408" s="18"/>
      <c r="G6408" s="18"/>
      <c r="H6408" s="18"/>
      <c r="I6408" s="18"/>
    </row>
    <row r="6409" ht="21.25" customHeight="1">
      <c r="A6409" s="10">
        <v>45716</v>
      </c>
      <c r="B6409" t="s" s="11">
        <v>12</v>
      </c>
      <c r="C6409" t="s" s="12">
        <v>935</v>
      </c>
      <c r="D6409" s="13">
        <v>2800</v>
      </c>
      <c r="E6409" s="13"/>
      <c r="F6409" s="14"/>
      <c r="G6409" s="14"/>
      <c r="H6409" s="14"/>
      <c r="I6409" s="14"/>
    </row>
    <row r="6410" ht="20.7" customHeight="1">
      <c r="A6410" s="10">
        <v>45716</v>
      </c>
      <c r="B6410" t="s" s="11">
        <v>8</v>
      </c>
      <c r="C6410" t="s" s="12">
        <v>8</v>
      </c>
      <c r="D6410" s="15" cm="1">
        <f t="array" ref="D6410">SUM(D6408:D6409)</f>
        <v>2800</v>
      </c>
      <c r="E6410" s="15" cm="1">
        <f t="array" ref="E6410">SUM(E6408:E6409)</f>
        <v>2800</v>
      </c>
      <c r="F6410" s="16" cm="1">
        <f t="array" ref="F6410">SUM(F6408:F6409)</f>
        <v>0</v>
      </c>
      <c r="G6410" s="16" cm="1">
        <f t="array" ref="G6410">SUM(G6408:G6409)</f>
        <v>0</v>
      </c>
      <c r="H6410" s="16" cm="1">
        <f t="array" ref="H6410">SUM(H6408:H6409)</f>
        <v>0</v>
      </c>
      <c r="I6410" s="16" cm="1">
        <f t="array" ref="I6410">SUM(I6408:I6409)</f>
        <v>0</v>
      </c>
    </row>
    <row r="6411" ht="20.65" customHeight="1">
      <c r="A6411" s="10">
        <v>45716</v>
      </c>
      <c r="B6411" t="s" s="11">
        <v>5</v>
      </c>
      <c r="C6411" t="s" s="12">
        <v>936</v>
      </c>
      <c r="D6411" s="17"/>
      <c r="E6411" s="17">
        <v>15200</v>
      </c>
      <c r="F6411" s="18"/>
      <c r="G6411" s="18"/>
      <c r="H6411" s="18"/>
      <c r="I6411" s="18"/>
    </row>
    <row r="6412" ht="20.65" customHeight="1">
      <c r="A6412" s="10">
        <v>45716</v>
      </c>
      <c r="B6412" t="s" s="11">
        <v>12</v>
      </c>
      <c r="C6412" t="s" s="12">
        <v>936</v>
      </c>
      <c r="D6412" s="13">
        <v>15200</v>
      </c>
      <c r="E6412" s="13"/>
      <c r="F6412" s="14"/>
      <c r="G6412" s="14"/>
      <c r="H6412" s="14"/>
      <c r="I6412" s="14"/>
    </row>
    <row r="6413" ht="20.7" customHeight="1">
      <c r="A6413" s="10">
        <v>45716</v>
      </c>
      <c r="B6413" t="s" s="11">
        <v>8</v>
      </c>
      <c r="C6413" t="s" s="12">
        <v>8</v>
      </c>
      <c r="D6413" s="15" cm="1">
        <f t="array" ref="D6413">SUM(D6411:D6412)</f>
        <v>15200</v>
      </c>
      <c r="E6413" s="15" cm="1">
        <f t="array" ref="E6413">SUM(E6411:E6412)</f>
        <v>15200</v>
      </c>
      <c r="F6413" s="16" cm="1">
        <f t="array" ref="F6413">SUM(F6411:F6412)</f>
        <v>0</v>
      </c>
      <c r="G6413" s="16" cm="1">
        <f t="array" ref="G6413">SUM(G6411:G6412)</f>
        <v>0</v>
      </c>
      <c r="H6413" s="16" cm="1">
        <f t="array" ref="H6413">SUM(H6411:H6412)</f>
        <v>0</v>
      </c>
      <c r="I6413" s="16" cm="1">
        <f t="array" ref="I6413">SUM(I6411:I6412)</f>
        <v>0</v>
      </c>
    </row>
    <row r="6414" ht="20.35" customHeight="1">
      <c r="A6414" s="10">
        <v>45716</v>
      </c>
      <c r="B6414" t="s" s="11">
        <v>91</v>
      </c>
      <c r="C6414" t="s" s="12">
        <v>17</v>
      </c>
      <c r="D6414" s="17"/>
      <c r="E6414" s="17">
        <v>100</v>
      </c>
      <c r="F6414" s="18"/>
      <c r="G6414" s="18"/>
      <c r="H6414" s="18"/>
      <c r="I6414" s="18"/>
    </row>
    <row r="6415" ht="20.35" customHeight="1">
      <c r="A6415" s="10">
        <v>45716</v>
      </c>
      <c r="B6415" t="s" s="11">
        <v>5</v>
      </c>
      <c r="C6415" t="s" s="12">
        <v>17</v>
      </c>
      <c r="D6415" s="13">
        <v>100</v>
      </c>
      <c r="E6415" s="13"/>
      <c r="F6415" s="14"/>
      <c r="G6415" s="14"/>
      <c r="H6415" s="14"/>
      <c r="I6415" s="14"/>
    </row>
    <row r="6416" ht="20.7" customHeight="1">
      <c r="A6416" s="10">
        <v>45716</v>
      </c>
      <c r="B6416" t="s" s="11">
        <v>8</v>
      </c>
      <c r="C6416" t="s" s="12">
        <v>8</v>
      </c>
      <c r="D6416" s="15" cm="1">
        <f t="array" ref="D6416">SUM(D6414:D6415)</f>
        <v>100</v>
      </c>
      <c r="E6416" s="15" cm="1">
        <f t="array" ref="E6416">SUM(E6414:E6415)</f>
        <v>100</v>
      </c>
      <c r="F6416" s="16" cm="1">
        <f t="array" ref="F6416">SUM(F6414:F6415)</f>
        <v>0</v>
      </c>
      <c r="G6416" s="16" cm="1">
        <f t="array" ref="G6416">SUM(G6414:G6415)</f>
        <v>0</v>
      </c>
      <c r="H6416" s="16" cm="1">
        <f t="array" ref="H6416">SUM(H6414:H6415)</f>
        <v>0</v>
      </c>
      <c r="I6416" s="16" cm="1">
        <f t="array" ref="I6416">SUM(I6414:I6415)</f>
        <v>0</v>
      </c>
    </row>
    <row r="6417" ht="20.35" customHeight="1">
      <c r="A6417" s="10">
        <v>45716</v>
      </c>
      <c r="B6417" t="s" s="11">
        <v>5</v>
      </c>
      <c r="C6417" t="s" s="12">
        <v>916</v>
      </c>
      <c r="D6417" s="17"/>
      <c r="E6417" s="17">
        <v>84350</v>
      </c>
      <c r="F6417" s="18"/>
      <c r="G6417" s="18"/>
      <c r="H6417" s="18"/>
      <c r="I6417" s="18"/>
    </row>
    <row r="6418" ht="20.05" customHeight="1">
      <c r="A6418" s="10">
        <v>45716</v>
      </c>
      <c r="B6418" t="s" s="11">
        <v>89</v>
      </c>
      <c r="C6418" t="s" s="12">
        <v>916</v>
      </c>
      <c r="D6418" s="19">
        <v>12580</v>
      </c>
      <c r="E6418" s="19"/>
      <c r="F6418" s="20"/>
      <c r="G6418" s="20"/>
      <c r="H6418" s="20"/>
      <c r="I6418" s="20"/>
    </row>
    <row r="6419" ht="20.05" customHeight="1">
      <c r="A6419" s="10">
        <v>45716</v>
      </c>
      <c r="B6419" t="s" s="11">
        <v>12</v>
      </c>
      <c r="C6419" t="s" s="12">
        <v>916</v>
      </c>
      <c r="D6419" s="27">
        <v>35885</v>
      </c>
      <c r="E6419" s="19"/>
      <c r="F6419" s="20"/>
      <c r="G6419" s="20"/>
      <c r="H6419" s="20"/>
      <c r="I6419" s="20"/>
    </row>
    <row r="6420" ht="20.35" customHeight="1">
      <c r="A6420" s="10">
        <v>45716</v>
      </c>
      <c r="B6420" t="s" s="11">
        <v>21</v>
      </c>
      <c r="C6420" t="s" s="12">
        <v>916</v>
      </c>
      <c r="D6420" s="13">
        <v>35885</v>
      </c>
      <c r="E6420" s="13"/>
      <c r="F6420" s="14"/>
      <c r="G6420" s="14"/>
      <c r="H6420" s="14"/>
      <c r="I6420" s="14"/>
    </row>
    <row r="6421" ht="20.7" customHeight="1">
      <c r="A6421" s="10">
        <v>45716</v>
      </c>
      <c r="B6421" t="s" s="11">
        <v>8</v>
      </c>
      <c r="C6421" t="s" s="12">
        <v>8</v>
      </c>
      <c r="D6421" s="15" cm="1">
        <f t="array" ref="D6421">SUM(D6417:D6420)</f>
        <v>84350</v>
      </c>
      <c r="E6421" s="15" cm="1">
        <f t="array" ref="E6421">SUM(E6417:E6420)</f>
        <v>84350</v>
      </c>
      <c r="F6421" s="16" cm="1">
        <f t="array" ref="F6421">SUM(F6417:F6420)</f>
        <v>0</v>
      </c>
      <c r="G6421" s="16" cm="1">
        <f t="array" ref="G6421">SUM(G6417:G6420)</f>
        <v>0</v>
      </c>
      <c r="H6421" s="16" cm="1">
        <f t="array" ref="H6421">SUM(H6417:H6420)</f>
        <v>0</v>
      </c>
      <c r="I6421" s="16" cm="1">
        <f t="array" ref="I6421">SUM(I6417:I6420)</f>
        <v>0</v>
      </c>
    </row>
    <row r="6422" ht="20.35" customHeight="1">
      <c r="A6422" s="10">
        <v>45716</v>
      </c>
      <c r="B6422" t="s" s="11">
        <v>5</v>
      </c>
      <c r="C6422" t="s" s="12">
        <v>915</v>
      </c>
      <c r="D6422" s="17"/>
      <c r="E6422" s="17">
        <v>3000</v>
      </c>
      <c r="F6422" s="18"/>
      <c r="G6422" s="18"/>
      <c r="H6422" s="18"/>
      <c r="I6422" s="18"/>
    </row>
    <row r="6423" ht="20.05" customHeight="1">
      <c r="A6423" s="10">
        <v>45716</v>
      </c>
      <c r="B6423" t="s" s="11">
        <v>21</v>
      </c>
      <c r="C6423" t="s" s="12">
        <v>915</v>
      </c>
      <c r="D6423" s="19">
        <v>1500</v>
      </c>
      <c r="E6423" s="19"/>
      <c r="F6423" s="20"/>
      <c r="G6423" s="20"/>
      <c r="H6423" s="20"/>
      <c r="I6423" s="20"/>
    </row>
    <row r="6424" ht="20.35" customHeight="1">
      <c r="A6424" s="10">
        <v>45716</v>
      </c>
      <c r="B6424" t="s" s="11">
        <v>74</v>
      </c>
      <c r="C6424" t="s" s="12">
        <v>915</v>
      </c>
      <c r="D6424" s="13">
        <v>1500</v>
      </c>
      <c r="E6424" s="13"/>
      <c r="F6424" s="14"/>
      <c r="G6424" s="14"/>
      <c r="H6424" s="14"/>
      <c r="I6424" s="14"/>
    </row>
    <row r="6425" ht="20.7" customHeight="1">
      <c r="A6425" s="10">
        <v>45716</v>
      </c>
      <c r="B6425" t="s" s="11">
        <v>8</v>
      </c>
      <c r="C6425" t="s" s="12">
        <v>8</v>
      </c>
      <c r="D6425" s="15" cm="1">
        <f t="array" ref="D6425">SUM(D6422:D6424)</f>
        <v>3000</v>
      </c>
      <c r="E6425" s="15" cm="1">
        <f t="array" ref="E6425">SUM(E6422:E6424)</f>
        <v>3000</v>
      </c>
      <c r="F6425" s="16" cm="1">
        <f t="array" ref="F6425">SUM(F6422:F6424)</f>
        <v>0</v>
      </c>
      <c r="G6425" s="16" cm="1">
        <f t="array" ref="G6425">SUM(G6422:G6424)</f>
        <v>0</v>
      </c>
      <c r="H6425" s="16" cm="1">
        <f t="array" ref="H6425">SUM(H6422:H6424)</f>
        <v>0</v>
      </c>
      <c r="I6425" s="16" cm="1">
        <f t="array" ref="I6425">SUM(I6422:I6424)</f>
        <v>0</v>
      </c>
    </row>
    <row r="6426" ht="20.35" customHeight="1">
      <c r="A6426" s="10">
        <v>45716</v>
      </c>
      <c r="B6426" t="s" s="11">
        <v>89</v>
      </c>
      <c r="C6426" t="s" s="12">
        <v>20</v>
      </c>
      <c r="D6426" s="17"/>
      <c r="E6426" s="17">
        <v>9280</v>
      </c>
      <c r="F6426" s="18"/>
      <c r="G6426" s="18"/>
      <c r="H6426" s="18"/>
      <c r="I6426" s="18"/>
    </row>
    <row r="6427" ht="20.35" customHeight="1">
      <c r="A6427" s="10">
        <v>45716</v>
      </c>
      <c r="B6427" t="s" s="11">
        <v>93</v>
      </c>
      <c r="C6427" t="s" s="12">
        <v>20</v>
      </c>
      <c r="D6427" s="13">
        <v>9280</v>
      </c>
      <c r="E6427" s="13"/>
      <c r="F6427" s="14"/>
      <c r="G6427" s="14"/>
      <c r="H6427" s="14"/>
      <c r="I6427" s="14"/>
    </row>
    <row r="6428" ht="20.7" customHeight="1">
      <c r="A6428" s="10">
        <v>45716</v>
      </c>
      <c r="B6428" t="s" s="11">
        <v>8</v>
      </c>
      <c r="C6428" t="s" s="12">
        <v>8</v>
      </c>
      <c r="D6428" s="15" cm="1">
        <f t="array" ref="D6428">SUM(D6426:D6427)</f>
        <v>9280</v>
      </c>
      <c r="E6428" s="15" cm="1">
        <f t="array" ref="E6428">SUM(E6426:E6427)</f>
        <v>9280</v>
      </c>
      <c r="F6428" s="16" cm="1">
        <f t="array" ref="F6428">SUM(F6426:F6427)</f>
        <v>0</v>
      </c>
      <c r="G6428" s="16" cm="1">
        <f t="array" ref="G6428">SUM(G6426:G6427)</f>
        <v>0</v>
      </c>
      <c r="H6428" s="16" cm="1">
        <f t="array" ref="H6428">SUM(H6426:H6427)</f>
        <v>0</v>
      </c>
      <c r="I6428" s="16" cm="1">
        <f t="array" ref="I6428">SUM(I6426:I6427)</f>
        <v>0</v>
      </c>
    </row>
    <row r="6429" ht="20.35" customHeight="1">
      <c r="A6429" s="10">
        <v>45716</v>
      </c>
      <c r="B6429" t="s" s="11">
        <v>93</v>
      </c>
      <c r="C6429" t="s" s="12">
        <v>96</v>
      </c>
      <c r="D6429" s="17"/>
      <c r="E6429" s="17">
        <v>9280</v>
      </c>
      <c r="F6429" s="18"/>
      <c r="G6429" s="18"/>
      <c r="H6429" s="18"/>
      <c r="I6429" s="18"/>
    </row>
    <row r="6430" ht="20.35" customHeight="1">
      <c r="A6430" s="10">
        <v>45716</v>
      </c>
      <c r="B6430" t="s" s="11">
        <v>5</v>
      </c>
      <c r="C6430" t="s" s="12">
        <v>96</v>
      </c>
      <c r="D6430" s="13">
        <v>9280</v>
      </c>
      <c r="E6430" s="13"/>
      <c r="F6430" s="14"/>
      <c r="G6430" s="14"/>
      <c r="H6430" s="14"/>
      <c r="I6430" s="14"/>
    </row>
    <row r="6431" ht="20.7" customHeight="1">
      <c r="A6431" s="10">
        <v>45716</v>
      </c>
      <c r="B6431" t="s" s="11">
        <v>8</v>
      </c>
      <c r="C6431" t="s" s="12">
        <v>8</v>
      </c>
      <c r="D6431" s="15" cm="1">
        <f t="array" ref="D6431">SUM(D6429:D6430)</f>
        <v>9280</v>
      </c>
      <c r="E6431" s="15" cm="1">
        <f t="array" ref="E6431">SUM(E6429:E6430)</f>
        <v>9280</v>
      </c>
      <c r="F6431" s="16" cm="1">
        <f t="array" ref="F6431">SUM(F6429:F6430)</f>
        <v>0</v>
      </c>
      <c r="G6431" s="16" cm="1">
        <f t="array" ref="G6431">SUM(G6429:G6430)</f>
        <v>0</v>
      </c>
      <c r="H6431" s="16" cm="1">
        <f t="array" ref="H6431">SUM(H6429:H6430)</f>
        <v>0</v>
      </c>
      <c r="I6431" s="16" cm="1">
        <f t="array" ref="I6431">SUM(I6429:I6430)</f>
        <v>0</v>
      </c>
    </row>
    <row r="6432" ht="21.25" customHeight="1">
      <c r="A6432" s="10">
        <v>45717</v>
      </c>
      <c r="B6432" t="s" s="11">
        <v>97</v>
      </c>
      <c r="C6432" t="s" s="12">
        <v>937</v>
      </c>
      <c r="D6432" s="17"/>
      <c r="E6432" s="17">
        <v>950000</v>
      </c>
      <c r="F6432" s="18"/>
      <c r="G6432" s="18"/>
      <c r="H6432" s="18"/>
      <c r="I6432" s="18"/>
    </row>
    <row r="6433" ht="21.25" customHeight="1">
      <c r="A6433" s="10">
        <v>45717</v>
      </c>
      <c r="B6433" t="s" s="11">
        <v>99</v>
      </c>
      <c r="C6433" t="s" s="12">
        <v>937</v>
      </c>
      <c r="D6433" s="13">
        <v>950000</v>
      </c>
      <c r="E6433" s="13"/>
      <c r="F6433" s="14"/>
      <c r="G6433" s="14"/>
      <c r="H6433" s="14"/>
      <c r="I6433" s="14"/>
    </row>
    <row r="6434" ht="20.7" customHeight="1">
      <c r="A6434" s="10">
        <v>45717</v>
      </c>
      <c r="B6434" t="s" s="11">
        <v>8</v>
      </c>
      <c r="C6434" t="s" s="12">
        <v>8</v>
      </c>
      <c r="D6434" s="15" cm="1">
        <f t="array" ref="D6434">SUM(D6432:D6433)</f>
        <v>950000</v>
      </c>
      <c r="E6434" s="15" cm="1">
        <f t="array" ref="E6434">SUM(E6432:E6433)</f>
        <v>950000</v>
      </c>
      <c r="F6434" s="16" cm="1">
        <f t="array" ref="F6434">SUM(F6432:F6433)</f>
        <v>0</v>
      </c>
      <c r="G6434" s="16" cm="1">
        <f t="array" ref="G6434">SUM(G6432:G6433)</f>
        <v>0</v>
      </c>
      <c r="H6434" s="16" cm="1">
        <f t="array" ref="H6434">SUM(H6432:H6433)</f>
        <v>0</v>
      </c>
      <c r="I6434" s="16" cm="1">
        <f t="array" ref="I6434">SUM(I6432:I6433)</f>
        <v>0</v>
      </c>
    </row>
    <row r="6435" ht="21.25" customHeight="1">
      <c r="A6435" s="10">
        <v>45717</v>
      </c>
      <c r="B6435" t="s" s="11">
        <v>106</v>
      </c>
      <c r="C6435" t="s" s="12">
        <v>938</v>
      </c>
      <c r="D6435" s="17"/>
      <c r="E6435" s="17">
        <v>17500</v>
      </c>
      <c r="F6435" s="18"/>
      <c r="G6435" s="18"/>
      <c r="H6435" s="18"/>
      <c r="I6435" s="18"/>
    </row>
    <row r="6436" ht="21.25" customHeight="1">
      <c r="A6436" s="10">
        <v>45717</v>
      </c>
      <c r="B6436" t="s" s="11">
        <v>10</v>
      </c>
      <c r="C6436" t="s" s="12">
        <v>938</v>
      </c>
      <c r="D6436" s="13">
        <v>17500</v>
      </c>
      <c r="E6436" s="13"/>
      <c r="F6436" s="14"/>
      <c r="G6436" s="14"/>
      <c r="H6436" s="14"/>
      <c r="I6436" s="14"/>
    </row>
    <row r="6437" ht="20.7" customHeight="1">
      <c r="A6437" s="10">
        <v>45717</v>
      </c>
      <c r="B6437" t="s" s="11">
        <v>8</v>
      </c>
      <c r="C6437" t="s" s="12">
        <v>8</v>
      </c>
      <c r="D6437" s="15" cm="1">
        <f t="array" ref="D6437">SUM(D6435:D6436)</f>
        <v>17500</v>
      </c>
      <c r="E6437" s="15" cm="1">
        <f t="array" ref="E6437">SUM(E6435:E6436)</f>
        <v>17500</v>
      </c>
      <c r="F6437" s="16" cm="1">
        <f t="array" ref="F6437">SUM(F6435:F6436)</f>
        <v>0</v>
      </c>
      <c r="G6437" s="16" cm="1">
        <f t="array" ref="G6437">SUM(G6435:G6436)</f>
        <v>0</v>
      </c>
      <c r="H6437" s="16" cm="1">
        <f t="array" ref="H6437">SUM(H6435:H6436)</f>
        <v>0</v>
      </c>
      <c r="I6437" s="16" cm="1">
        <f t="array" ref="I6437">SUM(I6435:I6436)</f>
        <v>0</v>
      </c>
    </row>
    <row r="6438" ht="21.25" customHeight="1">
      <c r="A6438" s="10">
        <v>45717</v>
      </c>
      <c r="B6438" t="s" s="11">
        <v>32</v>
      </c>
      <c r="C6438" t="s" s="12">
        <v>939</v>
      </c>
      <c r="D6438" s="17"/>
      <c r="E6438" s="17">
        <v>150000</v>
      </c>
      <c r="F6438" s="18"/>
      <c r="G6438" s="18"/>
      <c r="H6438" s="18"/>
      <c r="I6438" s="18"/>
    </row>
    <row r="6439" ht="21.25" customHeight="1">
      <c r="A6439" s="10">
        <v>45717</v>
      </c>
      <c r="B6439" t="s" s="11">
        <v>101</v>
      </c>
      <c r="C6439" t="s" s="12">
        <v>939</v>
      </c>
      <c r="D6439" s="13">
        <v>150000</v>
      </c>
      <c r="E6439" s="13"/>
      <c r="F6439" s="14"/>
      <c r="G6439" s="14"/>
      <c r="H6439" s="14"/>
      <c r="I6439" s="14"/>
    </row>
    <row r="6440" ht="20.7" customHeight="1">
      <c r="A6440" s="10">
        <v>45717</v>
      </c>
      <c r="B6440" t="s" s="11">
        <v>8</v>
      </c>
      <c r="C6440" t="s" s="12">
        <v>8</v>
      </c>
      <c r="D6440" s="15" cm="1">
        <f t="array" ref="D6440">SUM(D6438:D6439)</f>
        <v>150000</v>
      </c>
      <c r="E6440" s="15" cm="1">
        <f t="array" ref="E6440">SUM(E6438:E6439)</f>
        <v>150000</v>
      </c>
      <c r="F6440" s="16" cm="1">
        <f t="array" ref="F6440">SUM(F6438:F6439)</f>
        <v>0</v>
      </c>
      <c r="G6440" s="16" cm="1">
        <f t="array" ref="G6440">SUM(G6438:G6439)</f>
        <v>0</v>
      </c>
      <c r="H6440" s="16" cm="1">
        <f t="array" ref="H6440">SUM(H6438:H6439)</f>
        <v>0</v>
      </c>
      <c r="I6440" s="16" cm="1">
        <f t="array" ref="I6440">SUM(I6438:I6439)</f>
        <v>0</v>
      </c>
    </row>
    <row r="6441" ht="21.25" customHeight="1">
      <c r="A6441" s="10">
        <v>45717</v>
      </c>
      <c r="B6441" t="s" s="11">
        <v>5</v>
      </c>
      <c r="C6441" t="s" s="12">
        <v>902</v>
      </c>
      <c r="D6441" s="17">
        <v>14</v>
      </c>
      <c r="E6441" s="17"/>
      <c r="F6441" s="18"/>
      <c r="G6441" s="18"/>
      <c r="H6441" s="18"/>
      <c r="I6441" s="18"/>
    </row>
    <row r="6442" ht="21.25" customHeight="1">
      <c r="A6442" s="10">
        <v>45717</v>
      </c>
      <c r="B6442" t="s" s="11">
        <v>7</v>
      </c>
      <c r="C6442" t="s" s="12">
        <v>902</v>
      </c>
      <c r="D6442" s="13"/>
      <c r="E6442" s="13">
        <v>14</v>
      </c>
      <c r="F6442" s="14"/>
      <c r="G6442" s="14"/>
      <c r="H6442" s="14"/>
      <c r="I6442" s="14"/>
    </row>
    <row r="6443" ht="20.7" customHeight="1">
      <c r="A6443" s="10">
        <v>45717</v>
      </c>
      <c r="B6443" t="s" s="11">
        <v>8</v>
      </c>
      <c r="C6443" t="s" s="12">
        <v>8</v>
      </c>
      <c r="D6443" s="15" cm="1">
        <f t="array" ref="D6443">SUM(D6441:D6442)</f>
        <v>14</v>
      </c>
      <c r="E6443" s="15" cm="1">
        <f t="array" ref="E6443">SUM(E6441:E6442)</f>
        <v>14</v>
      </c>
      <c r="F6443" s="16" cm="1">
        <f t="array" ref="F6443">SUM(F6441:F6442)</f>
        <v>0</v>
      </c>
      <c r="G6443" s="16" cm="1">
        <f t="array" ref="G6443">SUM(G6441:G6442)</f>
        <v>0</v>
      </c>
      <c r="H6443" s="16" cm="1">
        <f t="array" ref="H6443">SUM(H6441:H6442)</f>
        <v>0</v>
      </c>
      <c r="I6443" s="16" cm="1">
        <f t="array" ref="I6443">SUM(I6441:I6442)</f>
        <v>0</v>
      </c>
    </row>
    <row r="6444" ht="20.35" customHeight="1">
      <c r="A6444" s="10">
        <v>45717</v>
      </c>
      <c r="B6444" t="s" s="11">
        <v>91</v>
      </c>
      <c r="C6444" t="s" s="12">
        <v>17</v>
      </c>
      <c r="D6444" s="17"/>
      <c r="E6444" s="17">
        <v>100</v>
      </c>
      <c r="F6444" s="18"/>
      <c r="G6444" s="18"/>
      <c r="H6444" s="18"/>
      <c r="I6444" s="18"/>
    </row>
    <row r="6445" ht="20.35" customHeight="1">
      <c r="A6445" s="10">
        <v>45717</v>
      </c>
      <c r="B6445" t="s" s="11">
        <v>5</v>
      </c>
      <c r="C6445" t="s" s="12">
        <v>17</v>
      </c>
      <c r="D6445" s="13">
        <v>100</v>
      </c>
      <c r="E6445" s="13"/>
      <c r="F6445" s="14"/>
      <c r="G6445" s="14"/>
      <c r="H6445" s="14"/>
      <c r="I6445" s="14"/>
    </row>
    <row r="6446" ht="20.7" customHeight="1">
      <c r="A6446" s="10">
        <v>45717</v>
      </c>
      <c r="B6446" t="s" s="11">
        <v>8</v>
      </c>
      <c r="C6446" t="s" s="12">
        <v>8</v>
      </c>
      <c r="D6446" s="15" cm="1">
        <f t="array" ref="D6446">SUM(D6444:D6445)</f>
        <v>100</v>
      </c>
      <c r="E6446" s="15" cm="1">
        <f t="array" ref="E6446">SUM(E6444:E6445)</f>
        <v>100</v>
      </c>
      <c r="F6446" s="16" cm="1">
        <f t="array" ref="F6446">SUM(F6444:F6445)</f>
        <v>0</v>
      </c>
      <c r="G6446" s="16" cm="1">
        <f t="array" ref="G6446">SUM(G6444:G6445)</f>
        <v>0</v>
      </c>
      <c r="H6446" s="16" cm="1">
        <f t="array" ref="H6446">SUM(H6444:H6445)</f>
        <v>0</v>
      </c>
      <c r="I6446" s="16" cm="1">
        <f t="array" ref="I6446">SUM(I6444:I6445)</f>
        <v>0</v>
      </c>
    </row>
    <row r="6447" ht="21.25" customHeight="1">
      <c r="A6447" s="10">
        <v>45717</v>
      </c>
      <c r="B6447" t="s" s="11">
        <v>21</v>
      </c>
      <c r="C6447" t="s" s="12">
        <v>940</v>
      </c>
      <c r="D6447" s="17"/>
      <c r="E6447" s="17">
        <v>1500</v>
      </c>
      <c r="F6447" s="18"/>
      <c r="G6447" s="18"/>
      <c r="H6447" s="18"/>
      <c r="I6447" s="18"/>
    </row>
    <row r="6448" ht="21.25" customHeight="1">
      <c r="A6448" s="10">
        <v>45717</v>
      </c>
      <c r="B6448" t="s" s="11">
        <v>16</v>
      </c>
      <c r="C6448" t="s" s="12">
        <v>940</v>
      </c>
      <c r="D6448" s="13">
        <v>1500</v>
      </c>
      <c r="E6448" s="13"/>
      <c r="F6448" s="14"/>
      <c r="G6448" s="14"/>
      <c r="H6448" s="14"/>
      <c r="I6448" s="14"/>
    </row>
    <row r="6449" ht="20.7" customHeight="1">
      <c r="A6449" s="10">
        <v>45717</v>
      </c>
      <c r="B6449" t="s" s="11">
        <v>8</v>
      </c>
      <c r="C6449" t="s" s="12">
        <v>8</v>
      </c>
      <c r="D6449" s="15" cm="1">
        <f t="array" ref="D6449">SUM(D6447:D6448)</f>
        <v>1500</v>
      </c>
      <c r="E6449" s="15" cm="1">
        <f t="array" ref="E6449">SUM(E6447:E6448)</f>
        <v>1500</v>
      </c>
      <c r="F6449" s="16" cm="1">
        <f t="array" ref="F6449">SUM(F6447:F6448)</f>
        <v>0</v>
      </c>
      <c r="G6449" s="16" cm="1">
        <f t="array" ref="G6449">SUM(G6447:G6448)</f>
        <v>0</v>
      </c>
      <c r="H6449" s="16" cm="1">
        <f t="array" ref="H6449">SUM(H6447:H6448)</f>
        <v>0</v>
      </c>
      <c r="I6449" s="16" cm="1">
        <f t="array" ref="I6449">SUM(I6447:I6448)</f>
        <v>0</v>
      </c>
    </row>
    <row r="6450" ht="21.25" customHeight="1">
      <c r="A6450" s="10">
        <v>45718</v>
      </c>
      <c r="B6450" t="s" s="11">
        <v>5</v>
      </c>
      <c r="C6450" t="s" s="12">
        <v>941</v>
      </c>
      <c r="D6450" s="17"/>
      <c r="E6450" s="17">
        <v>15000</v>
      </c>
      <c r="F6450" s="18"/>
      <c r="G6450" s="18"/>
      <c r="H6450" s="18"/>
      <c r="I6450" s="18"/>
    </row>
    <row r="6451" ht="21.25" customHeight="1">
      <c r="A6451" s="10">
        <v>45718</v>
      </c>
      <c r="B6451" t="s" s="11">
        <v>16</v>
      </c>
      <c r="C6451" t="s" s="12">
        <v>941</v>
      </c>
      <c r="D6451" s="13">
        <v>15000</v>
      </c>
      <c r="E6451" s="13"/>
      <c r="F6451" s="14"/>
      <c r="G6451" s="14"/>
      <c r="H6451" s="14"/>
      <c r="I6451" s="14"/>
    </row>
    <row r="6452" ht="20.7" customHeight="1">
      <c r="A6452" s="10">
        <v>45718</v>
      </c>
      <c r="B6452" t="s" s="11">
        <v>8</v>
      </c>
      <c r="C6452" t="s" s="12">
        <v>8</v>
      </c>
      <c r="D6452" s="15" cm="1">
        <f t="array" ref="D6452">SUM(D6450:D6451)</f>
        <v>15000</v>
      </c>
      <c r="E6452" s="15" cm="1">
        <f t="array" ref="E6452">SUM(E6450:E6451)</f>
        <v>15000</v>
      </c>
      <c r="F6452" s="16" cm="1">
        <f t="array" ref="F6452">SUM(F6450:F6451)</f>
        <v>0</v>
      </c>
      <c r="G6452" s="16" cm="1">
        <f t="array" ref="G6452">SUM(G6450:G6451)</f>
        <v>0</v>
      </c>
      <c r="H6452" s="16" cm="1">
        <f t="array" ref="H6452">SUM(H6450:H6451)</f>
        <v>0</v>
      </c>
      <c r="I6452" s="16" cm="1">
        <f t="array" ref="I6452">SUM(I6450:I6451)</f>
        <v>0</v>
      </c>
    </row>
    <row r="6453" ht="21.25" customHeight="1">
      <c r="A6453" s="10">
        <v>45718</v>
      </c>
      <c r="B6453" t="s" s="11">
        <v>5</v>
      </c>
      <c r="C6453" t="s" s="12">
        <v>942</v>
      </c>
      <c r="D6453" s="17"/>
      <c r="E6453" s="17">
        <v>2600</v>
      </c>
      <c r="F6453" s="18"/>
      <c r="G6453" s="18"/>
      <c r="H6453" s="18"/>
      <c r="I6453" s="18"/>
    </row>
    <row r="6454" ht="21.25" customHeight="1">
      <c r="A6454" s="10">
        <v>45718</v>
      </c>
      <c r="B6454" t="s" s="11">
        <v>16</v>
      </c>
      <c r="C6454" t="s" s="12">
        <v>942</v>
      </c>
      <c r="D6454" s="13">
        <v>2600</v>
      </c>
      <c r="E6454" s="13"/>
      <c r="F6454" s="14"/>
      <c r="G6454" s="14"/>
      <c r="H6454" s="14"/>
      <c r="I6454" s="14"/>
    </row>
    <row r="6455" ht="20.7" customHeight="1">
      <c r="A6455" s="10">
        <v>45718</v>
      </c>
      <c r="B6455" t="s" s="11">
        <v>8</v>
      </c>
      <c r="C6455" t="s" s="12">
        <v>8</v>
      </c>
      <c r="D6455" s="15" cm="1">
        <f t="array" ref="D6455">SUM(D6453:D6454)</f>
        <v>2600</v>
      </c>
      <c r="E6455" s="15" cm="1">
        <f t="array" ref="E6455">SUM(E6453:E6454)</f>
        <v>2600</v>
      </c>
      <c r="F6455" s="16" cm="1">
        <f t="array" ref="F6455">SUM(F6453:F6454)</f>
        <v>0</v>
      </c>
      <c r="G6455" s="16" cm="1">
        <f t="array" ref="G6455">SUM(G6453:G6454)</f>
        <v>0</v>
      </c>
      <c r="H6455" s="16" cm="1">
        <f t="array" ref="H6455">SUM(H6453:H6454)</f>
        <v>0</v>
      </c>
      <c r="I6455" s="16" cm="1">
        <f t="array" ref="I6455">SUM(I6453:I6454)</f>
        <v>0</v>
      </c>
    </row>
    <row r="6456" ht="21.25" customHeight="1">
      <c r="A6456" s="10">
        <v>45718</v>
      </c>
      <c r="B6456" t="s" s="11">
        <v>5</v>
      </c>
      <c r="C6456" t="s" s="12">
        <v>942</v>
      </c>
      <c r="D6456" s="17">
        <v>2600</v>
      </c>
      <c r="E6456" s="17"/>
      <c r="F6456" s="18"/>
      <c r="G6456" s="18"/>
      <c r="H6456" s="18"/>
      <c r="I6456" s="18"/>
    </row>
    <row r="6457" ht="21.25" customHeight="1">
      <c r="A6457" s="10">
        <v>45718</v>
      </c>
      <c r="B6457" t="s" s="11">
        <v>16</v>
      </c>
      <c r="C6457" t="s" s="12">
        <v>942</v>
      </c>
      <c r="D6457" s="13"/>
      <c r="E6457" s="13">
        <v>2600</v>
      </c>
      <c r="F6457" s="14"/>
      <c r="G6457" s="14"/>
      <c r="H6457" s="14"/>
      <c r="I6457" s="14"/>
    </row>
    <row r="6458" ht="20.7" customHeight="1">
      <c r="A6458" s="10">
        <v>45718</v>
      </c>
      <c r="B6458" t="s" s="11">
        <v>8</v>
      </c>
      <c r="C6458" t="s" s="12">
        <v>8</v>
      </c>
      <c r="D6458" s="15" cm="1">
        <f t="array" ref="D6458">SUM(D6456:D6457)</f>
        <v>2600</v>
      </c>
      <c r="E6458" s="15" cm="1">
        <f t="array" ref="E6458">SUM(E6456:E6457)</f>
        <v>2600</v>
      </c>
      <c r="F6458" s="16" cm="1">
        <f t="array" ref="F6458">SUM(F6456:F6457)</f>
        <v>0</v>
      </c>
      <c r="G6458" s="16" cm="1">
        <f t="array" ref="G6458">SUM(G6456:G6457)</f>
        <v>0</v>
      </c>
      <c r="H6458" s="16" cm="1">
        <f t="array" ref="H6458">SUM(H6456:H6457)</f>
        <v>0</v>
      </c>
      <c r="I6458" s="16" cm="1">
        <f t="array" ref="I6458">SUM(I6456:I6457)</f>
        <v>0</v>
      </c>
    </row>
    <row r="6459" ht="21.25" customHeight="1">
      <c r="A6459" s="10">
        <v>45718</v>
      </c>
      <c r="B6459" t="s" s="11">
        <v>5</v>
      </c>
      <c r="C6459" t="s" s="12">
        <v>799</v>
      </c>
      <c r="D6459" s="17">
        <v>1</v>
      </c>
      <c r="E6459" s="17"/>
      <c r="F6459" s="18"/>
      <c r="G6459" s="18"/>
      <c r="H6459" s="18"/>
      <c r="I6459" s="18"/>
    </row>
    <row r="6460" ht="21.25" customHeight="1">
      <c r="A6460" s="10">
        <v>45718</v>
      </c>
      <c r="B6460" t="s" s="11">
        <v>91</v>
      </c>
      <c r="C6460" t="s" s="12">
        <v>799</v>
      </c>
      <c r="D6460" s="13"/>
      <c r="E6460" s="13">
        <v>1</v>
      </c>
      <c r="F6460" s="14"/>
      <c r="G6460" s="14"/>
      <c r="H6460" s="14"/>
      <c r="I6460" s="14"/>
    </row>
    <row r="6461" ht="20.7" customHeight="1">
      <c r="A6461" s="10">
        <v>45718</v>
      </c>
      <c r="B6461" t="s" s="11">
        <v>8</v>
      </c>
      <c r="C6461" t="s" s="12">
        <v>8</v>
      </c>
      <c r="D6461" s="15" cm="1">
        <f t="array" ref="D6461">SUM(D6459:D6460)</f>
        <v>1</v>
      </c>
      <c r="E6461" s="15" cm="1">
        <f t="array" ref="E6461">SUM(E6459:E6460)</f>
        <v>1</v>
      </c>
      <c r="F6461" s="16" cm="1">
        <f t="array" ref="F6461">SUM(F6459:F6460)</f>
        <v>0</v>
      </c>
      <c r="G6461" s="16" cm="1">
        <f t="array" ref="G6461">SUM(G6459:G6460)</f>
        <v>0</v>
      </c>
      <c r="H6461" s="16" cm="1">
        <f t="array" ref="H6461">SUM(H6459:H6460)</f>
        <v>0</v>
      </c>
      <c r="I6461" s="16" cm="1">
        <f t="array" ref="I6461">SUM(I6459:I6460)</f>
        <v>0</v>
      </c>
    </row>
    <row r="6462" ht="21.25" customHeight="1">
      <c r="A6462" s="10">
        <v>45718</v>
      </c>
      <c r="B6462" t="s" s="11">
        <v>5</v>
      </c>
      <c r="C6462" t="s" s="12">
        <v>799</v>
      </c>
      <c r="D6462" s="17">
        <v>2</v>
      </c>
      <c r="E6462" s="17"/>
      <c r="F6462" s="18"/>
      <c r="G6462" s="18"/>
      <c r="H6462" s="18"/>
      <c r="I6462" s="18"/>
    </row>
    <row r="6463" ht="21.25" customHeight="1">
      <c r="A6463" s="10">
        <v>45718</v>
      </c>
      <c r="B6463" t="s" s="11">
        <v>91</v>
      </c>
      <c r="C6463" t="s" s="12">
        <v>799</v>
      </c>
      <c r="D6463" s="13"/>
      <c r="E6463" s="13">
        <v>2</v>
      </c>
      <c r="F6463" s="14"/>
      <c r="G6463" s="14"/>
      <c r="H6463" s="14"/>
      <c r="I6463" s="14"/>
    </row>
    <row r="6464" ht="20.7" customHeight="1">
      <c r="A6464" s="10">
        <v>45718</v>
      </c>
      <c r="B6464" t="s" s="11">
        <v>8</v>
      </c>
      <c r="C6464" t="s" s="12">
        <v>8</v>
      </c>
      <c r="D6464" s="15" cm="1">
        <f t="array" ref="D6464">SUM(D6462:D6463)</f>
        <v>2</v>
      </c>
      <c r="E6464" s="15" cm="1">
        <f t="array" ref="E6464">SUM(E6462:E6463)</f>
        <v>2</v>
      </c>
      <c r="F6464" s="16" cm="1">
        <f t="array" ref="F6464">SUM(F6462:F6463)</f>
        <v>0</v>
      </c>
      <c r="G6464" s="16" cm="1">
        <f t="array" ref="G6464">SUM(G6462:G6463)</f>
        <v>0</v>
      </c>
      <c r="H6464" s="16" cm="1">
        <f t="array" ref="H6464">SUM(H6462:H6463)</f>
        <v>0</v>
      </c>
      <c r="I6464" s="16" cm="1">
        <f t="array" ref="I6464">SUM(I6462:I6463)</f>
        <v>0</v>
      </c>
    </row>
    <row r="6465" ht="21.25" customHeight="1">
      <c r="A6465" s="10">
        <v>45718</v>
      </c>
      <c r="B6465" t="s" s="11">
        <v>5</v>
      </c>
      <c r="C6465" t="s" s="12">
        <v>799</v>
      </c>
      <c r="D6465" s="17">
        <v>2</v>
      </c>
      <c r="E6465" s="17"/>
      <c r="F6465" s="18"/>
      <c r="G6465" s="18"/>
      <c r="H6465" s="18"/>
      <c r="I6465" s="18"/>
    </row>
    <row r="6466" ht="21.25" customHeight="1">
      <c r="A6466" s="10">
        <v>45718</v>
      </c>
      <c r="B6466" t="s" s="11">
        <v>91</v>
      </c>
      <c r="C6466" t="s" s="12">
        <v>799</v>
      </c>
      <c r="D6466" s="13"/>
      <c r="E6466" s="13">
        <v>2</v>
      </c>
      <c r="F6466" s="14"/>
      <c r="G6466" s="14"/>
      <c r="H6466" s="14"/>
      <c r="I6466" s="14"/>
    </row>
    <row r="6467" ht="20.7" customHeight="1">
      <c r="A6467" s="10">
        <v>45718</v>
      </c>
      <c r="B6467" t="s" s="11">
        <v>8</v>
      </c>
      <c r="C6467" t="s" s="12">
        <v>8</v>
      </c>
      <c r="D6467" s="15" cm="1">
        <f t="array" ref="D6467">SUM(D6465:D6466)</f>
        <v>2</v>
      </c>
      <c r="E6467" s="15" cm="1">
        <f t="array" ref="E6467">SUM(E6465:E6466)</f>
        <v>2</v>
      </c>
      <c r="F6467" s="16" cm="1">
        <f t="array" ref="F6467">SUM(F6465:F6466)</f>
        <v>0</v>
      </c>
      <c r="G6467" s="16" cm="1">
        <f t="array" ref="G6467">SUM(G6465:G6466)</f>
        <v>0</v>
      </c>
      <c r="H6467" s="16" cm="1">
        <f t="array" ref="H6467">SUM(H6465:H6466)</f>
        <v>0</v>
      </c>
      <c r="I6467" s="16" cm="1">
        <f t="array" ref="I6467">SUM(I6465:I6466)</f>
        <v>0</v>
      </c>
    </row>
    <row r="6468" ht="21.25" customHeight="1">
      <c r="A6468" s="10">
        <v>45718</v>
      </c>
      <c r="B6468" t="s" s="11">
        <v>5</v>
      </c>
      <c r="C6468" t="s" s="12">
        <v>799</v>
      </c>
      <c r="D6468" s="17">
        <v>1</v>
      </c>
      <c r="E6468" s="17"/>
      <c r="F6468" s="18"/>
      <c r="G6468" s="18"/>
      <c r="H6468" s="18"/>
      <c r="I6468" s="18"/>
    </row>
    <row r="6469" ht="21.25" customHeight="1">
      <c r="A6469" s="10">
        <v>45718</v>
      </c>
      <c r="B6469" t="s" s="11">
        <v>91</v>
      </c>
      <c r="C6469" t="s" s="12">
        <v>799</v>
      </c>
      <c r="D6469" s="13"/>
      <c r="E6469" s="13">
        <v>1</v>
      </c>
      <c r="F6469" s="14"/>
      <c r="G6469" s="14"/>
      <c r="H6469" s="14"/>
      <c r="I6469" s="14"/>
    </row>
    <row r="6470" ht="20.7" customHeight="1">
      <c r="A6470" s="10">
        <v>45718</v>
      </c>
      <c r="B6470" t="s" s="11">
        <v>8</v>
      </c>
      <c r="C6470" t="s" s="12">
        <v>8</v>
      </c>
      <c r="D6470" s="15" cm="1">
        <f t="array" ref="D6470">SUM(D6468:D6469)</f>
        <v>1</v>
      </c>
      <c r="E6470" s="15" cm="1">
        <f t="array" ref="E6470">SUM(E6468:E6469)</f>
        <v>1</v>
      </c>
      <c r="F6470" s="16" cm="1">
        <f t="array" ref="F6470">SUM(F6468:F6469)</f>
        <v>0</v>
      </c>
      <c r="G6470" s="16" cm="1">
        <f t="array" ref="G6470">SUM(G6468:G6469)</f>
        <v>0</v>
      </c>
      <c r="H6470" s="16" cm="1">
        <f t="array" ref="H6470">SUM(H6468:H6469)</f>
        <v>0</v>
      </c>
      <c r="I6470" s="16" cm="1">
        <f t="array" ref="I6470">SUM(I6468:I6469)</f>
        <v>0</v>
      </c>
    </row>
    <row r="6471" ht="21.25" customHeight="1">
      <c r="A6471" s="10">
        <v>45718</v>
      </c>
      <c r="B6471" t="s" s="11">
        <v>5</v>
      </c>
      <c r="C6471" t="s" s="12">
        <v>799</v>
      </c>
      <c r="D6471" s="17">
        <v>3</v>
      </c>
      <c r="E6471" s="17"/>
      <c r="F6471" s="18"/>
      <c r="G6471" s="18"/>
      <c r="H6471" s="18"/>
      <c r="I6471" s="18"/>
    </row>
    <row r="6472" ht="21.25" customHeight="1">
      <c r="A6472" s="10">
        <v>45718</v>
      </c>
      <c r="B6472" t="s" s="11">
        <v>91</v>
      </c>
      <c r="C6472" t="s" s="12">
        <v>799</v>
      </c>
      <c r="D6472" s="13"/>
      <c r="E6472" s="13">
        <v>3</v>
      </c>
      <c r="F6472" s="14"/>
      <c r="G6472" s="14"/>
      <c r="H6472" s="14"/>
      <c r="I6472" s="14"/>
    </row>
    <row r="6473" ht="20.7" customHeight="1">
      <c r="A6473" s="10">
        <v>45718</v>
      </c>
      <c r="B6473" t="s" s="11">
        <v>8</v>
      </c>
      <c r="C6473" t="s" s="12">
        <v>8</v>
      </c>
      <c r="D6473" s="15" cm="1">
        <f t="array" ref="D6473">SUM(D6471:D6472)</f>
        <v>3</v>
      </c>
      <c r="E6473" s="15" cm="1">
        <f t="array" ref="E6473">SUM(E6471:E6472)</f>
        <v>3</v>
      </c>
      <c r="F6473" s="16" cm="1">
        <f t="array" ref="F6473">SUM(F6471:F6472)</f>
        <v>0</v>
      </c>
      <c r="G6473" s="16" cm="1">
        <f t="array" ref="G6473">SUM(G6471:G6472)</f>
        <v>0</v>
      </c>
      <c r="H6473" s="16" cm="1">
        <f t="array" ref="H6473">SUM(H6471:H6472)</f>
        <v>0</v>
      </c>
      <c r="I6473" s="16" cm="1">
        <f t="array" ref="I6473">SUM(I6471:I6472)</f>
        <v>0</v>
      </c>
    </row>
    <row r="6474" ht="21.25" customHeight="1">
      <c r="A6474" s="10">
        <v>45718</v>
      </c>
      <c r="B6474" t="s" s="11">
        <v>5</v>
      </c>
      <c r="C6474" t="s" s="12">
        <v>943</v>
      </c>
      <c r="D6474" s="17"/>
      <c r="E6474" s="17">
        <v>3</v>
      </c>
      <c r="F6474" s="18"/>
      <c r="G6474" s="18"/>
      <c r="H6474" s="18"/>
      <c r="I6474" s="18"/>
    </row>
    <row r="6475" ht="21.25" customHeight="1">
      <c r="A6475" s="10">
        <v>45718</v>
      </c>
      <c r="B6475" t="s" s="11">
        <v>91</v>
      </c>
      <c r="C6475" t="s" s="12">
        <v>943</v>
      </c>
      <c r="D6475" s="13">
        <v>3</v>
      </c>
      <c r="E6475" s="13"/>
      <c r="F6475" s="14"/>
      <c r="G6475" s="14"/>
      <c r="H6475" s="14"/>
      <c r="I6475" s="14"/>
    </row>
    <row r="6476" ht="20.7" customHeight="1">
      <c r="A6476" s="10">
        <v>45718</v>
      </c>
      <c r="B6476" t="s" s="11">
        <v>8</v>
      </c>
      <c r="C6476" t="s" s="12">
        <v>8</v>
      </c>
      <c r="D6476" s="15" cm="1">
        <f t="array" ref="D6476">SUM(D6474:D6475)</f>
        <v>3</v>
      </c>
      <c r="E6476" s="15" cm="1">
        <f t="array" ref="E6476">SUM(E6474:E6475)</f>
        <v>3</v>
      </c>
      <c r="F6476" s="16" cm="1">
        <f t="array" ref="F6476">SUM(F6474:F6475)</f>
        <v>0</v>
      </c>
      <c r="G6476" s="16" cm="1">
        <f t="array" ref="G6476">SUM(G6474:G6475)</f>
        <v>0</v>
      </c>
      <c r="H6476" s="16" cm="1">
        <f t="array" ref="H6476">SUM(H6474:H6475)</f>
        <v>0</v>
      </c>
      <c r="I6476" s="16" cm="1">
        <f t="array" ref="I6476">SUM(I6474:I6475)</f>
        <v>0</v>
      </c>
    </row>
    <row r="6477" ht="20.65" customHeight="1">
      <c r="A6477" s="10">
        <v>45718</v>
      </c>
      <c r="B6477" t="s" s="11">
        <v>5</v>
      </c>
      <c r="C6477" t="s" s="12">
        <v>944</v>
      </c>
      <c r="D6477" s="17"/>
      <c r="E6477" s="17">
        <v>24370</v>
      </c>
      <c r="F6477" s="18"/>
      <c r="G6477" s="18"/>
      <c r="H6477" s="18"/>
      <c r="I6477" s="18"/>
    </row>
    <row r="6478" ht="20.65" customHeight="1">
      <c r="A6478" s="10">
        <v>45718</v>
      </c>
      <c r="B6478" t="s" s="11">
        <v>16</v>
      </c>
      <c r="C6478" t="s" s="12">
        <v>944</v>
      </c>
      <c r="D6478" s="13">
        <v>24370</v>
      </c>
      <c r="E6478" s="13"/>
      <c r="F6478" s="14"/>
      <c r="G6478" s="14"/>
      <c r="H6478" s="14"/>
      <c r="I6478" s="14"/>
    </row>
    <row r="6479" ht="20.7" customHeight="1">
      <c r="A6479" s="10">
        <v>45718</v>
      </c>
      <c r="B6479" t="s" s="11">
        <v>8</v>
      </c>
      <c r="C6479" t="s" s="12">
        <v>8</v>
      </c>
      <c r="D6479" s="15" cm="1">
        <f t="array" ref="D6479">SUM(D6477:D6478)</f>
        <v>24370</v>
      </c>
      <c r="E6479" s="15" cm="1">
        <f t="array" ref="E6479">SUM(E6477:E6478)</f>
        <v>24370</v>
      </c>
      <c r="F6479" s="16" cm="1">
        <f t="array" ref="F6479">SUM(F6477:F6478)</f>
        <v>0</v>
      </c>
      <c r="G6479" s="16" cm="1">
        <f t="array" ref="G6479">SUM(G6477:G6478)</f>
        <v>0</v>
      </c>
      <c r="H6479" s="16" cm="1">
        <f t="array" ref="H6479">SUM(H6477:H6478)</f>
        <v>0</v>
      </c>
      <c r="I6479" s="16" cm="1">
        <f t="array" ref="I6479">SUM(I6477:I6478)</f>
        <v>0</v>
      </c>
    </row>
    <row r="6480" ht="21.25" customHeight="1">
      <c r="A6480" s="10">
        <v>45718</v>
      </c>
      <c r="B6480" t="s" s="11">
        <v>21</v>
      </c>
      <c r="C6480" t="s" s="12">
        <v>945</v>
      </c>
      <c r="D6480" s="17"/>
      <c r="E6480" s="17">
        <v>23700</v>
      </c>
      <c r="F6480" s="18"/>
      <c r="G6480" s="18"/>
      <c r="H6480" s="18"/>
      <c r="I6480" s="18"/>
    </row>
    <row r="6481" ht="21.25" customHeight="1">
      <c r="A6481" s="10">
        <v>45718</v>
      </c>
      <c r="B6481" t="s" s="11">
        <v>16</v>
      </c>
      <c r="C6481" t="s" s="12">
        <v>945</v>
      </c>
      <c r="D6481" s="13">
        <v>23700</v>
      </c>
      <c r="E6481" s="13"/>
      <c r="F6481" s="14"/>
      <c r="G6481" s="14"/>
      <c r="H6481" s="14"/>
      <c r="I6481" s="14"/>
    </row>
    <row r="6482" ht="20.7" customHeight="1">
      <c r="A6482" s="10">
        <v>45718</v>
      </c>
      <c r="B6482" t="s" s="11">
        <v>8</v>
      </c>
      <c r="C6482" t="s" s="12">
        <v>8</v>
      </c>
      <c r="D6482" s="15" cm="1">
        <f t="array" ref="D6482">SUM(D6480:D6481)</f>
        <v>23700</v>
      </c>
      <c r="E6482" s="15" cm="1">
        <f t="array" ref="E6482">SUM(E6480:E6481)</f>
        <v>23700</v>
      </c>
      <c r="F6482" s="16" cm="1">
        <f t="array" ref="F6482">SUM(F6480:F6481)</f>
        <v>0</v>
      </c>
      <c r="G6482" s="16" cm="1">
        <f t="array" ref="G6482">SUM(G6480:G6481)</f>
        <v>0</v>
      </c>
      <c r="H6482" s="16" cm="1">
        <f t="array" ref="H6482">SUM(H6480:H6481)</f>
        <v>0</v>
      </c>
      <c r="I6482" s="16" cm="1">
        <f t="array" ref="I6482">SUM(I6480:I6481)</f>
        <v>0</v>
      </c>
    </row>
    <row r="6483" ht="20.35" customHeight="1">
      <c r="A6483" s="10">
        <v>45718</v>
      </c>
      <c r="B6483" t="s" s="11">
        <v>91</v>
      </c>
      <c r="C6483" t="s" s="12">
        <v>17</v>
      </c>
      <c r="D6483" s="17"/>
      <c r="E6483" s="17">
        <v>100</v>
      </c>
      <c r="F6483" s="18"/>
      <c r="G6483" s="18"/>
      <c r="H6483" s="18"/>
      <c r="I6483" s="18"/>
    </row>
    <row r="6484" ht="20.35" customHeight="1">
      <c r="A6484" s="10">
        <v>45718</v>
      </c>
      <c r="B6484" t="s" s="11">
        <v>5</v>
      </c>
      <c r="C6484" t="s" s="12">
        <v>17</v>
      </c>
      <c r="D6484" s="13">
        <v>100</v>
      </c>
      <c r="E6484" s="13"/>
      <c r="F6484" s="14"/>
      <c r="G6484" s="14"/>
      <c r="H6484" s="14"/>
      <c r="I6484" s="14"/>
    </row>
    <row r="6485" ht="20.7" customHeight="1">
      <c r="A6485" s="10">
        <v>45718</v>
      </c>
      <c r="B6485" t="s" s="11">
        <v>8</v>
      </c>
      <c r="C6485" t="s" s="12">
        <v>8</v>
      </c>
      <c r="D6485" s="15" cm="1">
        <f t="array" ref="D6485">SUM(D6483:D6484)</f>
        <v>100</v>
      </c>
      <c r="E6485" s="15" cm="1">
        <f t="array" ref="E6485">SUM(E6483:E6484)</f>
        <v>100</v>
      </c>
      <c r="F6485" s="16" cm="1">
        <f t="array" ref="F6485">SUM(F6483:F6484)</f>
        <v>0</v>
      </c>
      <c r="G6485" s="16" cm="1">
        <f t="array" ref="G6485">SUM(G6483:G6484)</f>
        <v>0</v>
      </c>
      <c r="H6485" s="16" cm="1">
        <f t="array" ref="H6485">SUM(H6483:H6484)</f>
        <v>0</v>
      </c>
      <c r="I6485" s="16" cm="1">
        <f t="array" ref="I6485">SUM(I6483:I6484)</f>
        <v>0</v>
      </c>
    </row>
    <row r="6486" ht="21.25" customHeight="1">
      <c r="A6486" s="10">
        <v>45718</v>
      </c>
      <c r="B6486" t="s" s="11">
        <v>21</v>
      </c>
      <c r="C6486" t="s" s="12">
        <v>940</v>
      </c>
      <c r="D6486" s="17"/>
      <c r="E6486" s="17">
        <v>3000</v>
      </c>
      <c r="F6486" s="18"/>
      <c r="G6486" s="18"/>
      <c r="H6486" s="18"/>
      <c r="I6486" s="18"/>
    </row>
    <row r="6487" ht="21.25" customHeight="1">
      <c r="A6487" s="10">
        <v>45718</v>
      </c>
      <c r="B6487" t="s" s="11">
        <v>16</v>
      </c>
      <c r="C6487" t="s" s="12">
        <v>940</v>
      </c>
      <c r="D6487" s="13">
        <v>3000</v>
      </c>
      <c r="E6487" s="13"/>
      <c r="F6487" s="14"/>
      <c r="G6487" s="14"/>
      <c r="H6487" s="14"/>
      <c r="I6487" s="14"/>
    </row>
    <row r="6488" ht="20.7" customHeight="1">
      <c r="A6488" s="10">
        <v>45718</v>
      </c>
      <c r="B6488" t="s" s="11">
        <v>8</v>
      </c>
      <c r="C6488" t="s" s="12">
        <v>8</v>
      </c>
      <c r="D6488" s="15" cm="1">
        <f t="array" ref="D6488">SUM(D6486:D6487)</f>
        <v>3000</v>
      </c>
      <c r="E6488" s="15" cm="1">
        <f t="array" ref="E6488">SUM(E6486:E6487)</f>
        <v>3000</v>
      </c>
      <c r="F6488" s="16" cm="1">
        <f t="array" ref="F6488">SUM(F6486:F6487)</f>
        <v>0</v>
      </c>
      <c r="G6488" s="16" cm="1">
        <f t="array" ref="G6488">SUM(G6486:G6487)</f>
        <v>0</v>
      </c>
      <c r="H6488" s="16" cm="1">
        <f t="array" ref="H6488">SUM(H6486:H6487)</f>
        <v>0</v>
      </c>
      <c r="I6488" s="16" cm="1">
        <f t="array" ref="I6488">SUM(I6486:I6487)</f>
        <v>0</v>
      </c>
    </row>
    <row r="6489" ht="21.25" customHeight="1">
      <c r="A6489" s="10">
        <v>45719</v>
      </c>
      <c r="B6489" t="s" s="11">
        <v>5</v>
      </c>
      <c r="C6489" t="s" s="12">
        <v>946</v>
      </c>
      <c r="D6489" s="17">
        <v>48340</v>
      </c>
      <c r="E6489" s="17"/>
      <c r="F6489" s="18"/>
      <c r="G6489" s="18"/>
      <c r="H6489" s="18"/>
      <c r="I6489" s="18"/>
    </row>
    <row r="6490" ht="21.25" customHeight="1">
      <c r="A6490" s="10">
        <v>45719</v>
      </c>
      <c r="B6490" t="s" s="11">
        <v>10</v>
      </c>
      <c r="C6490" t="s" s="12">
        <v>946</v>
      </c>
      <c r="D6490" s="13"/>
      <c r="E6490" s="13">
        <v>48340</v>
      </c>
      <c r="F6490" s="14"/>
      <c r="G6490" s="14"/>
      <c r="H6490" s="14"/>
      <c r="I6490" s="14"/>
    </row>
    <row r="6491" ht="20.7" customHeight="1">
      <c r="A6491" s="10">
        <v>45719</v>
      </c>
      <c r="B6491" t="s" s="11">
        <v>8</v>
      </c>
      <c r="C6491" t="s" s="12">
        <v>8</v>
      </c>
      <c r="D6491" s="15" cm="1">
        <f t="array" ref="D6491">SUM(D6489:D6490)</f>
        <v>48340</v>
      </c>
      <c r="E6491" s="15" cm="1">
        <f t="array" ref="E6491">SUM(E6489:E6490)</f>
        <v>48340</v>
      </c>
      <c r="F6491" s="16" cm="1">
        <f t="array" ref="F6491">SUM(F6489:F6490)</f>
        <v>0</v>
      </c>
      <c r="G6491" s="16" cm="1">
        <f t="array" ref="G6491">SUM(G6489:G6490)</f>
        <v>0</v>
      </c>
      <c r="H6491" s="16" cm="1">
        <f t="array" ref="H6491">SUM(H6489:H6490)</f>
        <v>0</v>
      </c>
      <c r="I6491" s="16" cm="1">
        <f t="array" ref="I6491">SUM(I6489:I6490)</f>
        <v>0</v>
      </c>
    </row>
    <row r="6492" ht="21.25" customHeight="1">
      <c r="A6492" s="10">
        <v>45719</v>
      </c>
      <c r="B6492" t="s" s="11">
        <v>5</v>
      </c>
      <c r="C6492" t="s" s="12">
        <v>943</v>
      </c>
      <c r="D6492" s="17"/>
      <c r="E6492" s="17">
        <v>3</v>
      </c>
      <c r="F6492" s="18"/>
      <c r="G6492" s="18"/>
      <c r="H6492" s="18"/>
      <c r="I6492" s="18"/>
    </row>
    <row r="6493" ht="21.25" customHeight="1">
      <c r="A6493" s="10">
        <v>45719</v>
      </c>
      <c r="B6493" t="s" s="11">
        <v>91</v>
      </c>
      <c r="C6493" t="s" s="12">
        <v>943</v>
      </c>
      <c r="D6493" s="13">
        <v>3</v>
      </c>
      <c r="E6493" s="13"/>
      <c r="F6493" s="14"/>
      <c r="G6493" s="14"/>
      <c r="H6493" s="14"/>
      <c r="I6493" s="14"/>
    </row>
    <row r="6494" ht="20.7" customHeight="1">
      <c r="A6494" s="10">
        <v>45719</v>
      </c>
      <c r="B6494" t="s" s="11">
        <v>8</v>
      </c>
      <c r="C6494" t="s" s="12">
        <v>8</v>
      </c>
      <c r="D6494" s="15" cm="1">
        <f t="array" ref="D6494">SUM(D6492:D6493)</f>
        <v>3</v>
      </c>
      <c r="E6494" s="15" cm="1">
        <f t="array" ref="E6494">SUM(E6492:E6493)</f>
        <v>3</v>
      </c>
      <c r="F6494" s="16" cm="1">
        <f t="array" ref="F6494">SUM(F6492:F6493)</f>
        <v>0</v>
      </c>
      <c r="G6494" s="16" cm="1">
        <f t="array" ref="G6494">SUM(G6492:G6493)</f>
        <v>0</v>
      </c>
      <c r="H6494" s="16" cm="1">
        <f t="array" ref="H6494">SUM(H6492:H6493)</f>
        <v>0</v>
      </c>
      <c r="I6494" s="16" cm="1">
        <f t="array" ref="I6494">SUM(I6492:I6493)</f>
        <v>0</v>
      </c>
    </row>
    <row r="6495" ht="20.35" customHeight="1">
      <c r="A6495" s="10">
        <v>45719</v>
      </c>
      <c r="B6495" t="s" s="11">
        <v>5</v>
      </c>
      <c r="C6495" t="s" s="12">
        <v>604</v>
      </c>
      <c r="D6495" s="17"/>
      <c r="E6495" s="17">
        <v>10000</v>
      </c>
      <c r="F6495" s="18"/>
      <c r="G6495" s="18"/>
      <c r="H6495" s="18"/>
      <c r="I6495" s="18"/>
    </row>
    <row r="6496" ht="20.35" customHeight="1">
      <c r="A6496" s="10">
        <v>45719</v>
      </c>
      <c r="B6496" t="s" s="11">
        <v>93</v>
      </c>
      <c r="C6496" t="s" s="12">
        <v>604</v>
      </c>
      <c r="D6496" s="13">
        <v>10000</v>
      </c>
      <c r="E6496" s="13"/>
      <c r="F6496" s="14"/>
      <c r="G6496" s="14"/>
      <c r="H6496" s="14"/>
      <c r="I6496" s="14"/>
    </row>
    <row r="6497" ht="20.7" customHeight="1">
      <c r="A6497" s="10">
        <v>45719</v>
      </c>
      <c r="B6497" t="s" s="11">
        <v>8</v>
      </c>
      <c r="C6497" t="s" s="12">
        <v>8</v>
      </c>
      <c r="D6497" s="15" cm="1">
        <f t="array" ref="D6497">SUM(D6495:D6496)</f>
        <v>10000</v>
      </c>
      <c r="E6497" s="15" cm="1">
        <f t="array" ref="E6497">SUM(E6495:E6496)</f>
        <v>10000</v>
      </c>
      <c r="F6497" s="16" cm="1">
        <f t="array" ref="F6497">SUM(F6495:F6496)</f>
        <v>0</v>
      </c>
      <c r="G6497" s="16" cm="1">
        <f t="array" ref="G6497">SUM(G6495:G6496)</f>
        <v>0</v>
      </c>
      <c r="H6497" s="16" cm="1">
        <f t="array" ref="H6497">SUM(H6495:H6496)</f>
        <v>0</v>
      </c>
      <c r="I6497" s="16" cm="1">
        <f t="array" ref="I6497">SUM(I6495:I6496)</f>
        <v>0</v>
      </c>
    </row>
    <row r="6498" ht="20.35" customHeight="1">
      <c r="A6498" s="10">
        <v>45719</v>
      </c>
      <c r="B6498" t="s" s="11">
        <v>93</v>
      </c>
      <c r="C6498" t="s" s="12">
        <v>13</v>
      </c>
      <c r="D6498" s="17"/>
      <c r="E6498" s="17">
        <v>8900</v>
      </c>
      <c r="F6498" s="18"/>
      <c r="G6498" s="18"/>
      <c r="H6498" s="18"/>
      <c r="I6498" s="18"/>
    </row>
    <row r="6499" ht="20.35" customHeight="1">
      <c r="A6499" s="10">
        <v>45719</v>
      </c>
      <c r="B6499" t="s" s="11">
        <v>10</v>
      </c>
      <c r="C6499" t="s" s="12">
        <v>13</v>
      </c>
      <c r="D6499" s="13">
        <v>8900</v>
      </c>
      <c r="E6499" s="13"/>
      <c r="F6499" s="14"/>
      <c r="G6499" s="14"/>
      <c r="H6499" s="14"/>
      <c r="I6499" s="14"/>
    </row>
    <row r="6500" ht="20.7" customHeight="1">
      <c r="A6500" s="10">
        <v>45719</v>
      </c>
      <c r="B6500" t="s" s="11">
        <v>8</v>
      </c>
      <c r="C6500" t="s" s="12">
        <v>8</v>
      </c>
      <c r="D6500" s="15" cm="1">
        <f t="array" ref="D6500">SUM(D6498:D6499)</f>
        <v>8900</v>
      </c>
      <c r="E6500" s="15" cm="1">
        <f t="array" ref="E6500">SUM(E6498:E6499)</f>
        <v>8900</v>
      </c>
      <c r="F6500" s="16" cm="1">
        <f t="array" ref="F6500">SUM(F6498:F6499)</f>
        <v>0</v>
      </c>
      <c r="G6500" s="16" cm="1">
        <f t="array" ref="G6500">SUM(G6498:G6499)</f>
        <v>0</v>
      </c>
      <c r="H6500" s="16" cm="1">
        <f t="array" ref="H6500">SUM(H6498:H6499)</f>
        <v>0</v>
      </c>
      <c r="I6500" s="16" cm="1">
        <f t="array" ref="I6500">SUM(I6498:I6499)</f>
        <v>0</v>
      </c>
    </row>
    <row r="6501" ht="21.25" customHeight="1">
      <c r="A6501" s="10">
        <v>45719</v>
      </c>
      <c r="B6501" t="s" s="11">
        <v>5</v>
      </c>
      <c r="C6501" t="s" s="12">
        <v>947</v>
      </c>
      <c r="D6501" s="17"/>
      <c r="E6501" s="17">
        <v>11000</v>
      </c>
      <c r="F6501" s="18"/>
      <c r="G6501" s="18"/>
      <c r="H6501" s="18"/>
      <c r="I6501" s="18"/>
    </row>
    <row r="6502" ht="21.25" customHeight="1">
      <c r="A6502" s="10">
        <v>45719</v>
      </c>
      <c r="B6502" t="s" s="11">
        <v>12</v>
      </c>
      <c r="C6502" t="s" s="12">
        <v>947</v>
      </c>
      <c r="D6502" s="13">
        <v>11000</v>
      </c>
      <c r="E6502" s="13"/>
      <c r="F6502" s="14"/>
      <c r="G6502" s="14"/>
      <c r="H6502" s="14"/>
      <c r="I6502" s="14"/>
    </row>
    <row r="6503" ht="20.7" customHeight="1">
      <c r="A6503" s="10">
        <v>45719</v>
      </c>
      <c r="B6503" t="s" s="11">
        <v>8</v>
      </c>
      <c r="C6503" t="s" s="12">
        <v>8</v>
      </c>
      <c r="D6503" s="15" cm="1">
        <f t="array" ref="D6503">SUM(D6501:D6502)</f>
        <v>11000</v>
      </c>
      <c r="E6503" s="15" cm="1">
        <f t="array" ref="E6503">SUM(E6501:E6502)</f>
        <v>11000</v>
      </c>
      <c r="F6503" s="16" cm="1">
        <f t="array" ref="F6503">SUM(F6501:F6502)</f>
        <v>0</v>
      </c>
      <c r="G6503" s="16" cm="1">
        <f t="array" ref="G6503">SUM(G6501:G6502)</f>
        <v>0</v>
      </c>
      <c r="H6503" s="16" cm="1">
        <f t="array" ref="H6503">SUM(H6501:H6502)</f>
        <v>0</v>
      </c>
      <c r="I6503" s="16" cm="1">
        <f t="array" ref="I6503">SUM(I6501:I6502)</f>
        <v>0</v>
      </c>
    </row>
    <row r="6504" ht="21.25" customHeight="1">
      <c r="A6504" s="10">
        <v>45719</v>
      </c>
      <c r="B6504" t="s" s="11">
        <v>5</v>
      </c>
      <c r="C6504" t="s" s="12">
        <v>947</v>
      </c>
      <c r="D6504" s="17"/>
      <c r="E6504" s="17">
        <v>1000</v>
      </c>
      <c r="F6504" s="18"/>
      <c r="G6504" s="18"/>
      <c r="H6504" s="18"/>
      <c r="I6504" s="18"/>
    </row>
    <row r="6505" ht="21.25" customHeight="1">
      <c r="A6505" s="10">
        <v>45719</v>
      </c>
      <c r="B6505" t="s" s="11">
        <v>12</v>
      </c>
      <c r="C6505" t="s" s="12">
        <v>947</v>
      </c>
      <c r="D6505" s="13">
        <v>1000</v>
      </c>
      <c r="E6505" s="13"/>
      <c r="F6505" s="14"/>
      <c r="G6505" s="14"/>
      <c r="H6505" s="14"/>
      <c r="I6505" s="14"/>
    </row>
    <row r="6506" ht="20.7" customHeight="1">
      <c r="A6506" s="10">
        <v>45719</v>
      </c>
      <c r="B6506" t="s" s="11">
        <v>8</v>
      </c>
      <c r="C6506" t="s" s="12">
        <v>8</v>
      </c>
      <c r="D6506" s="15" cm="1">
        <f t="array" ref="D6506">SUM(D6504:D6505)</f>
        <v>1000</v>
      </c>
      <c r="E6506" s="15" cm="1">
        <f t="array" ref="E6506">SUM(E6504:E6505)</f>
        <v>1000</v>
      </c>
      <c r="F6506" s="16" cm="1">
        <f t="array" ref="F6506">SUM(F6504:F6505)</f>
        <v>0</v>
      </c>
      <c r="G6506" s="16" cm="1">
        <f t="array" ref="G6506">SUM(G6504:G6505)</f>
        <v>0</v>
      </c>
      <c r="H6506" s="16" cm="1">
        <f t="array" ref="H6506">SUM(H6504:H6505)</f>
        <v>0</v>
      </c>
      <c r="I6506" s="16" cm="1">
        <f t="array" ref="I6506">SUM(I6504:I6505)</f>
        <v>0</v>
      </c>
    </row>
    <row r="6507" ht="20.35" customHeight="1">
      <c r="A6507" s="10">
        <v>45719</v>
      </c>
      <c r="B6507" t="s" s="11">
        <v>5</v>
      </c>
      <c r="C6507" t="s" s="12">
        <v>604</v>
      </c>
      <c r="D6507" s="17"/>
      <c r="E6507" s="17">
        <v>10000</v>
      </c>
      <c r="F6507" s="18"/>
      <c r="G6507" s="18"/>
      <c r="H6507" s="18"/>
      <c r="I6507" s="18"/>
    </row>
    <row r="6508" ht="20.35" customHeight="1">
      <c r="A6508" s="10">
        <v>45719</v>
      </c>
      <c r="B6508" t="s" s="11">
        <v>93</v>
      </c>
      <c r="C6508" t="s" s="12">
        <v>604</v>
      </c>
      <c r="D6508" s="13">
        <v>10000</v>
      </c>
      <c r="E6508" s="13"/>
      <c r="F6508" s="14"/>
      <c r="G6508" s="14"/>
      <c r="H6508" s="14"/>
      <c r="I6508" s="14"/>
    </row>
    <row r="6509" ht="20.7" customHeight="1">
      <c r="A6509" s="10">
        <v>45719</v>
      </c>
      <c r="B6509" t="s" s="11">
        <v>8</v>
      </c>
      <c r="C6509" t="s" s="12">
        <v>8</v>
      </c>
      <c r="D6509" s="15" cm="1">
        <f t="array" ref="D6509">SUM(D6507:D6508)</f>
        <v>10000</v>
      </c>
      <c r="E6509" s="15" cm="1">
        <f t="array" ref="E6509">SUM(E6507:E6508)</f>
        <v>10000</v>
      </c>
      <c r="F6509" s="16" cm="1">
        <f t="array" ref="F6509">SUM(F6507:F6508)</f>
        <v>0</v>
      </c>
      <c r="G6509" s="16" cm="1">
        <f t="array" ref="G6509">SUM(G6507:G6508)</f>
        <v>0</v>
      </c>
      <c r="H6509" s="16" cm="1">
        <f t="array" ref="H6509">SUM(H6507:H6508)</f>
        <v>0</v>
      </c>
      <c r="I6509" s="16" cm="1">
        <f t="array" ref="I6509">SUM(I6507:I6508)</f>
        <v>0</v>
      </c>
    </row>
    <row r="6510" ht="20.35" customHeight="1">
      <c r="A6510" s="10">
        <v>45719</v>
      </c>
      <c r="B6510" t="s" s="11">
        <v>93</v>
      </c>
      <c r="C6510" t="s" s="12">
        <v>948</v>
      </c>
      <c r="D6510" s="17"/>
      <c r="E6510" s="17">
        <v>4000</v>
      </c>
      <c r="F6510" s="18"/>
      <c r="G6510" s="18"/>
      <c r="H6510" s="18"/>
      <c r="I6510" s="18"/>
    </row>
    <row r="6511" ht="20.35" customHeight="1">
      <c r="A6511" s="10">
        <v>45719</v>
      </c>
      <c r="B6511" t="s" s="11">
        <v>12</v>
      </c>
      <c r="C6511" t="s" s="12">
        <v>948</v>
      </c>
      <c r="D6511" s="13">
        <v>4000</v>
      </c>
      <c r="E6511" s="13"/>
      <c r="F6511" s="14"/>
      <c r="G6511" s="14"/>
      <c r="H6511" s="14"/>
      <c r="I6511" s="14"/>
    </row>
    <row r="6512" ht="20.7" customHeight="1">
      <c r="A6512" s="10">
        <v>45719</v>
      </c>
      <c r="B6512" t="s" s="11">
        <v>8</v>
      </c>
      <c r="C6512" t="s" s="12">
        <v>8</v>
      </c>
      <c r="D6512" s="15" cm="1">
        <f t="array" ref="D6512">SUM(D6510:D6511)</f>
        <v>4000</v>
      </c>
      <c r="E6512" s="15" cm="1">
        <f t="array" ref="E6512">SUM(E6510:E6511)</f>
        <v>4000</v>
      </c>
      <c r="F6512" s="16" cm="1">
        <f t="array" ref="F6512">SUM(F6510:F6511)</f>
        <v>0</v>
      </c>
      <c r="G6512" s="16" cm="1">
        <f t="array" ref="G6512">SUM(G6510:G6511)</f>
        <v>0</v>
      </c>
      <c r="H6512" s="16" cm="1">
        <f t="array" ref="H6512">SUM(H6510:H6511)</f>
        <v>0</v>
      </c>
      <c r="I6512" s="16" cm="1">
        <f t="array" ref="I6512">SUM(I6510:I6511)</f>
        <v>0</v>
      </c>
    </row>
    <row r="6513" ht="20.35" customHeight="1">
      <c r="A6513" s="10">
        <v>45719</v>
      </c>
      <c r="B6513" t="s" s="11">
        <v>5</v>
      </c>
      <c r="C6513" t="s" s="12">
        <v>916</v>
      </c>
      <c r="D6513" s="17"/>
      <c r="E6513" s="17">
        <v>28090</v>
      </c>
      <c r="F6513" s="18"/>
      <c r="G6513" s="18"/>
      <c r="H6513" s="18"/>
      <c r="I6513" s="18"/>
    </row>
    <row r="6514" ht="20.05" customHeight="1">
      <c r="A6514" s="10">
        <v>45719</v>
      </c>
      <c r="B6514" t="s" s="11">
        <v>21</v>
      </c>
      <c r="C6514" t="s" s="12">
        <v>916</v>
      </c>
      <c r="D6514" s="19">
        <v>14045</v>
      </c>
      <c r="E6514" s="19"/>
      <c r="F6514" s="20"/>
      <c r="G6514" s="20"/>
      <c r="H6514" s="20"/>
      <c r="I6514" s="20"/>
    </row>
    <row r="6515" ht="20.35" customHeight="1">
      <c r="A6515" s="10">
        <v>45719</v>
      </c>
      <c r="B6515" t="s" s="11">
        <v>74</v>
      </c>
      <c r="C6515" t="s" s="12">
        <v>916</v>
      </c>
      <c r="D6515" s="13">
        <v>14045</v>
      </c>
      <c r="E6515" s="13"/>
      <c r="F6515" s="14"/>
      <c r="G6515" s="14"/>
      <c r="H6515" s="14"/>
      <c r="I6515" s="14"/>
    </row>
    <row r="6516" ht="20.7" customHeight="1">
      <c r="A6516" s="10">
        <v>45719</v>
      </c>
      <c r="B6516" t="s" s="11">
        <v>8</v>
      </c>
      <c r="C6516" t="s" s="12">
        <v>8</v>
      </c>
      <c r="D6516" s="15" cm="1">
        <f t="array" ref="D6516">SUM(D6513:D6515)</f>
        <v>28090</v>
      </c>
      <c r="E6516" s="15" cm="1">
        <f t="array" ref="E6516">SUM(E6513:E6515)</f>
        <v>28090</v>
      </c>
      <c r="F6516" s="16" cm="1">
        <f t="array" ref="F6516">SUM(F6513:F6515)</f>
        <v>0</v>
      </c>
      <c r="G6516" s="16" cm="1">
        <f t="array" ref="G6516">SUM(G6513:G6515)</f>
        <v>0</v>
      </c>
      <c r="H6516" s="16" cm="1">
        <f t="array" ref="H6516">SUM(H6513:H6515)</f>
        <v>0</v>
      </c>
      <c r="I6516" s="16" cm="1">
        <f t="array" ref="I6516">SUM(I6513:I6515)</f>
        <v>0</v>
      </c>
    </row>
    <row r="6517" ht="20.35" customHeight="1">
      <c r="A6517" s="10">
        <v>45719</v>
      </c>
      <c r="B6517" t="s" s="11">
        <v>28</v>
      </c>
      <c r="C6517" t="s" s="12">
        <v>949</v>
      </c>
      <c r="D6517" s="17">
        <v>50000</v>
      </c>
      <c r="E6517" s="17"/>
      <c r="F6517" s="18"/>
      <c r="G6517" s="18"/>
      <c r="H6517" s="18"/>
      <c r="I6517" s="18"/>
    </row>
    <row r="6518" ht="20.35" customHeight="1">
      <c r="A6518" s="10">
        <v>45719</v>
      </c>
      <c r="B6518" t="s" s="11">
        <v>21</v>
      </c>
      <c r="C6518" t="s" s="12">
        <v>949</v>
      </c>
      <c r="D6518" s="13"/>
      <c r="E6518" s="13">
        <v>50000</v>
      </c>
      <c r="F6518" s="14"/>
      <c r="G6518" s="14"/>
      <c r="H6518" s="14"/>
      <c r="I6518" s="14"/>
    </row>
    <row r="6519" ht="20.7" customHeight="1">
      <c r="A6519" s="10">
        <v>45719</v>
      </c>
      <c r="B6519" t="s" s="11">
        <v>8</v>
      </c>
      <c r="C6519" t="s" s="12">
        <v>8</v>
      </c>
      <c r="D6519" s="15" cm="1">
        <f t="array" ref="D6519">SUM(D6517:D6518)</f>
        <v>50000</v>
      </c>
      <c r="E6519" s="15" cm="1">
        <f t="array" ref="E6519">SUM(E6517:E6518)</f>
        <v>50000</v>
      </c>
      <c r="F6519" s="16" cm="1">
        <f t="array" ref="F6519">SUM(F6517:F6518)</f>
        <v>0</v>
      </c>
      <c r="G6519" s="16" cm="1">
        <f t="array" ref="G6519">SUM(G6517:G6518)</f>
        <v>0</v>
      </c>
      <c r="H6519" s="16" cm="1">
        <f t="array" ref="H6519">SUM(H6517:H6518)</f>
        <v>0</v>
      </c>
      <c r="I6519" s="16" cm="1">
        <f t="array" ref="I6519">SUM(I6517:I6518)</f>
        <v>0</v>
      </c>
    </row>
    <row r="6520" ht="20.35" customHeight="1">
      <c r="A6520" s="10">
        <v>45719</v>
      </c>
      <c r="B6520" t="s" s="11">
        <v>91</v>
      </c>
      <c r="C6520" t="s" s="12">
        <v>17</v>
      </c>
      <c r="D6520" s="17"/>
      <c r="E6520" s="17">
        <v>500</v>
      </c>
      <c r="F6520" s="18"/>
      <c r="G6520" s="18"/>
      <c r="H6520" s="18"/>
      <c r="I6520" s="18"/>
    </row>
    <row r="6521" ht="20.35" customHeight="1">
      <c r="A6521" s="10">
        <v>45719</v>
      </c>
      <c r="B6521" t="s" s="11">
        <v>5</v>
      </c>
      <c r="C6521" t="s" s="12">
        <v>17</v>
      </c>
      <c r="D6521" s="13">
        <v>500</v>
      </c>
      <c r="E6521" s="13"/>
      <c r="F6521" s="14"/>
      <c r="G6521" s="14"/>
      <c r="H6521" s="14"/>
      <c r="I6521" s="14"/>
    </row>
    <row r="6522" ht="20.7" customHeight="1">
      <c r="A6522" s="10">
        <v>45719</v>
      </c>
      <c r="B6522" t="s" s="11">
        <v>8</v>
      </c>
      <c r="C6522" t="s" s="12">
        <v>8</v>
      </c>
      <c r="D6522" s="15" cm="1">
        <f t="array" ref="D6522">SUM(D6520:D6521)</f>
        <v>500</v>
      </c>
      <c r="E6522" s="15" cm="1">
        <f t="array" ref="E6522">SUM(E6520:E6521)</f>
        <v>500</v>
      </c>
      <c r="F6522" s="16" cm="1">
        <f t="array" ref="F6522">SUM(F6520:F6521)</f>
        <v>0</v>
      </c>
      <c r="G6522" s="16" cm="1">
        <f t="array" ref="G6522">SUM(G6520:G6521)</f>
        <v>0</v>
      </c>
      <c r="H6522" s="16" cm="1">
        <f t="array" ref="H6522">SUM(H6520:H6521)</f>
        <v>0</v>
      </c>
      <c r="I6522" s="16" cm="1">
        <f t="array" ref="I6522">SUM(I6520:I6521)</f>
        <v>0</v>
      </c>
    </row>
    <row r="6523" ht="21.25" customHeight="1">
      <c r="A6523" s="10">
        <v>45719</v>
      </c>
      <c r="B6523" t="s" s="11">
        <v>5</v>
      </c>
      <c r="C6523" t="s" s="12">
        <v>950</v>
      </c>
      <c r="D6523" s="17"/>
      <c r="E6523" s="17">
        <v>400</v>
      </c>
      <c r="F6523" s="18"/>
      <c r="G6523" s="18"/>
      <c r="H6523" s="18"/>
      <c r="I6523" s="18"/>
    </row>
    <row r="6524" ht="21.25" customHeight="1">
      <c r="A6524" s="10">
        <v>45719</v>
      </c>
      <c r="B6524" t="s" s="11">
        <v>16</v>
      </c>
      <c r="C6524" t="s" s="12">
        <v>950</v>
      </c>
      <c r="D6524" s="13">
        <v>400</v>
      </c>
      <c r="E6524" s="13"/>
      <c r="F6524" s="14"/>
      <c r="G6524" s="14"/>
      <c r="H6524" s="14"/>
      <c r="I6524" s="14"/>
    </row>
    <row r="6525" ht="20.7" customHeight="1">
      <c r="A6525" s="10">
        <v>45719</v>
      </c>
      <c r="B6525" t="s" s="11">
        <v>8</v>
      </c>
      <c r="C6525" t="s" s="12">
        <v>8</v>
      </c>
      <c r="D6525" s="15" cm="1">
        <f t="array" ref="D6525">SUM(D6523:D6524)</f>
        <v>400</v>
      </c>
      <c r="E6525" s="15" cm="1">
        <f t="array" ref="E6525">SUM(E6523:E6524)</f>
        <v>400</v>
      </c>
      <c r="F6525" s="16" cm="1">
        <f t="array" ref="F6525">SUM(F6523:F6524)</f>
        <v>0</v>
      </c>
      <c r="G6525" s="16" cm="1">
        <f t="array" ref="G6525">SUM(G6523:G6524)</f>
        <v>0</v>
      </c>
      <c r="H6525" s="16" cm="1">
        <f t="array" ref="H6525">SUM(H6523:H6524)</f>
        <v>0</v>
      </c>
      <c r="I6525" s="16" cm="1">
        <f t="array" ref="I6525">SUM(I6523:I6524)</f>
        <v>0</v>
      </c>
    </row>
    <row r="6526" ht="20.65" customHeight="1">
      <c r="A6526" s="10">
        <v>45719</v>
      </c>
      <c r="B6526" t="s" s="11">
        <v>5</v>
      </c>
      <c r="C6526" t="s" s="12">
        <v>951</v>
      </c>
      <c r="D6526" s="17"/>
      <c r="E6526" s="17">
        <v>1000</v>
      </c>
      <c r="F6526" s="18"/>
      <c r="G6526" s="18"/>
      <c r="H6526" s="18"/>
      <c r="I6526" s="18"/>
    </row>
    <row r="6527" ht="20.65" customHeight="1">
      <c r="A6527" s="10">
        <v>45719</v>
      </c>
      <c r="B6527" t="s" s="11">
        <v>84</v>
      </c>
      <c r="C6527" t="s" s="12">
        <v>951</v>
      </c>
      <c r="D6527" s="13">
        <v>1000</v>
      </c>
      <c r="E6527" s="13"/>
      <c r="F6527" s="14"/>
      <c r="G6527" s="14"/>
      <c r="H6527" s="14"/>
      <c r="I6527" s="14"/>
    </row>
    <row r="6528" ht="20.7" customHeight="1">
      <c r="A6528" s="10">
        <v>45719</v>
      </c>
      <c r="B6528" t="s" s="11">
        <v>8</v>
      </c>
      <c r="C6528" t="s" s="12">
        <v>8</v>
      </c>
      <c r="D6528" s="15" cm="1">
        <f t="array" ref="D6528">SUM(D6526:D6527)</f>
        <v>1000</v>
      </c>
      <c r="E6528" s="15" cm="1">
        <f t="array" ref="E6528">SUM(E6526:E6527)</f>
        <v>1000</v>
      </c>
      <c r="F6528" s="16" cm="1">
        <f t="array" ref="F6528">SUM(F6526:F6527)</f>
        <v>0</v>
      </c>
      <c r="G6528" s="16" cm="1">
        <f t="array" ref="G6528">SUM(G6526:G6527)</f>
        <v>0</v>
      </c>
      <c r="H6528" s="16" cm="1">
        <f t="array" ref="H6528">SUM(H6526:H6527)</f>
        <v>0</v>
      </c>
      <c r="I6528" s="16" cm="1">
        <f t="array" ref="I6528">SUM(I6526:I6527)</f>
        <v>0</v>
      </c>
    </row>
    <row r="6529" ht="21.25" customHeight="1">
      <c r="A6529" s="10">
        <v>45720</v>
      </c>
      <c r="B6529" t="s" s="11">
        <v>121</v>
      </c>
      <c r="C6529" t="s" s="12">
        <v>952</v>
      </c>
      <c r="D6529" s="17"/>
      <c r="E6529" s="17">
        <v>10000</v>
      </c>
      <c r="F6529" s="18"/>
      <c r="G6529" s="18"/>
      <c r="H6529" s="18"/>
      <c r="I6529" s="18"/>
    </row>
    <row r="6530" ht="21.25" customHeight="1">
      <c r="A6530" s="10">
        <v>45720</v>
      </c>
      <c r="B6530" t="s" s="11">
        <v>788</v>
      </c>
      <c r="C6530" t="s" s="12">
        <v>952</v>
      </c>
      <c r="D6530" s="13">
        <v>10000</v>
      </c>
      <c r="E6530" s="13"/>
      <c r="F6530" s="14"/>
      <c r="G6530" s="14"/>
      <c r="H6530" s="14"/>
      <c r="I6530" s="14"/>
    </row>
    <row r="6531" ht="20.7" customHeight="1">
      <c r="A6531" s="10">
        <v>45720</v>
      </c>
      <c r="B6531" t="s" s="11">
        <v>8</v>
      </c>
      <c r="C6531" t="s" s="12">
        <v>8</v>
      </c>
      <c r="D6531" s="15" cm="1">
        <f t="array" ref="D6531">SUM(D6529:D6530)</f>
        <v>10000</v>
      </c>
      <c r="E6531" s="15" cm="1">
        <f t="array" ref="E6531">SUM(E6529:E6530)</f>
        <v>10000</v>
      </c>
      <c r="F6531" s="16" cm="1">
        <f t="array" ref="F6531">SUM(F6529:F6530)</f>
        <v>0</v>
      </c>
      <c r="G6531" s="16" cm="1">
        <f t="array" ref="G6531">SUM(G6529:G6530)</f>
        <v>0</v>
      </c>
      <c r="H6531" s="16" cm="1">
        <f t="array" ref="H6531">SUM(H6529:H6530)</f>
        <v>0</v>
      </c>
      <c r="I6531" s="16" cm="1">
        <f t="array" ref="I6531">SUM(I6529:I6530)</f>
        <v>0</v>
      </c>
    </row>
    <row r="6532" ht="20.35" customHeight="1">
      <c r="A6532" s="10">
        <v>45720</v>
      </c>
      <c r="B6532" t="s" s="11">
        <v>28</v>
      </c>
      <c r="C6532" t="s" s="12">
        <v>953</v>
      </c>
      <c r="D6532" s="17">
        <v>133000</v>
      </c>
      <c r="E6532" s="17"/>
      <c r="F6532" s="18"/>
      <c r="G6532" s="18"/>
      <c r="H6532" s="18"/>
      <c r="I6532" s="18"/>
    </row>
    <row r="6533" ht="20.35" customHeight="1">
      <c r="A6533" s="10">
        <v>45720</v>
      </c>
      <c r="B6533" t="s" s="11">
        <v>91</v>
      </c>
      <c r="C6533" t="s" s="12">
        <v>953</v>
      </c>
      <c r="D6533" s="13"/>
      <c r="E6533" s="13">
        <v>133000</v>
      </c>
      <c r="F6533" s="14"/>
      <c r="G6533" s="14"/>
      <c r="H6533" s="14"/>
      <c r="I6533" s="14"/>
    </row>
    <row r="6534" ht="20.7" customHeight="1">
      <c r="A6534" s="10">
        <v>45720</v>
      </c>
      <c r="B6534" t="s" s="11">
        <v>8</v>
      </c>
      <c r="C6534" t="s" s="12">
        <v>8</v>
      </c>
      <c r="D6534" s="15" cm="1">
        <f t="array" ref="D6534">SUM(D6532:D6533)</f>
        <v>133000</v>
      </c>
      <c r="E6534" s="15" cm="1">
        <f t="array" ref="E6534">SUM(E6532:E6533)</f>
        <v>133000</v>
      </c>
      <c r="F6534" s="16" cm="1">
        <f t="array" ref="F6534">SUM(F6532:F6533)</f>
        <v>0</v>
      </c>
      <c r="G6534" s="16" cm="1">
        <f t="array" ref="G6534">SUM(G6532:G6533)</f>
        <v>0</v>
      </c>
      <c r="H6534" s="16" cm="1">
        <f t="array" ref="H6534">SUM(H6532:H6533)</f>
        <v>0</v>
      </c>
      <c r="I6534" s="16" cm="1">
        <f t="array" ref="I6534">SUM(I6532:I6533)</f>
        <v>0</v>
      </c>
    </row>
    <row r="6535" ht="20.35" customHeight="1">
      <c r="A6535" s="10">
        <v>45720</v>
      </c>
      <c r="B6535" t="s" s="11">
        <v>5</v>
      </c>
      <c r="C6535" t="s" s="12">
        <v>439</v>
      </c>
      <c r="D6535" s="17"/>
      <c r="E6535" s="17">
        <v>2000</v>
      </c>
      <c r="F6535" s="18"/>
      <c r="G6535" s="18"/>
      <c r="H6535" s="18"/>
      <c r="I6535" s="18"/>
    </row>
    <row r="6536" ht="20.35" customHeight="1">
      <c r="A6536" s="10">
        <v>45720</v>
      </c>
      <c r="B6536" t="s" s="11">
        <v>121</v>
      </c>
      <c r="C6536" t="s" s="12">
        <v>439</v>
      </c>
      <c r="D6536" s="13">
        <v>2000</v>
      </c>
      <c r="E6536" s="13"/>
      <c r="F6536" s="14"/>
      <c r="G6536" s="14"/>
      <c r="H6536" s="14"/>
      <c r="I6536" s="14"/>
    </row>
    <row r="6537" ht="20.7" customHeight="1">
      <c r="A6537" s="10">
        <v>45720</v>
      </c>
      <c r="B6537" t="s" s="11">
        <v>8</v>
      </c>
      <c r="C6537" t="s" s="12">
        <v>8</v>
      </c>
      <c r="D6537" s="15" cm="1">
        <f t="array" ref="D6537">SUM(D6535:D6536)</f>
        <v>2000</v>
      </c>
      <c r="E6537" s="15" cm="1">
        <f t="array" ref="E6537">SUM(E6535:E6536)</f>
        <v>2000</v>
      </c>
      <c r="F6537" s="16" cm="1">
        <f t="array" ref="F6537">SUM(F6535:F6536)</f>
        <v>0</v>
      </c>
      <c r="G6537" s="16" cm="1">
        <f t="array" ref="G6537">SUM(G6535:G6536)</f>
        <v>0</v>
      </c>
      <c r="H6537" s="16" cm="1">
        <f t="array" ref="H6537">SUM(H6535:H6536)</f>
        <v>0</v>
      </c>
      <c r="I6537" s="16" cm="1">
        <f t="array" ref="I6537">SUM(I6535:I6536)</f>
        <v>0</v>
      </c>
    </row>
    <row r="6538" ht="21.25" customHeight="1">
      <c r="A6538" s="10">
        <v>45720</v>
      </c>
      <c r="B6538" t="s" s="11">
        <v>121</v>
      </c>
      <c r="C6538" t="s" s="12">
        <v>954</v>
      </c>
      <c r="D6538" s="17"/>
      <c r="E6538" s="17">
        <v>1500</v>
      </c>
      <c r="F6538" s="18"/>
      <c r="G6538" s="18"/>
      <c r="H6538" s="18"/>
      <c r="I6538" s="18"/>
    </row>
    <row r="6539" ht="21.25" customHeight="1">
      <c r="A6539" s="10">
        <v>45720</v>
      </c>
      <c r="B6539" t="s" s="11">
        <v>10</v>
      </c>
      <c r="C6539" t="s" s="12">
        <v>954</v>
      </c>
      <c r="D6539" s="13">
        <v>1500</v>
      </c>
      <c r="E6539" s="13"/>
      <c r="F6539" s="14"/>
      <c r="G6539" s="14"/>
      <c r="H6539" s="14"/>
      <c r="I6539" s="14"/>
    </row>
    <row r="6540" ht="20.7" customHeight="1">
      <c r="A6540" s="10">
        <v>45720</v>
      </c>
      <c r="B6540" t="s" s="11">
        <v>8</v>
      </c>
      <c r="C6540" t="s" s="12">
        <v>8</v>
      </c>
      <c r="D6540" s="15" cm="1">
        <f t="array" ref="D6540">SUM(D6538:D6539)</f>
        <v>1500</v>
      </c>
      <c r="E6540" s="15" cm="1">
        <f t="array" ref="E6540">SUM(E6538:E6539)</f>
        <v>1500</v>
      </c>
      <c r="F6540" s="16" cm="1">
        <f t="array" ref="F6540">SUM(F6538:F6539)</f>
        <v>0</v>
      </c>
      <c r="G6540" s="16" cm="1">
        <f t="array" ref="G6540">SUM(G6538:G6539)</f>
        <v>0</v>
      </c>
      <c r="H6540" s="16" cm="1">
        <f t="array" ref="H6540">SUM(H6538:H6539)</f>
        <v>0</v>
      </c>
      <c r="I6540" s="16" cm="1">
        <f t="array" ref="I6540">SUM(I6538:I6539)</f>
        <v>0</v>
      </c>
    </row>
    <row r="6541" ht="20.35" customHeight="1">
      <c r="A6541" s="10">
        <v>45720</v>
      </c>
      <c r="B6541" t="s" s="11">
        <v>5</v>
      </c>
      <c r="C6541" t="s" s="12">
        <v>209</v>
      </c>
      <c r="D6541" s="17"/>
      <c r="E6541" s="17">
        <v>50000</v>
      </c>
      <c r="F6541" s="18"/>
      <c r="G6541" s="18"/>
      <c r="H6541" s="18"/>
      <c r="I6541" s="18"/>
    </row>
    <row r="6542" ht="20.35" customHeight="1">
      <c r="A6542" s="10">
        <v>45720</v>
      </c>
      <c r="B6542" t="s" s="11">
        <v>107</v>
      </c>
      <c r="C6542" t="s" s="12">
        <v>209</v>
      </c>
      <c r="D6542" s="13">
        <v>50000</v>
      </c>
      <c r="E6542" s="13"/>
      <c r="F6542" s="14"/>
      <c r="G6542" s="14"/>
      <c r="H6542" s="14"/>
      <c r="I6542" s="14"/>
    </row>
    <row r="6543" ht="20.7" customHeight="1">
      <c r="A6543" s="10">
        <v>45720</v>
      </c>
      <c r="B6543" t="s" s="11">
        <v>8</v>
      </c>
      <c r="C6543" t="s" s="12">
        <v>8</v>
      </c>
      <c r="D6543" s="15" cm="1">
        <f t="array" ref="D6543">SUM(D6541:D6542)</f>
        <v>50000</v>
      </c>
      <c r="E6543" s="15" cm="1">
        <f t="array" ref="E6543">SUM(E6541:E6542)</f>
        <v>50000</v>
      </c>
      <c r="F6543" s="16" cm="1">
        <f t="array" ref="F6543">SUM(F6541:F6542)</f>
        <v>0</v>
      </c>
      <c r="G6543" s="16" cm="1">
        <f t="array" ref="G6543">SUM(G6541:G6542)</f>
        <v>0</v>
      </c>
      <c r="H6543" s="16" cm="1">
        <f t="array" ref="H6543">SUM(H6541:H6542)</f>
        <v>0</v>
      </c>
      <c r="I6543" s="16" cm="1">
        <f t="array" ref="I6543">SUM(I6541:I6542)</f>
        <v>0</v>
      </c>
    </row>
    <row r="6544" ht="20.35" customHeight="1">
      <c r="A6544" s="10">
        <v>45720</v>
      </c>
      <c r="B6544" t="s" s="11">
        <v>107</v>
      </c>
      <c r="C6544" t="s" s="12">
        <v>955</v>
      </c>
      <c r="D6544" s="17"/>
      <c r="E6544" s="17">
        <v>50000</v>
      </c>
      <c r="F6544" s="18"/>
      <c r="G6544" s="18"/>
      <c r="H6544" s="18"/>
      <c r="I6544" s="18"/>
    </row>
    <row r="6545" ht="20.35" customHeight="1">
      <c r="A6545" s="10">
        <v>45720</v>
      </c>
      <c r="B6545" t="s" s="11">
        <v>10</v>
      </c>
      <c r="C6545" t="s" s="12">
        <v>955</v>
      </c>
      <c r="D6545" s="13">
        <v>50000</v>
      </c>
      <c r="E6545" s="13"/>
      <c r="F6545" s="14"/>
      <c r="G6545" s="14"/>
      <c r="H6545" s="14"/>
      <c r="I6545" s="14"/>
    </row>
    <row r="6546" ht="20.7" customHeight="1">
      <c r="A6546" s="10">
        <v>45720</v>
      </c>
      <c r="B6546" t="s" s="11">
        <v>8</v>
      </c>
      <c r="C6546" t="s" s="12">
        <v>8</v>
      </c>
      <c r="D6546" s="15" cm="1">
        <f t="array" ref="D6546">SUM(D6544:D6545)</f>
        <v>50000</v>
      </c>
      <c r="E6546" s="15" cm="1">
        <f t="array" ref="E6546">SUM(E6544:E6545)</f>
        <v>50000</v>
      </c>
      <c r="F6546" s="16" cm="1">
        <f t="array" ref="F6546">SUM(F6544:F6545)</f>
        <v>0</v>
      </c>
      <c r="G6546" s="16" cm="1">
        <f t="array" ref="G6546">SUM(G6544:G6545)</f>
        <v>0</v>
      </c>
      <c r="H6546" s="16" cm="1">
        <f t="array" ref="H6546">SUM(H6544:H6545)</f>
        <v>0</v>
      </c>
      <c r="I6546" s="16" cm="1">
        <f t="array" ref="I6546">SUM(I6544:I6545)</f>
        <v>0</v>
      </c>
    </row>
    <row r="6547" ht="21.25" customHeight="1">
      <c r="A6547" s="10">
        <v>45720</v>
      </c>
      <c r="B6547" t="s" s="11">
        <v>5</v>
      </c>
      <c r="C6547" t="s" s="12">
        <v>945</v>
      </c>
      <c r="D6547" s="17"/>
      <c r="E6547" s="17">
        <v>23700</v>
      </c>
      <c r="F6547" s="18"/>
      <c r="G6547" s="18"/>
      <c r="H6547" s="18"/>
      <c r="I6547" s="18"/>
    </row>
    <row r="6548" ht="21.25" customHeight="1">
      <c r="A6548" s="10">
        <v>45720</v>
      </c>
      <c r="B6548" t="s" s="11">
        <v>21</v>
      </c>
      <c r="C6548" t="s" s="12">
        <v>945</v>
      </c>
      <c r="D6548" s="13">
        <v>23700</v>
      </c>
      <c r="E6548" s="13"/>
      <c r="F6548" s="14"/>
      <c r="G6548" s="14"/>
      <c r="H6548" s="14"/>
      <c r="I6548" s="14"/>
    </row>
    <row r="6549" ht="20.7" customHeight="1">
      <c r="A6549" s="10">
        <v>45720</v>
      </c>
      <c r="B6549" t="s" s="11">
        <v>8</v>
      </c>
      <c r="C6549" t="s" s="12">
        <v>8</v>
      </c>
      <c r="D6549" s="15" cm="1">
        <f t="array" ref="D6549">SUM(D6547:D6548)</f>
        <v>23700</v>
      </c>
      <c r="E6549" s="15" cm="1">
        <f t="array" ref="E6549">SUM(E6547:E6548)</f>
        <v>23700</v>
      </c>
      <c r="F6549" s="16" cm="1">
        <f t="array" ref="F6549">SUM(F6547:F6548)</f>
        <v>0</v>
      </c>
      <c r="G6549" s="16" cm="1">
        <f t="array" ref="G6549">SUM(G6547:G6548)</f>
        <v>0</v>
      </c>
      <c r="H6549" s="16" cm="1">
        <f t="array" ref="H6549">SUM(H6547:H6548)</f>
        <v>0</v>
      </c>
      <c r="I6549" s="16" cm="1">
        <f t="array" ref="I6549">SUM(I6547:I6548)</f>
        <v>0</v>
      </c>
    </row>
    <row r="6550" ht="20.35" customHeight="1">
      <c r="A6550" s="10">
        <v>45720</v>
      </c>
      <c r="B6550" t="s" s="11">
        <v>5</v>
      </c>
      <c r="C6550" t="s" s="12">
        <v>439</v>
      </c>
      <c r="D6550" s="17"/>
      <c r="E6550" s="17">
        <v>11000</v>
      </c>
      <c r="F6550" s="18"/>
      <c r="G6550" s="18"/>
      <c r="H6550" s="18"/>
      <c r="I6550" s="18"/>
    </row>
    <row r="6551" ht="20.35" customHeight="1">
      <c r="A6551" s="10">
        <v>45720</v>
      </c>
      <c r="B6551" t="s" s="11">
        <v>121</v>
      </c>
      <c r="C6551" t="s" s="12">
        <v>439</v>
      </c>
      <c r="D6551" s="13">
        <v>11000</v>
      </c>
      <c r="E6551" s="13"/>
      <c r="F6551" s="14"/>
      <c r="G6551" s="14"/>
      <c r="H6551" s="14"/>
      <c r="I6551" s="14"/>
    </row>
    <row r="6552" ht="20.7" customHeight="1">
      <c r="A6552" s="10">
        <v>45720</v>
      </c>
      <c r="B6552" t="s" s="11">
        <v>8</v>
      </c>
      <c r="C6552" t="s" s="12">
        <v>8</v>
      </c>
      <c r="D6552" s="15" cm="1">
        <f t="array" ref="D6552">SUM(D6550:D6551)</f>
        <v>11000</v>
      </c>
      <c r="E6552" s="15" cm="1">
        <f t="array" ref="E6552">SUM(E6550:E6551)</f>
        <v>11000</v>
      </c>
      <c r="F6552" s="16" cm="1">
        <f t="array" ref="F6552">SUM(F6550:F6551)</f>
        <v>0</v>
      </c>
      <c r="G6552" s="16" cm="1">
        <f t="array" ref="G6552">SUM(G6550:G6551)</f>
        <v>0</v>
      </c>
      <c r="H6552" s="16" cm="1">
        <f t="array" ref="H6552">SUM(H6550:H6551)</f>
        <v>0</v>
      </c>
      <c r="I6552" s="16" cm="1">
        <f t="array" ref="I6552">SUM(I6550:I6551)</f>
        <v>0</v>
      </c>
    </row>
    <row r="6553" ht="20.35" customHeight="1">
      <c r="A6553" s="10">
        <v>45720</v>
      </c>
      <c r="B6553" t="s" s="11">
        <v>5</v>
      </c>
      <c r="C6553" t="s" s="12">
        <v>439</v>
      </c>
      <c r="D6553" s="17"/>
      <c r="E6553" s="17">
        <v>4000</v>
      </c>
      <c r="F6553" s="18"/>
      <c r="G6553" s="18"/>
      <c r="H6553" s="18"/>
      <c r="I6553" s="18"/>
    </row>
    <row r="6554" ht="20.35" customHeight="1">
      <c r="A6554" s="10">
        <v>45720</v>
      </c>
      <c r="B6554" t="s" s="11">
        <v>121</v>
      </c>
      <c r="C6554" t="s" s="12">
        <v>439</v>
      </c>
      <c r="D6554" s="13">
        <v>4000</v>
      </c>
      <c r="E6554" s="13"/>
      <c r="F6554" s="14"/>
      <c r="G6554" s="14"/>
      <c r="H6554" s="14"/>
      <c r="I6554" s="14"/>
    </row>
    <row r="6555" ht="20.7" customHeight="1">
      <c r="A6555" s="10">
        <v>45720</v>
      </c>
      <c r="B6555" t="s" s="11">
        <v>8</v>
      </c>
      <c r="C6555" t="s" s="12">
        <v>8</v>
      </c>
      <c r="D6555" s="15" cm="1">
        <f t="array" ref="D6555">SUM(D6553:D6554)</f>
        <v>4000</v>
      </c>
      <c r="E6555" s="15" cm="1">
        <f t="array" ref="E6555">SUM(E6553:E6554)</f>
        <v>4000</v>
      </c>
      <c r="F6555" s="16" cm="1">
        <f t="array" ref="F6555">SUM(F6553:F6554)</f>
        <v>0</v>
      </c>
      <c r="G6555" s="16" cm="1">
        <f t="array" ref="G6555">SUM(G6553:G6554)</f>
        <v>0</v>
      </c>
      <c r="H6555" s="16" cm="1">
        <f t="array" ref="H6555">SUM(H6553:H6554)</f>
        <v>0</v>
      </c>
      <c r="I6555" s="16" cm="1">
        <f t="array" ref="I6555">SUM(I6553:I6554)</f>
        <v>0</v>
      </c>
    </row>
    <row r="6556" ht="20.65" customHeight="1">
      <c r="A6556" s="10">
        <v>45720</v>
      </c>
      <c r="B6556" t="s" s="11">
        <v>121</v>
      </c>
      <c r="C6556" t="s" s="12">
        <v>956</v>
      </c>
      <c r="D6556" s="17"/>
      <c r="E6556" s="17">
        <v>10900</v>
      </c>
      <c r="F6556" s="18"/>
      <c r="G6556" s="18"/>
      <c r="H6556" s="18"/>
      <c r="I6556" s="18"/>
    </row>
    <row r="6557" ht="20.65" customHeight="1">
      <c r="A6557" s="10">
        <v>45720</v>
      </c>
      <c r="B6557" t="s" s="11">
        <v>12</v>
      </c>
      <c r="C6557" t="s" s="12">
        <v>956</v>
      </c>
      <c r="D6557" s="13">
        <v>10900</v>
      </c>
      <c r="E6557" s="13"/>
      <c r="F6557" s="14"/>
      <c r="G6557" s="14"/>
      <c r="H6557" s="14"/>
      <c r="I6557" s="14"/>
    </row>
    <row r="6558" ht="20.7" customHeight="1">
      <c r="A6558" s="10">
        <v>45720</v>
      </c>
      <c r="B6558" t="s" s="11">
        <v>8</v>
      </c>
      <c r="C6558" t="s" s="12">
        <v>8</v>
      </c>
      <c r="D6558" s="15" cm="1">
        <f t="array" ref="D6558">SUM(D6556:D6557)</f>
        <v>10900</v>
      </c>
      <c r="E6558" s="15" cm="1">
        <f t="array" ref="E6558">SUM(E6556:E6557)</f>
        <v>10900</v>
      </c>
      <c r="F6558" s="16" cm="1">
        <f t="array" ref="F6558">SUM(F6556:F6557)</f>
        <v>0</v>
      </c>
      <c r="G6558" s="16" cm="1">
        <f t="array" ref="G6558">SUM(G6556:G6557)</f>
        <v>0</v>
      </c>
      <c r="H6558" s="16" cm="1">
        <f t="array" ref="H6558">SUM(H6556:H6557)</f>
        <v>0</v>
      </c>
      <c r="I6558" s="16" cm="1">
        <f t="array" ref="I6558">SUM(I6556:I6557)</f>
        <v>0</v>
      </c>
    </row>
    <row r="6559" ht="20.35" customHeight="1">
      <c r="A6559" s="10">
        <v>45720</v>
      </c>
      <c r="B6559" t="s" s="11">
        <v>5</v>
      </c>
      <c r="C6559" t="s" s="12">
        <v>439</v>
      </c>
      <c r="D6559" s="17"/>
      <c r="E6559" s="17">
        <v>1200</v>
      </c>
      <c r="F6559" s="18"/>
      <c r="G6559" s="18"/>
      <c r="H6559" s="18"/>
      <c r="I6559" s="18"/>
    </row>
    <row r="6560" ht="20.35" customHeight="1">
      <c r="A6560" s="10">
        <v>45720</v>
      </c>
      <c r="B6560" t="s" s="11">
        <v>121</v>
      </c>
      <c r="C6560" t="s" s="12">
        <v>439</v>
      </c>
      <c r="D6560" s="13">
        <v>1200</v>
      </c>
      <c r="E6560" s="13"/>
      <c r="F6560" s="14"/>
      <c r="G6560" s="14"/>
      <c r="H6560" s="14"/>
      <c r="I6560" s="14"/>
    </row>
    <row r="6561" ht="20.7" customHeight="1">
      <c r="A6561" s="10">
        <v>45720</v>
      </c>
      <c r="B6561" t="s" s="11">
        <v>8</v>
      </c>
      <c r="C6561" t="s" s="12">
        <v>8</v>
      </c>
      <c r="D6561" s="15" cm="1">
        <f t="array" ref="D6561">SUM(D6559:D6560)</f>
        <v>1200</v>
      </c>
      <c r="E6561" s="15" cm="1">
        <f t="array" ref="E6561">SUM(E6559:E6560)</f>
        <v>1200</v>
      </c>
      <c r="F6561" s="16" cm="1">
        <f t="array" ref="F6561">SUM(F6559:F6560)</f>
        <v>0</v>
      </c>
      <c r="G6561" s="16" cm="1">
        <f t="array" ref="G6561">SUM(G6559:G6560)</f>
        <v>0</v>
      </c>
      <c r="H6561" s="16" cm="1">
        <f t="array" ref="H6561">SUM(H6559:H6560)</f>
        <v>0</v>
      </c>
      <c r="I6561" s="16" cm="1">
        <f t="array" ref="I6561">SUM(I6559:I6560)</f>
        <v>0</v>
      </c>
    </row>
    <row r="6562" ht="20.35" customHeight="1">
      <c r="A6562" s="10">
        <v>45720</v>
      </c>
      <c r="B6562" t="s" s="11">
        <v>93</v>
      </c>
      <c r="C6562" t="s" s="12">
        <v>439</v>
      </c>
      <c r="D6562" s="17"/>
      <c r="E6562" s="17">
        <v>7100</v>
      </c>
      <c r="F6562" s="18"/>
      <c r="G6562" s="18"/>
      <c r="H6562" s="18"/>
      <c r="I6562" s="18"/>
    </row>
    <row r="6563" ht="20.35" customHeight="1">
      <c r="A6563" s="10">
        <v>45720</v>
      </c>
      <c r="B6563" t="s" s="11">
        <v>121</v>
      </c>
      <c r="C6563" t="s" s="12">
        <v>439</v>
      </c>
      <c r="D6563" s="13">
        <v>7100</v>
      </c>
      <c r="E6563" s="13"/>
      <c r="F6563" s="14"/>
      <c r="G6563" s="14"/>
      <c r="H6563" s="14"/>
      <c r="I6563" s="14"/>
    </row>
    <row r="6564" ht="20.7" customHeight="1">
      <c r="A6564" s="10">
        <v>45720</v>
      </c>
      <c r="B6564" t="s" s="11">
        <v>8</v>
      </c>
      <c r="C6564" t="s" s="12">
        <v>8</v>
      </c>
      <c r="D6564" s="15" cm="1">
        <f t="array" ref="D6564">SUM(D6562:D6563)</f>
        <v>7100</v>
      </c>
      <c r="E6564" s="15" cm="1">
        <f t="array" ref="E6564">SUM(E6562:E6563)</f>
        <v>7100</v>
      </c>
      <c r="F6564" s="16" cm="1">
        <f t="array" ref="F6564">SUM(F6562:F6563)</f>
        <v>0</v>
      </c>
      <c r="G6564" s="16" cm="1">
        <f t="array" ref="G6564">SUM(G6562:G6563)</f>
        <v>0</v>
      </c>
      <c r="H6564" s="16" cm="1">
        <f t="array" ref="H6564">SUM(H6562:H6563)</f>
        <v>0</v>
      </c>
      <c r="I6564" s="16" cm="1">
        <f t="array" ref="I6564">SUM(I6562:I6563)</f>
        <v>0</v>
      </c>
    </row>
    <row r="6565" ht="20.65" customHeight="1">
      <c r="A6565" s="10">
        <v>45720</v>
      </c>
      <c r="B6565" t="s" s="11">
        <v>121</v>
      </c>
      <c r="C6565" t="s" s="12">
        <v>957</v>
      </c>
      <c r="D6565" s="17"/>
      <c r="E6565" s="17">
        <v>5700</v>
      </c>
      <c r="F6565" s="18"/>
      <c r="G6565" s="18"/>
      <c r="H6565" s="18"/>
      <c r="I6565" s="18"/>
    </row>
    <row r="6566" ht="20.65" customHeight="1">
      <c r="A6566" s="10">
        <v>45720</v>
      </c>
      <c r="B6566" t="s" s="11">
        <v>12</v>
      </c>
      <c r="C6566" t="s" s="12">
        <v>957</v>
      </c>
      <c r="D6566" s="13">
        <v>5700</v>
      </c>
      <c r="E6566" s="13"/>
      <c r="F6566" s="14"/>
      <c r="G6566" s="14"/>
      <c r="H6566" s="14"/>
      <c r="I6566" s="14"/>
    </row>
    <row r="6567" ht="20.7" customHeight="1">
      <c r="A6567" s="10">
        <v>45720</v>
      </c>
      <c r="B6567" t="s" s="11">
        <v>8</v>
      </c>
      <c r="C6567" t="s" s="12">
        <v>8</v>
      </c>
      <c r="D6567" s="15" cm="1">
        <f t="array" ref="D6567">SUM(D6565:D6566)</f>
        <v>5700</v>
      </c>
      <c r="E6567" s="15" cm="1">
        <f t="array" ref="E6567">SUM(E6565:E6566)</f>
        <v>5700</v>
      </c>
      <c r="F6567" s="16" cm="1">
        <f t="array" ref="F6567">SUM(F6565:F6566)</f>
        <v>0</v>
      </c>
      <c r="G6567" s="16" cm="1">
        <f t="array" ref="G6567">SUM(G6565:G6566)</f>
        <v>0</v>
      </c>
      <c r="H6567" s="16" cm="1">
        <f t="array" ref="H6567">SUM(H6565:H6566)</f>
        <v>0</v>
      </c>
      <c r="I6567" s="16" cm="1">
        <f t="array" ref="I6567">SUM(I6565:I6566)</f>
        <v>0</v>
      </c>
    </row>
    <row r="6568" ht="21.25" customHeight="1">
      <c r="A6568" s="10">
        <v>45720</v>
      </c>
      <c r="B6568" t="s" s="11">
        <v>21</v>
      </c>
      <c r="C6568" t="s" s="12">
        <v>958</v>
      </c>
      <c r="D6568" s="17"/>
      <c r="E6568" s="17">
        <v>1400</v>
      </c>
      <c r="F6568" s="18"/>
      <c r="G6568" s="18"/>
      <c r="H6568" s="18"/>
      <c r="I6568" s="18"/>
    </row>
    <row r="6569" ht="21.25" customHeight="1">
      <c r="A6569" s="10">
        <v>45720</v>
      </c>
      <c r="B6569" t="s" s="11">
        <v>16</v>
      </c>
      <c r="C6569" t="s" s="12">
        <v>958</v>
      </c>
      <c r="D6569" s="13">
        <v>1400</v>
      </c>
      <c r="E6569" s="13"/>
      <c r="F6569" s="14"/>
      <c r="G6569" s="14"/>
      <c r="H6569" s="14"/>
      <c r="I6569" s="14"/>
    </row>
    <row r="6570" ht="20.7" customHeight="1">
      <c r="A6570" s="10">
        <v>45720</v>
      </c>
      <c r="B6570" t="s" s="11">
        <v>8</v>
      </c>
      <c r="C6570" t="s" s="12">
        <v>8</v>
      </c>
      <c r="D6570" s="15" cm="1">
        <f t="array" ref="D6570">SUM(D6568:D6569)</f>
        <v>1400</v>
      </c>
      <c r="E6570" s="15" cm="1">
        <f t="array" ref="E6570">SUM(E6568:E6569)</f>
        <v>1400</v>
      </c>
      <c r="F6570" s="16" cm="1">
        <f t="array" ref="F6570">SUM(F6568:F6569)</f>
        <v>0</v>
      </c>
      <c r="G6570" s="16" cm="1">
        <f t="array" ref="G6570">SUM(G6568:G6569)</f>
        <v>0</v>
      </c>
      <c r="H6570" s="16" cm="1">
        <f t="array" ref="H6570">SUM(H6568:H6569)</f>
        <v>0</v>
      </c>
      <c r="I6570" s="16" cm="1">
        <f t="array" ref="I6570">SUM(I6568:I6569)</f>
        <v>0</v>
      </c>
    </row>
    <row r="6571" ht="20.35" customHeight="1">
      <c r="A6571" s="10">
        <v>45721</v>
      </c>
      <c r="B6571" t="s" s="11">
        <v>121</v>
      </c>
      <c r="C6571" t="s" s="12">
        <v>53</v>
      </c>
      <c r="D6571" s="17"/>
      <c r="E6571" s="17">
        <v>6000</v>
      </c>
      <c r="F6571" s="18"/>
      <c r="G6571" s="18"/>
      <c r="H6571" s="18"/>
      <c r="I6571" s="18"/>
    </row>
    <row r="6572" ht="20.35" customHeight="1">
      <c r="A6572" s="10">
        <v>45721</v>
      </c>
      <c r="B6572" t="s" s="11">
        <v>12</v>
      </c>
      <c r="C6572" t="s" s="12">
        <v>53</v>
      </c>
      <c r="D6572" s="13">
        <v>6000</v>
      </c>
      <c r="E6572" s="13"/>
      <c r="F6572" s="14"/>
      <c r="G6572" s="14"/>
      <c r="H6572" s="14"/>
      <c r="I6572" s="14"/>
    </row>
    <row r="6573" ht="20.7" customHeight="1">
      <c r="A6573" s="10">
        <v>45721</v>
      </c>
      <c r="B6573" t="s" s="11">
        <v>8</v>
      </c>
      <c r="C6573" t="s" s="12">
        <v>8</v>
      </c>
      <c r="D6573" s="15" cm="1">
        <f t="array" ref="D6573">SUM(D6571:D6572)</f>
        <v>6000</v>
      </c>
      <c r="E6573" s="15" cm="1">
        <f t="array" ref="E6573">SUM(E6571:E6572)</f>
        <v>6000</v>
      </c>
      <c r="F6573" s="16" cm="1">
        <f t="array" ref="F6573">SUM(F6571:F6572)</f>
        <v>0</v>
      </c>
      <c r="G6573" s="16" cm="1">
        <f t="array" ref="G6573">SUM(G6571:G6572)</f>
        <v>0</v>
      </c>
      <c r="H6573" s="16" cm="1">
        <f t="array" ref="H6573">SUM(H6571:H6572)</f>
        <v>0</v>
      </c>
      <c r="I6573" s="16" cm="1">
        <f t="array" ref="I6573">SUM(I6571:I6572)</f>
        <v>0</v>
      </c>
    </row>
    <row r="6574" ht="21.25" customHeight="1">
      <c r="A6574" s="10">
        <v>45721</v>
      </c>
      <c r="B6574" t="s" s="11">
        <v>5</v>
      </c>
      <c r="C6574" t="s" s="12">
        <v>799</v>
      </c>
      <c r="D6574" s="17">
        <v>1</v>
      </c>
      <c r="E6574" s="17"/>
      <c r="F6574" s="18"/>
      <c r="G6574" s="18"/>
      <c r="H6574" s="18"/>
      <c r="I6574" s="18"/>
    </row>
    <row r="6575" ht="21.25" customHeight="1">
      <c r="A6575" s="10">
        <v>45721</v>
      </c>
      <c r="B6575" t="s" s="11">
        <v>91</v>
      </c>
      <c r="C6575" t="s" s="12">
        <v>799</v>
      </c>
      <c r="D6575" s="13"/>
      <c r="E6575" s="13">
        <v>1</v>
      </c>
      <c r="F6575" s="14"/>
      <c r="G6575" s="14"/>
      <c r="H6575" s="14"/>
      <c r="I6575" s="14"/>
    </row>
    <row r="6576" ht="20.7" customHeight="1">
      <c r="A6576" s="10">
        <v>45721</v>
      </c>
      <c r="B6576" t="s" s="11">
        <v>8</v>
      </c>
      <c r="C6576" t="s" s="12">
        <v>8</v>
      </c>
      <c r="D6576" s="15" cm="1">
        <f t="array" ref="D6576">SUM(D6574:D6575)</f>
        <v>1</v>
      </c>
      <c r="E6576" s="15" cm="1">
        <f t="array" ref="E6576">SUM(E6574:E6575)</f>
        <v>1</v>
      </c>
      <c r="F6576" s="16" cm="1">
        <f t="array" ref="F6576">SUM(F6574:F6575)</f>
        <v>0</v>
      </c>
      <c r="G6576" s="16" cm="1">
        <f t="array" ref="G6576">SUM(G6574:G6575)</f>
        <v>0</v>
      </c>
      <c r="H6576" s="16" cm="1">
        <f t="array" ref="H6576">SUM(H6574:H6575)</f>
        <v>0</v>
      </c>
      <c r="I6576" s="16" cm="1">
        <f t="array" ref="I6576">SUM(I6574:I6575)</f>
        <v>0</v>
      </c>
    </row>
    <row r="6577" ht="21.25" customHeight="1">
      <c r="A6577" s="10">
        <v>45721</v>
      </c>
      <c r="B6577" t="s" s="11">
        <v>5</v>
      </c>
      <c r="C6577" t="s" s="12">
        <v>799</v>
      </c>
      <c r="D6577" s="17">
        <v>3</v>
      </c>
      <c r="E6577" s="17"/>
      <c r="F6577" s="18"/>
      <c r="G6577" s="18"/>
      <c r="H6577" s="18"/>
      <c r="I6577" s="18"/>
    </row>
    <row r="6578" ht="21.25" customHeight="1">
      <c r="A6578" s="10">
        <v>45721</v>
      </c>
      <c r="B6578" t="s" s="11">
        <v>91</v>
      </c>
      <c r="C6578" t="s" s="12">
        <v>799</v>
      </c>
      <c r="D6578" s="13"/>
      <c r="E6578" s="13">
        <v>3</v>
      </c>
      <c r="F6578" s="14"/>
      <c r="G6578" s="14"/>
      <c r="H6578" s="14"/>
      <c r="I6578" s="14"/>
    </row>
    <row r="6579" ht="20.7" customHeight="1">
      <c r="A6579" s="10">
        <v>45721</v>
      </c>
      <c r="B6579" t="s" s="11">
        <v>8</v>
      </c>
      <c r="C6579" t="s" s="12">
        <v>8</v>
      </c>
      <c r="D6579" s="15" cm="1">
        <f t="array" ref="D6579">SUM(D6577:D6578)</f>
        <v>3</v>
      </c>
      <c r="E6579" s="15" cm="1">
        <f t="array" ref="E6579">SUM(E6577:E6578)</f>
        <v>3</v>
      </c>
      <c r="F6579" s="16" cm="1">
        <f t="array" ref="F6579">SUM(F6577:F6578)</f>
        <v>0</v>
      </c>
      <c r="G6579" s="16" cm="1">
        <f t="array" ref="G6579">SUM(G6577:G6578)</f>
        <v>0</v>
      </c>
      <c r="H6579" s="16" cm="1">
        <f t="array" ref="H6579">SUM(H6577:H6578)</f>
        <v>0</v>
      </c>
      <c r="I6579" s="16" cm="1">
        <f t="array" ref="I6579">SUM(I6577:I6578)</f>
        <v>0</v>
      </c>
    </row>
    <row r="6580" ht="21.25" customHeight="1">
      <c r="A6580" s="10">
        <v>45721</v>
      </c>
      <c r="B6580" t="s" s="11">
        <v>5</v>
      </c>
      <c r="C6580" t="s" s="12">
        <v>799</v>
      </c>
      <c r="D6580" s="17">
        <v>1</v>
      </c>
      <c r="E6580" s="17"/>
      <c r="F6580" s="18"/>
      <c r="G6580" s="18"/>
      <c r="H6580" s="18"/>
      <c r="I6580" s="18"/>
    </row>
    <row r="6581" ht="21.25" customHeight="1">
      <c r="A6581" s="10">
        <v>45721</v>
      </c>
      <c r="B6581" t="s" s="11">
        <v>91</v>
      </c>
      <c r="C6581" t="s" s="12">
        <v>799</v>
      </c>
      <c r="D6581" s="13"/>
      <c r="E6581" s="13">
        <v>1</v>
      </c>
      <c r="F6581" s="14"/>
      <c r="G6581" s="14"/>
      <c r="H6581" s="14"/>
      <c r="I6581" s="14"/>
    </row>
    <row r="6582" ht="20.7" customHeight="1">
      <c r="A6582" s="10">
        <v>45721</v>
      </c>
      <c r="B6582" t="s" s="11">
        <v>8</v>
      </c>
      <c r="C6582" t="s" s="12">
        <v>8</v>
      </c>
      <c r="D6582" s="15" cm="1">
        <f t="array" ref="D6582">SUM(D6580:D6581)</f>
        <v>1</v>
      </c>
      <c r="E6582" s="15" cm="1">
        <f t="array" ref="E6582">SUM(E6580:E6581)</f>
        <v>1</v>
      </c>
      <c r="F6582" s="16" cm="1">
        <f t="array" ref="F6582">SUM(F6580:F6581)</f>
        <v>0</v>
      </c>
      <c r="G6582" s="16" cm="1">
        <f t="array" ref="G6582">SUM(G6580:G6581)</f>
        <v>0</v>
      </c>
      <c r="H6582" s="16" cm="1">
        <f t="array" ref="H6582">SUM(H6580:H6581)</f>
        <v>0</v>
      </c>
      <c r="I6582" s="16" cm="1">
        <f t="array" ref="I6582">SUM(I6580:I6581)</f>
        <v>0</v>
      </c>
    </row>
    <row r="6583" ht="21.25" customHeight="1">
      <c r="A6583" s="10">
        <v>45721</v>
      </c>
      <c r="B6583" t="s" s="11">
        <v>5</v>
      </c>
      <c r="C6583" t="s" s="12">
        <v>799</v>
      </c>
      <c r="D6583" s="17">
        <v>2</v>
      </c>
      <c r="E6583" s="17"/>
      <c r="F6583" s="18"/>
      <c r="G6583" s="18"/>
      <c r="H6583" s="18"/>
      <c r="I6583" s="18"/>
    </row>
    <row r="6584" ht="21.25" customHeight="1">
      <c r="A6584" s="10">
        <v>45721</v>
      </c>
      <c r="B6584" t="s" s="11">
        <v>91</v>
      </c>
      <c r="C6584" t="s" s="12">
        <v>799</v>
      </c>
      <c r="D6584" s="13"/>
      <c r="E6584" s="13">
        <v>2</v>
      </c>
      <c r="F6584" s="14"/>
      <c r="G6584" s="14"/>
      <c r="H6584" s="14"/>
      <c r="I6584" s="14"/>
    </row>
    <row r="6585" ht="20.7" customHeight="1">
      <c r="A6585" s="10">
        <v>45721</v>
      </c>
      <c r="B6585" t="s" s="11">
        <v>8</v>
      </c>
      <c r="C6585" t="s" s="12">
        <v>8</v>
      </c>
      <c r="D6585" s="15" cm="1">
        <f t="array" ref="D6585">SUM(D6583:D6584)</f>
        <v>2</v>
      </c>
      <c r="E6585" s="15" cm="1">
        <f t="array" ref="E6585">SUM(E6583:E6584)</f>
        <v>2</v>
      </c>
      <c r="F6585" s="16" cm="1">
        <f t="array" ref="F6585">SUM(F6583:F6584)</f>
        <v>0</v>
      </c>
      <c r="G6585" s="16" cm="1">
        <f t="array" ref="G6585">SUM(G6583:G6584)</f>
        <v>0</v>
      </c>
      <c r="H6585" s="16" cm="1">
        <f t="array" ref="H6585">SUM(H6583:H6584)</f>
        <v>0</v>
      </c>
      <c r="I6585" s="16" cm="1">
        <f t="array" ref="I6585">SUM(I6583:I6584)</f>
        <v>0</v>
      </c>
    </row>
    <row r="6586" ht="21.25" customHeight="1">
      <c r="A6586" s="10">
        <v>45721</v>
      </c>
      <c r="B6586" t="s" s="11">
        <v>21</v>
      </c>
      <c r="C6586" t="s" s="12">
        <v>959</v>
      </c>
      <c r="D6586" s="17"/>
      <c r="E6586" s="17">
        <v>1500</v>
      </c>
      <c r="F6586" s="18"/>
      <c r="G6586" s="18"/>
      <c r="H6586" s="18"/>
      <c r="I6586" s="18"/>
    </row>
    <row r="6587" ht="21.25" customHeight="1">
      <c r="A6587" s="10">
        <v>45721</v>
      </c>
      <c r="B6587" t="s" s="11">
        <v>16</v>
      </c>
      <c r="C6587" t="s" s="12">
        <v>959</v>
      </c>
      <c r="D6587" s="13">
        <v>1500</v>
      </c>
      <c r="E6587" s="13"/>
      <c r="F6587" s="14"/>
      <c r="G6587" s="14"/>
      <c r="H6587" s="14"/>
      <c r="I6587" s="14"/>
    </row>
    <row r="6588" ht="20.7" customHeight="1">
      <c r="A6588" s="10">
        <v>45721</v>
      </c>
      <c r="B6588" t="s" s="11">
        <v>8</v>
      </c>
      <c r="C6588" t="s" s="12">
        <v>8</v>
      </c>
      <c r="D6588" s="15" cm="1">
        <f t="array" ref="D6588">SUM(D6586:D6587)</f>
        <v>1500</v>
      </c>
      <c r="E6588" s="15" cm="1">
        <f t="array" ref="E6588">SUM(E6586:E6587)</f>
        <v>1500</v>
      </c>
      <c r="F6588" s="16" cm="1">
        <f t="array" ref="F6588">SUM(F6586:F6587)</f>
        <v>0</v>
      </c>
      <c r="G6588" s="16" cm="1">
        <f t="array" ref="G6588">SUM(G6586:G6587)</f>
        <v>0</v>
      </c>
      <c r="H6588" s="16" cm="1">
        <f t="array" ref="H6588">SUM(H6586:H6587)</f>
        <v>0</v>
      </c>
      <c r="I6588" s="16" cm="1">
        <f t="array" ref="I6588">SUM(I6586:I6587)</f>
        <v>0</v>
      </c>
    </row>
    <row r="6589" ht="20.35" customHeight="1">
      <c r="A6589" s="10">
        <v>45722</v>
      </c>
      <c r="B6589" t="s" s="11">
        <v>28</v>
      </c>
      <c r="C6589" t="s" s="12">
        <v>695</v>
      </c>
      <c r="D6589" s="17"/>
      <c r="E6589" s="17">
        <v>6000</v>
      </c>
      <c r="F6589" s="18"/>
      <c r="G6589" s="18"/>
      <c r="H6589" s="18"/>
      <c r="I6589" s="18"/>
    </row>
    <row r="6590" ht="20.35" customHeight="1">
      <c r="A6590" s="10">
        <v>45722</v>
      </c>
      <c r="B6590" t="s" s="11">
        <v>16</v>
      </c>
      <c r="C6590" t="s" s="12">
        <v>695</v>
      </c>
      <c r="D6590" s="13">
        <v>6000</v>
      </c>
      <c r="E6590" s="13"/>
      <c r="F6590" s="14"/>
      <c r="G6590" s="14"/>
      <c r="H6590" s="14"/>
      <c r="I6590" s="14"/>
    </row>
    <row r="6591" ht="20.7" customHeight="1">
      <c r="A6591" s="10">
        <v>45722</v>
      </c>
      <c r="B6591" t="s" s="11">
        <v>8</v>
      </c>
      <c r="C6591" t="s" s="12">
        <v>8</v>
      </c>
      <c r="D6591" s="15" cm="1">
        <f t="array" ref="D6591">SUM(D6589:D6590)</f>
        <v>6000</v>
      </c>
      <c r="E6591" s="15" cm="1">
        <f t="array" ref="E6591">SUM(E6589:E6590)</f>
        <v>6000</v>
      </c>
      <c r="F6591" s="16" cm="1">
        <f t="array" ref="F6591">SUM(F6589:F6590)</f>
        <v>0</v>
      </c>
      <c r="G6591" s="16" cm="1">
        <f t="array" ref="G6591">SUM(G6589:G6590)</f>
        <v>0</v>
      </c>
      <c r="H6591" s="16" cm="1">
        <f t="array" ref="H6591">SUM(H6589:H6590)</f>
        <v>0</v>
      </c>
      <c r="I6591" s="16" cm="1">
        <f t="array" ref="I6591">SUM(I6589:I6590)</f>
        <v>0</v>
      </c>
    </row>
    <row r="6592" ht="20.35" customHeight="1">
      <c r="A6592" s="10">
        <v>45722</v>
      </c>
      <c r="B6592" t="s" s="11">
        <v>28</v>
      </c>
      <c r="C6592" t="s" s="12">
        <v>96</v>
      </c>
      <c r="D6592" s="17"/>
      <c r="E6592" s="17">
        <v>170000</v>
      </c>
      <c r="F6592" s="18"/>
      <c r="G6592" s="18"/>
      <c r="H6592" s="18"/>
      <c r="I6592" s="18"/>
    </row>
    <row r="6593" ht="20.35" customHeight="1">
      <c r="A6593" s="10">
        <v>45722</v>
      </c>
      <c r="B6593" t="s" s="11">
        <v>5</v>
      </c>
      <c r="C6593" t="s" s="12">
        <v>96</v>
      </c>
      <c r="D6593" s="13">
        <v>170000</v>
      </c>
      <c r="E6593" s="13"/>
      <c r="F6593" s="14"/>
      <c r="G6593" s="14"/>
      <c r="H6593" s="14"/>
      <c r="I6593" s="14"/>
    </row>
    <row r="6594" ht="20.7" customHeight="1">
      <c r="A6594" s="10">
        <v>45722</v>
      </c>
      <c r="B6594" t="s" s="11">
        <v>8</v>
      </c>
      <c r="C6594" t="s" s="12">
        <v>8</v>
      </c>
      <c r="D6594" s="15" cm="1">
        <f t="array" ref="D6594">SUM(D6592:D6593)</f>
        <v>170000</v>
      </c>
      <c r="E6594" s="15" cm="1">
        <f t="array" ref="E6594">SUM(E6592:E6593)</f>
        <v>170000</v>
      </c>
      <c r="F6594" s="16" cm="1">
        <f t="array" ref="F6594">SUM(F6592:F6593)</f>
        <v>0</v>
      </c>
      <c r="G6594" s="16" cm="1">
        <f t="array" ref="G6594">SUM(G6592:G6593)</f>
        <v>0</v>
      </c>
      <c r="H6594" s="16" cm="1">
        <f t="array" ref="H6594">SUM(H6592:H6593)</f>
        <v>0</v>
      </c>
      <c r="I6594" s="16" cm="1">
        <f t="array" ref="I6594">SUM(I6592:I6593)</f>
        <v>0</v>
      </c>
    </row>
    <row r="6595" ht="20.35" customHeight="1">
      <c r="A6595" s="10">
        <v>45722</v>
      </c>
      <c r="B6595" t="s" s="11">
        <v>5</v>
      </c>
      <c r="C6595" t="s" s="12">
        <v>960</v>
      </c>
      <c r="D6595" s="17"/>
      <c r="E6595" s="17">
        <v>150000</v>
      </c>
      <c r="F6595" s="18"/>
      <c r="G6595" s="18"/>
      <c r="H6595" s="18"/>
      <c r="I6595" s="18"/>
    </row>
    <row r="6596" ht="20.35" customHeight="1">
      <c r="A6596" s="10">
        <v>45722</v>
      </c>
      <c r="B6596" t="s" s="11">
        <v>89</v>
      </c>
      <c r="C6596" t="s" s="12">
        <v>960</v>
      </c>
      <c r="D6596" s="13">
        <v>150000</v>
      </c>
      <c r="E6596" s="13"/>
      <c r="F6596" s="14"/>
      <c r="G6596" s="14"/>
      <c r="H6596" s="14"/>
      <c r="I6596" s="14"/>
    </row>
    <row r="6597" ht="20.7" customHeight="1">
      <c r="A6597" s="10">
        <v>45722</v>
      </c>
      <c r="B6597" t="s" s="11">
        <v>8</v>
      </c>
      <c r="C6597" t="s" s="12">
        <v>8</v>
      </c>
      <c r="D6597" s="15" cm="1">
        <f t="array" ref="D6597">SUM(D6595:D6596)</f>
        <v>150000</v>
      </c>
      <c r="E6597" s="15" cm="1">
        <f t="array" ref="E6597">SUM(E6595:E6596)</f>
        <v>150000</v>
      </c>
      <c r="F6597" s="16" cm="1">
        <f t="array" ref="F6597">SUM(F6595:F6596)</f>
        <v>0</v>
      </c>
      <c r="G6597" s="16" cm="1">
        <f t="array" ref="G6597">SUM(G6595:G6596)</f>
        <v>0</v>
      </c>
      <c r="H6597" s="16" cm="1">
        <f t="array" ref="H6597">SUM(H6595:H6596)</f>
        <v>0</v>
      </c>
      <c r="I6597" s="16" cm="1">
        <f t="array" ref="I6597">SUM(I6595:I6596)</f>
        <v>0</v>
      </c>
    </row>
    <row r="6598" ht="20.35" customHeight="1">
      <c r="A6598" s="10">
        <v>45722</v>
      </c>
      <c r="B6598" t="s" s="11">
        <v>93</v>
      </c>
      <c r="C6598" t="s" s="12">
        <v>20</v>
      </c>
      <c r="D6598" s="17">
        <v>10000</v>
      </c>
      <c r="E6598" s="17"/>
      <c r="F6598" s="18"/>
      <c r="G6598" s="18"/>
      <c r="H6598" s="18"/>
      <c r="I6598" s="18"/>
    </row>
    <row r="6599" ht="20.35" customHeight="1">
      <c r="A6599" s="10">
        <v>45722</v>
      </c>
      <c r="B6599" t="s" s="11">
        <v>21</v>
      </c>
      <c r="C6599" t="s" s="12">
        <v>20</v>
      </c>
      <c r="D6599" s="13"/>
      <c r="E6599" s="13">
        <v>10000</v>
      </c>
      <c r="F6599" s="14"/>
      <c r="G6599" s="14"/>
      <c r="H6599" s="14"/>
      <c r="I6599" s="14"/>
    </row>
    <row r="6600" ht="20.7" customHeight="1">
      <c r="A6600" s="10">
        <v>45722</v>
      </c>
      <c r="B6600" t="s" s="11">
        <v>8</v>
      </c>
      <c r="C6600" t="s" s="12">
        <v>8</v>
      </c>
      <c r="D6600" s="15" cm="1">
        <f t="array" ref="D6600">SUM(D6598:D6599)</f>
        <v>10000</v>
      </c>
      <c r="E6600" s="15" cm="1">
        <f t="array" ref="E6600">SUM(E6598:E6599)</f>
        <v>10000</v>
      </c>
      <c r="F6600" s="16" cm="1">
        <f t="array" ref="F6600">SUM(F6598:F6599)</f>
        <v>0</v>
      </c>
      <c r="G6600" s="16" cm="1">
        <f t="array" ref="G6600">SUM(G6598:G6599)</f>
        <v>0</v>
      </c>
      <c r="H6600" s="16" cm="1">
        <f t="array" ref="H6600">SUM(H6598:H6599)</f>
        <v>0</v>
      </c>
      <c r="I6600" s="16" cm="1">
        <f t="array" ref="I6600">SUM(I6598:I6599)</f>
        <v>0</v>
      </c>
    </row>
    <row r="6601" ht="20.35" customHeight="1">
      <c r="A6601" s="10">
        <v>45722</v>
      </c>
      <c r="B6601" t="s" s="11">
        <v>93</v>
      </c>
      <c r="C6601" t="s" s="12">
        <v>96</v>
      </c>
      <c r="D6601" s="17"/>
      <c r="E6601" s="17">
        <v>10000</v>
      </c>
      <c r="F6601" s="18"/>
      <c r="G6601" s="18"/>
      <c r="H6601" s="18"/>
      <c r="I6601" s="18"/>
    </row>
    <row r="6602" ht="20.35" customHeight="1">
      <c r="A6602" s="10">
        <v>45722</v>
      </c>
      <c r="B6602" t="s" s="11">
        <v>5</v>
      </c>
      <c r="C6602" t="s" s="12">
        <v>96</v>
      </c>
      <c r="D6602" s="13">
        <v>10000</v>
      </c>
      <c r="E6602" s="13"/>
      <c r="F6602" s="14"/>
      <c r="G6602" s="14"/>
      <c r="H6602" s="14"/>
      <c r="I6602" s="14"/>
    </row>
    <row r="6603" ht="20.7" customHeight="1">
      <c r="A6603" s="10">
        <v>45722</v>
      </c>
      <c r="B6603" t="s" s="11">
        <v>8</v>
      </c>
      <c r="C6603" t="s" s="12">
        <v>8</v>
      </c>
      <c r="D6603" s="15" cm="1">
        <f t="array" ref="D6603">SUM(D6601:D6602)</f>
        <v>10000</v>
      </c>
      <c r="E6603" s="15" cm="1">
        <f t="array" ref="E6603">SUM(E6601:E6602)</f>
        <v>10000</v>
      </c>
      <c r="F6603" s="16" cm="1">
        <f t="array" ref="F6603">SUM(F6601:F6602)</f>
        <v>0</v>
      </c>
      <c r="G6603" s="16" cm="1">
        <f t="array" ref="G6603">SUM(G6601:G6602)</f>
        <v>0</v>
      </c>
      <c r="H6603" s="16" cm="1">
        <f t="array" ref="H6603">SUM(H6601:H6602)</f>
        <v>0</v>
      </c>
      <c r="I6603" s="16" cm="1">
        <f t="array" ref="I6603">SUM(I6601:I6602)</f>
        <v>0</v>
      </c>
    </row>
    <row r="6604" ht="20.35" customHeight="1">
      <c r="A6604" s="10">
        <v>45722</v>
      </c>
      <c r="B6604" t="s" s="11">
        <v>5</v>
      </c>
      <c r="C6604" t="s" s="12">
        <v>915</v>
      </c>
      <c r="D6604" s="17"/>
      <c r="E6604" s="17">
        <v>13200</v>
      </c>
      <c r="F6604" s="18"/>
      <c r="G6604" s="18"/>
      <c r="H6604" s="18"/>
      <c r="I6604" s="18"/>
    </row>
    <row r="6605" ht="20.05" customHeight="1">
      <c r="A6605" s="10">
        <v>45722</v>
      </c>
      <c r="B6605" t="s" s="11">
        <v>74</v>
      </c>
      <c r="C6605" t="s" s="12">
        <v>915</v>
      </c>
      <c r="D6605" s="19">
        <v>6600</v>
      </c>
      <c r="E6605" s="19"/>
      <c r="F6605" s="20"/>
      <c r="G6605" s="20"/>
      <c r="H6605" s="20"/>
      <c r="I6605" s="20"/>
    </row>
    <row r="6606" ht="20.35" customHeight="1">
      <c r="A6606" s="10">
        <v>45722</v>
      </c>
      <c r="B6606" t="s" s="11">
        <v>21</v>
      </c>
      <c r="C6606" t="s" s="12">
        <v>915</v>
      </c>
      <c r="D6606" s="13">
        <v>6600</v>
      </c>
      <c r="E6606" s="13"/>
      <c r="F6606" s="14"/>
      <c r="G6606" s="14"/>
      <c r="H6606" s="14"/>
      <c r="I6606" s="14"/>
    </row>
    <row r="6607" ht="20.7" customHeight="1">
      <c r="A6607" s="10">
        <v>45722</v>
      </c>
      <c r="B6607" t="s" s="11">
        <v>8</v>
      </c>
      <c r="C6607" t="s" s="12">
        <v>8</v>
      </c>
      <c r="D6607" s="15" cm="1">
        <f t="array" ref="D6607">SUM(D6604:D6606)</f>
        <v>13200</v>
      </c>
      <c r="E6607" s="15" cm="1">
        <f t="array" ref="E6607">SUM(E6604:E6606)</f>
        <v>13200</v>
      </c>
      <c r="F6607" s="16" cm="1">
        <f t="array" ref="F6607">SUM(F6604:F6606)</f>
        <v>0</v>
      </c>
      <c r="G6607" s="16" cm="1">
        <f t="array" ref="G6607">SUM(G6604:G6606)</f>
        <v>0</v>
      </c>
      <c r="H6607" s="16" cm="1">
        <f t="array" ref="H6607">SUM(H6604:H6606)</f>
        <v>0</v>
      </c>
      <c r="I6607" s="16" cm="1">
        <f t="array" ref="I6607">SUM(I6604:I6606)</f>
        <v>0</v>
      </c>
    </row>
    <row r="6608" ht="20.35" customHeight="1">
      <c r="A6608" s="10">
        <v>45722</v>
      </c>
      <c r="B6608" t="s" s="11">
        <v>91</v>
      </c>
      <c r="C6608" t="s" s="12">
        <v>17</v>
      </c>
      <c r="D6608" s="17"/>
      <c r="E6608" s="17">
        <v>500</v>
      </c>
      <c r="F6608" s="18"/>
      <c r="G6608" s="18"/>
      <c r="H6608" s="18"/>
      <c r="I6608" s="18"/>
    </row>
    <row r="6609" ht="20.35" customHeight="1">
      <c r="A6609" s="10">
        <v>45722</v>
      </c>
      <c r="B6609" t="s" s="11">
        <v>5</v>
      </c>
      <c r="C6609" t="s" s="12">
        <v>17</v>
      </c>
      <c r="D6609" s="13">
        <v>500</v>
      </c>
      <c r="E6609" s="13"/>
      <c r="F6609" s="14"/>
      <c r="G6609" s="14"/>
      <c r="H6609" s="14"/>
      <c r="I6609" s="14"/>
    </row>
    <row r="6610" ht="20.7" customHeight="1">
      <c r="A6610" s="10">
        <v>45722</v>
      </c>
      <c r="B6610" t="s" s="11">
        <v>8</v>
      </c>
      <c r="C6610" t="s" s="12">
        <v>8</v>
      </c>
      <c r="D6610" s="15" cm="1">
        <f t="array" ref="D6610">SUM(D6608:D6609)</f>
        <v>500</v>
      </c>
      <c r="E6610" s="15" cm="1">
        <f t="array" ref="E6610">SUM(E6608:E6609)</f>
        <v>500</v>
      </c>
      <c r="F6610" s="16" cm="1">
        <f t="array" ref="F6610">SUM(F6608:F6609)</f>
        <v>0</v>
      </c>
      <c r="G6610" s="16" cm="1">
        <f t="array" ref="G6610">SUM(G6608:G6609)</f>
        <v>0</v>
      </c>
      <c r="H6610" s="16" cm="1">
        <f t="array" ref="H6610">SUM(H6608:H6609)</f>
        <v>0</v>
      </c>
      <c r="I6610" s="16" cm="1">
        <f t="array" ref="I6610">SUM(I6608:I6609)</f>
        <v>0</v>
      </c>
    </row>
    <row r="6611" ht="20.35" customHeight="1">
      <c r="A6611" s="10">
        <v>45722</v>
      </c>
      <c r="B6611" t="s" s="11">
        <v>5</v>
      </c>
      <c r="C6611" t="s" s="12">
        <v>915</v>
      </c>
      <c r="D6611" s="17"/>
      <c r="E6611" s="17">
        <v>13740</v>
      </c>
      <c r="F6611" s="18"/>
      <c r="G6611" s="18"/>
      <c r="H6611" s="18"/>
      <c r="I6611" s="18"/>
    </row>
    <row r="6612" ht="20.05" customHeight="1">
      <c r="A6612" s="10">
        <v>45722</v>
      </c>
      <c r="B6612" t="s" s="11">
        <v>74</v>
      </c>
      <c r="C6612" t="s" s="12">
        <v>915</v>
      </c>
      <c r="D6612" s="19">
        <v>6870</v>
      </c>
      <c r="E6612" s="19"/>
      <c r="F6612" s="20"/>
      <c r="G6612" s="20"/>
      <c r="H6612" s="20"/>
      <c r="I6612" s="20"/>
    </row>
    <row r="6613" ht="20.35" customHeight="1">
      <c r="A6613" s="10">
        <v>45722</v>
      </c>
      <c r="B6613" t="s" s="11">
        <v>21</v>
      </c>
      <c r="C6613" t="s" s="12">
        <v>915</v>
      </c>
      <c r="D6613" s="13">
        <v>6870</v>
      </c>
      <c r="E6613" s="13"/>
      <c r="F6613" s="14"/>
      <c r="G6613" s="14"/>
      <c r="H6613" s="14"/>
      <c r="I6613" s="14"/>
    </row>
    <row r="6614" ht="20.7" customHeight="1">
      <c r="A6614" s="10">
        <v>45722</v>
      </c>
      <c r="B6614" t="s" s="11">
        <v>8</v>
      </c>
      <c r="C6614" t="s" s="12">
        <v>8</v>
      </c>
      <c r="D6614" s="15" cm="1">
        <f t="array" ref="D6614">SUM(D6611:D6613)</f>
        <v>13740</v>
      </c>
      <c r="E6614" s="15" cm="1">
        <f t="array" ref="E6614">SUM(E6611:E6613)</f>
        <v>13740</v>
      </c>
      <c r="F6614" s="16" cm="1">
        <f t="array" ref="F6614">SUM(F6611:F6613)</f>
        <v>0</v>
      </c>
      <c r="G6614" s="16" cm="1">
        <f t="array" ref="G6614">SUM(G6611:G6613)</f>
        <v>0</v>
      </c>
      <c r="H6614" s="16" cm="1">
        <f t="array" ref="H6614">SUM(H6611:H6613)</f>
        <v>0</v>
      </c>
      <c r="I6614" s="16" cm="1">
        <f t="array" ref="I6614">SUM(I6611:I6613)</f>
        <v>0</v>
      </c>
    </row>
    <row r="6615" ht="21.25" customHeight="1">
      <c r="A6615" s="10">
        <v>45722</v>
      </c>
      <c r="B6615" t="s" s="11">
        <v>5</v>
      </c>
      <c r="C6615" t="s" s="12">
        <v>799</v>
      </c>
      <c r="D6615" s="17">
        <v>2</v>
      </c>
      <c r="E6615" s="17"/>
      <c r="F6615" s="18"/>
      <c r="G6615" s="18"/>
      <c r="H6615" s="18"/>
      <c r="I6615" s="18"/>
    </row>
    <row r="6616" ht="21.25" customHeight="1">
      <c r="A6616" s="10">
        <v>45722</v>
      </c>
      <c r="B6616" t="s" s="11">
        <v>91</v>
      </c>
      <c r="C6616" t="s" s="12">
        <v>799</v>
      </c>
      <c r="D6616" s="13"/>
      <c r="E6616" s="13">
        <v>2</v>
      </c>
      <c r="F6616" s="14"/>
      <c r="G6616" s="14"/>
      <c r="H6616" s="14"/>
      <c r="I6616" s="14"/>
    </row>
    <row r="6617" ht="20.7" customHeight="1">
      <c r="A6617" s="10">
        <v>45722</v>
      </c>
      <c r="B6617" t="s" s="11">
        <v>8</v>
      </c>
      <c r="C6617" t="s" s="12">
        <v>8</v>
      </c>
      <c r="D6617" s="15" cm="1">
        <f t="array" ref="D6617">SUM(D6615:D6616)</f>
        <v>2</v>
      </c>
      <c r="E6617" s="15" cm="1">
        <f t="array" ref="E6617">SUM(E6615:E6616)</f>
        <v>2</v>
      </c>
      <c r="F6617" s="16" cm="1">
        <f t="array" ref="F6617">SUM(F6615:F6616)</f>
        <v>0</v>
      </c>
      <c r="G6617" s="16" cm="1">
        <f t="array" ref="G6617">SUM(G6615:G6616)</f>
        <v>0</v>
      </c>
      <c r="H6617" s="16" cm="1">
        <f t="array" ref="H6617">SUM(H6615:H6616)</f>
        <v>0</v>
      </c>
      <c r="I6617" s="16" cm="1">
        <f t="array" ref="I6617">SUM(I6615:I6616)</f>
        <v>0</v>
      </c>
    </row>
    <row r="6618" ht="21.25" customHeight="1">
      <c r="A6618" s="10">
        <v>45722</v>
      </c>
      <c r="B6618" t="s" s="11">
        <v>5</v>
      </c>
      <c r="C6618" t="s" s="12">
        <v>799</v>
      </c>
      <c r="D6618" s="17">
        <v>2</v>
      </c>
      <c r="E6618" s="17"/>
      <c r="F6618" s="18"/>
      <c r="G6618" s="18"/>
      <c r="H6618" s="18"/>
      <c r="I6618" s="18"/>
    </row>
    <row r="6619" ht="21.25" customHeight="1">
      <c r="A6619" s="10">
        <v>45722</v>
      </c>
      <c r="B6619" t="s" s="11">
        <v>91</v>
      </c>
      <c r="C6619" t="s" s="12">
        <v>799</v>
      </c>
      <c r="D6619" s="13"/>
      <c r="E6619" s="13">
        <v>2</v>
      </c>
      <c r="F6619" s="14"/>
      <c r="G6619" s="14"/>
      <c r="H6619" s="14"/>
      <c r="I6619" s="14"/>
    </row>
    <row r="6620" ht="20.7" customHeight="1">
      <c r="A6620" s="10">
        <v>45722</v>
      </c>
      <c r="B6620" t="s" s="11">
        <v>8</v>
      </c>
      <c r="C6620" t="s" s="12">
        <v>8</v>
      </c>
      <c r="D6620" s="15" cm="1">
        <f t="array" ref="D6620">SUM(D6618:D6619)</f>
        <v>2</v>
      </c>
      <c r="E6620" s="15" cm="1">
        <f t="array" ref="E6620">SUM(E6618:E6619)</f>
        <v>2</v>
      </c>
      <c r="F6620" s="16" cm="1">
        <f t="array" ref="F6620">SUM(F6618:F6619)</f>
        <v>0</v>
      </c>
      <c r="G6620" s="16" cm="1">
        <f t="array" ref="G6620">SUM(G6618:G6619)</f>
        <v>0</v>
      </c>
      <c r="H6620" s="16" cm="1">
        <f t="array" ref="H6620">SUM(H6618:H6619)</f>
        <v>0</v>
      </c>
      <c r="I6620" s="16" cm="1">
        <f t="array" ref="I6620">SUM(I6618:I6619)</f>
        <v>0</v>
      </c>
    </row>
    <row r="6621" ht="20.35" customHeight="1">
      <c r="A6621" s="10">
        <v>45722</v>
      </c>
      <c r="B6621" t="s" s="11">
        <v>28</v>
      </c>
      <c r="C6621" t="s" s="12">
        <v>961</v>
      </c>
      <c r="D6621" s="17">
        <v>205000</v>
      </c>
      <c r="E6621" s="17"/>
      <c r="F6621" s="18"/>
      <c r="G6621" s="18"/>
      <c r="H6621" s="18"/>
      <c r="I6621" s="18"/>
    </row>
    <row r="6622" ht="20.35" customHeight="1">
      <c r="A6622" s="10">
        <v>45722</v>
      </c>
      <c r="B6622" t="s" s="11">
        <v>89</v>
      </c>
      <c r="C6622" t="s" s="12">
        <v>961</v>
      </c>
      <c r="D6622" s="13"/>
      <c r="E6622" s="13">
        <v>205000</v>
      </c>
      <c r="F6622" s="14"/>
      <c r="G6622" s="14"/>
      <c r="H6622" s="14"/>
      <c r="I6622" s="14"/>
    </row>
    <row r="6623" ht="20.7" customHeight="1">
      <c r="A6623" s="10">
        <v>45722</v>
      </c>
      <c r="B6623" t="s" s="11">
        <v>8</v>
      </c>
      <c r="C6623" t="s" s="12">
        <v>8</v>
      </c>
      <c r="D6623" s="15" cm="1">
        <f t="array" ref="D6623">SUM(D6621:D6622)</f>
        <v>205000</v>
      </c>
      <c r="E6623" s="15" cm="1">
        <f t="array" ref="E6623">SUM(E6621:E6622)</f>
        <v>205000</v>
      </c>
      <c r="F6623" s="16" cm="1">
        <f t="array" ref="F6623">SUM(F6621:F6622)</f>
        <v>0</v>
      </c>
      <c r="G6623" s="16" cm="1">
        <f t="array" ref="G6623">SUM(G6621:G6622)</f>
        <v>0</v>
      </c>
      <c r="H6623" s="16" cm="1">
        <f t="array" ref="H6623">SUM(H6621:H6622)</f>
        <v>0</v>
      </c>
      <c r="I6623" s="16" cm="1">
        <f t="array" ref="I6623">SUM(I6621:I6622)</f>
        <v>0</v>
      </c>
    </row>
    <row r="6624" ht="20.35" customHeight="1">
      <c r="A6624" s="10">
        <v>45723</v>
      </c>
      <c r="B6624" t="s" s="11">
        <v>28</v>
      </c>
      <c r="C6624" t="s" s="12">
        <v>96</v>
      </c>
      <c r="D6624" s="17"/>
      <c r="E6624" s="17">
        <v>200000</v>
      </c>
      <c r="F6624" s="18"/>
      <c r="G6624" s="18"/>
      <c r="H6624" s="18"/>
      <c r="I6624" s="18"/>
    </row>
    <row r="6625" ht="20.35" customHeight="1">
      <c r="A6625" s="10">
        <v>45723</v>
      </c>
      <c r="B6625" t="s" s="11">
        <v>5</v>
      </c>
      <c r="C6625" t="s" s="12">
        <v>96</v>
      </c>
      <c r="D6625" s="13">
        <v>200000</v>
      </c>
      <c r="E6625" s="13"/>
      <c r="F6625" s="14"/>
      <c r="G6625" s="14"/>
      <c r="H6625" s="14"/>
      <c r="I6625" s="14"/>
    </row>
    <row r="6626" ht="20.7" customHeight="1">
      <c r="A6626" s="10">
        <v>45723</v>
      </c>
      <c r="B6626" t="s" s="11">
        <v>8</v>
      </c>
      <c r="C6626" t="s" s="12">
        <v>8</v>
      </c>
      <c r="D6626" s="15" cm="1">
        <f t="array" ref="D6626">SUM(D6624:D6625)</f>
        <v>200000</v>
      </c>
      <c r="E6626" s="15" cm="1">
        <f t="array" ref="E6626">SUM(E6624:E6625)</f>
        <v>200000</v>
      </c>
      <c r="F6626" s="16" cm="1">
        <f t="array" ref="F6626">SUM(F6624:F6625)</f>
        <v>0</v>
      </c>
      <c r="G6626" s="16" cm="1">
        <f t="array" ref="G6626">SUM(G6624:G6625)</f>
        <v>0</v>
      </c>
      <c r="H6626" s="16" cm="1">
        <f t="array" ref="H6626">SUM(H6624:H6625)</f>
        <v>0</v>
      </c>
      <c r="I6626" s="16" cm="1">
        <f t="array" ref="I6626">SUM(I6624:I6625)</f>
        <v>0</v>
      </c>
    </row>
    <row r="6627" ht="20.35" customHeight="1">
      <c r="A6627" s="10">
        <v>45723</v>
      </c>
      <c r="B6627" t="s" s="11">
        <v>5</v>
      </c>
      <c r="C6627" t="s" s="12">
        <v>20</v>
      </c>
      <c r="D6627" s="17"/>
      <c r="E6627" s="17">
        <v>10000</v>
      </c>
      <c r="F6627" s="18"/>
      <c r="G6627" s="18"/>
      <c r="H6627" s="18"/>
      <c r="I6627" s="18"/>
    </row>
    <row r="6628" ht="20.35" customHeight="1">
      <c r="A6628" s="10">
        <v>45723</v>
      </c>
      <c r="B6628" t="s" s="11">
        <v>21</v>
      </c>
      <c r="C6628" t="s" s="12">
        <v>20</v>
      </c>
      <c r="D6628" s="13">
        <v>10000</v>
      </c>
      <c r="E6628" s="13"/>
      <c r="F6628" s="14"/>
      <c r="G6628" s="14"/>
      <c r="H6628" s="14"/>
      <c r="I6628" s="14"/>
    </row>
    <row r="6629" ht="20.7" customHeight="1">
      <c r="A6629" s="10">
        <v>45723</v>
      </c>
      <c r="B6629" t="s" s="11">
        <v>8</v>
      </c>
      <c r="C6629" t="s" s="12">
        <v>8</v>
      </c>
      <c r="D6629" s="15" cm="1">
        <f t="array" ref="D6629">SUM(D6627:D6628)</f>
        <v>10000</v>
      </c>
      <c r="E6629" s="15" cm="1">
        <f t="array" ref="E6629">SUM(E6627:E6628)</f>
        <v>10000</v>
      </c>
      <c r="F6629" s="16" cm="1">
        <f t="array" ref="F6629">SUM(F6627:F6628)</f>
        <v>0</v>
      </c>
      <c r="G6629" s="16" cm="1">
        <f t="array" ref="G6629">SUM(G6627:G6628)</f>
        <v>0</v>
      </c>
      <c r="H6629" s="16" cm="1">
        <f t="array" ref="H6629">SUM(H6627:H6628)</f>
        <v>0</v>
      </c>
      <c r="I6629" s="16" cm="1">
        <f t="array" ref="I6629">SUM(I6627:I6628)</f>
        <v>0</v>
      </c>
    </row>
    <row r="6630" ht="21.25" customHeight="1">
      <c r="A6630" s="10">
        <v>45723</v>
      </c>
      <c r="B6630" t="s" s="11">
        <v>5</v>
      </c>
      <c r="C6630" t="s" s="12">
        <v>962</v>
      </c>
      <c r="D6630" s="17"/>
      <c r="E6630" s="17">
        <v>153280</v>
      </c>
      <c r="F6630" s="18"/>
      <c r="G6630" s="18"/>
      <c r="H6630" s="18"/>
      <c r="I6630" s="18"/>
    </row>
    <row r="6631" ht="21.25" customHeight="1">
      <c r="A6631" s="10">
        <v>45723</v>
      </c>
      <c r="B6631" t="s" s="11">
        <v>86</v>
      </c>
      <c r="C6631" t="s" s="12">
        <v>962</v>
      </c>
      <c r="D6631" s="13">
        <v>153280</v>
      </c>
      <c r="E6631" s="13"/>
      <c r="F6631" s="14"/>
      <c r="G6631" s="14"/>
      <c r="H6631" s="14"/>
      <c r="I6631" s="14"/>
    </row>
    <row r="6632" ht="20.7" customHeight="1">
      <c r="A6632" s="10">
        <v>45723</v>
      </c>
      <c r="B6632" t="s" s="11">
        <v>8</v>
      </c>
      <c r="C6632" t="s" s="12">
        <v>8</v>
      </c>
      <c r="D6632" s="15" cm="1">
        <f t="array" ref="D6632">SUM(D6630:D6631)</f>
        <v>153280</v>
      </c>
      <c r="E6632" s="15" cm="1">
        <f t="array" ref="E6632">SUM(E6630:E6631)</f>
        <v>153280</v>
      </c>
      <c r="F6632" s="16" cm="1">
        <f t="array" ref="F6632">SUM(F6630:F6631)</f>
        <v>0</v>
      </c>
      <c r="G6632" s="16" cm="1">
        <f t="array" ref="G6632">SUM(G6630:G6631)</f>
        <v>0</v>
      </c>
      <c r="H6632" s="16" cm="1">
        <f t="array" ref="H6632">SUM(H6630:H6631)</f>
        <v>0</v>
      </c>
      <c r="I6632" s="16" cm="1">
        <f t="array" ref="I6632">SUM(I6630:I6631)</f>
        <v>0</v>
      </c>
    </row>
    <row r="6633" ht="20.35" customHeight="1">
      <c r="A6633" s="10">
        <v>45723</v>
      </c>
      <c r="B6633" t="s" s="11">
        <v>5</v>
      </c>
      <c r="C6633" t="s" s="12">
        <v>890</v>
      </c>
      <c r="D6633" s="17"/>
      <c r="E6633" s="17">
        <v>300</v>
      </c>
      <c r="F6633" s="18"/>
      <c r="G6633" s="18"/>
      <c r="H6633" s="18"/>
      <c r="I6633" s="18"/>
    </row>
    <row r="6634" ht="20.35" customHeight="1">
      <c r="A6634" s="10">
        <v>45723</v>
      </c>
      <c r="B6634" t="s" s="11">
        <v>10</v>
      </c>
      <c r="C6634" t="s" s="12">
        <v>890</v>
      </c>
      <c r="D6634" s="13">
        <v>300</v>
      </c>
      <c r="E6634" s="13"/>
      <c r="F6634" s="14"/>
      <c r="G6634" s="14"/>
      <c r="H6634" s="14"/>
      <c r="I6634" s="14"/>
    </row>
    <row r="6635" ht="20.7" customHeight="1">
      <c r="A6635" s="10">
        <v>45723</v>
      </c>
      <c r="B6635" t="s" s="11">
        <v>8</v>
      </c>
      <c r="C6635" t="s" s="12">
        <v>8</v>
      </c>
      <c r="D6635" s="15" cm="1">
        <f t="array" ref="D6635">SUM(D6633:D6634)</f>
        <v>300</v>
      </c>
      <c r="E6635" s="15" cm="1">
        <f t="array" ref="E6635">SUM(E6633:E6634)</f>
        <v>300</v>
      </c>
      <c r="F6635" s="16" cm="1">
        <f t="array" ref="F6635">SUM(F6633:F6634)</f>
        <v>0</v>
      </c>
      <c r="G6635" s="16" cm="1">
        <f t="array" ref="G6635">SUM(G6633:G6634)</f>
        <v>0</v>
      </c>
      <c r="H6635" s="16" cm="1">
        <f t="array" ref="H6635">SUM(H6633:H6634)</f>
        <v>0</v>
      </c>
      <c r="I6635" s="16" cm="1">
        <f t="array" ref="I6635">SUM(I6633:I6634)</f>
        <v>0</v>
      </c>
    </row>
    <row r="6636" ht="21.25" customHeight="1">
      <c r="A6636" s="10">
        <v>45723</v>
      </c>
      <c r="B6636" t="s" s="11">
        <v>5</v>
      </c>
      <c r="C6636" t="s" s="12">
        <v>253</v>
      </c>
      <c r="D6636" s="17"/>
      <c r="E6636" s="17">
        <v>7890</v>
      </c>
      <c r="F6636" s="18"/>
      <c r="G6636" s="18"/>
      <c r="H6636" s="18"/>
      <c r="I6636" s="18"/>
    </row>
    <row r="6637" ht="21.25" customHeight="1">
      <c r="A6637" s="10">
        <v>45723</v>
      </c>
      <c r="B6637" t="s" s="11">
        <v>10</v>
      </c>
      <c r="C6637" t="s" s="12">
        <v>253</v>
      </c>
      <c r="D6637" s="13">
        <v>7890</v>
      </c>
      <c r="E6637" s="13"/>
      <c r="F6637" s="14"/>
      <c r="G6637" s="14"/>
      <c r="H6637" s="14"/>
      <c r="I6637" s="14"/>
    </row>
    <row r="6638" ht="20.7" customHeight="1">
      <c r="A6638" s="10">
        <v>45723</v>
      </c>
      <c r="B6638" t="s" s="11">
        <v>8</v>
      </c>
      <c r="C6638" t="s" s="12">
        <v>8</v>
      </c>
      <c r="D6638" s="15" cm="1">
        <f t="array" ref="D6638">SUM(D6636:D6637)</f>
        <v>7890</v>
      </c>
      <c r="E6638" s="15" cm="1">
        <f t="array" ref="E6638">SUM(E6636:E6637)</f>
        <v>7890</v>
      </c>
      <c r="F6638" s="16" cm="1">
        <f t="array" ref="F6638">SUM(F6636:F6637)</f>
        <v>0</v>
      </c>
      <c r="G6638" s="16" cm="1">
        <f t="array" ref="G6638">SUM(G6636:G6637)</f>
        <v>0</v>
      </c>
      <c r="H6638" s="16" cm="1">
        <f t="array" ref="H6638">SUM(H6636:H6637)</f>
        <v>0</v>
      </c>
      <c r="I6638" s="16" cm="1">
        <f t="array" ref="I6638">SUM(I6636:I6637)</f>
        <v>0</v>
      </c>
    </row>
    <row r="6639" ht="20.35" customHeight="1">
      <c r="A6639" s="10">
        <v>45723</v>
      </c>
      <c r="B6639" t="s" s="11">
        <v>5</v>
      </c>
      <c r="C6639" t="s" s="12">
        <v>963</v>
      </c>
      <c r="D6639" s="17"/>
      <c r="E6639" s="17">
        <v>5500</v>
      </c>
      <c r="F6639" s="18"/>
      <c r="G6639" s="18"/>
      <c r="H6639" s="18"/>
      <c r="I6639" s="18"/>
    </row>
    <row r="6640" ht="20.35" customHeight="1">
      <c r="A6640" s="10">
        <v>45723</v>
      </c>
      <c r="B6640" t="s" s="11">
        <v>12</v>
      </c>
      <c r="C6640" t="s" s="12">
        <v>963</v>
      </c>
      <c r="D6640" s="13">
        <v>5500</v>
      </c>
      <c r="E6640" s="13"/>
      <c r="F6640" s="14"/>
      <c r="G6640" s="14"/>
      <c r="H6640" s="14"/>
      <c r="I6640" s="14"/>
    </row>
    <row r="6641" ht="20.7" customHeight="1">
      <c r="A6641" s="10">
        <v>45723</v>
      </c>
      <c r="B6641" t="s" s="11">
        <v>8</v>
      </c>
      <c r="C6641" t="s" s="12">
        <v>8</v>
      </c>
      <c r="D6641" s="15" cm="1">
        <f t="array" ref="D6641">SUM(D6639:D6640)</f>
        <v>5500</v>
      </c>
      <c r="E6641" s="15" cm="1">
        <f t="array" ref="E6641">SUM(E6639:E6640)</f>
        <v>5500</v>
      </c>
      <c r="F6641" s="16" cm="1">
        <f t="array" ref="F6641">SUM(F6639:F6640)</f>
        <v>0</v>
      </c>
      <c r="G6641" s="16" cm="1">
        <f t="array" ref="G6641">SUM(G6639:G6640)</f>
        <v>0</v>
      </c>
      <c r="H6641" s="16" cm="1">
        <f t="array" ref="H6641">SUM(H6639:H6640)</f>
        <v>0</v>
      </c>
      <c r="I6641" s="16" cm="1">
        <f t="array" ref="I6641">SUM(I6639:I6640)</f>
        <v>0</v>
      </c>
    </row>
    <row r="6642" ht="20.65" customHeight="1">
      <c r="A6642" s="10">
        <v>45723</v>
      </c>
      <c r="B6642" t="s" s="11">
        <v>5</v>
      </c>
      <c r="C6642" t="s" s="12">
        <v>390</v>
      </c>
      <c r="D6642" s="17"/>
      <c r="E6642" s="17">
        <v>16560</v>
      </c>
      <c r="F6642" s="18"/>
      <c r="G6642" s="18"/>
      <c r="H6642" s="18"/>
      <c r="I6642" s="18"/>
    </row>
    <row r="6643" ht="20.35" customHeight="1">
      <c r="A6643" s="10">
        <v>45723</v>
      </c>
      <c r="B6643" t="s" s="11">
        <v>12</v>
      </c>
      <c r="C6643" t="s" s="12">
        <v>390</v>
      </c>
      <c r="D6643" s="19">
        <v>8280</v>
      </c>
      <c r="E6643" s="19"/>
      <c r="F6643" s="20"/>
      <c r="G6643" s="20"/>
      <c r="H6643" s="20"/>
      <c r="I6643" s="20"/>
    </row>
    <row r="6644" ht="20.65" customHeight="1">
      <c r="A6644" s="10">
        <v>45723</v>
      </c>
      <c r="B6644" t="s" s="11">
        <v>21</v>
      </c>
      <c r="C6644" t="s" s="12">
        <v>390</v>
      </c>
      <c r="D6644" s="13">
        <v>8280</v>
      </c>
      <c r="E6644" s="13"/>
      <c r="F6644" s="14"/>
      <c r="G6644" s="14"/>
      <c r="H6644" s="14"/>
      <c r="I6644" s="14"/>
    </row>
    <row r="6645" ht="20.7" customHeight="1">
      <c r="A6645" s="10">
        <v>45723</v>
      </c>
      <c r="B6645" t="s" s="11">
        <v>8</v>
      </c>
      <c r="C6645" t="s" s="12">
        <v>8</v>
      </c>
      <c r="D6645" s="15" cm="1">
        <f t="array" ref="D6645">SUM(D6642:D6644)</f>
        <v>16560</v>
      </c>
      <c r="E6645" s="15" cm="1">
        <f t="array" ref="E6645">SUM(E6642:E6644)</f>
        <v>16560</v>
      </c>
      <c r="F6645" s="16" cm="1">
        <f t="array" ref="F6645">SUM(F6642:F6644)</f>
        <v>0</v>
      </c>
      <c r="G6645" s="16" cm="1">
        <f t="array" ref="G6645">SUM(G6642:G6644)</f>
        <v>0</v>
      </c>
      <c r="H6645" s="16" cm="1">
        <f t="array" ref="H6645">SUM(H6642:H6644)</f>
        <v>0</v>
      </c>
      <c r="I6645" s="16" cm="1">
        <f t="array" ref="I6645">SUM(I6642:I6644)</f>
        <v>0</v>
      </c>
    </row>
    <row r="6646" ht="21.25" customHeight="1">
      <c r="A6646" s="10">
        <v>45723</v>
      </c>
      <c r="B6646" t="s" s="11">
        <v>5</v>
      </c>
      <c r="C6646" t="s" s="12">
        <v>799</v>
      </c>
      <c r="D6646" s="17">
        <v>1</v>
      </c>
      <c r="E6646" s="17"/>
      <c r="F6646" s="18"/>
      <c r="G6646" s="18"/>
      <c r="H6646" s="18"/>
      <c r="I6646" s="18"/>
    </row>
    <row r="6647" ht="21.25" customHeight="1">
      <c r="A6647" s="10">
        <v>45723</v>
      </c>
      <c r="B6647" t="s" s="11">
        <v>91</v>
      </c>
      <c r="C6647" t="s" s="12">
        <v>799</v>
      </c>
      <c r="D6647" s="13"/>
      <c r="E6647" s="13">
        <v>1</v>
      </c>
      <c r="F6647" s="14"/>
      <c r="G6647" s="14"/>
      <c r="H6647" s="14"/>
      <c r="I6647" s="14"/>
    </row>
    <row r="6648" ht="20.7" customHeight="1">
      <c r="A6648" s="10">
        <v>45723</v>
      </c>
      <c r="B6648" t="s" s="11">
        <v>8</v>
      </c>
      <c r="C6648" t="s" s="12">
        <v>8</v>
      </c>
      <c r="D6648" s="15" cm="1">
        <f t="array" ref="D6648">SUM(D6646:D6647)</f>
        <v>1</v>
      </c>
      <c r="E6648" s="15" cm="1">
        <f t="array" ref="E6648">SUM(E6646:E6647)</f>
        <v>1</v>
      </c>
      <c r="F6648" s="16" cm="1">
        <f t="array" ref="F6648">SUM(F6646:F6647)</f>
        <v>0</v>
      </c>
      <c r="G6648" s="16" cm="1">
        <f t="array" ref="G6648">SUM(G6646:G6647)</f>
        <v>0</v>
      </c>
      <c r="H6648" s="16" cm="1">
        <f t="array" ref="H6648">SUM(H6646:H6647)</f>
        <v>0</v>
      </c>
      <c r="I6648" s="16" cm="1">
        <f t="array" ref="I6648">SUM(I6646:I6647)</f>
        <v>0</v>
      </c>
    </row>
    <row r="6649" ht="20.35" customHeight="1">
      <c r="A6649" s="10">
        <v>45724</v>
      </c>
      <c r="B6649" t="s" s="11">
        <v>28</v>
      </c>
      <c r="C6649" t="s" s="12">
        <v>964</v>
      </c>
      <c r="D6649" s="17">
        <v>50000</v>
      </c>
      <c r="E6649" s="17"/>
      <c r="F6649" s="18"/>
      <c r="G6649" s="18"/>
      <c r="H6649" s="18"/>
      <c r="I6649" s="18"/>
    </row>
    <row r="6650" ht="20.05" customHeight="1">
      <c r="A6650" s="10">
        <v>45724</v>
      </c>
      <c r="B6650" t="s" s="11">
        <v>89</v>
      </c>
      <c r="C6650" t="s" s="12">
        <v>964</v>
      </c>
      <c r="D6650" s="19"/>
      <c r="E6650" s="19">
        <v>16000</v>
      </c>
      <c r="F6650" s="20"/>
      <c r="G6650" s="20"/>
      <c r="H6650" s="20"/>
      <c r="I6650" s="20"/>
    </row>
    <row r="6651" ht="20.35" customHeight="1">
      <c r="A6651" s="10">
        <v>45724</v>
      </c>
      <c r="B6651" t="s" s="11">
        <v>91</v>
      </c>
      <c r="C6651" t="s" s="12">
        <v>964</v>
      </c>
      <c r="D6651" s="13"/>
      <c r="E6651" s="13">
        <v>34000</v>
      </c>
      <c r="F6651" s="14"/>
      <c r="G6651" s="14"/>
      <c r="H6651" s="14"/>
      <c r="I6651" s="14"/>
    </row>
    <row r="6652" ht="20.7" customHeight="1">
      <c r="A6652" s="10">
        <v>45724</v>
      </c>
      <c r="B6652" t="s" s="11">
        <v>8</v>
      </c>
      <c r="C6652" t="s" s="12">
        <v>8</v>
      </c>
      <c r="D6652" s="15" cm="1">
        <f t="array" ref="D6652">SUM(D6649:D6651)</f>
        <v>50000</v>
      </c>
      <c r="E6652" s="15" cm="1">
        <f t="array" ref="E6652">SUM(E6649:E6651)</f>
        <v>50000</v>
      </c>
      <c r="F6652" s="16" cm="1">
        <f t="array" ref="F6652">SUM(F6649:F6651)</f>
        <v>0</v>
      </c>
      <c r="G6652" s="16" cm="1">
        <f t="array" ref="G6652">SUM(G6649:G6651)</f>
        <v>0</v>
      </c>
      <c r="H6652" s="16" cm="1">
        <f t="array" ref="H6652">SUM(H6649:H6651)</f>
        <v>0</v>
      </c>
      <c r="I6652" s="16" cm="1">
        <f t="array" ref="I6652">SUM(I6649:I6651)</f>
        <v>0</v>
      </c>
    </row>
    <row r="6653" ht="20.35" customHeight="1">
      <c r="A6653" s="10">
        <v>45724</v>
      </c>
      <c r="B6653" t="s" s="11">
        <v>28</v>
      </c>
      <c r="C6653" t="s" s="12">
        <v>96</v>
      </c>
      <c r="D6653" s="17"/>
      <c r="E6653" s="17">
        <v>50000</v>
      </c>
      <c r="F6653" s="18"/>
      <c r="G6653" s="18"/>
      <c r="H6653" s="18"/>
      <c r="I6653" s="18"/>
    </row>
    <row r="6654" ht="20.35" customHeight="1">
      <c r="A6654" s="10">
        <v>45724</v>
      </c>
      <c r="B6654" t="s" s="11">
        <v>5</v>
      </c>
      <c r="C6654" t="s" s="12">
        <v>96</v>
      </c>
      <c r="D6654" s="13">
        <v>50000</v>
      </c>
      <c r="E6654" s="13"/>
      <c r="F6654" s="14"/>
      <c r="G6654" s="14"/>
      <c r="H6654" s="14"/>
      <c r="I6654" s="14"/>
    </row>
    <row r="6655" ht="20.7" customHeight="1">
      <c r="A6655" s="10">
        <v>45724</v>
      </c>
      <c r="B6655" t="s" s="11">
        <v>8</v>
      </c>
      <c r="C6655" t="s" s="12">
        <v>8</v>
      </c>
      <c r="D6655" s="15" cm="1">
        <f t="array" ref="D6655">SUM(D6653:D6654)</f>
        <v>50000</v>
      </c>
      <c r="E6655" s="15" cm="1">
        <f t="array" ref="E6655">SUM(E6653:E6654)</f>
        <v>50000</v>
      </c>
      <c r="F6655" s="16" cm="1">
        <f t="array" ref="F6655">SUM(F6653:F6654)</f>
        <v>0</v>
      </c>
      <c r="G6655" s="16" cm="1">
        <f t="array" ref="G6655">SUM(G6653:G6654)</f>
        <v>0</v>
      </c>
      <c r="H6655" s="16" cm="1">
        <f t="array" ref="H6655">SUM(H6653:H6654)</f>
        <v>0</v>
      </c>
      <c r="I6655" s="16" cm="1">
        <f t="array" ref="I6655">SUM(I6653:I6654)</f>
        <v>0</v>
      </c>
    </row>
    <row r="6656" ht="20.35" customHeight="1">
      <c r="A6656" s="10">
        <v>45724</v>
      </c>
      <c r="B6656" t="s" s="11">
        <v>5</v>
      </c>
      <c r="C6656" t="s" s="12">
        <v>20</v>
      </c>
      <c r="D6656" s="17"/>
      <c r="E6656" s="17">
        <v>30000</v>
      </c>
      <c r="F6656" s="18"/>
      <c r="G6656" s="18"/>
      <c r="H6656" s="18"/>
      <c r="I6656" s="18"/>
    </row>
    <row r="6657" ht="20.35" customHeight="1">
      <c r="A6657" s="10">
        <v>45724</v>
      </c>
      <c r="B6657" t="s" s="11">
        <v>89</v>
      </c>
      <c r="C6657" t="s" s="12">
        <v>20</v>
      </c>
      <c r="D6657" s="13">
        <v>30000</v>
      </c>
      <c r="E6657" s="13"/>
      <c r="F6657" s="14"/>
      <c r="G6657" s="14"/>
      <c r="H6657" s="14"/>
      <c r="I6657" s="14"/>
    </row>
    <row r="6658" ht="20.7" customHeight="1">
      <c r="A6658" s="10">
        <v>45724</v>
      </c>
      <c r="B6658" t="s" s="11">
        <v>8</v>
      </c>
      <c r="C6658" t="s" s="12">
        <v>8</v>
      </c>
      <c r="D6658" s="15" cm="1">
        <f t="array" ref="D6658">SUM(D6656:D6657)</f>
        <v>30000</v>
      </c>
      <c r="E6658" s="15" cm="1">
        <f t="array" ref="E6658">SUM(E6656:E6657)</f>
        <v>30000</v>
      </c>
      <c r="F6658" s="16" cm="1">
        <f t="array" ref="F6658">SUM(F6656:F6657)</f>
        <v>0</v>
      </c>
      <c r="G6658" s="16" cm="1">
        <f t="array" ref="G6658">SUM(G6656:G6657)</f>
        <v>0</v>
      </c>
      <c r="H6658" s="16" cm="1">
        <f t="array" ref="H6658">SUM(H6656:H6657)</f>
        <v>0</v>
      </c>
      <c r="I6658" s="16" cm="1">
        <f t="array" ref="I6658">SUM(I6656:I6657)</f>
        <v>0</v>
      </c>
    </row>
    <row r="6659" ht="20.65" customHeight="1">
      <c r="A6659" s="10">
        <v>45724</v>
      </c>
      <c r="B6659" t="s" s="11">
        <v>28</v>
      </c>
      <c r="C6659" t="s" s="12">
        <v>272</v>
      </c>
      <c r="D6659" s="17"/>
      <c r="E6659" s="17">
        <v>2000</v>
      </c>
      <c r="F6659" s="18"/>
      <c r="G6659" s="18"/>
      <c r="H6659" s="18"/>
      <c r="I6659" s="18"/>
    </row>
    <row r="6660" ht="20.65" customHeight="1">
      <c r="A6660" s="10">
        <v>45724</v>
      </c>
      <c r="B6660" t="s" s="11">
        <v>10</v>
      </c>
      <c r="C6660" t="s" s="12">
        <v>272</v>
      </c>
      <c r="D6660" s="13">
        <v>2000</v>
      </c>
      <c r="E6660" s="13"/>
      <c r="F6660" s="14"/>
      <c r="G6660" s="14"/>
      <c r="H6660" s="14"/>
      <c r="I6660" s="14"/>
    </row>
    <row r="6661" ht="20.7" customHeight="1">
      <c r="A6661" s="10">
        <v>45724</v>
      </c>
      <c r="B6661" t="s" s="11">
        <v>8</v>
      </c>
      <c r="C6661" t="s" s="12">
        <v>8</v>
      </c>
      <c r="D6661" s="15" cm="1">
        <f t="array" ref="D6661">SUM(D6659:D6660)</f>
        <v>2000</v>
      </c>
      <c r="E6661" s="15" cm="1">
        <f t="array" ref="E6661">SUM(E6659:E6660)</f>
        <v>2000</v>
      </c>
      <c r="F6661" s="16" cm="1">
        <f t="array" ref="F6661">SUM(F6659:F6660)</f>
        <v>0</v>
      </c>
      <c r="G6661" s="16" cm="1">
        <f t="array" ref="G6661">SUM(G6659:G6660)</f>
        <v>0</v>
      </c>
      <c r="H6661" s="16" cm="1">
        <f t="array" ref="H6661">SUM(H6659:H6660)</f>
        <v>0</v>
      </c>
      <c r="I6661" s="16" cm="1">
        <f t="array" ref="I6661">SUM(I6659:I6660)</f>
        <v>0</v>
      </c>
    </row>
    <row r="6662" ht="21.25" customHeight="1">
      <c r="A6662" s="10">
        <v>45724</v>
      </c>
      <c r="B6662" t="s" s="11">
        <v>21</v>
      </c>
      <c r="C6662" t="s" s="12">
        <v>965</v>
      </c>
      <c r="D6662" s="17"/>
      <c r="E6662" s="17">
        <v>4500</v>
      </c>
      <c r="F6662" s="18"/>
      <c r="G6662" s="18"/>
      <c r="H6662" s="18"/>
      <c r="I6662" s="18"/>
    </row>
    <row r="6663" ht="21.25" customHeight="1">
      <c r="A6663" s="10">
        <v>45724</v>
      </c>
      <c r="B6663" t="s" s="11">
        <v>16</v>
      </c>
      <c r="C6663" t="s" s="12">
        <v>965</v>
      </c>
      <c r="D6663" s="13">
        <v>4500</v>
      </c>
      <c r="E6663" s="13"/>
      <c r="F6663" s="14"/>
      <c r="G6663" s="14"/>
      <c r="H6663" s="14"/>
      <c r="I6663" s="14"/>
    </row>
    <row r="6664" ht="20.7" customHeight="1">
      <c r="A6664" s="10">
        <v>45724</v>
      </c>
      <c r="B6664" t="s" s="11">
        <v>8</v>
      </c>
      <c r="C6664" t="s" s="12">
        <v>8</v>
      </c>
      <c r="D6664" s="15" cm="1">
        <f t="array" ref="D6664">SUM(D6662:D6663)</f>
        <v>4500</v>
      </c>
      <c r="E6664" s="15" cm="1">
        <f t="array" ref="E6664">SUM(E6662:E6663)</f>
        <v>4500</v>
      </c>
      <c r="F6664" s="16" cm="1">
        <f t="array" ref="F6664">SUM(F6662:F6663)</f>
        <v>0</v>
      </c>
      <c r="G6664" s="16" cm="1">
        <f t="array" ref="G6664">SUM(G6662:G6663)</f>
        <v>0</v>
      </c>
      <c r="H6664" s="16" cm="1">
        <f t="array" ref="H6664">SUM(H6662:H6663)</f>
        <v>0</v>
      </c>
      <c r="I6664" s="16" cm="1">
        <f t="array" ref="I6664">SUM(I6662:I6663)</f>
        <v>0</v>
      </c>
    </row>
    <row r="6665" ht="20.35" customHeight="1">
      <c r="A6665" s="10">
        <v>45725</v>
      </c>
      <c r="B6665" t="s" s="11">
        <v>28</v>
      </c>
      <c r="C6665" t="s" s="12">
        <v>966</v>
      </c>
      <c r="D6665" s="17"/>
      <c r="E6665" s="17">
        <v>6500</v>
      </c>
      <c r="F6665" s="18"/>
      <c r="G6665" s="18"/>
      <c r="H6665" s="18"/>
      <c r="I6665" s="18"/>
    </row>
    <row r="6666" ht="20.35" customHeight="1">
      <c r="A6666" s="10">
        <v>45725</v>
      </c>
      <c r="B6666" t="s" s="11">
        <v>21</v>
      </c>
      <c r="C6666" t="s" s="12">
        <v>966</v>
      </c>
      <c r="D6666" s="13">
        <v>6500</v>
      </c>
      <c r="E6666" s="13"/>
      <c r="F6666" s="14"/>
      <c r="G6666" s="14"/>
      <c r="H6666" s="14"/>
      <c r="I6666" s="14"/>
    </row>
    <row r="6667" ht="20.7" customHeight="1">
      <c r="A6667" s="10">
        <v>45725</v>
      </c>
      <c r="B6667" t="s" s="11">
        <v>8</v>
      </c>
      <c r="C6667" t="s" s="12">
        <v>8</v>
      </c>
      <c r="D6667" s="15" cm="1">
        <f t="array" ref="D6667">SUM(D6665:D6666)</f>
        <v>6500</v>
      </c>
      <c r="E6667" s="15" cm="1">
        <f t="array" ref="E6667">SUM(E6665:E6666)</f>
        <v>6500</v>
      </c>
      <c r="F6667" s="16" cm="1">
        <f t="array" ref="F6667">SUM(F6665:F6666)</f>
        <v>0</v>
      </c>
      <c r="G6667" s="16" cm="1">
        <f t="array" ref="G6667">SUM(G6665:G6666)</f>
        <v>0</v>
      </c>
      <c r="H6667" s="16" cm="1">
        <f t="array" ref="H6667">SUM(H6665:H6666)</f>
        <v>0</v>
      </c>
      <c r="I6667" s="16" cm="1">
        <f t="array" ref="I6667">SUM(I6665:I6666)</f>
        <v>0</v>
      </c>
    </row>
    <row r="6668" ht="20.35" customHeight="1">
      <c r="A6668" s="10">
        <v>45725</v>
      </c>
      <c r="B6668" t="s" s="11">
        <v>5</v>
      </c>
      <c r="C6668" t="s" s="12">
        <v>967</v>
      </c>
      <c r="D6668" s="17"/>
      <c r="E6668" s="17">
        <v>10000</v>
      </c>
      <c r="F6668" s="18"/>
      <c r="G6668" s="18"/>
      <c r="H6668" s="18"/>
      <c r="I6668" s="18"/>
    </row>
    <row r="6669" ht="20.05" customHeight="1">
      <c r="A6669" s="10">
        <v>45725</v>
      </c>
      <c r="B6669" t="s" s="11">
        <v>91</v>
      </c>
      <c r="C6669" t="s" s="12">
        <v>967</v>
      </c>
      <c r="D6669" s="19"/>
      <c r="E6669" s="19">
        <v>1000</v>
      </c>
      <c r="F6669" s="20"/>
      <c r="G6669" s="20"/>
      <c r="H6669" s="20"/>
      <c r="I6669" s="20"/>
    </row>
    <row r="6670" ht="20.35" customHeight="1">
      <c r="A6670" s="10">
        <v>45725</v>
      </c>
      <c r="B6670" t="s" s="11">
        <v>968</v>
      </c>
      <c r="C6670" t="s" s="12">
        <v>967</v>
      </c>
      <c r="D6670" s="13">
        <v>11000</v>
      </c>
      <c r="E6670" s="13"/>
      <c r="F6670" s="14"/>
      <c r="G6670" s="14"/>
      <c r="H6670" s="14"/>
      <c r="I6670" s="14"/>
    </row>
    <row r="6671" ht="20.7" customHeight="1">
      <c r="A6671" s="10">
        <v>45725</v>
      </c>
      <c r="B6671" t="s" s="11">
        <v>8</v>
      </c>
      <c r="C6671" t="s" s="12">
        <v>8</v>
      </c>
      <c r="D6671" s="15" cm="1">
        <f t="array" ref="D6671">SUM(D6668:D6670)</f>
        <v>11000</v>
      </c>
      <c r="E6671" s="15" cm="1">
        <f t="array" ref="E6671">SUM(E6668:E6670)</f>
        <v>11000</v>
      </c>
      <c r="F6671" s="16" cm="1">
        <f t="array" ref="F6671">SUM(F6668:F6670)</f>
        <v>0</v>
      </c>
      <c r="G6671" s="16" cm="1">
        <f t="array" ref="G6671">SUM(G6668:G6670)</f>
        <v>0</v>
      </c>
      <c r="H6671" s="16" cm="1">
        <f t="array" ref="H6671">SUM(H6668:H6670)</f>
        <v>0</v>
      </c>
      <c r="I6671" s="16" cm="1">
        <f t="array" ref="I6671">SUM(I6668:I6670)</f>
        <v>0</v>
      </c>
    </row>
    <row r="6672" ht="21.25" customHeight="1">
      <c r="A6672" s="10">
        <v>45725</v>
      </c>
      <c r="B6672" t="s" s="11">
        <v>968</v>
      </c>
      <c r="C6672" t="s" s="12">
        <v>969</v>
      </c>
      <c r="D6672" s="17"/>
      <c r="E6672" s="17">
        <v>6500</v>
      </c>
      <c r="F6672" s="18"/>
      <c r="G6672" s="18"/>
      <c r="H6672" s="18"/>
      <c r="I6672" s="18"/>
    </row>
    <row r="6673" ht="21.25" customHeight="1">
      <c r="A6673" s="10">
        <v>45725</v>
      </c>
      <c r="B6673" t="s" s="11">
        <v>10</v>
      </c>
      <c r="C6673" t="s" s="12">
        <v>969</v>
      </c>
      <c r="D6673" s="13">
        <v>6500</v>
      </c>
      <c r="E6673" s="13"/>
      <c r="F6673" s="14"/>
      <c r="G6673" s="14"/>
      <c r="H6673" s="14"/>
      <c r="I6673" s="14"/>
    </row>
    <row r="6674" ht="20.7" customHeight="1">
      <c r="A6674" s="10">
        <v>45725</v>
      </c>
      <c r="B6674" t="s" s="11">
        <v>8</v>
      </c>
      <c r="C6674" t="s" s="12">
        <v>8</v>
      </c>
      <c r="D6674" s="15" cm="1">
        <f t="array" ref="D6674">SUM(D6672:D6673)</f>
        <v>6500</v>
      </c>
      <c r="E6674" s="15" cm="1">
        <f t="array" ref="E6674">SUM(E6672:E6673)</f>
        <v>6500</v>
      </c>
      <c r="F6674" s="16" cm="1">
        <f t="array" ref="F6674">SUM(F6672:F6673)</f>
        <v>0</v>
      </c>
      <c r="G6674" s="16" cm="1">
        <f t="array" ref="G6674">SUM(G6672:G6673)</f>
        <v>0</v>
      </c>
      <c r="H6674" s="16" cm="1">
        <f t="array" ref="H6674">SUM(H6672:H6673)</f>
        <v>0</v>
      </c>
      <c r="I6674" s="16" cm="1">
        <f t="array" ref="I6674">SUM(I6672:I6673)</f>
        <v>0</v>
      </c>
    </row>
    <row r="6675" ht="20.35" customHeight="1">
      <c r="A6675" s="10">
        <v>45725</v>
      </c>
      <c r="B6675" t="s" s="11">
        <v>5</v>
      </c>
      <c r="C6675" t="s" s="12">
        <v>967</v>
      </c>
      <c r="D6675" s="17"/>
      <c r="E6675" s="17">
        <v>10000</v>
      </c>
      <c r="F6675" s="18"/>
      <c r="G6675" s="18"/>
      <c r="H6675" s="18"/>
      <c r="I6675" s="18"/>
    </row>
    <row r="6676" ht="20.05" customHeight="1">
      <c r="A6676" s="10">
        <v>45725</v>
      </c>
      <c r="B6676" t="s" s="11">
        <v>91</v>
      </c>
      <c r="C6676" t="s" s="12">
        <v>967</v>
      </c>
      <c r="D6676" s="19"/>
      <c r="E6676" s="19">
        <v>1000</v>
      </c>
      <c r="F6676" s="20"/>
      <c r="G6676" s="20"/>
      <c r="H6676" s="20"/>
      <c r="I6676" s="20"/>
    </row>
    <row r="6677" ht="20.35" customHeight="1">
      <c r="A6677" s="10">
        <v>45725</v>
      </c>
      <c r="B6677" t="s" s="11">
        <v>968</v>
      </c>
      <c r="C6677" t="s" s="12">
        <v>967</v>
      </c>
      <c r="D6677" s="13">
        <v>11000</v>
      </c>
      <c r="E6677" s="13"/>
      <c r="F6677" s="14"/>
      <c r="G6677" s="14"/>
      <c r="H6677" s="14"/>
      <c r="I6677" s="14"/>
    </row>
    <row r="6678" ht="20.7" customHeight="1">
      <c r="A6678" s="10">
        <v>45725</v>
      </c>
      <c r="B6678" t="s" s="11">
        <v>8</v>
      </c>
      <c r="C6678" t="s" s="12">
        <v>8</v>
      </c>
      <c r="D6678" s="15" cm="1">
        <f t="array" ref="D6678">SUM(D6675:D6677)</f>
        <v>11000</v>
      </c>
      <c r="E6678" s="15" cm="1">
        <f t="array" ref="E6678">SUM(E6675:E6677)</f>
        <v>11000</v>
      </c>
      <c r="F6678" s="16" cm="1">
        <f t="array" ref="F6678">SUM(F6675:F6677)</f>
        <v>0</v>
      </c>
      <c r="G6678" s="16" cm="1">
        <f t="array" ref="G6678">SUM(G6675:G6677)</f>
        <v>0</v>
      </c>
      <c r="H6678" s="16" cm="1">
        <f t="array" ref="H6678">SUM(H6675:H6677)</f>
        <v>0</v>
      </c>
      <c r="I6678" s="16" cm="1">
        <f t="array" ref="I6678">SUM(I6675:I6677)</f>
        <v>0</v>
      </c>
    </row>
    <row r="6679" ht="21.25" customHeight="1">
      <c r="A6679" s="10">
        <v>45725</v>
      </c>
      <c r="B6679" t="s" s="11">
        <v>968</v>
      </c>
      <c r="C6679" t="s" s="12">
        <v>970</v>
      </c>
      <c r="D6679" s="17"/>
      <c r="E6679" s="17">
        <v>5500</v>
      </c>
      <c r="F6679" s="18"/>
      <c r="G6679" s="18"/>
      <c r="H6679" s="18"/>
      <c r="I6679" s="18"/>
    </row>
    <row r="6680" ht="20.9" customHeight="1">
      <c r="A6680" s="10">
        <v>45725</v>
      </c>
      <c r="B6680" t="s" s="11">
        <v>21</v>
      </c>
      <c r="C6680" t="s" s="12">
        <v>970</v>
      </c>
      <c r="D6680" s="19">
        <v>2750</v>
      </c>
      <c r="E6680" s="19"/>
      <c r="F6680" s="20"/>
      <c r="G6680" s="20"/>
      <c r="H6680" s="20"/>
      <c r="I6680" s="20"/>
    </row>
    <row r="6681" ht="21.25" customHeight="1">
      <c r="A6681" s="10">
        <v>45725</v>
      </c>
      <c r="B6681" t="s" s="11">
        <v>10</v>
      </c>
      <c r="C6681" t="s" s="12">
        <v>970</v>
      </c>
      <c r="D6681" s="13">
        <v>2750</v>
      </c>
      <c r="E6681" s="13"/>
      <c r="F6681" s="14"/>
      <c r="G6681" s="14"/>
      <c r="H6681" s="14"/>
      <c r="I6681" s="14"/>
    </row>
    <row r="6682" ht="20.7" customHeight="1">
      <c r="A6682" s="10">
        <v>45725</v>
      </c>
      <c r="B6682" t="s" s="11">
        <v>8</v>
      </c>
      <c r="C6682" t="s" s="12">
        <v>8</v>
      </c>
      <c r="D6682" s="15" cm="1">
        <f t="array" ref="D6682">SUM(D6679:D6681)</f>
        <v>5500</v>
      </c>
      <c r="E6682" s="15" cm="1">
        <f t="array" ref="E6682">SUM(E6679:E6681)</f>
        <v>5500</v>
      </c>
      <c r="F6682" s="16" cm="1">
        <f t="array" ref="F6682">SUM(F6679:F6681)</f>
        <v>0</v>
      </c>
      <c r="G6682" s="16" cm="1">
        <f t="array" ref="G6682">SUM(G6679:G6681)</f>
        <v>0</v>
      </c>
      <c r="H6682" s="16" cm="1">
        <f t="array" ref="H6682">SUM(H6679:H6681)</f>
        <v>0</v>
      </c>
      <c r="I6682" s="16" cm="1">
        <f t="array" ref="I6682">SUM(I6679:I6681)</f>
        <v>0</v>
      </c>
    </row>
    <row r="6683" ht="20.35" customHeight="1">
      <c r="A6683" s="10">
        <v>45725</v>
      </c>
      <c r="B6683" t="s" s="11">
        <v>91</v>
      </c>
      <c r="C6683" t="s" s="12">
        <v>17</v>
      </c>
      <c r="D6683" s="17"/>
      <c r="E6683" s="17">
        <v>100</v>
      </c>
      <c r="F6683" s="18"/>
      <c r="G6683" s="18"/>
      <c r="H6683" s="18"/>
      <c r="I6683" s="18"/>
    </row>
    <row r="6684" ht="20.35" customHeight="1">
      <c r="A6684" s="10">
        <v>45725</v>
      </c>
      <c r="B6684" t="s" s="11">
        <v>5</v>
      </c>
      <c r="C6684" t="s" s="12">
        <v>17</v>
      </c>
      <c r="D6684" s="13">
        <v>100</v>
      </c>
      <c r="E6684" s="13"/>
      <c r="F6684" s="14"/>
      <c r="G6684" s="14"/>
      <c r="H6684" s="14"/>
      <c r="I6684" s="14"/>
    </row>
    <row r="6685" ht="20.7" customHeight="1">
      <c r="A6685" s="10">
        <v>45725</v>
      </c>
      <c r="B6685" t="s" s="11">
        <v>8</v>
      </c>
      <c r="C6685" t="s" s="12">
        <v>8</v>
      </c>
      <c r="D6685" s="15" cm="1">
        <f t="array" ref="D6685">SUM(D6683:D6684)</f>
        <v>100</v>
      </c>
      <c r="E6685" s="15" cm="1">
        <f t="array" ref="E6685">SUM(E6683:E6684)</f>
        <v>100</v>
      </c>
      <c r="F6685" s="16" cm="1">
        <f t="array" ref="F6685">SUM(F6683:F6684)</f>
        <v>0</v>
      </c>
      <c r="G6685" s="16" cm="1">
        <f t="array" ref="G6685">SUM(G6683:G6684)</f>
        <v>0</v>
      </c>
      <c r="H6685" s="16" cm="1">
        <f t="array" ref="H6685">SUM(H6683:H6684)</f>
        <v>0</v>
      </c>
      <c r="I6685" s="16" cm="1">
        <f t="array" ref="I6685">SUM(I6683:I6684)</f>
        <v>0</v>
      </c>
    </row>
    <row r="6686" ht="20.35" customHeight="1">
      <c r="A6686" s="10">
        <v>45725</v>
      </c>
      <c r="B6686" t="s" s="11">
        <v>121</v>
      </c>
      <c r="C6686" t="s" s="12">
        <v>96</v>
      </c>
      <c r="D6686" s="17"/>
      <c r="E6686" s="17">
        <v>1200</v>
      </c>
      <c r="F6686" s="18"/>
      <c r="G6686" s="18"/>
      <c r="H6686" s="18"/>
      <c r="I6686" s="18"/>
    </row>
    <row r="6687" ht="20.35" customHeight="1">
      <c r="A6687" s="10">
        <v>45725</v>
      </c>
      <c r="B6687" t="s" s="11">
        <v>5</v>
      </c>
      <c r="C6687" t="s" s="12">
        <v>96</v>
      </c>
      <c r="D6687" s="13">
        <v>1200</v>
      </c>
      <c r="E6687" s="13"/>
      <c r="F6687" s="14"/>
      <c r="G6687" s="14"/>
      <c r="H6687" s="14"/>
      <c r="I6687" s="14"/>
    </row>
    <row r="6688" ht="20.7" customHeight="1">
      <c r="A6688" s="10">
        <v>45725</v>
      </c>
      <c r="B6688" t="s" s="11">
        <v>8</v>
      </c>
      <c r="C6688" t="s" s="12">
        <v>8</v>
      </c>
      <c r="D6688" s="15" cm="1">
        <f t="array" ref="D6688">SUM(D6686:D6687)</f>
        <v>1200</v>
      </c>
      <c r="E6688" s="15" cm="1">
        <f t="array" ref="E6688">SUM(E6686:E6687)</f>
        <v>1200</v>
      </c>
      <c r="F6688" s="16" cm="1">
        <f t="array" ref="F6688">SUM(F6686:F6687)</f>
        <v>0</v>
      </c>
      <c r="G6688" s="16" cm="1">
        <f t="array" ref="G6688">SUM(G6686:G6687)</f>
        <v>0</v>
      </c>
      <c r="H6688" s="16" cm="1">
        <f t="array" ref="H6688">SUM(H6686:H6687)</f>
        <v>0</v>
      </c>
      <c r="I6688" s="16" cm="1">
        <f t="array" ref="I6688">SUM(I6686:I6687)</f>
        <v>0</v>
      </c>
    </row>
    <row r="6689" ht="20.35" customHeight="1">
      <c r="A6689" s="10">
        <v>45725</v>
      </c>
      <c r="B6689" t="s" s="11">
        <v>5</v>
      </c>
      <c r="C6689" t="s" s="12">
        <v>19</v>
      </c>
      <c r="D6689" s="17"/>
      <c r="E6689" s="17">
        <v>11200</v>
      </c>
      <c r="F6689" s="18"/>
      <c r="G6689" s="18"/>
      <c r="H6689" s="18"/>
      <c r="I6689" s="18"/>
    </row>
    <row r="6690" ht="20.05" customHeight="1">
      <c r="A6690" s="10">
        <v>45725</v>
      </c>
      <c r="B6690" t="s" s="11">
        <v>21</v>
      </c>
      <c r="C6690" t="s" s="12">
        <v>19</v>
      </c>
      <c r="D6690" s="19">
        <v>5600</v>
      </c>
      <c r="E6690" s="19"/>
      <c r="F6690" s="20"/>
      <c r="G6690" s="20"/>
      <c r="H6690" s="20"/>
      <c r="I6690" s="20"/>
    </row>
    <row r="6691" ht="20.35" customHeight="1">
      <c r="A6691" s="10">
        <v>45725</v>
      </c>
      <c r="B6691" t="s" s="11">
        <v>12</v>
      </c>
      <c r="C6691" t="s" s="12">
        <v>19</v>
      </c>
      <c r="D6691" s="13">
        <v>5600</v>
      </c>
      <c r="E6691" s="13"/>
      <c r="F6691" s="14"/>
      <c r="G6691" s="14"/>
      <c r="H6691" s="14"/>
      <c r="I6691" s="14"/>
    </row>
    <row r="6692" ht="20.7" customHeight="1">
      <c r="A6692" s="10">
        <v>45725</v>
      </c>
      <c r="B6692" t="s" s="11">
        <v>8</v>
      </c>
      <c r="C6692" t="s" s="12">
        <v>8</v>
      </c>
      <c r="D6692" s="15" cm="1">
        <f t="array" ref="D6692">SUM(D6689:D6691)</f>
        <v>11200</v>
      </c>
      <c r="E6692" s="15" cm="1">
        <f t="array" ref="E6692">SUM(E6689:E6691)</f>
        <v>11200</v>
      </c>
      <c r="F6692" s="16" cm="1">
        <f t="array" ref="F6692">SUM(F6689:F6691)</f>
        <v>0</v>
      </c>
      <c r="G6692" s="16" cm="1">
        <f t="array" ref="G6692">SUM(G6689:G6691)</f>
        <v>0</v>
      </c>
      <c r="H6692" s="16" cm="1">
        <f t="array" ref="H6692">SUM(H6689:H6691)</f>
        <v>0</v>
      </c>
      <c r="I6692" s="16" cm="1">
        <f t="array" ref="I6692">SUM(I6689:I6691)</f>
        <v>0</v>
      </c>
    </row>
    <row r="6693" ht="20.35" customHeight="1">
      <c r="A6693" s="10">
        <v>45725</v>
      </c>
      <c r="B6693" t="s" s="11">
        <v>91</v>
      </c>
      <c r="C6693" t="s" s="12">
        <v>17</v>
      </c>
      <c r="D6693" s="17"/>
      <c r="E6693" s="17">
        <v>500</v>
      </c>
      <c r="F6693" s="18"/>
      <c r="G6693" s="18"/>
      <c r="H6693" s="18"/>
      <c r="I6693" s="18"/>
    </row>
    <row r="6694" ht="20.35" customHeight="1">
      <c r="A6694" s="10">
        <v>45725</v>
      </c>
      <c r="B6694" t="s" s="11">
        <v>5</v>
      </c>
      <c r="C6694" t="s" s="12">
        <v>17</v>
      </c>
      <c r="D6694" s="13">
        <v>500</v>
      </c>
      <c r="E6694" s="13"/>
      <c r="F6694" s="14"/>
      <c r="G6694" s="14"/>
      <c r="H6694" s="14"/>
      <c r="I6694" s="14"/>
    </row>
    <row r="6695" ht="20.7" customHeight="1">
      <c r="A6695" s="10">
        <v>45725</v>
      </c>
      <c r="B6695" t="s" s="11">
        <v>8</v>
      </c>
      <c r="C6695" t="s" s="12">
        <v>8</v>
      </c>
      <c r="D6695" s="15" cm="1">
        <f t="array" ref="D6695">SUM(D6693:D6694)</f>
        <v>500</v>
      </c>
      <c r="E6695" s="15" cm="1">
        <f t="array" ref="E6695">SUM(E6693:E6694)</f>
        <v>500</v>
      </c>
      <c r="F6695" s="16" cm="1">
        <f t="array" ref="F6695">SUM(F6693:F6694)</f>
        <v>0</v>
      </c>
      <c r="G6695" s="16" cm="1">
        <f t="array" ref="G6695">SUM(G6693:G6694)</f>
        <v>0</v>
      </c>
      <c r="H6695" s="16" cm="1">
        <f t="array" ref="H6695">SUM(H6693:H6694)</f>
        <v>0</v>
      </c>
      <c r="I6695" s="16" cm="1">
        <f t="array" ref="I6695">SUM(I6693:I6694)</f>
        <v>0</v>
      </c>
    </row>
    <row r="6696" ht="21.25" customHeight="1">
      <c r="A6696" s="10">
        <v>45726</v>
      </c>
      <c r="B6696" t="s" s="11">
        <v>5</v>
      </c>
      <c r="C6696" t="s" s="12">
        <v>971</v>
      </c>
      <c r="D6696" s="17"/>
      <c r="E6696" s="17">
        <v>709</v>
      </c>
      <c r="F6696" s="18"/>
      <c r="G6696" s="18"/>
      <c r="H6696" s="18"/>
      <c r="I6696" s="18"/>
    </row>
    <row r="6697" ht="21.25" customHeight="1">
      <c r="A6697" s="10">
        <v>45726</v>
      </c>
      <c r="B6697" t="s" s="11">
        <v>21</v>
      </c>
      <c r="C6697" t="s" s="12">
        <v>971</v>
      </c>
      <c r="D6697" s="13">
        <v>709</v>
      </c>
      <c r="E6697" s="13"/>
      <c r="F6697" s="14"/>
      <c r="G6697" s="14"/>
      <c r="H6697" s="14"/>
      <c r="I6697" s="14"/>
    </row>
    <row r="6698" ht="20.7" customHeight="1">
      <c r="A6698" s="10">
        <v>45726</v>
      </c>
      <c r="B6698" t="s" s="11">
        <v>8</v>
      </c>
      <c r="C6698" t="s" s="12">
        <v>8</v>
      </c>
      <c r="D6698" s="15" cm="1">
        <f t="array" ref="D6698">SUM(D6696:D6697)</f>
        <v>709</v>
      </c>
      <c r="E6698" s="15" cm="1">
        <f t="array" ref="E6698">SUM(E6696:E6697)</f>
        <v>709</v>
      </c>
      <c r="F6698" s="16" cm="1">
        <f t="array" ref="F6698">SUM(F6696:F6697)</f>
        <v>0</v>
      </c>
      <c r="G6698" s="16" cm="1">
        <f t="array" ref="G6698">SUM(G6696:G6697)</f>
        <v>0</v>
      </c>
      <c r="H6698" s="16" cm="1">
        <f t="array" ref="H6698">SUM(H6696:H6697)</f>
        <v>0</v>
      </c>
      <c r="I6698" s="16" cm="1">
        <f t="array" ref="I6698">SUM(I6696:I6697)</f>
        <v>0</v>
      </c>
    </row>
    <row r="6699" ht="21.25" customHeight="1">
      <c r="A6699" s="10">
        <v>45726</v>
      </c>
      <c r="B6699" t="s" s="11">
        <v>21</v>
      </c>
      <c r="C6699" t="s" s="12">
        <v>972</v>
      </c>
      <c r="D6699" s="17"/>
      <c r="E6699" s="17">
        <v>1500</v>
      </c>
      <c r="F6699" s="18"/>
      <c r="G6699" s="18"/>
      <c r="H6699" s="18"/>
      <c r="I6699" s="18"/>
    </row>
    <row r="6700" ht="21.25" customHeight="1">
      <c r="A6700" s="10">
        <v>45726</v>
      </c>
      <c r="B6700" t="s" s="11">
        <v>16</v>
      </c>
      <c r="C6700" t="s" s="12">
        <v>972</v>
      </c>
      <c r="D6700" s="13">
        <v>1500</v>
      </c>
      <c r="E6700" s="13"/>
      <c r="F6700" s="14"/>
      <c r="G6700" s="14"/>
      <c r="H6700" s="14"/>
      <c r="I6700" s="14"/>
    </row>
    <row r="6701" ht="20.7" customHeight="1">
      <c r="A6701" s="10">
        <v>45726</v>
      </c>
      <c r="B6701" t="s" s="11">
        <v>8</v>
      </c>
      <c r="C6701" t="s" s="12">
        <v>8</v>
      </c>
      <c r="D6701" s="15" cm="1">
        <f t="array" ref="D6701">SUM(D6699:D6700)</f>
        <v>1500</v>
      </c>
      <c r="E6701" s="15" cm="1">
        <f t="array" ref="E6701">SUM(E6699:E6700)</f>
        <v>1500</v>
      </c>
      <c r="F6701" s="16" cm="1">
        <f t="array" ref="F6701">SUM(F6699:F6700)</f>
        <v>0</v>
      </c>
      <c r="G6701" s="16" cm="1">
        <f t="array" ref="G6701">SUM(G6699:G6700)</f>
        <v>0</v>
      </c>
      <c r="H6701" s="16" cm="1">
        <f t="array" ref="H6701">SUM(H6699:H6700)</f>
        <v>0</v>
      </c>
      <c r="I6701" s="16" cm="1">
        <f t="array" ref="I6701">SUM(I6699:I6700)</f>
        <v>0</v>
      </c>
    </row>
    <row r="6702" ht="20.35" customHeight="1">
      <c r="A6702" s="10">
        <v>45727</v>
      </c>
      <c r="B6702" t="s" s="11">
        <v>91</v>
      </c>
      <c r="C6702" t="s" s="12">
        <v>17</v>
      </c>
      <c r="D6702" s="17"/>
      <c r="E6702" s="17">
        <v>100</v>
      </c>
      <c r="F6702" s="18"/>
      <c r="G6702" s="18"/>
      <c r="H6702" s="18"/>
      <c r="I6702" s="18"/>
    </row>
    <row r="6703" ht="20.35" customHeight="1">
      <c r="A6703" s="10">
        <v>45727</v>
      </c>
      <c r="B6703" t="s" s="11">
        <v>5</v>
      </c>
      <c r="C6703" t="s" s="12">
        <v>17</v>
      </c>
      <c r="D6703" s="13">
        <v>100</v>
      </c>
      <c r="E6703" s="13"/>
      <c r="F6703" s="14"/>
      <c r="G6703" s="14"/>
      <c r="H6703" s="14"/>
      <c r="I6703" s="14"/>
    </row>
    <row r="6704" ht="20.7" customHeight="1">
      <c r="A6704" s="10">
        <v>45727</v>
      </c>
      <c r="B6704" t="s" s="11">
        <v>8</v>
      </c>
      <c r="C6704" t="s" s="12">
        <v>8</v>
      </c>
      <c r="D6704" s="15" cm="1">
        <f t="array" ref="D6704">SUM(D6702:D6703)</f>
        <v>100</v>
      </c>
      <c r="E6704" s="15" cm="1">
        <f t="array" ref="E6704">SUM(E6702:E6703)</f>
        <v>100</v>
      </c>
      <c r="F6704" s="16" cm="1">
        <f t="array" ref="F6704">SUM(F6702:F6703)</f>
        <v>0</v>
      </c>
      <c r="G6704" s="16" cm="1">
        <f t="array" ref="G6704">SUM(G6702:G6703)</f>
        <v>0</v>
      </c>
      <c r="H6704" s="16" cm="1">
        <f t="array" ref="H6704">SUM(H6702:H6703)</f>
        <v>0</v>
      </c>
      <c r="I6704" s="16" cm="1">
        <f t="array" ref="I6704">SUM(I6702:I6703)</f>
        <v>0</v>
      </c>
    </row>
    <row r="6705" ht="20.35" customHeight="1">
      <c r="A6705" s="10">
        <v>45727</v>
      </c>
      <c r="B6705" t="s" s="11">
        <v>107</v>
      </c>
      <c r="C6705" t="s" s="12">
        <v>899</v>
      </c>
      <c r="D6705" s="17">
        <v>50000</v>
      </c>
      <c r="E6705" s="17"/>
      <c r="F6705" s="18"/>
      <c r="G6705" s="18"/>
      <c r="H6705" s="18"/>
      <c r="I6705" s="18"/>
    </row>
    <row r="6706" ht="20.35" customHeight="1">
      <c r="A6706" s="10">
        <v>45727</v>
      </c>
      <c r="B6706" t="s" s="11">
        <v>21</v>
      </c>
      <c r="C6706" t="s" s="12">
        <v>899</v>
      </c>
      <c r="D6706" s="13"/>
      <c r="E6706" s="13">
        <v>50000</v>
      </c>
      <c r="F6706" s="14"/>
      <c r="G6706" s="14"/>
      <c r="H6706" s="14"/>
      <c r="I6706" s="14"/>
    </row>
    <row r="6707" ht="20.7" customHeight="1">
      <c r="A6707" s="10">
        <v>45727</v>
      </c>
      <c r="B6707" t="s" s="11">
        <v>8</v>
      </c>
      <c r="C6707" t="s" s="12">
        <v>8</v>
      </c>
      <c r="D6707" s="15" cm="1">
        <f t="array" ref="D6707">SUM(D6705:D6706)</f>
        <v>50000</v>
      </c>
      <c r="E6707" s="15" cm="1">
        <f t="array" ref="E6707">SUM(E6705:E6706)</f>
        <v>50000</v>
      </c>
      <c r="F6707" s="16" cm="1">
        <f t="array" ref="F6707">SUM(F6705:F6706)</f>
        <v>0</v>
      </c>
      <c r="G6707" s="16" cm="1">
        <f t="array" ref="G6707">SUM(G6705:G6706)</f>
        <v>0</v>
      </c>
      <c r="H6707" s="16" cm="1">
        <f t="array" ref="H6707">SUM(H6705:H6706)</f>
        <v>0</v>
      </c>
      <c r="I6707" s="16" cm="1">
        <f t="array" ref="I6707">SUM(I6705:I6706)</f>
        <v>0</v>
      </c>
    </row>
    <row r="6708" ht="20.35" customHeight="1">
      <c r="A6708" s="10">
        <v>45727</v>
      </c>
      <c r="B6708" t="s" s="11">
        <v>107</v>
      </c>
      <c r="C6708" t="s" s="12">
        <v>96</v>
      </c>
      <c r="D6708" s="17"/>
      <c r="E6708" s="17">
        <v>50000</v>
      </c>
      <c r="F6708" s="18"/>
      <c r="G6708" s="18"/>
      <c r="H6708" s="18"/>
      <c r="I6708" s="18"/>
    </row>
    <row r="6709" ht="20.35" customHeight="1">
      <c r="A6709" s="10">
        <v>45727</v>
      </c>
      <c r="B6709" t="s" s="11">
        <v>5</v>
      </c>
      <c r="C6709" t="s" s="12">
        <v>96</v>
      </c>
      <c r="D6709" s="13">
        <v>50000</v>
      </c>
      <c r="E6709" s="13"/>
      <c r="F6709" s="14"/>
      <c r="G6709" s="14"/>
      <c r="H6709" s="14"/>
      <c r="I6709" s="14"/>
    </row>
    <row r="6710" ht="20.7" customHeight="1">
      <c r="A6710" s="10">
        <v>45727</v>
      </c>
      <c r="B6710" t="s" s="11">
        <v>8</v>
      </c>
      <c r="C6710" t="s" s="12">
        <v>8</v>
      </c>
      <c r="D6710" s="15" cm="1">
        <f t="array" ref="D6710">SUM(D6708:D6709)</f>
        <v>50000</v>
      </c>
      <c r="E6710" s="15" cm="1">
        <f t="array" ref="E6710">SUM(E6708:E6709)</f>
        <v>50000</v>
      </c>
      <c r="F6710" s="16" cm="1">
        <f t="array" ref="F6710">SUM(F6708:F6709)</f>
        <v>0</v>
      </c>
      <c r="G6710" s="16" cm="1">
        <f t="array" ref="G6710">SUM(G6708:G6709)</f>
        <v>0</v>
      </c>
      <c r="H6710" s="16" cm="1">
        <f t="array" ref="H6710">SUM(H6708:H6709)</f>
        <v>0</v>
      </c>
      <c r="I6710" s="16" cm="1">
        <f t="array" ref="I6710">SUM(I6708:I6709)</f>
        <v>0</v>
      </c>
    </row>
    <row r="6711" ht="21.25" customHeight="1">
      <c r="A6711" s="10">
        <v>45727</v>
      </c>
      <c r="B6711" t="s" s="11">
        <v>5</v>
      </c>
      <c r="C6711" t="s" s="12">
        <v>971</v>
      </c>
      <c r="D6711" s="17"/>
      <c r="E6711" s="17">
        <v>41401</v>
      </c>
      <c r="F6711" s="18"/>
      <c r="G6711" s="18"/>
      <c r="H6711" s="18"/>
      <c r="I6711" s="18"/>
    </row>
    <row r="6712" ht="20.9" customHeight="1">
      <c r="A6712" s="10">
        <v>45727</v>
      </c>
      <c r="B6712" t="s" s="11">
        <v>21</v>
      </c>
      <c r="C6712" t="s" s="12">
        <v>971</v>
      </c>
      <c r="D6712" s="19">
        <v>41391</v>
      </c>
      <c r="E6712" s="19"/>
      <c r="F6712" s="20"/>
      <c r="G6712" s="20"/>
      <c r="H6712" s="20"/>
      <c r="I6712" s="20"/>
    </row>
    <row r="6713" ht="21.25" customHeight="1">
      <c r="A6713" s="10">
        <v>45727</v>
      </c>
      <c r="B6713" t="s" s="11">
        <v>10</v>
      </c>
      <c r="C6713" t="s" s="12">
        <v>971</v>
      </c>
      <c r="D6713" s="13">
        <v>10</v>
      </c>
      <c r="E6713" s="13"/>
      <c r="F6713" s="14"/>
      <c r="G6713" s="14"/>
      <c r="H6713" s="14"/>
      <c r="I6713" s="14"/>
    </row>
    <row r="6714" ht="20.7" customHeight="1">
      <c r="A6714" s="10">
        <v>45727</v>
      </c>
      <c r="B6714" t="s" s="11">
        <v>8</v>
      </c>
      <c r="C6714" t="s" s="12">
        <v>8</v>
      </c>
      <c r="D6714" s="15" cm="1">
        <f t="array" ref="D6714">SUM(D6711:D6713)</f>
        <v>41401</v>
      </c>
      <c r="E6714" s="15" cm="1">
        <f t="array" ref="E6714">SUM(E6711:E6713)</f>
        <v>41401</v>
      </c>
      <c r="F6714" s="16" cm="1">
        <f t="array" ref="F6714">SUM(F6711:F6713)</f>
        <v>0</v>
      </c>
      <c r="G6714" s="16" cm="1">
        <f t="array" ref="G6714">SUM(G6711:G6713)</f>
        <v>0</v>
      </c>
      <c r="H6714" s="16" cm="1">
        <f t="array" ref="H6714">SUM(H6711:H6713)</f>
        <v>0</v>
      </c>
      <c r="I6714" s="16" cm="1">
        <f t="array" ref="I6714">SUM(I6711:I6713)</f>
        <v>0</v>
      </c>
    </row>
    <row r="6715" ht="20.35" customHeight="1">
      <c r="A6715" s="10">
        <v>45727</v>
      </c>
      <c r="B6715" t="s" s="11">
        <v>5</v>
      </c>
      <c r="C6715" t="s" s="12">
        <v>439</v>
      </c>
      <c r="D6715" s="17"/>
      <c r="E6715" s="17">
        <v>5000</v>
      </c>
      <c r="F6715" s="18"/>
      <c r="G6715" s="18"/>
      <c r="H6715" s="18"/>
      <c r="I6715" s="18"/>
    </row>
    <row r="6716" ht="20.35" customHeight="1">
      <c r="A6716" s="10">
        <v>45727</v>
      </c>
      <c r="B6716" t="s" s="11">
        <v>121</v>
      </c>
      <c r="C6716" t="s" s="12">
        <v>439</v>
      </c>
      <c r="D6716" s="13">
        <v>5000</v>
      </c>
      <c r="E6716" s="13"/>
      <c r="F6716" s="14"/>
      <c r="G6716" s="14"/>
      <c r="H6716" s="14"/>
      <c r="I6716" s="14"/>
    </row>
    <row r="6717" ht="20.7" customHeight="1">
      <c r="A6717" s="10">
        <v>45727</v>
      </c>
      <c r="B6717" t="s" s="11">
        <v>8</v>
      </c>
      <c r="C6717" t="s" s="12">
        <v>8</v>
      </c>
      <c r="D6717" s="15" cm="1">
        <f t="array" ref="D6717">SUM(D6715:D6716)</f>
        <v>5000</v>
      </c>
      <c r="E6717" s="15" cm="1">
        <f t="array" ref="E6717">SUM(E6715:E6716)</f>
        <v>5000</v>
      </c>
      <c r="F6717" s="16" cm="1">
        <f t="array" ref="F6717">SUM(F6715:F6716)</f>
        <v>0</v>
      </c>
      <c r="G6717" s="16" cm="1">
        <f t="array" ref="G6717">SUM(G6715:G6716)</f>
        <v>0</v>
      </c>
      <c r="H6717" s="16" cm="1">
        <f t="array" ref="H6717">SUM(H6715:H6716)</f>
        <v>0</v>
      </c>
      <c r="I6717" s="16" cm="1">
        <f t="array" ref="I6717">SUM(I6715:I6716)</f>
        <v>0</v>
      </c>
    </row>
    <row r="6718" ht="21.25" customHeight="1">
      <c r="A6718" s="10">
        <v>45727</v>
      </c>
      <c r="B6718" t="s" s="11">
        <v>121</v>
      </c>
      <c r="C6718" t="s" s="12">
        <v>973</v>
      </c>
      <c r="D6718" s="17"/>
      <c r="E6718" s="17">
        <v>3600</v>
      </c>
      <c r="F6718" s="18"/>
      <c r="G6718" s="18"/>
      <c r="H6718" s="18"/>
      <c r="I6718" s="18"/>
    </row>
    <row r="6719" ht="21.25" customHeight="1">
      <c r="A6719" s="10">
        <v>45727</v>
      </c>
      <c r="B6719" t="s" s="11">
        <v>21</v>
      </c>
      <c r="C6719" t="s" s="12">
        <v>973</v>
      </c>
      <c r="D6719" s="13">
        <v>3600</v>
      </c>
      <c r="E6719" s="13"/>
      <c r="F6719" s="14"/>
      <c r="G6719" s="14"/>
      <c r="H6719" s="14"/>
      <c r="I6719" s="14"/>
    </row>
    <row r="6720" ht="20.7" customHeight="1">
      <c r="A6720" s="10">
        <v>45727</v>
      </c>
      <c r="B6720" t="s" s="11">
        <v>8</v>
      </c>
      <c r="C6720" t="s" s="12">
        <v>8</v>
      </c>
      <c r="D6720" s="15" cm="1">
        <f t="array" ref="D6720">SUM(D6718:D6719)</f>
        <v>3600</v>
      </c>
      <c r="E6720" s="15" cm="1">
        <f t="array" ref="E6720">SUM(E6718:E6719)</f>
        <v>3600</v>
      </c>
      <c r="F6720" s="16" cm="1">
        <f t="array" ref="F6720">SUM(F6718:F6719)</f>
        <v>0</v>
      </c>
      <c r="G6720" s="16" cm="1">
        <f t="array" ref="G6720">SUM(G6718:G6719)</f>
        <v>0</v>
      </c>
      <c r="H6720" s="16" cm="1">
        <f t="array" ref="H6720">SUM(H6718:H6719)</f>
        <v>0</v>
      </c>
      <c r="I6720" s="16" cm="1">
        <f t="array" ref="I6720">SUM(I6718:I6719)</f>
        <v>0</v>
      </c>
    </row>
    <row r="6721" ht="21.25" customHeight="1">
      <c r="A6721" s="10">
        <v>45727</v>
      </c>
      <c r="B6721" t="s" s="11">
        <v>121</v>
      </c>
      <c r="C6721" t="s" s="12">
        <v>973</v>
      </c>
      <c r="D6721" s="17"/>
      <c r="E6721" s="17">
        <v>1400</v>
      </c>
      <c r="F6721" s="18"/>
      <c r="G6721" s="18"/>
      <c r="H6721" s="18"/>
      <c r="I6721" s="18"/>
    </row>
    <row r="6722" ht="21.25" customHeight="1">
      <c r="A6722" s="10">
        <v>45727</v>
      </c>
      <c r="B6722" t="s" s="11">
        <v>21</v>
      </c>
      <c r="C6722" t="s" s="12">
        <v>973</v>
      </c>
      <c r="D6722" s="13">
        <v>1400</v>
      </c>
      <c r="E6722" s="13"/>
      <c r="F6722" s="14"/>
      <c r="G6722" s="14"/>
      <c r="H6722" s="14"/>
      <c r="I6722" s="14"/>
    </row>
    <row r="6723" ht="20.7" customHeight="1">
      <c r="A6723" s="10">
        <v>45727</v>
      </c>
      <c r="B6723" t="s" s="11">
        <v>8</v>
      </c>
      <c r="C6723" t="s" s="12">
        <v>8</v>
      </c>
      <c r="D6723" s="15" cm="1">
        <f t="array" ref="D6723">SUM(D6721:D6722)</f>
        <v>1400</v>
      </c>
      <c r="E6723" s="15" cm="1">
        <f t="array" ref="E6723">SUM(E6721:E6722)</f>
        <v>1400</v>
      </c>
      <c r="F6723" s="16" cm="1">
        <f t="array" ref="F6723">SUM(F6721:F6722)</f>
        <v>0</v>
      </c>
      <c r="G6723" s="16" cm="1">
        <f t="array" ref="G6723">SUM(G6721:G6722)</f>
        <v>0</v>
      </c>
      <c r="H6723" s="16" cm="1">
        <f t="array" ref="H6723">SUM(H6721:H6722)</f>
        <v>0</v>
      </c>
      <c r="I6723" s="16" cm="1">
        <f t="array" ref="I6723">SUM(I6721:I6722)</f>
        <v>0</v>
      </c>
    </row>
    <row r="6724" ht="20.35" customHeight="1">
      <c r="A6724" s="10">
        <v>45727</v>
      </c>
      <c r="B6724" t="s" s="11">
        <v>5</v>
      </c>
      <c r="C6724" t="s" s="12">
        <v>439</v>
      </c>
      <c r="D6724" s="17"/>
      <c r="E6724" s="17">
        <v>3600</v>
      </c>
      <c r="F6724" s="18"/>
      <c r="G6724" s="18"/>
      <c r="H6724" s="18"/>
      <c r="I6724" s="18"/>
    </row>
    <row r="6725" ht="20.35" customHeight="1">
      <c r="A6725" s="10">
        <v>45727</v>
      </c>
      <c r="B6725" t="s" s="11">
        <v>121</v>
      </c>
      <c r="C6725" t="s" s="12">
        <v>439</v>
      </c>
      <c r="D6725" s="13">
        <v>3600</v>
      </c>
      <c r="E6725" s="13"/>
      <c r="F6725" s="14"/>
      <c r="G6725" s="14"/>
      <c r="H6725" s="14"/>
      <c r="I6725" s="14"/>
    </row>
    <row r="6726" ht="20.7" customHeight="1">
      <c r="A6726" s="10">
        <v>45727</v>
      </c>
      <c r="B6726" t="s" s="11">
        <v>8</v>
      </c>
      <c r="C6726" t="s" s="12">
        <v>8</v>
      </c>
      <c r="D6726" s="15" cm="1">
        <f t="array" ref="D6726">SUM(D6724:D6725)</f>
        <v>3600</v>
      </c>
      <c r="E6726" s="15" cm="1">
        <f t="array" ref="E6726">SUM(E6724:E6725)</f>
        <v>3600</v>
      </c>
      <c r="F6726" s="16" cm="1">
        <f t="array" ref="F6726">SUM(F6724:F6725)</f>
        <v>0</v>
      </c>
      <c r="G6726" s="16" cm="1">
        <f t="array" ref="G6726">SUM(G6724:G6725)</f>
        <v>0</v>
      </c>
      <c r="H6726" s="16" cm="1">
        <f t="array" ref="H6726">SUM(H6724:H6725)</f>
        <v>0</v>
      </c>
      <c r="I6726" s="16" cm="1">
        <f t="array" ref="I6726">SUM(I6724:I6725)</f>
        <v>0</v>
      </c>
    </row>
    <row r="6727" ht="21.25" customHeight="1">
      <c r="A6727" s="10">
        <v>45727</v>
      </c>
      <c r="B6727" t="s" s="11">
        <v>5</v>
      </c>
      <c r="C6727" t="s" s="12">
        <v>799</v>
      </c>
      <c r="D6727" s="17">
        <v>1</v>
      </c>
      <c r="E6727" s="17"/>
      <c r="F6727" s="18"/>
      <c r="G6727" s="18"/>
      <c r="H6727" s="18"/>
      <c r="I6727" s="18"/>
    </row>
    <row r="6728" ht="21.25" customHeight="1">
      <c r="A6728" s="10">
        <v>45727</v>
      </c>
      <c r="B6728" t="s" s="11">
        <v>91</v>
      </c>
      <c r="C6728" t="s" s="12">
        <v>799</v>
      </c>
      <c r="D6728" s="13"/>
      <c r="E6728" s="13">
        <v>1</v>
      </c>
      <c r="F6728" s="14"/>
      <c r="G6728" s="14"/>
      <c r="H6728" s="14"/>
      <c r="I6728" s="14"/>
    </row>
    <row r="6729" ht="20.7" customHeight="1">
      <c r="A6729" s="10">
        <v>45727</v>
      </c>
      <c r="B6729" t="s" s="11">
        <v>8</v>
      </c>
      <c r="C6729" t="s" s="12">
        <v>8</v>
      </c>
      <c r="D6729" s="15" cm="1">
        <f t="array" ref="D6729">SUM(D6727:D6728)</f>
        <v>1</v>
      </c>
      <c r="E6729" s="15" cm="1">
        <f t="array" ref="E6729">SUM(E6727:E6728)</f>
        <v>1</v>
      </c>
      <c r="F6729" s="16" cm="1">
        <f t="array" ref="F6729">SUM(F6727:F6728)</f>
        <v>0</v>
      </c>
      <c r="G6729" s="16" cm="1">
        <f t="array" ref="G6729">SUM(G6727:G6728)</f>
        <v>0</v>
      </c>
      <c r="H6729" s="16" cm="1">
        <f t="array" ref="H6729">SUM(H6727:H6728)</f>
        <v>0</v>
      </c>
      <c r="I6729" s="16" cm="1">
        <f t="array" ref="I6729">SUM(I6727:I6728)</f>
        <v>0</v>
      </c>
    </row>
    <row r="6730" ht="21.25" customHeight="1">
      <c r="A6730" s="10">
        <v>45727</v>
      </c>
      <c r="B6730" t="s" s="11">
        <v>5</v>
      </c>
      <c r="C6730" t="s" s="12">
        <v>799</v>
      </c>
      <c r="D6730" s="17">
        <v>2</v>
      </c>
      <c r="E6730" s="17"/>
      <c r="F6730" s="18"/>
      <c r="G6730" s="18"/>
      <c r="H6730" s="18"/>
      <c r="I6730" s="18"/>
    </row>
    <row r="6731" ht="21.25" customHeight="1">
      <c r="A6731" s="10">
        <v>45727</v>
      </c>
      <c r="B6731" t="s" s="11">
        <v>91</v>
      </c>
      <c r="C6731" t="s" s="12">
        <v>799</v>
      </c>
      <c r="D6731" s="13"/>
      <c r="E6731" s="13">
        <v>2</v>
      </c>
      <c r="F6731" s="14"/>
      <c r="G6731" s="14"/>
      <c r="H6731" s="14"/>
      <c r="I6731" s="14"/>
    </row>
    <row r="6732" ht="20.7" customHeight="1">
      <c r="A6732" s="10">
        <v>45727</v>
      </c>
      <c r="B6732" t="s" s="11">
        <v>8</v>
      </c>
      <c r="C6732" t="s" s="12">
        <v>8</v>
      </c>
      <c r="D6732" s="15" cm="1">
        <f t="array" ref="D6732">SUM(D6730:D6731)</f>
        <v>2</v>
      </c>
      <c r="E6732" s="15" cm="1">
        <f t="array" ref="E6732">SUM(E6730:E6731)</f>
        <v>2</v>
      </c>
      <c r="F6732" s="16" cm="1">
        <f t="array" ref="F6732">SUM(F6730:F6731)</f>
        <v>0</v>
      </c>
      <c r="G6732" s="16" cm="1">
        <f t="array" ref="G6732">SUM(G6730:G6731)</f>
        <v>0</v>
      </c>
      <c r="H6732" s="16" cm="1">
        <f t="array" ref="H6732">SUM(H6730:H6731)</f>
        <v>0</v>
      </c>
      <c r="I6732" s="16" cm="1">
        <f t="array" ref="I6732">SUM(I6730:I6731)</f>
        <v>0</v>
      </c>
    </row>
    <row r="6733" ht="21.25" customHeight="1">
      <c r="A6733" s="10">
        <v>45727</v>
      </c>
      <c r="B6733" t="s" s="11">
        <v>5</v>
      </c>
      <c r="C6733" t="s" s="12">
        <v>799</v>
      </c>
      <c r="D6733" s="17">
        <v>3</v>
      </c>
      <c r="E6733" s="17"/>
      <c r="F6733" s="18"/>
      <c r="G6733" s="18"/>
      <c r="H6733" s="18"/>
      <c r="I6733" s="18"/>
    </row>
    <row r="6734" ht="21.25" customHeight="1">
      <c r="A6734" s="10">
        <v>45727</v>
      </c>
      <c r="B6734" t="s" s="11">
        <v>91</v>
      </c>
      <c r="C6734" t="s" s="12">
        <v>799</v>
      </c>
      <c r="D6734" s="13"/>
      <c r="E6734" s="13">
        <v>3</v>
      </c>
      <c r="F6734" s="14"/>
      <c r="G6734" s="14"/>
      <c r="H6734" s="14"/>
      <c r="I6734" s="14"/>
    </row>
    <row r="6735" ht="20.7" customHeight="1">
      <c r="A6735" s="10">
        <v>45727</v>
      </c>
      <c r="B6735" t="s" s="11">
        <v>8</v>
      </c>
      <c r="C6735" t="s" s="12">
        <v>8</v>
      </c>
      <c r="D6735" s="15" cm="1">
        <f t="array" ref="D6735">SUM(D6733:D6734)</f>
        <v>3</v>
      </c>
      <c r="E6735" s="15" cm="1">
        <f t="array" ref="E6735">SUM(E6733:E6734)</f>
        <v>3</v>
      </c>
      <c r="F6735" s="16" cm="1">
        <f t="array" ref="F6735">SUM(F6733:F6734)</f>
        <v>0</v>
      </c>
      <c r="G6735" s="16" cm="1">
        <f t="array" ref="G6735">SUM(G6733:G6734)</f>
        <v>0</v>
      </c>
      <c r="H6735" s="16" cm="1">
        <f t="array" ref="H6735">SUM(H6733:H6734)</f>
        <v>0</v>
      </c>
      <c r="I6735" s="16" cm="1">
        <f t="array" ref="I6735">SUM(I6733:I6734)</f>
        <v>0</v>
      </c>
    </row>
    <row r="6736" ht="20.35" customHeight="1">
      <c r="A6736" s="10">
        <v>45728</v>
      </c>
      <c r="B6736" t="s" s="11">
        <v>121</v>
      </c>
      <c r="C6736" t="s" s="12">
        <v>974</v>
      </c>
      <c r="D6736" s="17"/>
      <c r="E6736" s="17">
        <v>2000</v>
      </c>
      <c r="F6736" s="18"/>
      <c r="G6736" s="18"/>
      <c r="H6736" s="18"/>
      <c r="I6736" s="18"/>
    </row>
    <row r="6737" ht="20.35" customHeight="1">
      <c r="A6737" s="10">
        <v>45728</v>
      </c>
      <c r="B6737" t="s" s="11">
        <v>12</v>
      </c>
      <c r="C6737" t="s" s="12">
        <v>974</v>
      </c>
      <c r="D6737" s="13">
        <v>2000</v>
      </c>
      <c r="E6737" s="13"/>
      <c r="F6737" s="14"/>
      <c r="G6737" s="14"/>
      <c r="H6737" s="14"/>
      <c r="I6737" s="14"/>
    </row>
    <row r="6738" ht="20.7" customHeight="1">
      <c r="A6738" s="10">
        <v>45728</v>
      </c>
      <c r="B6738" t="s" s="11">
        <v>8</v>
      </c>
      <c r="C6738" t="s" s="12">
        <v>8</v>
      </c>
      <c r="D6738" s="15" cm="1">
        <f t="array" ref="D6738">SUM(D6736:D6737)</f>
        <v>2000</v>
      </c>
      <c r="E6738" s="15" cm="1">
        <f t="array" ref="E6738">SUM(E6736:E6737)</f>
        <v>2000</v>
      </c>
      <c r="F6738" s="16" cm="1">
        <f t="array" ref="F6738">SUM(F6736:F6737)</f>
        <v>0</v>
      </c>
      <c r="G6738" s="16" cm="1">
        <f t="array" ref="G6738">SUM(G6736:G6737)</f>
        <v>0</v>
      </c>
      <c r="H6738" s="16" cm="1">
        <f t="array" ref="H6738">SUM(H6736:H6737)</f>
        <v>0</v>
      </c>
      <c r="I6738" s="16" cm="1">
        <f t="array" ref="I6738">SUM(I6736:I6737)</f>
        <v>0</v>
      </c>
    </row>
    <row r="6739" ht="21.25" customHeight="1">
      <c r="A6739" s="10">
        <v>45728</v>
      </c>
      <c r="B6739" t="s" s="11">
        <v>121</v>
      </c>
      <c r="C6739" t="s" s="12">
        <v>973</v>
      </c>
      <c r="D6739" s="17"/>
      <c r="E6739" s="17">
        <v>900</v>
      </c>
      <c r="F6739" s="18"/>
      <c r="G6739" s="18"/>
      <c r="H6739" s="18"/>
      <c r="I6739" s="18"/>
    </row>
    <row r="6740" ht="21.25" customHeight="1">
      <c r="A6740" s="10">
        <v>45728</v>
      </c>
      <c r="B6740" t="s" s="11">
        <v>21</v>
      </c>
      <c r="C6740" t="s" s="12">
        <v>973</v>
      </c>
      <c r="D6740" s="13">
        <v>900</v>
      </c>
      <c r="E6740" s="13"/>
      <c r="F6740" s="14"/>
      <c r="G6740" s="14"/>
      <c r="H6740" s="14"/>
      <c r="I6740" s="14"/>
    </row>
    <row r="6741" ht="20.7" customHeight="1">
      <c r="A6741" s="10">
        <v>45728</v>
      </c>
      <c r="B6741" t="s" s="11">
        <v>8</v>
      </c>
      <c r="C6741" t="s" s="12">
        <v>8</v>
      </c>
      <c r="D6741" s="15" cm="1">
        <f t="array" ref="D6741">SUM(D6739:D6740)</f>
        <v>900</v>
      </c>
      <c r="E6741" s="15" cm="1">
        <f t="array" ref="E6741">SUM(E6739:E6740)</f>
        <v>900</v>
      </c>
      <c r="F6741" s="16" cm="1">
        <f t="array" ref="F6741">SUM(F6739:F6740)</f>
        <v>0</v>
      </c>
      <c r="G6741" s="16" cm="1">
        <f t="array" ref="G6741">SUM(G6739:G6740)</f>
        <v>0</v>
      </c>
      <c r="H6741" s="16" cm="1">
        <f t="array" ref="H6741">SUM(H6739:H6740)</f>
        <v>0</v>
      </c>
      <c r="I6741" s="16" cm="1">
        <f t="array" ref="I6741">SUM(I6739:I6740)</f>
        <v>0</v>
      </c>
    </row>
    <row r="6742" ht="20.35" customHeight="1">
      <c r="A6742" s="10">
        <v>45728</v>
      </c>
      <c r="B6742" t="s" s="11">
        <v>107</v>
      </c>
      <c r="C6742" t="s" s="12">
        <v>36</v>
      </c>
      <c r="D6742" s="17">
        <v>50000</v>
      </c>
      <c r="E6742" s="17"/>
      <c r="F6742" s="18"/>
      <c r="G6742" s="18"/>
      <c r="H6742" s="18"/>
      <c r="I6742" s="18"/>
    </row>
    <row r="6743" ht="20.35" customHeight="1">
      <c r="A6743" s="10">
        <v>45728</v>
      </c>
      <c r="B6743" t="s" s="11">
        <v>21</v>
      </c>
      <c r="C6743" t="s" s="12">
        <v>36</v>
      </c>
      <c r="D6743" s="13"/>
      <c r="E6743" s="13">
        <v>50000</v>
      </c>
      <c r="F6743" s="14"/>
      <c r="G6743" s="14"/>
      <c r="H6743" s="14"/>
      <c r="I6743" s="14"/>
    </row>
    <row r="6744" ht="20.7" customHeight="1">
      <c r="A6744" s="10">
        <v>45728</v>
      </c>
      <c r="B6744" t="s" s="11">
        <v>8</v>
      </c>
      <c r="C6744" t="s" s="12">
        <v>8</v>
      </c>
      <c r="D6744" s="15" cm="1">
        <f t="array" ref="D6744">SUM(D6742:D6743)</f>
        <v>50000</v>
      </c>
      <c r="E6744" s="15" cm="1">
        <f t="array" ref="E6744">SUM(E6742:E6743)</f>
        <v>50000</v>
      </c>
      <c r="F6744" s="16" cm="1">
        <f t="array" ref="F6744">SUM(F6742:F6743)</f>
        <v>0</v>
      </c>
      <c r="G6744" s="16" cm="1">
        <f t="array" ref="G6744">SUM(G6742:G6743)</f>
        <v>0</v>
      </c>
      <c r="H6744" s="16" cm="1">
        <f t="array" ref="H6744">SUM(H6742:H6743)</f>
        <v>0</v>
      </c>
      <c r="I6744" s="16" cm="1">
        <f t="array" ref="I6744">SUM(I6742:I6743)</f>
        <v>0</v>
      </c>
    </row>
    <row r="6745" ht="20.35" customHeight="1">
      <c r="A6745" s="10">
        <v>45729</v>
      </c>
      <c r="B6745" t="s" s="11">
        <v>107</v>
      </c>
      <c r="C6745" t="s" s="12">
        <v>890</v>
      </c>
      <c r="D6745" s="17"/>
      <c r="E6745" s="17">
        <v>1250</v>
      </c>
      <c r="F6745" s="18"/>
      <c r="G6745" s="18"/>
      <c r="H6745" s="18"/>
      <c r="I6745" s="18"/>
    </row>
    <row r="6746" ht="20.35" customHeight="1">
      <c r="A6746" s="10">
        <v>45729</v>
      </c>
      <c r="B6746" t="s" s="11">
        <v>10</v>
      </c>
      <c r="C6746" t="s" s="12">
        <v>890</v>
      </c>
      <c r="D6746" s="13">
        <v>1250</v>
      </c>
      <c r="E6746" s="13"/>
      <c r="F6746" s="14"/>
      <c r="G6746" s="14"/>
      <c r="H6746" s="14"/>
      <c r="I6746" s="14"/>
    </row>
    <row r="6747" ht="20.7" customHeight="1">
      <c r="A6747" s="10">
        <v>45729</v>
      </c>
      <c r="B6747" t="s" s="11">
        <v>8</v>
      </c>
      <c r="C6747" t="s" s="12">
        <v>8</v>
      </c>
      <c r="D6747" s="15" cm="1">
        <f t="array" ref="D6747">SUM(D6745:D6746)</f>
        <v>1250</v>
      </c>
      <c r="E6747" s="15" cm="1">
        <f t="array" ref="E6747">SUM(E6745:E6746)</f>
        <v>1250</v>
      </c>
      <c r="F6747" s="16" cm="1">
        <f t="array" ref="F6747">SUM(F6745:F6746)</f>
        <v>0</v>
      </c>
      <c r="G6747" s="16" cm="1">
        <f t="array" ref="G6747">SUM(G6745:G6746)</f>
        <v>0</v>
      </c>
      <c r="H6747" s="16" cm="1">
        <f t="array" ref="H6747">SUM(H6745:H6746)</f>
        <v>0</v>
      </c>
      <c r="I6747" s="16" cm="1">
        <f t="array" ref="I6747">SUM(I6745:I6746)</f>
        <v>0</v>
      </c>
    </row>
    <row r="6748" ht="20.35" customHeight="1">
      <c r="A6748" s="10">
        <v>45729</v>
      </c>
      <c r="B6748" t="s" s="11">
        <v>107</v>
      </c>
      <c r="C6748" t="s" s="12">
        <v>948</v>
      </c>
      <c r="D6748" s="17"/>
      <c r="E6748" s="17">
        <v>3200</v>
      </c>
      <c r="F6748" s="18"/>
      <c r="G6748" s="18"/>
      <c r="H6748" s="18"/>
      <c r="I6748" s="18"/>
    </row>
    <row r="6749" ht="20.35" customHeight="1">
      <c r="A6749" s="10">
        <v>45729</v>
      </c>
      <c r="B6749" t="s" s="11">
        <v>12</v>
      </c>
      <c r="C6749" t="s" s="12">
        <v>948</v>
      </c>
      <c r="D6749" s="13">
        <v>3200</v>
      </c>
      <c r="E6749" s="13"/>
      <c r="F6749" s="14"/>
      <c r="G6749" s="14"/>
      <c r="H6749" s="14"/>
      <c r="I6749" s="14"/>
    </row>
    <row r="6750" ht="20.7" customHeight="1">
      <c r="A6750" s="10">
        <v>45729</v>
      </c>
      <c r="B6750" t="s" s="11">
        <v>8</v>
      </c>
      <c r="C6750" t="s" s="12">
        <v>8</v>
      </c>
      <c r="D6750" s="15" cm="1">
        <f t="array" ref="D6750">SUM(D6748:D6749)</f>
        <v>3200</v>
      </c>
      <c r="E6750" s="15" cm="1">
        <f t="array" ref="E6750">SUM(E6748:E6749)</f>
        <v>3200</v>
      </c>
      <c r="F6750" s="16" cm="1">
        <f t="array" ref="F6750">SUM(F6748:F6749)</f>
        <v>0</v>
      </c>
      <c r="G6750" s="16" cm="1">
        <f t="array" ref="G6750">SUM(G6748:G6749)</f>
        <v>0</v>
      </c>
      <c r="H6750" s="16" cm="1">
        <f t="array" ref="H6750">SUM(H6748:H6749)</f>
        <v>0</v>
      </c>
      <c r="I6750" s="16" cm="1">
        <f t="array" ref="I6750">SUM(I6748:I6749)</f>
        <v>0</v>
      </c>
    </row>
    <row r="6751" ht="20.35" customHeight="1">
      <c r="A6751" s="10">
        <v>45729</v>
      </c>
      <c r="B6751" t="s" s="11">
        <v>101</v>
      </c>
      <c r="C6751" t="s" s="12">
        <v>975</v>
      </c>
      <c r="D6751" s="17"/>
      <c r="E6751" s="17">
        <v>150000</v>
      </c>
      <c r="F6751" s="18"/>
      <c r="G6751" s="18"/>
      <c r="H6751" s="18"/>
      <c r="I6751" s="18"/>
    </row>
    <row r="6752" ht="20.35" customHeight="1">
      <c r="A6752" s="10">
        <v>45729</v>
      </c>
      <c r="B6752" t="s" s="11">
        <v>32</v>
      </c>
      <c r="C6752" t="s" s="12">
        <v>975</v>
      </c>
      <c r="D6752" s="13">
        <v>150000</v>
      </c>
      <c r="E6752" s="13"/>
      <c r="F6752" s="14"/>
      <c r="G6752" s="14"/>
      <c r="H6752" s="14"/>
      <c r="I6752" s="14"/>
    </row>
    <row r="6753" ht="20.7" customHeight="1">
      <c r="A6753" s="10">
        <v>45729</v>
      </c>
      <c r="B6753" t="s" s="11">
        <v>8</v>
      </c>
      <c r="C6753" t="s" s="12">
        <v>8</v>
      </c>
      <c r="D6753" s="15" cm="1">
        <f t="array" ref="D6753">SUM(D6751:D6752)</f>
        <v>150000</v>
      </c>
      <c r="E6753" s="15" cm="1">
        <f t="array" ref="E6753">SUM(E6751:E6752)</f>
        <v>150000</v>
      </c>
      <c r="F6753" s="16" cm="1">
        <f t="array" ref="F6753">SUM(F6751:F6752)</f>
        <v>0</v>
      </c>
      <c r="G6753" s="16" cm="1">
        <f t="array" ref="G6753">SUM(G6751:G6752)</f>
        <v>0</v>
      </c>
      <c r="H6753" s="16" cm="1">
        <f t="array" ref="H6753">SUM(H6751:H6752)</f>
        <v>0</v>
      </c>
      <c r="I6753" s="16" cm="1">
        <f t="array" ref="I6753">SUM(I6751:I6752)</f>
        <v>0</v>
      </c>
    </row>
    <row r="6754" ht="21.25" customHeight="1">
      <c r="A6754" s="10">
        <v>45730</v>
      </c>
      <c r="B6754" t="s" s="11">
        <v>107</v>
      </c>
      <c r="C6754" t="s" s="12">
        <v>976</v>
      </c>
      <c r="D6754" s="17"/>
      <c r="E6754" s="17">
        <v>5500</v>
      </c>
      <c r="F6754" s="18"/>
      <c r="G6754" s="18"/>
      <c r="H6754" s="18"/>
      <c r="I6754" s="18"/>
    </row>
    <row r="6755" ht="21.25" customHeight="1">
      <c r="A6755" s="10">
        <v>45730</v>
      </c>
      <c r="B6755" t="s" s="11">
        <v>12</v>
      </c>
      <c r="C6755" t="s" s="12">
        <v>976</v>
      </c>
      <c r="D6755" s="13">
        <v>5500</v>
      </c>
      <c r="E6755" s="13"/>
      <c r="F6755" s="14"/>
      <c r="G6755" s="14"/>
      <c r="H6755" s="14"/>
      <c r="I6755" s="14"/>
    </row>
    <row r="6756" ht="20.7" customHeight="1">
      <c r="A6756" s="10">
        <v>45730</v>
      </c>
      <c r="B6756" t="s" s="11">
        <v>8</v>
      </c>
      <c r="C6756" t="s" s="12">
        <v>8</v>
      </c>
      <c r="D6756" s="15" cm="1">
        <f t="array" ref="D6756">SUM(D6754:D6755)</f>
        <v>5500</v>
      </c>
      <c r="E6756" s="15" cm="1">
        <f t="array" ref="E6756">SUM(E6754:E6755)</f>
        <v>5500</v>
      </c>
      <c r="F6756" s="16" cm="1">
        <f t="array" ref="F6756">SUM(F6754:F6755)</f>
        <v>0</v>
      </c>
      <c r="G6756" s="16" cm="1">
        <f t="array" ref="G6756">SUM(G6754:G6755)</f>
        <v>0</v>
      </c>
      <c r="H6756" s="16" cm="1">
        <f t="array" ref="H6756">SUM(H6754:H6755)</f>
        <v>0</v>
      </c>
      <c r="I6756" s="16" cm="1">
        <f t="array" ref="I6756">SUM(I6754:I6755)</f>
        <v>0</v>
      </c>
    </row>
    <row r="6757" ht="20.35" customHeight="1">
      <c r="A6757" s="10">
        <v>45730</v>
      </c>
      <c r="B6757" t="s" s="11">
        <v>39</v>
      </c>
      <c r="C6757" t="s" s="12">
        <v>64</v>
      </c>
      <c r="D6757" s="17"/>
      <c r="E6757" s="17"/>
      <c r="F6757" s="18">
        <v>300</v>
      </c>
      <c r="G6757" s="18"/>
      <c r="H6757" s="18"/>
      <c r="I6757" s="18"/>
    </row>
    <row r="6758" ht="20.35" customHeight="1">
      <c r="A6758" s="10">
        <v>45730</v>
      </c>
      <c r="B6758" t="s" s="11">
        <v>41</v>
      </c>
      <c r="C6758" t="s" s="12">
        <v>64</v>
      </c>
      <c r="D6758" s="13"/>
      <c r="E6758" s="13"/>
      <c r="F6758" s="14"/>
      <c r="G6758" s="14">
        <v>300</v>
      </c>
      <c r="H6758" s="14"/>
      <c r="I6758" s="14"/>
    </row>
    <row r="6759" ht="20.7" customHeight="1">
      <c r="A6759" s="10">
        <v>45730</v>
      </c>
      <c r="B6759" t="s" s="11">
        <v>8</v>
      </c>
      <c r="C6759" t="s" s="12">
        <v>8</v>
      </c>
      <c r="D6759" s="15" cm="1">
        <f t="array" ref="D6759">SUM(D6757:D6758)</f>
        <v>0</v>
      </c>
      <c r="E6759" s="15" cm="1">
        <f t="array" ref="E6759">SUM(E6757:E6758)</f>
        <v>0</v>
      </c>
      <c r="F6759" s="16" cm="1">
        <f t="array" ref="F6759">SUM(F6757:F6758)</f>
        <v>300</v>
      </c>
      <c r="G6759" s="16" cm="1">
        <f t="array" ref="G6759">SUM(G6757:G6758)</f>
        <v>300</v>
      </c>
      <c r="H6759" s="16" cm="1">
        <f t="array" ref="H6759">SUM(H6757:H6758)</f>
        <v>0</v>
      </c>
      <c r="I6759" s="16" cm="1">
        <f t="array" ref="I6759">SUM(I6757:I6758)</f>
        <v>0</v>
      </c>
    </row>
    <row r="6760" ht="20.35" customHeight="1">
      <c r="A6760" s="10">
        <v>45730</v>
      </c>
      <c r="B6760" t="s" s="11">
        <v>39</v>
      </c>
      <c r="C6760" t="s" s="12">
        <v>977</v>
      </c>
      <c r="D6760" s="17"/>
      <c r="E6760" s="17"/>
      <c r="F6760" s="18"/>
      <c r="G6760" s="18">
        <v>300</v>
      </c>
      <c r="H6760" s="18"/>
      <c r="I6760" s="18"/>
    </row>
    <row r="6761" ht="20.05" customHeight="1">
      <c r="A6761" s="10">
        <v>45730</v>
      </c>
      <c r="B6761" t="s" s="11">
        <v>44</v>
      </c>
      <c r="C6761" t="s" s="12">
        <v>977</v>
      </c>
      <c r="D6761" s="19"/>
      <c r="E6761" s="19"/>
      <c r="F6761" s="20">
        <v>290</v>
      </c>
      <c r="G6761" s="20"/>
      <c r="H6761" s="20"/>
      <c r="I6761" s="20"/>
    </row>
    <row r="6762" ht="20.05" customHeight="1">
      <c r="A6762" s="10">
        <v>45730</v>
      </c>
      <c r="B6762" t="s" s="11">
        <v>898</v>
      </c>
      <c r="C6762" t="s" s="12">
        <v>977</v>
      </c>
      <c r="D6762" s="19"/>
      <c r="E6762" s="19"/>
      <c r="F6762" s="20">
        <v>10</v>
      </c>
      <c r="G6762" s="20"/>
      <c r="H6762" s="20"/>
      <c r="I6762" s="20"/>
    </row>
    <row r="6763" ht="20.05" customHeight="1">
      <c r="A6763" s="10">
        <v>45730</v>
      </c>
      <c r="B6763" t="s" s="11">
        <v>5</v>
      </c>
      <c r="C6763" t="s" s="12">
        <v>977</v>
      </c>
      <c r="D6763" s="19">
        <v>94971</v>
      </c>
      <c r="E6763" s="19"/>
      <c r="F6763" s="20"/>
      <c r="G6763" s="20"/>
      <c r="H6763" s="20"/>
      <c r="I6763" s="20"/>
    </row>
    <row r="6764" ht="20.35" customHeight="1">
      <c r="A6764" s="10">
        <v>45730</v>
      </c>
      <c r="B6764" t="s" s="11">
        <v>46</v>
      </c>
      <c r="C6764" t="s" s="12">
        <v>977</v>
      </c>
      <c r="D6764" s="13"/>
      <c r="E6764" s="13">
        <v>94971</v>
      </c>
      <c r="F6764" s="14"/>
      <c r="G6764" s="14"/>
      <c r="H6764" s="14"/>
      <c r="I6764" s="14"/>
    </row>
    <row r="6765" ht="20.7" customHeight="1">
      <c r="A6765" s="10">
        <v>45730</v>
      </c>
      <c r="B6765" t="s" s="11">
        <v>8</v>
      </c>
      <c r="C6765" t="s" s="12">
        <v>8</v>
      </c>
      <c r="D6765" s="15" cm="1">
        <f t="array" ref="D6765">SUM(D6760:D6764)</f>
        <v>94971</v>
      </c>
      <c r="E6765" s="15" cm="1">
        <f t="array" ref="E6765">SUM(E6760:E6764)</f>
        <v>94971</v>
      </c>
      <c r="F6765" s="16" cm="1">
        <f t="array" ref="F6765">SUM(F6760:F6764)</f>
        <v>300</v>
      </c>
      <c r="G6765" s="16" cm="1">
        <f t="array" ref="G6765">SUM(G6760:G6764)</f>
        <v>300</v>
      </c>
      <c r="H6765" s="16" cm="1">
        <f t="array" ref="H6765">SUM(H6760:H6764)</f>
        <v>0</v>
      </c>
      <c r="I6765" s="16" cm="1">
        <f t="array" ref="I6765">SUM(I6760:I6764)</f>
        <v>0</v>
      </c>
    </row>
    <row r="6766" ht="20.65" customHeight="1">
      <c r="A6766" s="10">
        <v>45730</v>
      </c>
      <c r="B6766" t="s" s="11">
        <v>107</v>
      </c>
      <c r="C6766" t="s" s="12">
        <v>978</v>
      </c>
      <c r="D6766" s="17"/>
      <c r="E6766" s="17">
        <v>6900</v>
      </c>
      <c r="F6766" s="18"/>
      <c r="G6766" s="18"/>
      <c r="H6766" s="18"/>
      <c r="I6766" s="18"/>
    </row>
    <row r="6767" ht="20.65" customHeight="1">
      <c r="A6767" s="10">
        <v>45730</v>
      </c>
      <c r="B6767" t="s" s="11">
        <v>12</v>
      </c>
      <c r="C6767" t="s" s="12">
        <v>978</v>
      </c>
      <c r="D6767" s="13">
        <v>6900</v>
      </c>
      <c r="E6767" s="13"/>
      <c r="F6767" s="14"/>
      <c r="G6767" s="14"/>
      <c r="H6767" s="14"/>
      <c r="I6767" s="14"/>
    </row>
    <row r="6768" ht="20.7" customHeight="1">
      <c r="A6768" s="10">
        <v>45730</v>
      </c>
      <c r="B6768" t="s" s="11">
        <v>8</v>
      </c>
      <c r="C6768" t="s" s="12">
        <v>8</v>
      </c>
      <c r="D6768" s="15" cm="1">
        <f t="array" ref="D6768">SUM(D6766:D6767)</f>
        <v>6900</v>
      </c>
      <c r="E6768" s="15" cm="1">
        <f t="array" ref="E6768">SUM(E6766:E6767)</f>
        <v>6900</v>
      </c>
      <c r="F6768" s="16" cm="1">
        <f t="array" ref="F6768">SUM(F6766:F6767)</f>
        <v>0</v>
      </c>
      <c r="G6768" s="16" cm="1">
        <f t="array" ref="G6768">SUM(G6766:G6767)</f>
        <v>0</v>
      </c>
      <c r="H6768" s="16" cm="1">
        <f t="array" ref="H6768">SUM(H6766:H6767)</f>
        <v>0</v>
      </c>
      <c r="I6768" s="16" cm="1">
        <f t="array" ref="I6768">SUM(I6766:I6767)</f>
        <v>0</v>
      </c>
    </row>
    <row r="6769" ht="20.35" customHeight="1">
      <c r="A6769" s="10">
        <v>45730</v>
      </c>
      <c r="B6769" t="s" s="11">
        <v>5</v>
      </c>
      <c r="C6769" t="s" s="12">
        <v>890</v>
      </c>
      <c r="D6769" s="17"/>
      <c r="E6769" s="17">
        <v>900</v>
      </c>
      <c r="F6769" s="18"/>
      <c r="G6769" s="18"/>
      <c r="H6769" s="18"/>
      <c r="I6769" s="18"/>
    </row>
    <row r="6770" ht="20.35" customHeight="1">
      <c r="A6770" s="10">
        <v>45730</v>
      </c>
      <c r="B6770" t="s" s="11">
        <v>10</v>
      </c>
      <c r="C6770" t="s" s="12">
        <v>890</v>
      </c>
      <c r="D6770" s="13">
        <v>900</v>
      </c>
      <c r="E6770" s="13"/>
      <c r="F6770" s="14"/>
      <c r="G6770" s="14"/>
      <c r="H6770" s="14"/>
      <c r="I6770" s="14"/>
    </row>
    <row r="6771" ht="20.7" customHeight="1">
      <c r="A6771" s="10">
        <v>45730</v>
      </c>
      <c r="B6771" t="s" s="11">
        <v>8</v>
      </c>
      <c r="C6771" t="s" s="12">
        <v>8</v>
      </c>
      <c r="D6771" s="15" cm="1">
        <f t="array" ref="D6771">SUM(D6769:D6770)</f>
        <v>900</v>
      </c>
      <c r="E6771" s="15" cm="1">
        <f t="array" ref="E6771">SUM(E6769:E6770)</f>
        <v>900</v>
      </c>
      <c r="F6771" s="16" cm="1">
        <f t="array" ref="F6771">SUM(F6769:F6770)</f>
        <v>0</v>
      </c>
      <c r="G6771" s="16" cm="1">
        <f t="array" ref="G6771">SUM(G6769:G6770)</f>
        <v>0</v>
      </c>
      <c r="H6771" s="16" cm="1">
        <f t="array" ref="H6771">SUM(H6769:H6770)</f>
        <v>0</v>
      </c>
      <c r="I6771" s="16" cm="1">
        <f t="array" ref="I6771">SUM(I6769:I6770)</f>
        <v>0</v>
      </c>
    </row>
    <row r="6772" ht="21.25" customHeight="1">
      <c r="A6772" s="10">
        <v>45730</v>
      </c>
      <c r="B6772" t="s" s="11">
        <v>5</v>
      </c>
      <c r="C6772" t="s" s="12">
        <v>979</v>
      </c>
      <c r="D6772" s="17"/>
      <c r="E6772" s="17">
        <v>4000</v>
      </c>
      <c r="F6772" s="18"/>
      <c r="G6772" s="18"/>
      <c r="H6772" s="18"/>
      <c r="I6772" s="18"/>
    </row>
    <row r="6773" ht="21.25" customHeight="1">
      <c r="A6773" s="10">
        <v>45730</v>
      </c>
      <c r="B6773" t="s" s="11">
        <v>10</v>
      </c>
      <c r="C6773" t="s" s="12">
        <v>979</v>
      </c>
      <c r="D6773" s="13">
        <v>4000</v>
      </c>
      <c r="E6773" s="13"/>
      <c r="F6773" s="14"/>
      <c r="G6773" s="14"/>
      <c r="H6773" s="14"/>
      <c r="I6773" s="14"/>
    </row>
    <row r="6774" ht="20.7" customHeight="1">
      <c r="A6774" s="10">
        <v>45730</v>
      </c>
      <c r="B6774" t="s" s="11">
        <v>8</v>
      </c>
      <c r="C6774" t="s" s="12">
        <v>8</v>
      </c>
      <c r="D6774" s="15" cm="1">
        <f t="array" ref="D6774">SUM(D6772:D6773)</f>
        <v>4000</v>
      </c>
      <c r="E6774" s="15" cm="1">
        <f t="array" ref="E6774">SUM(E6772:E6773)</f>
        <v>4000</v>
      </c>
      <c r="F6774" s="16" cm="1">
        <f t="array" ref="F6774">SUM(F6772:F6773)</f>
        <v>0</v>
      </c>
      <c r="G6774" s="16" cm="1">
        <f t="array" ref="G6774">SUM(G6772:G6773)</f>
        <v>0</v>
      </c>
      <c r="H6774" s="16" cm="1">
        <f t="array" ref="H6774">SUM(H6772:H6773)</f>
        <v>0</v>
      </c>
      <c r="I6774" s="16" cm="1">
        <f t="array" ref="I6774">SUM(I6772:I6773)</f>
        <v>0</v>
      </c>
    </row>
    <row r="6775" ht="20.35" customHeight="1">
      <c r="A6775" s="10">
        <v>45730</v>
      </c>
      <c r="B6775" t="s" s="11">
        <v>107</v>
      </c>
      <c r="C6775" t="s" s="12">
        <v>96</v>
      </c>
      <c r="D6775" s="17"/>
      <c r="E6775" s="17">
        <v>33150</v>
      </c>
      <c r="F6775" s="18"/>
      <c r="G6775" s="18"/>
      <c r="H6775" s="18"/>
      <c r="I6775" s="18"/>
    </row>
    <row r="6776" ht="20.35" customHeight="1">
      <c r="A6776" s="10">
        <v>45730</v>
      </c>
      <c r="B6776" t="s" s="11">
        <v>5</v>
      </c>
      <c r="C6776" t="s" s="12">
        <v>96</v>
      </c>
      <c r="D6776" s="13">
        <v>33150</v>
      </c>
      <c r="E6776" s="13"/>
      <c r="F6776" s="14"/>
      <c r="G6776" s="14"/>
      <c r="H6776" s="14"/>
      <c r="I6776" s="14"/>
    </row>
    <row r="6777" ht="20.7" customHeight="1">
      <c r="A6777" s="10">
        <v>45730</v>
      </c>
      <c r="B6777" t="s" s="11">
        <v>8</v>
      </c>
      <c r="C6777" t="s" s="12">
        <v>8</v>
      </c>
      <c r="D6777" s="15" cm="1">
        <f t="array" ref="D6777">SUM(D6775:D6776)</f>
        <v>33150</v>
      </c>
      <c r="E6777" s="15" cm="1">
        <f t="array" ref="E6777">SUM(E6775:E6776)</f>
        <v>33150</v>
      </c>
      <c r="F6777" s="16" cm="1">
        <f t="array" ref="F6777">SUM(F6775:F6776)</f>
        <v>0</v>
      </c>
      <c r="G6777" s="16" cm="1">
        <f t="array" ref="G6777">SUM(G6775:G6776)</f>
        <v>0</v>
      </c>
      <c r="H6777" s="16" cm="1">
        <f t="array" ref="H6777">SUM(H6775:H6776)</f>
        <v>0</v>
      </c>
      <c r="I6777" s="16" cm="1">
        <f t="array" ref="I6777">SUM(I6775:I6776)</f>
        <v>0</v>
      </c>
    </row>
    <row r="6778" ht="20.35" customHeight="1">
      <c r="A6778" s="10">
        <v>45730</v>
      </c>
      <c r="B6778" t="s" s="11">
        <v>5</v>
      </c>
      <c r="C6778" t="s" s="12">
        <v>899</v>
      </c>
      <c r="D6778" s="17"/>
      <c r="E6778" s="17">
        <v>50000</v>
      </c>
      <c r="F6778" s="18"/>
      <c r="G6778" s="18"/>
      <c r="H6778" s="18"/>
      <c r="I6778" s="18"/>
    </row>
    <row r="6779" ht="20.35" customHeight="1">
      <c r="A6779" s="10">
        <v>45730</v>
      </c>
      <c r="B6779" t="s" s="11">
        <v>21</v>
      </c>
      <c r="C6779" t="s" s="12">
        <v>899</v>
      </c>
      <c r="D6779" s="13">
        <v>50000</v>
      </c>
      <c r="E6779" s="13"/>
      <c r="F6779" s="14"/>
      <c r="G6779" s="14"/>
      <c r="H6779" s="14"/>
      <c r="I6779" s="14"/>
    </row>
    <row r="6780" ht="20.7" customHeight="1">
      <c r="A6780" s="10">
        <v>45730</v>
      </c>
      <c r="B6780" t="s" s="11">
        <v>8</v>
      </c>
      <c r="C6780" t="s" s="12">
        <v>8</v>
      </c>
      <c r="D6780" s="15" cm="1">
        <f t="array" ref="D6780">SUM(D6778:D6779)</f>
        <v>50000</v>
      </c>
      <c r="E6780" s="15" cm="1">
        <f t="array" ref="E6780">SUM(E6778:E6779)</f>
        <v>50000</v>
      </c>
      <c r="F6780" s="16" cm="1">
        <f t="array" ref="F6780">SUM(F6778:F6779)</f>
        <v>0</v>
      </c>
      <c r="G6780" s="16" cm="1">
        <f t="array" ref="G6780">SUM(G6778:G6779)</f>
        <v>0</v>
      </c>
      <c r="H6780" s="16" cm="1">
        <f t="array" ref="H6780">SUM(H6778:H6779)</f>
        <v>0</v>
      </c>
      <c r="I6780" s="16" cm="1">
        <f t="array" ref="I6780">SUM(I6778:I6779)</f>
        <v>0</v>
      </c>
    </row>
    <row r="6781" ht="20.35" customHeight="1">
      <c r="A6781" s="10">
        <v>45730</v>
      </c>
      <c r="B6781" t="s" s="11">
        <v>5</v>
      </c>
      <c r="C6781" t="s" s="12">
        <v>36</v>
      </c>
      <c r="D6781" s="17"/>
      <c r="E6781" s="17">
        <v>50000</v>
      </c>
      <c r="F6781" s="18"/>
      <c r="G6781" s="18"/>
      <c r="H6781" s="18"/>
      <c r="I6781" s="18"/>
    </row>
    <row r="6782" ht="20.35" customHeight="1">
      <c r="A6782" s="10">
        <v>45730</v>
      </c>
      <c r="B6782" t="s" s="11">
        <v>21</v>
      </c>
      <c r="C6782" t="s" s="12">
        <v>36</v>
      </c>
      <c r="D6782" s="13">
        <v>50000</v>
      </c>
      <c r="E6782" s="13"/>
      <c r="F6782" s="14"/>
      <c r="G6782" s="14"/>
      <c r="H6782" s="14"/>
      <c r="I6782" s="14"/>
    </row>
    <row r="6783" ht="20.7" customHeight="1">
      <c r="A6783" s="10">
        <v>45730</v>
      </c>
      <c r="B6783" t="s" s="11">
        <v>8</v>
      </c>
      <c r="C6783" t="s" s="12">
        <v>8</v>
      </c>
      <c r="D6783" s="15" cm="1">
        <f t="array" ref="D6783">SUM(D6781:D6782)</f>
        <v>50000</v>
      </c>
      <c r="E6783" s="15" cm="1">
        <f t="array" ref="E6783">SUM(E6781:E6782)</f>
        <v>50000</v>
      </c>
      <c r="F6783" s="16" cm="1">
        <f t="array" ref="F6783">SUM(F6781:F6782)</f>
        <v>0</v>
      </c>
      <c r="G6783" s="16" cm="1">
        <f t="array" ref="G6783">SUM(G6781:G6782)</f>
        <v>0</v>
      </c>
      <c r="H6783" s="16" cm="1">
        <f t="array" ref="H6783">SUM(H6781:H6782)</f>
        <v>0</v>
      </c>
      <c r="I6783" s="16" cm="1">
        <f t="array" ref="I6783">SUM(I6781:I6782)</f>
        <v>0</v>
      </c>
    </row>
    <row r="6784" ht="20.35" customHeight="1">
      <c r="A6784" s="10">
        <v>45730</v>
      </c>
      <c r="B6784" t="s" s="11">
        <v>5</v>
      </c>
      <c r="C6784" t="s" s="12">
        <v>980</v>
      </c>
      <c r="D6784" s="17"/>
      <c r="E6784" s="17">
        <v>10000</v>
      </c>
      <c r="F6784" s="18"/>
      <c r="G6784" s="18"/>
      <c r="H6784" s="18"/>
      <c r="I6784" s="18"/>
    </row>
    <row r="6785" ht="20.35" customHeight="1">
      <c r="A6785" s="10">
        <v>45730</v>
      </c>
      <c r="B6785" t="s" s="11">
        <v>10</v>
      </c>
      <c r="C6785" t="s" s="12">
        <v>980</v>
      </c>
      <c r="D6785" s="13">
        <v>10000</v>
      </c>
      <c r="E6785" s="13"/>
      <c r="F6785" s="14"/>
      <c r="G6785" s="14"/>
      <c r="H6785" s="14"/>
      <c r="I6785" s="14"/>
    </row>
    <row r="6786" ht="20.7" customHeight="1">
      <c r="A6786" s="10">
        <v>45730</v>
      </c>
      <c r="B6786" t="s" s="11">
        <v>8</v>
      </c>
      <c r="C6786" t="s" s="12">
        <v>8</v>
      </c>
      <c r="D6786" s="15" cm="1">
        <f t="array" ref="D6786">SUM(D6784:D6785)</f>
        <v>10000</v>
      </c>
      <c r="E6786" s="15" cm="1">
        <f t="array" ref="E6786">SUM(E6784:E6785)</f>
        <v>10000</v>
      </c>
      <c r="F6786" s="16" cm="1">
        <f t="array" ref="F6786">SUM(F6784:F6785)</f>
        <v>0</v>
      </c>
      <c r="G6786" s="16" cm="1">
        <f t="array" ref="G6786">SUM(G6784:G6785)</f>
        <v>0</v>
      </c>
      <c r="H6786" s="16" cm="1">
        <f t="array" ref="H6786">SUM(H6784:H6785)</f>
        <v>0</v>
      </c>
      <c r="I6786" s="16" cm="1">
        <f t="array" ref="I6786">SUM(I6784:I6785)</f>
        <v>0</v>
      </c>
    </row>
    <row r="6787" ht="21.25" customHeight="1">
      <c r="A6787" s="10">
        <v>45730</v>
      </c>
      <c r="B6787" t="s" s="11">
        <v>21</v>
      </c>
      <c r="C6787" t="s" s="12">
        <v>981</v>
      </c>
      <c r="D6787" s="17"/>
      <c r="E6787" s="17">
        <v>4200</v>
      </c>
      <c r="F6787" s="18"/>
      <c r="G6787" s="18"/>
      <c r="H6787" s="18"/>
      <c r="I6787" s="18"/>
    </row>
    <row r="6788" ht="21.25" customHeight="1">
      <c r="A6788" s="10">
        <v>45730</v>
      </c>
      <c r="B6788" t="s" s="11">
        <v>16</v>
      </c>
      <c r="C6788" t="s" s="12">
        <v>981</v>
      </c>
      <c r="D6788" s="13">
        <v>4200</v>
      </c>
      <c r="E6788" s="13"/>
      <c r="F6788" s="14"/>
      <c r="G6788" s="14"/>
      <c r="H6788" s="14"/>
      <c r="I6788" s="14"/>
    </row>
    <row r="6789" ht="20.7" customHeight="1">
      <c r="A6789" s="10">
        <v>45730</v>
      </c>
      <c r="B6789" t="s" s="11">
        <v>8</v>
      </c>
      <c r="C6789" t="s" s="12">
        <v>8</v>
      </c>
      <c r="D6789" s="15" cm="1">
        <f t="array" ref="D6789">SUM(D6787:D6788)</f>
        <v>4200</v>
      </c>
      <c r="E6789" s="15" cm="1">
        <f t="array" ref="E6789">SUM(E6787:E6788)</f>
        <v>4200</v>
      </c>
      <c r="F6789" s="16" cm="1">
        <f t="array" ref="F6789">SUM(F6787:F6788)</f>
        <v>0</v>
      </c>
      <c r="G6789" s="16" cm="1">
        <f t="array" ref="G6789">SUM(G6787:G6788)</f>
        <v>0</v>
      </c>
      <c r="H6789" s="16" cm="1">
        <f t="array" ref="H6789">SUM(H6787:H6788)</f>
        <v>0</v>
      </c>
      <c r="I6789" s="16" cm="1">
        <f t="array" ref="I6789">SUM(I6787:I6788)</f>
        <v>0</v>
      </c>
    </row>
    <row r="6790" ht="20.65" customHeight="1">
      <c r="A6790" s="10">
        <v>45731</v>
      </c>
      <c r="B6790" t="s" s="11">
        <v>107</v>
      </c>
      <c r="C6790" t="s" s="12">
        <v>734</v>
      </c>
      <c r="D6790" s="17">
        <v>1</v>
      </c>
      <c r="E6790" s="17"/>
      <c r="F6790" s="18"/>
      <c r="G6790" s="18"/>
      <c r="H6790" s="18"/>
      <c r="I6790" s="18"/>
    </row>
    <row r="6791" ht="20.65" customHeight="1">
      <c r="A6791" s="10">
        <v>45731</v>
      </c>
      <c r="B6791" t="s" s="11">
        <v>91</v>
      </c>
      <c r="C6791" t="s" s="12">
        <v>734</v>
      </c>
      <c r="D6791" s="13"/>
      <c r="E6791" s="13">
        <v>1</v>
      </c>
      <c r="F6791" s="14"/>
      <c r="G6791" s="14"/>
      <c r="H6791" s="14"/>
      <c r="I6791" s="14"/>
    </row>
    <row r="6792" ht="20.7" customHeight="1">
      <c r="A6792" s="10">
        <v>45731</v>
      </c>
      <c r="B6792" t="s" s="11">
        <v>8</v>
      </c>
      <c r="C6792" t="s" s="12">
        <v>8</v>
      </c>
      <c r="D6792" s="15" cm="1">
        <f t="array" ref="D6792">SUM(D6790:D6791)</f>
        <v>1</v>
      </c>
      <c r="E6792" s="15" cm="1">
        <f t="array" ref="E6792">SUM(E6790:E6791)</f>
        <v>1</v>
      </c>
      <c r="F6792" s="16" cm="1">
        <f t="array" ref="F6792">SUM(F6790:F6791)</f>
        <v>0</v>
      </c>
      <c r="G6792" s="16" cm="1">
        <f t="array" ref="G6792">SUM(G6790:G6791)</f>
        <v>0</v>
      </c>
      <c r="H6792" s="16" cm="1">
        <f t="array" ref="H6792">SUM(H6790:H6791)</f>
        <v>0</v>
      </c>
      <c r="I6792" s="16" cm="1">
        <f t="array" ref="I6792">SUM(I6790:I6791)</f>
        <v>0</v>
      </c>
    </row>
    <row r="6793" ht="21.25" customHeight="1">
      <c r="A6793" s="10">
        <v>45731</v>
      </c>
      <c r="B6793" t="s" s="11">
        <v>107</v>
      </c>
      <c r="C6793" t="s" s="12">
        <v>982</v>
      </c>
      <c r="D6793" s="17">
        <v>36403</v>
      </c>
      <c r="E6793" s="17"/>
      <c r="F6793" s="18"/>
      <c r="G6793" s="18"/>
      <c r="H6793" s="18"/>
      <c r="I6793" s="18"/>
    </row>
    <row r="6794" ht="20.9" customHeight="1">
      <c r="A6794" s="10">
        <v>45731</v>
      </c>
      <c r="B6794" t="s" s="11">
        <v>21</v>
      </c>
      <c r="C6794" t="s" s="12">
        <v>982</v>
      </c>
      <c r="D6794" s="19"/>
      <c r="E6794" s="19">
        <v>35000</v>
      </c>
      <c r="F6794" s="20"/>
      <c r="G6794" s="20"/>
      <c r="H6794" s="20"/>
      <c r="I6794" s="20"/>
    </row>
    <row r="6795" ht="21.25" customHeight="1">
      <c r="A6795" s="10">
        <v>45731</v>
      </c>
      <c r="B6795" t="s" s="11">
        <v>91</v>
      </c>
      <c r="C6795" t="s" s="12">
        <v>982</v>
      </c>
      <c r="D6795" s="13"/>
      <c r="E6795" s="13">
        <v>1403</v>
      </c>
      <c r="F6795" s="14"/>
      <c r="G6795" s="14"/>
      <c r="H6795" s="14"/>
      <c r="I6795" s="14"/>
    </row>
    <row r="6796" ht="20.7" customHeight="1">
      <c r="A6796" s="10">
        <v>45731</v>
      </c>
      <c r="B6796" t="s" s="11">
        <v>8</v>
      </c>
      <c r="C6796" t="s" s="12">
        <v>8</v>
      </c>
      <c r="D6796" s="15" cm="1">
        <f t="array" ref="D6796">SUM(D6793:D6795)</f>
        <v>36403</v>
      </c>
      <c r="E6796" s="15" cm="1">
        <f t="array" ref="E6796">SUM(E6793:E6795)</f>
        <v>36403</v>
      </c>
      <c r="F6796" s="16" cm="1">
        <f t="array" ref="F6796">SUM(F6793:F6795)</f>
        <v>0</v>
      </c>
      <c r="G6796" s="16" cm="1">
        <f t="array" ref="G6796">SUM(G6793:G6795)</f>
        <v>0</v>
      </c>
      <c r="H6796" s="16" cm="1">
        <f t="array" ref="H6796">SUM(H6793:H6795)</f>
        <v>0</v>
      </c>
      <c r="I6796" s="16" cm="1">
        <f t="array" ref="I6796">SUM(I6793:I6795)</f>
        <v>0</v>
      </c>
    </row>
    <row r="6797" ht="20.35" customHeight="1">
      <c r="A6797" s="10">
        <v>45731</v>
      </c>
      <c r="B6797" t="s" s="11">
        <v>107</v>
      </c>
      <c r="C6797" t="s" s="12">
        <v>96</v>
      </c>
      <c r="D6797" s="17"/>
      <c r="E6797" s="17">
        <v>36404</v>
      </c>
      <c r="F6797" s="18"/>
      <c r="G6797" s="18"/>
      <c r="H6797" s="18"/>
      <c r="I6797" s="18"/>
    </row>
    <row r="6798" ht="20.35" customHeight="1">
      <c r="A6798" s="10">
        <v>45731</v>
      </c>
      <c r="B6798" t="s" s="11">
        <v>5</v>
      </c>
      <c r="C6798" t="s" s="12">
        <v>96</v>
      </c>
      <c r="D6798" s="13">
        <v>36404</v>
      </c>
      <c r="E6798" s="13"/>
      <c r="F6798" s="14"/>
      <c r="G6798" s="14"/>
      <c r="H6798" s="14"/>
      <c r="I6798" s="14"/>
    </row>
    <row r="6799" ht="20.7" customHeight="1">
      <c r="A6799" s="10">
        <v>45731</v>
      </c>
      <c r="B6799" t="s" s="11">
        <v>8</v>
      </c>
      <c r="C6799" t="s" s="12">
        <v>8</v>
      </c>
      <c r="D6799" s="15" cm="1">
        <f t="array" ref="D6799">SUM(D6797:D6798)</f>
        <v>36404</v>
      </c>
      <c r="E6799" s="15" cm="1">
        <f t="array" ref="E6799">SUM(E6797:E6798)</f>
        <v>36404</v>
      </c>
      <c r="F6799" s="16" cm="1">
        <f t="array" ref="F6799">SUM(F6797:F6798)</f>
        <v>0</v>
      </c>
      <c r="G6799" s="16" cm="1">
        <f t="array" ref="G6799">SUM(G6797:G6798)</f>
        <v>0</v>
      </c>
      <c r="H6799" s="16" cm="1">
        <f t="array" ref="H6799">SUM(H6797:H6798)</f>
        <v>0</v>
      </c>
      <c r="I6799" s="16" cm="1">
        <f t="array" ref="I6799">SUM(I6797:I6798)</f>
        <v>0</v>
      </c>
    </row>
    <row r="6800" ht="21.25" customHeight="1">
      <c r="A6800" s="10">
        <v>45731</v>
      </c>
      <c r="B6800" t="s" s="11">
        <v>5</v>
      </c>
      <c r="C6800" t="s" s="12">
        <v>983</v>
      </c>
      <c r="D6800" s="17"/>
      <c r="E6800" s="17">
        <v>35000</v>
      </c>
      <c r="F6800" s="18"/>
      <c r="G6800" s="18"/>
      <c r="H6800" s="18"/>
      <c r="I6800" s="18"/>
    </row>
    <row r="6801" ht="21.25" customHeight="1">
      <c r="A6801" s="10">
        <v>45731</v>
      </c>
      <c r="B6801" t="s" s="11">
        <v>21</v>
      </c>
      <c r="C6801" t="s" s="12">
        <v>983</v>
      </c>
      <c r="D6801" s="13">
        <v>35000</v>
      </c>
      <c r="E6801" s="13"/>
      <c r="F6801" s="14"/>
      <c r="G6801" s="14"/>
      <c r="H6801" s="14"/>
      <c r="I6801" s="14"/>
    </row>
    <row r="6802" ht="20.7" customHeight="1">
      <c r="A6802" s="10">
        <v>45731</v>
      </c>
      <c r="B6802" t="s" s="11">
        <v>8</v>
      </c>
      <c r="C6802" t="s" s="12">
        <v>8</v>
      </c>
      <c r="D6802" s="15" cm="1">
        <f t="array" ref="D6802">SUM(D6800:D6801)</f>
        <v>35000</v>
      </c>
      <c r="E6802" s="15" cm="1">
        <f t="array" ref="E6802">SUM(E6800:E6801)</f>
        <v>35000</v>
      </c>
      <c r="F6802" s="16" cm="1">
        <f t="array" ref="F6802">SUM(F6800:F6801)</f>
        <v>0</v>
      </c>
      <c r="G6802" s="16" cm="1">
        <f t="array" ref="G6802">SUM(G6800:G6801)</f>
        <v>0</v>
      </c>
      <c r="H6802" s="16" cm="1">
        <f t="array" ref="H6802">SUM(H6800:H6801)</f>
        <v>0</v>
      </c>
      <c r="I6802" s="16" cm="1">
        <f t="array" ref="I6802">SUM(I6800:I6801)</f>
        <v>0</v>
      </c>
    </row>
    <row r="6803" ht="20.35" customHeight="1">
      <c r="A6803" s="10">
        <v>45731</v>
      </c>
      <c r="B6803" t="s" s="11">
        <v>5</v>
      </c>
      <c r="C6803" t="s" s="12">
        <v>19</v>
      </c>
      <c r="D6803" s="17"/>
      <c r="E6803" s="17">
        <v>11800</v>
      </c>
      <c r="F6803" s="18"/>
      <c r="G6803" s="18"/>
      <c r="H6803" s="18"/>
      <c r="I6803" s="18"/>
    </row>
    <row r="6804" ht="20.05" customHeight="1">
      <c r="A6804" s="10">
        <v>45731</v>
      </c>
      <c r="B6804" t="s" s="11">
        <v>21</v>
      </c>
      <c r="C6804" t="s" s="12">
        <v>19</v>
      </c>
      <c r="D6804" s="19">
        <v>5900</v>
      </c>
      <c r="E6804" s="19"/>
      <c r="F6804" s="20"/>
      <c r="G6804" s="20"/>
      <c r="H6804" s="20"/>
      <c r="I6804" s="20"/>
    </row>
    <row r="6805" ht="20.35" customHeight="1">
      <c r="A6805" s="10">
        <v>45731</v>
      </c>
      <c r="B6805" t="s" s="11">
        <v>12</v>
      </c>
      <c r="C6805" t="s" s="12">
        <v>19</v>
      </c>
      <c r="D6805" s="13">
        <v>5900</v>
      </c>
      <c r="E6805" s="13"/>
      <c r="F6805" s="14"/>
      <c r="G6805" s="14"/>
      <c r="H6805" s="14"/>
      <c r="I6805" s="14"/>
    </row>
    <row r="6806" ht="20.7" customHeight="1">
      <c r="A6806" s="10">
        <v>45731</v>
      </c>
      <c r="B6806" t="s" s="11">
        <v>8</v>
      </c>
      <c r="C6806" t="s" s="12">
        <v>8</v>
      </c>
      <c r="D6806" s="15" cm="1">
        <f t="array" ref="D6806">SUM(D6803:D6805)</f>
        <v>11800</v>
      </c>
      <c r="E6806" s="15" cm="1">
        <f t="array" ref="E6806">SUM(E6803:E6805)</f>
        <v>11800</v>
      </c>
      <c r="F6806" s="16" cm="1">
        <f t="array" ref="F6806">SUM(F6803:F6805)</f>
        <v>0</v>
      </c>
      <c r="G6806" s="16" cm="1">
        <f t="array" ref="G6806">SUM(G6803:G6805)</f>
        <v>0</v>
      </c>
      <c r="H6806" s="16" cm="1">
        <f t="array" ref="H6806">SUM(H6803:H6805)</f>
        <v>0</v>
      </c>
      <c r="I6806" s="16" cm="1">
        <f t="array" ref="I6806">SUM(I6803:I6805)</f>
        <v>0</v>
      </c>
    </row>
    <row r="6807" ht="20.35" customHeight="1">
      <c r="A6807" s="10">
        <v>45731</v>
      </c>
      <c r="B6807" t="s" s="11">
        <v>91</v>
      </c>
      <c r="C6807" t="s" s="12">
        <v>17</v>
      </c>
      <c r="D6807" s="17"/>
      <c r="E6807" s="17">
        <v>500</v>
      </c>
      <c r="F6807" s="18"/>
      <c r="G6807" s="18"/>
      <c r="H6807" s="18"/>
      <c r="I6807" s="18"/>
    </row>
    <row r="6808" ht="20.35" customHeight="1">
      <c r="A6808" s="10">
        <v>45731</v>
      </c>
      <c r="B6808" t="s" s="11">
        <v>5</v>
      </c>
      <c r="C6808" t="s" s="12">
        <v>17</v>
      </c>
      <c r="D6808" s="13">
        <v>500</v>
      </c>
      <c r="E6808" s="13"/>
      <c r="F6808" s="14"/>
      <c r="G6808" s="14"/>
      <c r="H6808" s="14"/>
      <c r="I6808" s="14"/>
    </row>
    <row r="6809" ht="20.7" customHeight="1">
      <c r="A6809" s="10">
        <v>45731</v>
      </c>
      <c r="B6809" t="s" s="11">
        <v>8</v>
      </c>
      <c r="C6809" t="s" s="12">
        <v>8</v>
      </c>
      <c r="D6809" s="15" cm="1">
        <f t="array" ref="D6809">SUM(D6807:D6808)</f>
        <v>500</v>
      </c>
      <c r="E6809" s="15" cm="1">
        <f t="array" ref="E6809">SUM(E6807:E6808)</f>
        <v>500</v>
      </c>
      <c r="F6809" s="16" cm="1">
        <f t="array" ref="F6809">SUM(F6807:F6808)</f>
        <v>0</v>
      </c>
      <c r="G6809" s="16" cm="1">
        <f t="array" ref="G6809">SUM(G6807:G6808)</f>
        <v>0</v>
      </c>
      <c r="H6809" s="16" cm="1">
        <f t="array" ref="H6809">SUM(H6807:H6808)</f>
        <v>0</v>
      </c>
      <c r="I6809" s="16" cm="1">
        <f t="array" ref="I6809">SUM(I6807:I6808)</f>
        <v>0</v>
      </c>
    </row>
    <row r="6810" ht="21.25" customHeight="1">
      <c r="A6810" s="10">
        <v>45732</v>
      </c>
      <c r="B6810" t="s" s="11">
        <v>968</v>
      </c>
      <c r="C6810" t="s" s="12">
        <v>969</v>
      </c>
      <c r="D6810" s="17"/>
      <c r="E6810" s="17">
        <v>4000</v>
      </c>
      <c r="F6810" s="18"/>
      <c r="G6810" s="18"/>
      <c r="H6810" s="18"/>
      <c r="I6810" s="18"/>
    </row>
    <row r="6811" ht="21.25" customHeight="1">
      <c r="A6811" s="10">
        <v>45732</v>
      </c>
      <c r="B6811" t="s" s="11">
        <v>10</v>
      </c>
      <c r="C6811" t="s" s="12">
        <v>969</v>
      </c>
      <c r="D6811" s="13">
        <v>4000</v>
      </c>
      <c r="E6811" s="13"/>
      <c r="F6811" s="14"/>
      <c r="G6811" s="14"/>
      <c r="H6811" s="14"/>
      <c r="I6811" s="14"/>
    </row>
    <row r="6812" ht="20.7" customHeight="1">
      <c r="A6812" s="10">
        <v>45732</v>
      </c>
      <c r="B6812" t="s" s="11">
        <v>8</v>
      </c>
      <c r="C6812" t="s" s="12">
        <v>8</v>
      </c>
      <c r="D6812" s="15" cm="1">
        <f t="array" ref="D6812">SUM(D6810:D6811)</f>
        <v>4000</v>
      </c>
      <c r="E6812" s="15" cm="1">
        <f t="array" ref="E6812">SUM(E6810:E6811)</f>
        <v>4000</v>
      </c>
      <c r="F6812" s="16" cm="1">
        <f t="array" ref="F6812">SUM(F6810:F6811)</f>
        <v>0</v>
      </c>
      <c r="G6812" s="16" cm="1">
        <f t="array" ref="G6812">SUM(G6810:G6811)</f>
        <v>0</v>
      </c>
      <c r="H6812" s="16" cm="1">
        <f t="array" ref="H6812">SUM(H6810:H6811)</f>
        <v>0</v>
      </c>
      <c r="I6812" s="16" cm="1">
        <f t="array" ref="I6812">SUM(I6810:I6811)</f>
        <v>0</v>
      </c>
    </row>
    <row r="6813" ht="21.25" customHeight="1">
      <c r="A6813" s="10">
        <v>45733</v>
      </c>
      <c r="B6813" t="s" s="11">
        <v>121</v>
      </c>
      <c r="C6813" t="s" s="12">
        <v>973</v>
      </c>
      <c r="D6813" s="17"/>
      <c r="E6813" s="17">
        <v>700</v>
      </c>
      <c r="F6813" s="18"/>
      <c r="G6813" s="18"/>
      <c r="H6813" s="18"/>
      <c r="I6813" s="18"/>
    </row>
    <row r="6814" ht="21.25" customHeight="1">
      <c r="A6814" s="10">
        <v>45733</v>
      </c>
      <c r="B6814" t="s" s="11">
        <v>21</v>
      </c>
      <c r="C6814" t="s" s="12">
        <v>973</v>
      </c>
      <c r="D6814" s="13">
        <v>700</v>
      </c>
      <c r="E6814" s="13"/>
      <c r="F6814" s="14"/>
      <c r="G6814" s="14"/>
      <c r="H6814" s="14"/>
      <c r="I6814" s="14"/>
    </row>
    <row r="6815" ht="20.7" customHeight="1">
      <c r="A6815" s="10">
        <v>45733</v>
      </c>
      <c r="B6815" t="s" s="11">
        <v>8</v>
      </c>
      <c r="C6815" t="s" s="12">
        <v>8</v>
      </c>
      <c r="D6815" s="15" cm="1">
        <f t="array" ref="D6815">SUM(D6813:D6814)</f>
        <v>700</v>
      </c>
      <c r="E6815" s="15" cm="1">
        <f t="array" ref="E6815">SUM(E6813:E6814)</f>
        <v>700</v>
      </c>
      <c r="F6815" s="16" cm="1">
        <f t="array" ref="F6815">SUM(F6813:F6814)</f>
        <v>0</v>
      </c>
      <c r="G6815" s="16" cm="1">
        <f t="array" ref="G6815">SUM(G6813:G6814)</f>
        <v>0</v>
      </c>
      <c r="H6815" s="16" cm="1">
        <f t="array" ref="H6815">SUM(H6813:H6814)</f>
        <v>0</v>
      </c>
      <c r="I6815" s="16" cm="1">
        <f t="array" ref="I6815">SUM(I6813:I6814)</f>
        <v>0</v>
      </c>
    </row>
    <row r="6816" ht="20.35" customHeight="1">
      <c r="A6816" s="10">
        <v>45733</v>
      </c>
      <c r="B6816" t="s" s="11">
        <v>5</v>
      </c>
      <c r="C6816" t="s" s="12">
        <v>439</v>
      </c>
      <c r="D6816" s="17"/>
      <c r="E6816" s="17">
        <v>3430</v>
      </c>
      <c r="F6816" s="18"/>
      <c r="G6816" s="18"/>
      <c r="H6816" s="18"/>
      <c r="I6816" s="18"/>
    </row>
    <row r="6817" ht="20.35" customHeight="1">
      <c r="A6817" s="10">
        <v>45733</v>
      </c>
      <c r="B6817" t="s" s="11">
        <v>121</v>
      </c>
      <c r="C6817" t="s" s="12">
        <v>439</v>
      </c>
      <c r="D6817" s="13">
        <v>3430</v>
      </c>
      <c r="E6817" s="13"/>
      <c r="F6817" s="14"/>
      <c r="G6817" s="14"/>
      <c r="H6817" s="14"/>
      <c r="I6817" s="14"/>
    </row>
    <row r="6818" ht="20.7" customHeight="1">
      <c r="A6818" s="10">
        <v>45733</v>
      </c>
      <c r="B6818" t="s" s="11">
        <v>8</v>
      </c>
      <c r="C6818" t="s" s="12">
        <v>8</v>
      </c>
      <c r="D6818" s="15" cm="1">
        <f t="array" ref="D6818">SUM(D6816:D6817)</f>
        <v>3430</v>
      </c>
      <c r="E6818" s="15" cm="1">
        <f t="array" ref="E6818">SUM(E6816:E6817)</f>
        <v>3430</v>
      </c>
      <c r="F6818" s="16" cm="1">
        <f t="array" ref="F6818">SUM(F6816:F6817)</f>
        <v>0</v>
      </c>
      <c r="G6818" s="16" cm="1">
        <f t="array" ref="G6818">SUM(G6816:G6817)</f>
        <v>0</v>
      </c>
      <c r="H6818" s="16" cm="1">
        <f t="array" ref="H6818">SUM(H6816:H6817)</f>
        <v>0</v>
      </c>
      <c r="I6818" s="16" cm="1">
        <f t="array" ref="I6818">SUM(I6816:I6817)</f>
        <v>0</v>
      </c>
    </row>
    <row r="6819" ht="21.25" customHeight="1">
      <c r="A6819" s="10">
        <v>45733</v>
      </c>
      <c r="B6819" t="s" s="11">
        <v>5</v>
      </c>
      <c r="C6819" t="s" s="12">
        <v>799</v>
      </c>
      <c r="D6819" s="17">
        <v>4</v>
      </c>
      <c r="E6819" s="17"/>
      <c r="F6819" s="18"/>
      <c r="G6819" s="18"/>
      <c r="H6819" s="18"/>
      <c r="I6819" s="18"/>
    </row>
    <row r="6820" ht="21.25" customHeight="1">
      <c r="A6820" s="10">
        <v>45733</v>
      </c>
      <c r="B6820" t="s" s="11">
        <v>91</v>
      </c>
      <c r="C6820" t="s" s="12">
        <v>799</v>
      </c>
      <c r="D6820" s="13"/>
      <c r="E6820" s="13">
        <v>4</v>
      </c>
      <c r="F6820" s="14"/>
      <c r="G6820" s="14"/>
      <c r="H6820" s="14"/>
      <c r="I6820" s="14"/>
    </row>
    <row r="6821" ht="20.7" customHeight="1">
      <c r="A6821" s="10">
        <v>45733</v>
      </c>
      <c r="B6821" t="s" s="11">
        <v>8</v>
      </c>
      <c r="C6821" t="s" s="12">
        <v>8</v>
      </c>
      <c r="D6821" s="15" cm="1">
        <f t="array" ref="D6821">SUM(D6819:D6820)</f>
        <v>4</v>
      </c>
      <c r="E6821" s="15" cm="1">
        <f t="array" ref="E6821">SUM(E6819:E6820)</f>
        <v>4</v>
      </c>
      <c r="F6821" s="16" cm="1">
        <f t="array" ref="F6821">SUM(F6819:F6820)</f>
        <v>0</v>
      </c>
      <c r="G6821" s="16" cm="1">
        <f t="array" ref="G6821">SUM(G6819:G6820)</f>
        <v>0</v>
      </c>
      <c r="H6821" s="16" cm="1">
        <f t="array" ref="H6821">SUM(H6819:H6820)</f>
        <v>0</v>
      </c>
      <c r="I6821" s="16" cm="1">
        <f t="array" ref="I6821">SUM(I6819:I6820)</f>
        <v>0</v>
      </c>
    </row>
    <row r="6822" ht="21.25" customHeight="1">
      <c r="A6822" s="10">
        <v>45733</v>
      </c>
      <c r="B6822" t="s" s="11">
        <v>21</v>
      </c>
      <c r="C6822" t="s" s="12">
        <v>782</v>
      </c>
      <c r="D6822" s="17"/>
      <c r="E6822" s="17">
        <v>4300</v>
      </c>
      <c r="F6822" s="18"/>
      <c r="G6822" s="18"/>
      <c r="H6822" s="18"/>
      <c r="I6822" s="18"/>
    </row>
    <row r="6823" ht="21.25" customHeight="1">
      <c r="A6823" s="10">
        <v>45733</v>
      </c>
      <c r="B6823" t="s" s="11">
        <v>16</v>
      </c>
      <c r="C6823" t="s" s="12">
        <v>782</v>
      </c>
      <c r="D6823" s="13">
        <v>4300</v>
      </c>
      <c r="E6823" s="13"/>
      <c r="F6823" s="14"/>
      <c r="G6823" s="14"/>
      <c r="H6823" s="14"/>
      <c r="I6823" s="14"/>
    </row>
    <row r="6824" ht="20.7" customHeight="1">
      <c r="A6824" s="10">
        <v>45733</v>
      </c>
      <c r="B6824" t="s" s="11">
        <v>8</v>
      </c>
      <c r="C6824" t="s" s="12">
        <v>8</v>
      </c>
      <c r="D6824" s="15" cm="1">
        <f t="array" ref="D6824">SUM(D6822:D6823)</f>
        <v>4300</v>
      </c>
      <c r="E6824" s="15" cm="1">
        <f t="array" ref="E6824">SUM(E6822:E6823)</f>
        <v>4300</v>
      </c>
      <c r="F6824" s="16" cm="1">
        <f t="array" ref="F6824">SUM(F6822:F6823)</f>
        <v>0</v>
      </c>
      <c r="G6824" s="16" cm="1">
        <f t="array" ref="G6824">SUM(G6822:G6823)</f>
        <v>0</v>
      </c>
      <c r="H6824" s="16" cm="1">
        <f t="array" ref="H6824">SUM(H6822:H6823)</f>
        <v>0</v>
      </c>
      <c r="I6824" s="16" cm="1">
        <f t="array" ref="I6824">SUM(I6822:I6823)</f>
        <v>0</v>
      </c>
    </row>
    <row r="6825" ht="20.35" customHeight="1">
      <c r="A6825" s="10">
        <v>45734</v>
      </c>
      <c r="B6825" t="s" s="11">
        <v>99</v>
      </c>
      <c r="C6825" t="s" s="12">
        <v>984</v>
      </c>
      <c r="D6825" s="17"/>
      <c r="E6825" s="17">
        <v>4800000</v>
      </c>
      <c r="F6825" s="18"/>
      <c r="G6825" s="18"/>
      <c r="H6825" s="18"/>
      <c r="I6825" s="18"/>
    </row>
    <row r="6826" ht="20.35" customHeight="1">
      <c r="A6826" s="10">
        <v>45734</v>
      </c>
      <c r="B6826" t="s" s="11">
        <v>5</v>
      </c>
      <c r="C6826" t="s" s="12">
        <v>984</v>
      </c>
      <c r="D6826" s="13">
        <v>4800000</v>
      </c>
      <c r="E6826" s="13"/>
      <c r="F6826" s="14"/>
      <c r="G6826" s="14"/>
      <c r="H6826" s="14"/>
      <c r="I6826" s="14"/>
    </row>
    <row r="6827" ht="20.7" customHeight="1">
      <c r="A6827" s="10">
        <v>45734</v>
      </c>
      <c r="B6827" t="s" s="11">
        <v>8</v>
      </c>
      <c r="C6827" t="s" s="12">
        <v>8</v>
      </c>
      <c r="D6827" s="15" cm="1">
        <f t="array" ref="D6827">SUM(D6825:D6826)</f>
        <v>4800000</v>
      </c>
      <c r="E6827" s="15" cm="1">
        <f t="array" ref="E6827">SUM(E6825:E6826)</f>
        <v>4800000</v>
      </c>
      <c r="F6827" s="16" cm="1">
        <f t="array" ref="F6827">SUM(F6825:F6826)</f>
        <v>0</v>
      </c>
      <c r="G6827" s="16" cm="1">
        <f t="array" ref="G6827">SUM(G6825:G6826)</f>
        <v>0</v>
      </c>
      <c r="H6827" s="16" cm="1">
        <f t="array" ref="H6827">SUM(H6825:H6826)</f>
        <v>0</v>
      </c>
      <c r="I6827" s="16" cm="1">
        <f t="array" ref="I6827">SUM(I6825:I6826)</f>
        <v>0</v>
      </c>
    </row>
    <row r="6828" ht="20.35" customHeight="1">
      <c r="A6828" s="10">
        <v>45734</v>
      </c>
      <c r="B6828" t="s" s="11">
        <v>5</v>
      </c>
      <c r="C6828" t="s" s="12">
        <v>439</v>
      </c>
      <c r="D6828" s="17"/>
      <c r="E6828" s="17">
        <v>70</v>
      </c>
      <c r="F6828" s="18"/>
      <c r="G6828" s="18"/>
      <c r="H6828" s="18"/>
      <c r="I6828" s="18"/>
    </row>
    <row r="6829" ht="20.35" customHeight="1">
      <c r="A6829" s="10">
        <v>45734</v>
      </c>
      <c r="B6829" t="s" s="11">
        <v>121</v>
      </c>
      <c r="C6829" t="s" s="12">
        <v>439</v>
      </c>
      <c r="D6829" s="13">
        <v>70</v>
      </c>
      <c r="E6829" s="13"/>
      <c r="F6829" s="14"/>
      <c r="G6829" s="14"/>
      <c r="H6829" s="14"/>
      <c r="I6829" s="14"/>
    </row>
    <row r="6830" ht="20.7" customHeight="1">
      <c r="A6830" s="10">
        <v>45734</v>
      </c>
      <c r="B6830" t="s" s="11">
        <v>8</v>
      </c>
      <c r="C6830" t="s" s="12">
        <v>8</v>
      </c>
      <c r="D6830" s="15" cm="1">
        <f t="array" ref="D6830">SUM(D6828:D6829)</f>
        <v>70</v>
      </c>
      <c r="E6830" s="15" cm="1">
        <f t="array" ref="E6830">SUM(E6828:E6829)</f>
        <v>70</v>
      </c>
      <c r="F6830" s="16" cm="1">
        <f t="array" ref="F6830">SUM(F6828:F6829)</f>
        <v>0</v>
      </c>
      <c r="G6830" s="16" cm="1">
        <f t="array" ref="G6830">SUM(G6828:G6829)</f>
        <v>0</v>
      </c>
      <c r="H6830" s="16" cm="1">
        <f t="array" ref="H6830">SUM(H6828:H6829)</f>
        <v>0</v>
      </c>
      <c r="I6830" s="16" cm="1">
        <f t="array" ref="I6830">SUM(I6828:I6829)</f>
        <v>0</v>
      </c>
    </row>
    <row r="6831" ht="20.35" customHeight="1">
      <c r="A6831" s="10">
        <v>45734</v>
      </c>
      <c r="B6831" t="s" s="11">
        <v>5</v>
      </c>
      <c r="C6831" t="s" s="12">
        <v>439</v>
      </c>
      <c r="D6831" s="17"/>
      <c r="E6831" s="17">
        <v>222100</v>
      </c>
      <c r="F6831" s="18"/>
      <c r="G6831" s="18"/>
      <c r="H6831" s="18"/>
      <c r="I6831" s="18"/>
    </row>
    <row r="6832" ht="20.35" customHeight="1">
      <c r="A6832" s="10">
        <v>45734</v>
      </c>
      <c r="B6832" t="s" s="11">
        <v>121</v>
      </c>
      <c r="C6832" t="s" s="12">
        <v>439</v>
      </c>
      <c r="D6832" s="13">
        <v>222100</v>
      </c>
      <c r="E6832" s="13"/>
      <c r="F6832" s="14"/>
      <c r="G6832" s="14"/>
      <c r="H6832" s="14"/>
      <c r="I6832" s="14"/>
    </row>
    <row r="6833" ht="20.7" customHeight="1">
      <c r="A6833" s="10">
        <v>45734</v>
      </c>
      <c r="B6833" t="s" s="11">
        <v>8</v>
      </c>
      <c r="C6833" t="s" s="12">
        <v>8</v>
      </c>
      <c r="D6833" s="15" cm="1">
        <f t="array" ref="D6833">SUM(D6831:D6832)</f>
        <v>222100</v>
      </c>
      <c r="E6833" s="15" cm="1">
        <f t="array" ref="E6833">SUM(E6831:E6832)</f>
        <v>222100</v>
      </c>
      <c r="F6833" s="16" cm="1">
        <f t="array" ref="F6833">SUM(F6831:F6832)</f>
        <v>0</v>
      </c>
      <c r="G6833" s="16" cm="1">
        <f t="array" ref="G6833">SUM(G6831:G6832)</f>
        <v>0</v>
      </c>
      <c r="H6833" s="16" cm="1">
        <f t="array" ref="H6833">SUM(H6831:H6832)</f>
        <v>0</v>
      </c>
      <c r="I6833" s="16" cm="1">
        <f t="array" ref="I6833">SUM(I6831:I6832)</f>
        <v>0</v>
      </c>
    </row>
    <row r="6834" ht="21.25" customHeight="1">
      <c r="A6834" s="10">
        <v>45734</v>
      </c>
      <c r="B6834" t="s" s="11">
        <v>121</v>
      </c>
      <c r="C6834" t="s" s="12">
        <v>985</v>
      </c>
      <c r="D6834" s="17"/>
      <c r="E6834" s="17">
        <v>222100</v>
      </c>
      <c r="F6834" s="18"/>
      <c r="G6834" s="18"/>
      <c r="H6834" s="18"/>
      <c r="I6834" s="18"/>
    </row>
    <row r="6835" ht="21.25" customHeight="1">
      <c r="A6835" s="10">
        <v>45734</v>
      </c>
      <c r="B6835" t="s" s="11">
        <v>10</v>
      </c>
      <c r="C6835" t="s" s="12">
        <v>985</v>
      </c>
      <c r="D6835" s="13">
        <v>222100</v>
      </c>
      <c r="E6835" s="13"/>
      <c r="F6835" s="14"/>
      <c r="G6835" s="14"/>
      <c r="H6835" s="14"/>
      <c r="I6835" s="14"/>
    </row>
    <row r="6836" ht="20.7" customHeight="1">
      <c r="A6836" s="10">
        <v>45734</v>
      </c>
      <c r="B6836" t="s" s="11">
        <v>8</v>
      </c>
      <c r="C6836" t="s" s="12">
        <v>8</v>
      </c>
      <c r="D6836" s="15" cm="1">
        <f t="array" ref="D6836">SUM(D6834:D6835)</f>
        <v>222100</v>
      </c>
      <c r="E6836" s="15" cm="1">
        <f t="array" ref="E6836">SUM(E6834:E6835)</f>
        <v>222100</v>
      </c>
      <c r="F6836" s="16" cm="1">
        <f t="array" ref="F6836">SUM(F6834:F6835)</f>
        <v>0</v>
      </c>
      <c r="G6836" s="16" cm="1">
        <f t="array" ref="G6836">SUM(G6834:G6835)</f>
        <v>0</v>
      </c>
      <c r="H6836" s="16" cm="1">
        <f t="array" ref="H6836">SUM(H6834:H6835)</f>
        <v>0</v>
      </c>
      <c r="I6836" s="16" cm="1">
        <f t="array" ref="I6836">SUM(I6834:I6835)</f>
        <v>0</v>
      </c>
    </row>
    <row r="6837" ht="20.35" customHeight="1">
      <c r="A6837" s="10">
        <v>45734</v>
      </c>
      <c r="B6837" t="s" s="11">
        <v>5</v>
      </c>
      <c r="C6837" t="s" s="12">
        <v>368</v>
      </c>
      <c r="D6837" s="17"/>
      <c r="E6837" s="17">
        <v>150000</v>
      </c>
      <c r="F6837" s="18"/>
      <c r="G6837" s="18"/>
      <c r="H6837" s="18"/>
      <c r="I6837" s="18"/>
    </row>
    <row r="6838" ht="20.35" customHeight="1">
      <c r="A6838" s="10">
        <v>45734</v>
      </c>
      <c r="B6838" t="s" s="11">
        <v>21</v>
      </c>
      <c r="C6838" t="s" s="12">
        <v>368</v>
      </c>
      <c r="D6838" s="13">
        <v>150000</v>
      </c>
      <c r="E6838" s="13"/>
      <c r="F6838" s="14"/>
      <c r="G6838" s="14"/>
      <c r="H6838" s="14"/>
      <c r="I6838" s="14"/>
    </row>
    <row r="6839" ht="20.7" customHeight="1">
      <c r="A6839" s="10">
        <v>45734</v>
      </c>
      <c r="B6839" t="s" s="11">
        <v>8</v>
      </c>
      <c r="C6839" t="s" s="12">
        <v>8</v>
      </c>
      <c r="D6839" s="15" cm="1">
        <f t="array" ref="D6839">SUM(D6837:D6838)</f>
        <v>150000</v>
      </c>
      <c r="E6839" s="15" cm="1">
        <f t="array" ref="E6839">SUM(E6837:E6838)</f>
        <v>150000</v>
      </c>
      <c r="F6839" s="16" cm="1">
        <f t="array" ref="F6839">SUM(F6837:F6838)</f>
        <v>0</v>
      </c>
      <c r="G6839" s="16" cm="1">
        <f t="array" ref="G6839">SUM(G6837:G6838)</f>
        <v>0</v>
      </c>
      <c r="H6839" s="16" cm="1">
        <f t="array" ref="H6839">SUM(H6837:H6838)</f>
        <v>0</v>
      </c>
      <c r="I6839" s="16" cm="1">
        <f t="array" ref="I6839">SUM(I6837:I6838)</f>
        <v>0</v>
      </c>
    </row>
    <row r="6840" ht="21.25" customHeight="1">
      <c r="A6840" s="10">
        <v>45734</v>
      </c>
      <c r="B6840" t="s" s="11">
        <v>5</v>
      </c>
      <c r="C6840" t="s" s="12">
        <v>986</v>
      </c>
      <c r="D6840" s="17"/>
      <c r="E6840" s="17">
        <v>10000</v>
      </c>
      <c r="F6840" s="18"/>
      <c r="G6840" s="18"/>
      <c r="H6840" s="18"/>
      <c r="I6840" s="18"/>
    </row>
    <row r="6841" ht="21.25" customHeight="1">
      <c r="A6841" s="10">
        <v>45734</v>
      </c>
      <c r="B6841" t="s" s="11">
        <v>790</v>
      </c>
      <c r="C6841" t="s" s="12">
        <v>986</v>
      </c>
      <c r="D6841" s="13">
        <v>10000</v>
      </c>
      <c r="E6841" s="13"/>
      <c r="F6841" s="14"/>
      <c r="G6841" s="14"/>
      <c r="H6841" s="14"/>
      <c r="I6841" s="14"/>
    </row>
    <row r="6842" ht="20.7" customHeight="1">
      <c r="A6842" s="10">
        <v>45734</v>
      </c>
      <c r="B6842" t="s" s="11">
        <v>8</v>
      </c>
      <c r="C6842" t="s" s="12">
        <v>8</v>
      </c>
      <c r="D6842" s="15" cm="1">
        <f t="array" ref="D6842">SUM(D6840:D6841)</f>
        <v>10000</v>
      </c>
      <c r="E6842" s="15" cm="1">
        <f t="array" ref="E6842">SUM(E6840:E6841)</f>
        <v>10000</v>
      </c>
      <c r="F6842" s="16" cm="1">
        <f t="array" ref="F6842">SUM(F6840:F6841)</f>
        <v>0</v>
      </c>
      <c r="G6842" s="16" cm="1">
        <f t="array" ref="G6842">SUM(G6840:G6841)</f>
        <v>0</v>
      </c>
      <c r="H6842" s="16" cm="1">
        <f t="array" ref="H6842">SUM(H6840:H6841)</f>
        <v>0</v>
      </c>
      <c r="I6842" s="16" cm="1">
        <f t="array" ref="I6842">SUM(I6840:I6841)</f>
        <v>0</v>
      </c>
    </row>
    <row r="6843" ht="20.35" customHeight="1">
      <c r="A6843" s="10">
        <v>45734</v>
      </c>
      <c r="B6843" t="s" s="11">
        <v>21</v>
      </c>
      <c r="C6843" t="s" s="12">
        <v>987</v>
      </c>
      <c r="D6843" s="17">
        <v>39160</v>
      </c>
      <c r="E6843" s="17"/>
      <c r="F6843" s="18"/>
      <c r="G6843" s="18"/>
      <c r="H6843" s="18"/>
      <c r="I6843" s="18"/>
    </row>
    <row r="6844" ht="20.35" customHeight="1">
      <c r="A6844" s="10">
        <v>45734</v>
      </c>
      <c r="B6844" t="s" s="11">
        <v>91</v>
      </c>
      <c r="C6844" t="s" s="12">
        <v>987</v>
      </c>
      <c r="D6844" s="13"/>
      <c r="E6844" s="13">
        <v>39160</v>
      </c>
      <c r="F6844" s="14"/>
      <c r="G6844" s="14"/>
      <c r="H6844" s="14"/>
      <c r="I6844" s="14"/>
    </row>
    <row r="6845" ht="20.7" customHeight="1">
      <c r="A6845" s="10">
        <v>45734</v>
      </c>
      <c r="B6845" t="s" s="11">
        <v>8</v>
      </c>
      <c r="C6845" t="s" s="12">
        <v>8</v>
      </c>
      <c r="D6845" s="15" cm="1">
        <f t="array" ref="D6845">SUM(D6843:D6844)</f>
        <v>39160</v>
      </c>
      <c r="E6845" s="15" cm="1">
        <f t="array" ref="E6845">SUM(E6843:E6844)</f>
        <v>39160</v>
      </c>
      <c r="F6845" s="16" cm="1">
        <f t="array" ref="F6845">SUM(F6843:F6844)</f>
        <v>0</v>
      </c>
      <c r="G6845" s="16" cm="1">
        <f t="array" ref="G6845">SUM(G6843:G6844)</f>
        <v>0</v>
      </c>
      <c r="H6845" s="16" cm="1">
        <f t="array" ref="H6845">SUM(H6843:H6844)</f>
        <v>0</v>
      </c>
      <c r="I6845" s="16" cm="1">
        <f t="array" ref="I6845">SUM(I6843:I6844)</f>
        <v>0</v>
      </c>
    </row>
    <row r="6846" ht="20.35" customHeight="1">
      <c r="A6846" s="10">
        <v>45734</v>
      </c>
      <c r="B6846" t="s" s="11">
        <v>5</v>
      </c>
      <c r="C6846" t="s" s="12">
        <v>439</v>
      </c>
      <c r="D6846" s="17"/>
      <c r="E6846" s="17">
        <v>20000</v>
      </c>
      <c r="F6846" s="18"/>
      <c r="G6846" s="18"/>
      <c r="H6846" s="18"/>
      <c r="I6846" s="18"/>
    </row>
    <row r="6847" ht="20.35" customHeight="1">
      <c r="A6847" s="10">
        <v>45734</v>
      </c>
      <c r="B6847" t="s" s="11">
        <v>121</v>
      </c>
      <c r="C6847" t="s" s="12">
        <v>439</v>
      </c>
      <c r="D6847" s="13">
        <v>20000</v>
      </c>
      <c r="E6847" s="13"/>
      <c r="F6847" s="14"/>
      <c r="G6847" s="14"/>
      <c r="H6847" s="14"/>
      <c r="I6847" s="14"/>
    </row>
    <row r="6848" ht="20.7" customHeight="1">
      <c r="A6848" s="10">
        <v>45734</v>
      </c>
      <c r="B6848" t="s" s="11">
        <v>8</v>
      </c>
      <c r="C6848" t="s" s="12">
        <v>8</v>
      </c>
      <c r="D6848" s="15" cm="1">
        <f t="array" ref="D6848">SUM(D6846:D6847)</f>
        <v>20000</v>
      </c>
      <c r="E6848" s="15" cm="1">
        <f t="array" ref="E6848">SUM(E6846:E6847)</f>
        <v>20000</v>
      </c>
      <c r="F6848" s="16" cm="1">
        <f t="array" ref="F6848">SUM(F6846:F6847)</f>
        <v>0</v>
      </c>
      <c r="G6848" s="16" cm="1">
        <f t="array" ref="G6848">SUM(G6846:G6847)</f>
        <v>0</v>
      </c>
      <c r="H6848" s="16" cm="1">
        <f t="array" ref="H6848">SUM(H6846:H6847)</f>
        <v>0</v>
      </c>
      <c r="I6848" s="16" cm="1">
        <f t="array" ref="I6848">SUM(I6846:I6847)</f>
        <v>0</v>
      </c>
    </row>
    <row r="6849" ht="20.35" customHeight="1">
      <c r="A6849" s="10">
        <v>45734</v>
      </c>
      <c r="B6849" t="s" s="11">
        <v>5</v>
      </c>
      <c r="C6849" t="s" s="12">
        <v>209</v>
      </c>
      <c r="D6849" s="17"/>
      <c r="E6849" s="17">
        <v>40000</v>
      </c>
      <c r="F6849" s="18"/>
      <c r="G6849" s="18"/>
      <c r="H6849" s="18"/>
      <c r="I6849" s="18"/>
    </row>
    <row r="6850" ht="20.35" customHeight="1">
      <c r="A6850" s="10">
        <v>45734</v>
      </c>
      <c r="B6850" t="s" s="11">
        <v>107</v>
      </c>
      <c r="C6850" t="s" s="12">
        <v>209</v>
      </c>
      <c r="D6850" s="13">
        <v>40000</v>
      </c>
      <c r="E6850" s="13"/>
      <c r="F6850" s="14"/>
      <c r="G6850" s="14"/>
      <c r="H6850" s="14"/>
      <c r="I6850" s="14"/>
    </row>
    <row r="6851" ht="20.7" customHeight="1">
      <c r="A6851" s="10">
        <v>45734</v>
      </c>
      <c r="B6851" t="s" s="11">
        <v>8</v>
      </c>
      <c r="C6851" t="s" s="12">
        <v>8</v>
      </c>
      <c r="D6851" s="15" cm="1">
        <f t="array" ref="D6851">SUM(D6849:D6850)</f>
        <v>40000</v>
      </c>
      <c r="E6851" s="15" cm="1">
        <f t="array" ref="E6851">SUM(E6849:E6850)</f>
        <v>40000</v>
      </c>
      <c r="F6851" s="16" cm="1">
        <f t="array" ref="F6851">SUM(F6849:F6850)</f>
        <v>0</v>
      </c>
      <c r="G6851" s="16" cm="1">
        <f t="array" ref="G6851">SUM(G6849:G6850)</f>
        <v>0</v>
      </c>
      <c r="H6851" s="16" cm="1">
        <f t="array" ref="H6851">SUM(H6849:H6850)</f>
        <v>0</v>
      </c>
      <c r="I6851" s="16" cm="1">
        <f t="array" ref="I6851">SUM(I6849:I6850)</f>
        <v>0</v>
      </c>
    </row>
    <row r="6852" ht="20.35" customHeight="1">
      <c r="A6852" s="10">
        <v>45734</v>
      </c>
      <c r="B6852" t="s" s="11">
        <v>5</v>
      </c>
      <c r="C6852" t="s" s="12">
        <v>988</v>
      </c>
      <c r="D6852" s="17"/>
      <c r="E6852" s="17">
        <v>100000</v>
      </c>
      <c r="F6852" s="18"/>
      <c r="G6852" s="18"/>
      <c r="H6852" s="18"/>
      <c r="I6852" s="18"/>
    </row>
    <row r="6853" ht="20.35" customHeight="1">
      <c r="A6853" s="10">
        <v>45734</v>
      </c>
      <c r="B6853" t="s" s="11">
        <v>843</v>
      </c>
      <c r="C6853" t="s" s="12">
        <v>988</v>
      </c>
      <c r="D6853" s="13">
        <v>100000</v>
      </c>
      <c r="E6853" s="13"/>
      <c r="F6853" s="14"/>
      <c r="G6853" s="14"/>
      <c r="H6853" s="14"/>
      <c r="I6853" s="14"/>
    </row>
    <row r="6854" ht="20.7" customHeight="1">
      <c r="A6854" s="10">
        <v>45734</v>
      </c>
      <c r="B6854" t="s" s="11">
        <v>8</v>
      </c>
      <c r="C6854" t="s" s="12">
        <v>8</v>
      </c>
      <c r="D6854" s="15" cm="1">
        <f t="array" ref="D6854">SUM(D6852:D6853)</f>
        <v>100000</v>
      </c>
      <c r="E6854" s="15" cm="1">
        <f t="array" ref="E6854">SUM(E6852:E6853)</f>
        <v>100000</v>
      </c>
      <c r="F6854" s="16" cm="1">
        <f t="array" ref="F6854">SUM(F6852:F6853)</f>
        <v>0</v>
      </c>
      <c r="G6854" s="16" cm="1">
        <f t="array" ref="G6854">SUM(G6852:G6853)</f>
        <v>0</v>
      </c>
      <c r="H6854" s="16" cm="1">
        <f t="array" ref="H6854">SUM(H6852:H6853)</f>
        <v>0</v>
      </c>
      <c r="I6854" s="16" cm="1">
        <f t="array" ref="I6854">SUM(I6852:I6853)</f>
        <v>0</v>
      </c>
    </row>
    <row r="6855" ht="20.35" customHeight="1">
      <c r="A6855" s="10">
        <v>45734</v>
      </c>
      <c r="B6855" t="s" s="11">
        <v>5</v>
      </c>
      <c r="C6855" t="s" s="12">
        <v>989</v>
      </c>
      <c r="D6855" s="17"/>
      <c r="E6855" s="17">
        <v>4197934</v>
      </c>
      <c r="F6855" s="18"/>
      <c r="G6855" s="18"/>
      <c r="H6855" s="18"/>
      <c r="I6855" s="18"/>
    </row>
    <row r="6856" ht="20.35" customHeight="1">
      <c r="A6856" s="10">
        <v>45734</v>
      </c>
      <c r="B6856" t="s" s="11">
        <v>814</v>
      </c>
      <c r="C6856" t="s" s="12">
        <v>989</v>
      </c>
      <c r="D6856" s="13">
        <v>4197934</v>
      </c>
      <c r="E6856" s="13"/>
      <c r="F6856" s="14"/>
      <c r="G6856" s="14"/>
      <c r="H6856" s="14"/>
      <c r="I6856" s="14"/>
    </row>
    <row r="6857" ht="20.7" customHeight="1">
      <c r="A6857" s="10">
        <v>45734</v>
      </c>
      <c r="B6857" t="s" s="11">
        <v>8</v>
      </c>
      <c r="C6857" t="s" s="12">
        <v>8</v>
      </c>
      <c r="D6857" s="15" cm="1">
        <f t="array" ref="D6857">SUM(D6855:D6856)</f>
        <v>4197934</v>
      </c>
      <c r="E6857" s="15" cm="1">
        <f t="array" ref="E6857">SUM(E6855:E6856)</f>
        <v>4197934</v>
      </c>
      <c r="F6857" s="16" cm="1">
        <f t="array" ref="F6857">SUM(F6855:F6856)</f>
        <v>0</v>
      </c>
      <c r="G6857" s="16" cm="1">
        <f t="array" ref="G6857">SUM(G6855:G6856)</f>
        <v>0</v>
      </c>
      <c r="H6857" s="16" cm="1">
        <f t="array" ref="H6857">SUM(H6855:H6856)</f>
        <v>0</v>
      </c>
      <c r="I6857" s="16" cm="1">
        <f t="array" ref="I6857">SUM(I6855:I6856)</f>
        <v>0</v>
      </c>
    </row>
    <row r="6858" ht="20.35" customHeight="1">
      <c r="A6858" s="10">
        <v>45734</v>
      </c>
      <c r="B6858" t="s" s="11">
        <v>91</v>
      </c>
      <c r="C6858" t="s" s="12">
        <v>17</v>
      </c>
      <c r="D6858" s="17"/>
      <c r="E6858" s="17">
        <v>100</v>
      </c>
      <c r="F6858" s="18"/>
      <c r="G6858" s="18"/>
      <c r="H6858" s="18"/>
      <c r="I6858" s="18"/>
    </row>
    <row r="6859" ht="20.35" customHeight="1">
      <c r="A6859" s="10">
        <v>45734</v>
      </c>
      <c r="B6859" t="s" s="11">
        <v>5</v>
      </c>
      <c r="C6859" t="s" s="12">
        <v>17</v>
      </c>
      <c r="D6859" s="13">
        <v>100</v>
      </c>
      <c r="E6859" s="13"/>
      <c r="F6859" s="14"/>
      <c r="G6859" s="14"/>
      <c r="H6859" s="14"/>
      <c r="I6859" s="14"/>
    </row>
    <row r="6860" ht="20.7" customHeight="1">
      <c r="A6860" s="10">
        <v>45734</v>
      </c>
      <c r="B6860" t="s" s="11">
        <v>8</v>
      </c>
      <c r="C6860" t="s" s="12">
        <v>8</v>
      </c>
      <c r="D6860" s="15" cm="1">
        <f t="array" ref="D6860">SUM(D6858:D6859)</f>
        <v>100</v>
      </c>
      <c r="E6860" s="15" cm="1">
        <f t="array" ref="E6860">SUM(E6858:E6859)</f>
        <v>100</v>
      </c>
      <c r="F6860" s="16" cm="1">
        <f t="array" ref="F6860">SUM(F6858:F6859)</f>
        <v>0</v>
      </c>
      <c r="G6860" s="16" cm="1">
        <f t="array" ref="G6860">SUM(G6858:G6859)</f>
        <v>0</v>
      </c>
      <c r="H6860" s="16" cm="1">
        <f t="array" ref="H6860">SUM(H6858:H6859)</f>
        <v>0</v>
      </c>
      <c r="I6860" s="16" cm="1">
        <f t="array" ref="I6860">SUM(I6858:I6859)</f>
        <v>0</v>
      </c>
    </row>
    <row r="6861" ht="21.25" customHeight="1">
      <c r="A6861" s="10">
        <v>45734</v>
      </c>
      <c r="B6861" t="s" s="11">
        <v>121</v>
      </c>
      <c r="C6861" t="s" s="12">
        <v>973</v>
      </c>
      <c r="D6861" s="17"/>
      <c r="E6861" s="17">
        <v>3500</v>
      </c>
      <c r="F6861" s="18"/>
      <c r="G6861" s="18"/>
      <c r="H6861" s="18"/>
      <c r="I6861" s="18"/>
    </row>
    <row r="6862" ht="21.25" customHeight="1">
      <c r="A6862" s="10">
        <v>45734</v>
      </c>
      <c r="B6862" t="s" s="11">
        <v>21</v>
      </c>
      <c r="C6862" t="s" s="12">
        <v>973</v>
      </c>
      <c r="D6862" s="13">
        <v>3500</v>
      </c>
      <c r="E6862" s="13"/>
      <c r="F6862" s="14"/>
      <c r="G6862" s="14"/>
      <c r="H6862" s="14"/>
      <c r="I6862" s="14"/>
    </row>
    <row r="6863" ht="20.7" customHeight="1">
      <c r="A6863" s="10">
        <v>45734</v>
      </c>
      <c r="B6863" t="s" s="11">
        <v>8</v>
      </c>
      <c r="C6863" t="s" s="12">
        <v>8</v>
      </c>
      <c r="D6863" s="15" cm="1">
        <f t="array" ref="D6863">SUM(D6861:D6862)</f>
        <v>3500</v>
      </c>
      <c r="E6863" s="15" cm="1">
        <f t="array" ref="E6863">SUM(E6861:E6862)</f>
        <v>3500</v>
      </c>
      <c r="F6863" s="16" cm="1">
        <f t="array" ref="F6863">SUM(F6861:F6862)</f>
        <v>0</v>
      </c>
      <c r="G6863" s="16" cm="1">
        <f t="array" ref="G6863">SUM(G6861:G6862)</f>
        <v>0</v>
      </c>
      <c r="H6863" s="16" cm="1">
        <f t="array" ref="H6863">SUM(H6861:H6862)</f>
        <v>0</v>
      </c>
      <c r="I6863" s="16" cm="1">
        <f t="array" ref="I6863">SUM(I6861:I6862)</f>
        <v>0</v>
      </c>
    </row>
    <row r="6864" ht="21.25" customHeight="1">
      <c r="A6864" s="10">
        <v>45734</v>
      </c>
      <c r="B6864" t="s" s="11">
        <v>5</v>
      </c>
      <c r="C6864" t="s" s="12">
        <v>990</v>
      </c>
      <c r="D6864" s="17"/>
      <c r="E6864" s="17">
        <v>35340</v>
      </c>
      <c r="F6864" s="18"/>
      <c r="G6864" s="18"/>
      <c r="H6864" s="18"/>
      <c r="I6864" s="18"/>
    </row>
    <row r="6865" ht="20.9" customHeight="1">
      <c r="A6865" s="10">
        <v>45734</v>
      </c>
      <c r="B6865" t="s" s="11">
        <v>89</v>
      </c>
      <c r="C6865" t="s" s="12">
        <v>990</v>
      </c>
      <c r="D6865" s="19">
        <v>17670</v>
      </c>
      <c r="E6865" s="19"/>
      <c r="F6865" s="20"/>
      <c r="G6865" s="20"/>
      <c r="H6865" s="20"/>
      <c r="I6865" s="20"/>
    </row>
    <row r="6866" ht="21.25" customHeight="1">
      <c r="A6866" s="10">
        <v>45734</v>
      </c>
      <c r="B6866" t="s" s="11">
        <v>12</v>
      </c>
      <c r="C6866" t="s" s="12">
        <v>990</v>
      </c>
      <c r="D6866" s="13">
        <v>17670</v>
      </c>
      <c r="E6866" s="13"/>
      <c r="F6866" s="14"/>
      <c r="G6866" s="14"/>
      <c r="H6866" s="14"/>
      <c r="I6866" s="14"/>
    </row>
    <row r="6867" ht="20.7" customHeight="1">
      <c r="A6867" s="10">
        <v>45734</v>
      </c>
      <c r="B6867" t="s" s="11">
        <v>8</v>
      </c>
      <c r="C6867" t="s" s="12">
        <v>8</v>
      </c>
      <c r="D6867" s="15" cm="1">
        <f t="array" ref="D6867">SUM(D6864:D6866)</f>
        <v>35340</v>
      </c>
      <c r="E6867" s="15" cm="1">
        <f t="array" ref="E6867">SUM(E6864:E6866)</f>
        <v>35340</v>
      </c>
      <c r="F6867" s="16" cm="1">
        <f t="array" ref="F6867">SUM(F6864:F6866)</f>
        <v>0</v>
      </c>
      <c r="G6867" s="16" cm="1">
        <f t="array" ref="G6867">SUM(G6864:G6866)</f>
        <v>0</v>
      </c>
      <c r="H6867" s="16" cm="1">
        <f t="array" ref="H6867">SUM(H6864:H6866)</f>
        <v>0</v>
      </c>
      <c r="I6867" s="16" cm="1">
        <f t="array" ref="I6867">SUM(I6864:I6866)</f>
        <v>0</v>
      </c>
    </row>
    <row r="6868" ht="21.25" customHeight="1">
      <c r="A6868" s="10">
        <v>45734</v>
      </c>
      <c r="B6868" t="s" s="11">
        <v>89</v>
      </c>
      <c r="C6868" t="s" s="12">
        <v>990</v>
      </c>
      <c r="D6868" s="24"/>
      <c r="E6868" s="17">
        <v>17670</v>
      </c>
      <c r="F6868" s="18"/>
      <c r="G6868" s="18"/>
      <c r="H6868" s="18"/>
      <c r="I6868" s="18"/>
    </row>
    <row r="6869" ht="20.9" customHeight="1">
      <c r="A6869" s="10">
        <v>45734</v>
      </c>
      <c r="B6869" t="s" s="11">
        <v>91</v>
      </c>
      <c r="C6869" t="s" s="12">
        <v>990</v>
      </c>
      <c r="D6869" s="19"/>
      <c r="E6869" s="19">
        <v>30</v>
      </c>
      <c r="F6869" s="20"/>
      <c r="G6869" s="20"/>
      <c r="H6869" s="20"/>
      <c r="I6869" s="20"/>
    </row>
    <row r="6870" ht="21.25" customHeight="1">
      <c r="A6870" s="10">
        <v>45734</v>
      </c>
      <c r="B6870" t="s" s="11">
        <v>93</v>
      </c>
      <c r="C6870" t="s" s="12">
        <v>990</v>
      </c>
      <c r="D6870" s="13">
        <v>17700</v>
      </c>
      <c r="E6870" s="13"/>
      <c r="F6870" s="14"/>
      <c r="G6870" s="14"/>
      <c r="H6870" s="14"/>
      <c r="I6870" s="14"/>
    </row>
    <row r="6871" ht="20.7" customHeight="1">
      <c r="A6871" s="10">
        <v>45734</v>
      </c>
      <c r="B6871" t="s" s="11">
        <v>8</v>
      </c>
      <c r="C6871" t="s" s="12">
        <v>8</v>
      </c>
      <c r="D6871" s="15" cm="1">
        <f t="array" ref="D6871">SUM(D6868:D6870)</f>
        <v>17700</v>
      </c>
      <c r="E6871" s="15" cm="1">
        <f t="array" ref="E6871">SUM(E6868:E6870)</f>
        <v>17700</v>
      </c>
      <c r="F6871" s="16" cm="1">
        <f t="array" ref="F6871">SUM(F6868:F6870)</f>
        <v>0</v>
      </c>
      <c r="G6871" s="16" cm="1">
        <f t="array" ref="G6871">SUM(G6868:G6870)</f>
        <v>0</v>
      </c>
      <c r="H6871" s="16" cm="1">
        <f t="array" ref="H6871">SUM(H6868:H6870)</f>
        <v>0</v>
      </c>
      <c r="I6871" s="16" cm="1">
        <f t="array" ref="I6871">SUM(I6868:I6870)</f>
        <v>0</v>
      </c>
    </row>
    <row r="6872" ht="20.65" customHeight="1">
      <c r="A6872" s="10">
        <v>45735</v>
      </c>
      <c r="B6872" t="s" s="11">
        <v>843</v>
      </c>
      <c r="C6872" t="s" s="12">
        <v>820</v>
      </c>
      <c r="D6872" s="17">
        <v>4</v>
      </c>
      <c r="E6872" s="17"/>
      <c r="F6872" s="18"/>
      <c r="G6872" s="18"/>
      <c r="H6872" s="18"/>
      <c r="I6872" s="18"/>
    </row>
    <row r="6873" ht="20.65" customHeight="1">
      <c r="A6873" s="10">
        <v>45735</v>
      </c>
      <c r="B6873" t="s" s="11">
        <v>91</v>
      </c>
      <c r="C6873" t="s" s="12">
        <v>820</v>
      </c>
      <c r="D6873" s="13"/>
      <c r="E6873" s="13">
        <v>4</v>
      </c>
      <c r="F6873" s="14"/>
      <c r="G6873" s="14"/>
      <c r="H6873" s="14"/>
      <c r="I6873" s="14"/>
    </row>
    <row r="6874" ht="20.7" customHeight="1">
      <c r="A6874" s="10">
        <v>45735</v>
      </c>
      <c r="B6874" t="s" s="11">
        <v>8</v>
      </c>
      <c r="C6874" t="s" s="12">
        <v>8</v>
      </c>
      <c r="D6874" s="15" cm="1">
        <f t="array" ref="D6874">SUM(D6872:D6873)</f>
        <v>4</v>
      </c>
      <c r="E6874" s="15" cm="1">
        <f t="array" ref="E6874">SUM(E6872:E6873)</f>
        <v>4</v>
      </c>
      <c r="F6874" s="16" cm="1">
        <f t="array" ref="F6874">SUM(F6872:F6873)</f>
        <v>0</v>
      </c>
      <c r="G6874" s="16" cm="1">
        <f t="array" ref="G6874">SUM(G6872:G6873)</f>
        <v>0</v>
      </c>
      <c r="H6874" s="16" cm="1">
        <f t="array" ref="H6874">SUM(H6872:H6873)</f>
        <v>0</v>
      </c>
      <c r="I6874" s="16" cm="1">
        <f t="array" ref="I6874">SUM(I6872:I6873)</f>
        <v>0</v>
      </c>
    </row>
    <row r="6875" ht="20.65" customHeight="1">
      <c r="A6875" s="10">
        <v>45735</v>
      </c>
      <c r="B6875" t="s" s="11">
        <v>814</v>
      </c>
      <c r="C6875" t="s" s="12">
        <v>820</v>
      </c>
      <c r="D6875" s="17">
        <v>187</v>
      </c>
      <c r="E6875" s="17"/>
      <c r="F6875" s="18"/>
      <c r="G6875" s="18"/>
      <c r="H6875" s="18"/>
      <c r="I6875" s="18"/>
    </row>
    <row r="6876" ht="20.65" customHeight="1">
      <c r="A6876" s="10">
        <v>45735</v>
      </c>
      <c r="B6876" t="s" s="11">
        <v>91</v>
      </c>
      <c r="C6876" t="s" s="12">
        <v>820</v>
      </c>
      <c r="D6876" s="13"/>
      <c r="E6876" s="13">
        <v>187</v>
      </c>
      <c r="F6876" s="14"/>
      <c r="G6876" s="14"/>
      <c r="H6876" s="14"/>
      <c r="I6876" s="14"/>
    </row>
    <row r="6877" ht="20.7" customHeight="1">
      <c r="A6877" s="10">
        <v>45735</v>
      </c>
      <c r="B6877" t="s" s="11">
        <v>8</v>
      </c>
      <c r="C6877" t="s" s="12">
        <v>8</v>
      </c>
      <c r="D6877" s="15" cm="1">
        <f t="array" ref="D6877">SUM(D6875:D6876)</f>
        <v>187</v>
      </c>
      <c r="E6877" s="15" cm="1">
        <f t="array" ref="E6877">SUM(E6875:E6876)</f>
        <v>187</v>
      </c>
      <c r="F6877" s="16" cm="1">
        <f t="array" ref="F6877">SUM(F6875:F6876)</f>
        <v>0</v>
      </c>
      <c r="G6877" s="16" cm="1">
        <f t="array" ref="G6877">SUM(G6875:G6876)</f>
        <v>0</v>
      </c>
      <c r="H6877" s="16" cm="1">
        <f t="array" ref="H6877">SUM(H6875:H6876)</f>
        <v>0</v>
      </c>
      <c r="I6877" s="16" cm="1">
        <f t="array" ref="I6877">SUM(I6875:I6876)</f>
        <v>0</v>
      </c>
    </row>
    <row r="6878" ht="20.35" customHeight="1">
      <c r="A6878" s="10">
        <v>45735</v>
      </c>
      <c r="B6878" t="s" s="11">
        <v>93</v>
      </c>
      <c r="C6878" t="s" s="12">
        <v>96</v>
      </c>
      <c r="D6878" s="17"/>
      <c r="E6878" s="17">
        <v>17700</v>
      </c>
      <c r="F6878" s="18"/>
      <c r="G6878" s="18"/>
      <c r="H6878" s="18"/>
      <c r="I6878" s="18"/>
    </row>
    <row r="6879" ht="20.35" customHeight="1">
      <c r="A6879" s="10">
        <v>45735</v>
      </c>
      <c r="B6879" t="s" s="11">
        <v>5</v>
      </c>
      <c r="C6879" t="s" s="12">
        <v>96</v>
      </c>
      <c r="D6879" s="13">
        <v>17700</v>
      </c>
      <c r="E6879" s="13"/>
      <c r="F6879" s="14"/>
      <c r="G6879" s="14"/>
      <c r="H6879" s="14"/>
      <c r="I6879" s="14"/>
    </row>
    <row r="6880" ht="20.7" customHeight="1">
      <c r="A6880" s="10">
        <v>45735</v>
      </c>
      <c r="B6880" t="s" s="11">
        <v>8</v>
      </c>
      <c r="C6880" t="s" s="12">
        <v>8</v>
      </c>
      <c r="D6880" s="15" cm="1">
        <f t="array" ref="D6880">SUM(D6878:D6879)</f>
        <v>17700</v>
      </c>
      <c r="E6880" s="15" cm="1">
        <f t="array" ref="E6880">SUM(E6878:E6879)</f>
        <v>17700</v>
      </c>
      <c r="F6880" s="16" cm="1">
        <f t="array" ref="F6880">SUM(F6878:F6879)</f>
        <v>0</v>
      </c>
      <c r="G6880" s="16" cm="1">
        <f t="array" ref="G6880">SUM(G6878:G6879)</f>
        <v>0</v>
      </c>
      <c r="H6880" s="16" cm="1">
        <f t="array" ref="H6880">SUM(H6878:H6879)</f>
        <v>0</v>
      </c>
      <c r="I6880" s="16" cm="1">
        <f t="array" ref="I6880">SUM(I6878:I6879)</f>
        <v>0</v>
      </c>
    </row>
    <row r="6881" ht="20.35" customHeight="1">
      <c r="A6881" s="10">
        <v>45735</v>
      </c>
      <c r="B6881" t="s" s="11">
        <v>5</v>
      </c>
      <c r="C6881" t="s" s="12">
        <v>989</v>
      </c>
      <c r="D6881" s="17"/>
      <c r="E6881" s="17">
        <v>30</v>
      </c>
      <c r="F6881" s="18"/>
      <c r="G6881" s="18"/>
      <c r="H6881" s="18"/>
      <c r="I6881" s="18"/>
    </row>
    <row r="6882" ht="20.35" customHeight="1">
      <c r="A6882" s="10">
        <v>45735</v>
      </c>
      <c r="B6882" t="s" s="11">
        <v>814</v>
      </c>
      <c r="C6882" t="s" s="12">
        <v>989</v>
      </c>
      <c r="D6882" s="13">
        <v>30</v>
      </c>
      <c r="E6882" s="13"/>
      <c r="F6882" s="14"/>
      <c r="G6882" s="14"/>
      <c r="H6882" s="14"/>
      <c r="I6882" s="14"/>
    </row>
    <row r="6883" ht="20.7" customHeight="1">
      <c r="A6883" s="10">
        <v>45735</v>
      </c>
      <c r="B6883" t="s" s="11">
        <v>8</v>
      </c>
      <c r="C6883" t="s" s="12">
        <v>8</v>
      </c>
      <c r="D6883" s="15" cm="1">
        <f t="array" ref="D6883">SUM(D6881:D6882)</f>
        <v>30</v>
      </c>
      <c r="E6883" s="15" cm="1">
        <f t="array" ref="E6883">SUM(E6881:E6882)</f>
        <v>30</v>
      </c>
      <c r="F6883" s="16" cm="1">
        <f t="array" ref="F6883">SUM(F6881:F6882)</f>
        <v>0</v>
      </c>
      <c r="G6883" s="16" cm="1">
        <f t="array" ref="G6883">SUM(G6881:G6882)</f>
        <v>0</v>
      </c>
      <c r="H6883" s="16" cm="1">
        <f t="array" ref="H6883">SUM(H6881:H6882)</f>
        <v>0</v>
      </c>
      <c r="I6883" s="16" cm="1">
        <f t="array" ref="I6883">SUM(I6881:I6882)</f>
        <v>0</v>
      </c>
    </row>
    <row r="6884" ht="20.35" customHeight="1">
      <c r="A6884" s="10">
        <v>45735</v>
      </c>
      <c r="B6884" t="s" s="11">
        <v>814</v>
      </c>
      <c r="C6884" t="s" s="12">
        <v>314</v>
      </c>
      <c r="D6884" s="17"/>
      <c r="E6884" s="17">
        <v>350000</v>
      </c>
      <c r="F6884" s="18"/>
      <c r="G6884" s="18"/>
      <c r="H6884" s="18"/>
      <c r="I6884" s="18"/>
    </row>
    <row r="6885" ht="20.35" customHeight="1">
      <c r="A6885" s="10">
        <v>45735</v>
      </c>
      <c r="B6885" t="s" s="11">
        <v>5</v>
      </c>
      <c r="C6885" t="s" s="12">
        <v>314</v>
      </c>
      <c r="D6885" s="13">
        <v>350000</v>
      </c>
      <c r="E6885" s="13"/>
      <c r="F6885" s="14"/>
      <c r="G6885" s="14"/>
      <c r="H6885" s="14"/>
      <c r="I6885" s="14"/>
    </row>
    <row r="6886" ht="20.7" customHeight="1">
      <c r="A6886" s="10">
        <v>45735</v>
      </c>
      <c r="B6886" t="s" s="11">
        <v>8</v>
      </c>
      <c r="C6886" t="s" s="12">
        <v>8</v>
      </c>
      <c r="D6886" s="15" cm="1">
        <f t="array" ref="D6886">SUM(D6884:D6885)</f>
        <v>350000</v>
      </c>
      <c r="E6886" s="15" cm="1">
        <f t="array" ref="E6886">SUM(E6884:E6885)</f>
        <v>350000</v>
      </c>
      <c r="F6886" s="16" cm="1">
        <f t="array" ref="F6886">SUM(F6884:F6885)</f>
        <v>0</v>
      </c>
      <c r="G6886" s="16" cm="1">
        <f t="array" ref="G6886">SUM(G6884:G6885)</f>
        <v>0</v>
      </c>
      <c r="H6886" s="16" cm="1">
        <f t="array" ref="H6886">SUM(H6884:H6885)</f>
        <v>0</v>
      </c>
      <c r="I6886" s="16" cm="1">
        <f t="array" ref="I6886">SUM(I6884:I6885)</f>
        <v>0</v>
      </c>
    </row>
    <row r="6887" ht="20.35" customHeight="1">
      <c r="A6887" s="10">
        <v>45735</v>
      </c>
      <c r="B6887" t="s" s="11">
        <v>5</v>
      </c>
      <c r="C6887" t="s" s="12">
        <v>314</v>
      </c>
      <c r="D6887" s="17"/>
      <c r="E6887" s="17">
        <v>350000</v>
      </c>
      <c r="F6887" s="18"/>
      <c r="G6887" s="18"/>
      <c r="H6887" s="18"/>
      <c r="I6887" s="18"/>
    </row>
    <row r="6888" ht="20.35" customHeight="1">
      <c r="A6888" s="10">
        <v>45735</v>
      </c>
      <c r="B6888" t="s" s="11">
        <v>21</v>
      </c>
      <c r="C6888" t="s" s="12">
        <v>314</v>
      </c>
      <c r="D6888" s="13">
        <v>350000</v>
      </c>
      <c r="E6888" s="13"/>
      <c r="F6888" s="14"/>
      <c r="G6888" s="14"/>
      <c r="H6888" s="14"/>
      <c r="I6888" s="14"/>
    </row>
    <row r="6889" ht="20.7" customHeight="1">
      <c r="A6889" s="10">
        <v>45735</v>
      </c>
      <c r="B6889" t="s" s="11">
        <v>8</v>
      </c>
      <c r="C6889" t="s" s="12">
        <v>8</v>
      </c>
      <c r="D6889" s="15" cm="1">
        <f t="array" ref="D6889">SUM(D6887:D6888)</f>
        <v>350000</v>
      </c>
      <c r="E6889" s="15" cm="1">
        <f t="array" ref="E6889">SUM(E6887:E6888)</f>
        <v>350000</v>
      </c>
      <c r="F6889" s="16" cm="1">
        <f t="array" ref="F6889">SUM(F6887:F6888)</f>
        <v>0</v>
      </c>
      <c r="G6889" s="16" cm="1">
        <f t="array" ref="G6889">SUM(G6887:G6888)</f>
        <v>0</v>
      </c>
      <c r="H6889" s="16" cm="1">
        <f t="array" ref="H6889">SUM(H6887:H6888)</f>
        <v>0</v>
      </c>
      <c r="I6889" s="16" cm="1">
        <f t="array" ref="I6889">SUM(I6887:I6888)</f>
        <v>0</v>
      </c>
    </row>
    <row r="6890" ht="20.35" customHeight="1">
      <c r="A6890" s="10">
        <v>45735</v>
      </c>
      <c r="B6890" t="s" s="11">
        <v>5</v>
      </c>
      <c r="C6890" t="s" s="12">
        <v>439</v>
      </c>
      <c r="D6890" s="17"/>
      <c r="E6890" s="17">
        <v>42330</v>
      </c>
      <c r="F6890" s="18"/>
      <c r="G6890" s="18"/>
      <c r="H6890" s="18"/>
      <c r="I6890" s="18"/>
    </row>
    <row r="6891" ht="20.35" customHeight="1">
      <c r="A6891" s="10">
        <v>45735</v>
      </c>
      <c r="B6891" t="s" s="11">
        <v>121</v>
      </c>
      <c r="C6891" t="s" s="12">
        <v>439</v>
      </c>
      <c r="D6891" s="13">
        <v>42330</v>
      </c>
      <c r="E6891" s="13"/>
      <c r="F6891" s="14"/>
      <c r="G6891" s="14"/>
      <c r="H6891" s="14"/>
      <c r="I6891" s="14"/>
    </row>
    <row r="6892" ht="20.7" customHeight="1">
      <c r="A6892" s="10">
        <v>45735</v>
      </c>
      <c r="B6892" t="s" s="11">
        <v>8</v>
      </c>
      <c r="C6892" t="s" s="12">
        <v>8</v>
      </c>
      <c r="D6892" s="15" cm="1">
        <f t="array" ref="D6892">SUM(D6890:D6891)</f>
        <v>42330</v>
      </c>
      <c r="E6892" s="15" cm="1">
        <f t="array" ref="E6892">SUM(E6890:E6891)</f>
        <v>42330</v>
      </c>
      <c r="F6892" s="16" cm="1">
        <f t="array" ref="F6892">SUM(F6890:F6891)</f>
        <v>0</v>
      </c>
      <c r="G6892" s="16" cm="1">
        <f t="array" ref="G6892">SUM(G6890:G6891)</f>
        <v>0</v>
      </c>
      <c r="H6892" s="16" cm="1">
        <f t="array" ref="H6892">SUM(H6890:H6891)</f>
        <v>0</v>
      </c>
      <c r="I6892" s="16" cm="1">
        <f t="array" ref="I6892">SUM(I6890:I6891)</f>
        <v>0</v>
      </c>
    </row>
    <row r="6893" ht="21.25" customHeight="1">
      <c r="A6893" s="10">
        <v>45735</v>
      </c>
      <c r="B6893" t="s" s="11">
        <v>121</v>
      </c>
      <c r="C6893" t="s" s="12">
        <v>991</v>
      </c>
      <c r="D6893" s="17"/>
      <c r="E6893" s="17">
        <v>13900</v>
      </c>
      <c r="F6893" s="18"/>
      <c r="G6893" s="18"/>
      <c r="H6893" s="18"/>
      <c r="I6893" s="18"/>
    </row>
    <row r="6894" ht="21.25" customHeight="1">
      <c r="A6894" s="10">
        <v>45735</v>
      </c>
      <c r="B6894" t="s" s="11">
        <v>12</v>
      </c>
      <c r="C6894" t="s" s="12">
        <v>991</v>
      </c>
      <c r="D6894" s="13">
        <v>13900</v>
      </c>
      <c r="E6894" s="13"/>
      <c r="F6894" s="14"/>
      <c r="G6894" s="14"/>
      <c r="H6894" s="14"/>
      <c r="I6894" s="14"/>
    </row>
    <row r="6895" ht="20.7" customHeight="1">
      <c r="A6895" s="10">
        <v>45735</v>
      </c>
      <c r="B6895" t="s" s="11">
        <v>8</v>
      </c>
      <c r="C6895" t="s" s="12">
        <v>8</v>
      </c>
      <c r="D6895" s="15" cm="1">
        <f t="array" ref="D6895">SUM(D6893:D6894)</f>
        <v>13900</v>
      </c>
      <c r="E6895" s="15" cm="1">
        <f t="array" ref="E6895">SUM(E6893:E6894)</f>
        <v>13900</v>
      </c>
      <c r="F6895" s="16" cm="1">
        <f t="array" ref="F6895">SUM(F6893:F6894)</f>
        <v>0</v>
      </c>
      <c r="G6895" s="16" cm="1">
        <f t="array" ref="G6895">SUM(G6893:G6894)</f>
        <v>0</v>
      </c>
      <c r="H6895" s="16" cm="1">
        <f t="array" ref="H6895">SUM(H6893:H6894)</f>
        <v>0</v>
      </c>
      <c r="I6895" s="16" cm="1">
        <f t="array" ref="I6895">SUM(I6893:I6894)</f>
        <v>0</v>
      </c>
    </row>
    <row r="6896" ht="20.35" customHeight="1">
      <c r="A6896" s="10">
        <v>45735</v>
      </c>
      <c r="B6896" t="s" s="11">
        <v>814</v>
      </c>
      <c r="C6896" t="s" s="12">
        <v>96</v>
      </c>
      <c r="D6896" s="17"/>
      <c r="E6896" s="17">
        <v>35000</v>
      </c>
      <c r="F6896" s="18"/>
      <c r="G6896" s="18"/>
      <c r="H6896" s="18"/>
      <c r="I6896" s="18"/>
    </row>
    <row r="6897" ht="20.35" customHeight="1">
      <c r="A6897" s="10">
        <v>45735</v>
      </c>
      <c r="B6897" t="s" s="11">
        <v>5</v>
      </c>
      <c r="C6897" t="s" s="12">
        <v>96</v>
      </c>
      <c r="D6897" s="13">
        <v>35000</v>
      </c>
      <c r="E6897" s="13"/>
      <c r="F6897" s="14"/>
      <c r="G6897" s="14"/>
      <c r="H6897" s="14"/>
      <c r="I6897" s="14"/>
    </row>
    <row r="6898" ht="20.7" customHeight="1">
      <c r="A6898" s="10">
        <v>45735</v>
      </c>
      <c r="B6898" t="s" s="11">
        <v>8</v>
      </c>
      <c r="C6898" t="s" s="12">
        <v>8</v>
      </c>
      <c r="D6898" s="15" cm="1">
        <f t="array" ref="D6898">SUM(D6896:D6897)</f>
        <v>35000</v>
      </c>
      <c r="E6898" s="15" cm="1">
        <f t="array" ref="E6898">SUM(E6896:E6897)</f>
        <v>35000</v>
      </c>
      <c r="F6898" s="16" cm="1">
        <f t="array" ref="F6898">SUM(F6896:F6897)</f>
        <v>0</v>
      </c>
      <c r="G6898" s="16" cm="1">
        <f t="array" ref="G6898">SUM(G6896:G6897)</f>
        <v>0</v>
      </c>
      <c r="H6898" s="16" cm="1">
        <f t="array" ref="H6898">SUM(H6896:H6897)</f>
        <v>0</v>
      </c>
      <c r="I6898" s="16" cm="1">
        <f t="array" ref="I6898">SUM(I6896:I6897)</f>
        <v>0</v>
      </c>
    </row>
    <row r="6899" ht="20.35" customHeight="1">
      <c r="A6899" s="10">
        <v>45735</v>
      </c>
      <c r="B6899" t="s" s="11">
        <v>5</v>
      </c>
      <c r="C6899" t="s" s="12">
        <v>992</v>
      </c>
      <c r="D6899" s="17"/>
      <c r="E6899" s="17">
        <v>35000</v>
      </c>
      <c r="F6899" s="18"/>
      <c r="G6899" s="18"/>
      <c r="H6899" s="18"/>
      <c r="I6899" s="18"/>
    </row>
    <row r="6900" ht="20.35" customHeight="1">
      <c r="A6900" s="10">
        <v>45735</v>
      </c>
      <c r="B6900" t="s" s="11">
        <v>89</v>
      </c>
      <c r="C6900" t="s" s="12">
        <v>992</v>
      </c>
      <c r="D6900" s="13">
        <v>35000</v>
      </c>
      <c r="E6900" s="13"/>
      <c r="F6900" s="14"/>
      <c r="G6900" s="14"/>
      <c r="H6900" s="14"/>
      <c r="I6900" s="14"/>
    </row>
    <row r="6901" ht="20.7" customHeight="1">
      <c r="A6901" s="10">
        <v>45735</v>
      </c>
      <c r="B6901" t="s" s="11">
        <v>8</v>
      </c>
      <c r="C6901" t="s" s="12">
        <v>8</v>
      </c>
      <c r="D6901" s="15" cm="1">
        <f t="array" ref="D6901">SUM(D6899:D6900)</f>
        <v>35000</v>
      </c>
      <c r="E6901" s="15" cm="1">
        <f t="array" ref="E6901">SUM(E6899:E6900)</f>
        <v>35000</v>
      </c>
      <c r="F6901" s="16" cm="1">
        <f t="array" ref="F6901">SUM(F6899:F6900)</f>
        <v>0</v>
      </c>
      <c r="G6901" s="16" cm="1">
        <f t="array" ref="G6901">SUM(G6899:G6900)</f>
        <v>0</v>
      </c>
      <c r="H6901" s="16" cm="1">
        <f t="array" ref="H6901">SUM(H6899:H6900)</f>
        <v>0</v>
      </c>
      <c r="I6901" s="16" cm="1">
        <f t="array" ref="I6901">SUM(I6899:I6900)</f>
        <v>0</v>
      </c>
    </row>
    <row r="6902" ht="20.35" customHeight="1">
      <c r="A6902" s="10">
        <v>45735</v>
      </c>
      <c r="B6902" t="s" s="11">
        <v>89</v>
      </c>
      <c r="C6902" t="s" s="12">
        <v>992</v>
      </c>
      <c r="D6902" s="17"/>
      <c r="E6902" s="17">
        <v>35000</v>
      </c>
      <c r="F6902" s="18"/>
      <c r="G6902" s="18"/>
      <c r="H6902" s="18"/>
      <c r="I6902" s="18"/>
    </row>
    <row r="6903" ht="20.05" customHeight="1">
      <c r="A6903" s="10">
        <v>45735</v>
      </c>
      <c r="B6903" t="s" s="11">
        <v>21</v>
      </c>
      <c r="C6903" t="s" s="12">
        <v>992</v>
      </c>
      <c r="D6903" s="19"/>
      <c r="E6903" s="19">
        <v>5000</v>
      </c>
      <c r="F6903" s="20"/>
      <c r="G6903" s="20"/>
      <c r="H6903" s="20"/>
      <c r="I6903" s="20"/>
    </row>
    <row r="6904" ht="20.35" customHeight="1">
      <c r="A6904" s="10">
        <v>45735</v>
      </c>
      <c r="B6904" t="s" s="11">
        <v>28</v>
      </c>
      <c r="C6904" t="s" s="12">
        <v>992</v>
      </c>
      <c r="D6904" s="13">
        <v>40000</v>
      </c>
      <c r="E6904" s="13"/>
      <c r="F6904" s="14"/>
      <c r="G6904" s="14"/>
      <c r="H6904" s="14"/>
      <c r="I6904" s="14"/>
    </row>
    <row r="6905" ht="20.7" customHeight="1">
      <c r="A6905" s="10">
        <v>45735</v>
      </c>
      <c r="B6905" t="s" s="11">
        <v>8</v>
      </c>
      <c r="C6905" t="s" s="12">
        <v>8</v>
      </c>
      <c r="D6905" s="15" cm="1">
        <f t="array" ref="D6905">SUM(D6902:D6904)</f>
        <v>40000</v>
      </c>
      <c r="E6905" s="15" cm="1">
        <f t="array" ref="E6905">SUM(E6902:E6904)</f>
        <v>40000</v>
      </c>
      <c r="F6905" s="16" cm="1">
        <f t="array" ref="F6905">SUM(F6902:F6904)</f>
        <v>0</v>
      </c>
      <c r="G6905" s="16" cm="1">
        <f t="array" ref="G6905">SUM(G6902:G6904)</f>
        <v>0</v>
      </c>
      <c r="H6905" s="16" cm="1">
        <f t="array" ref="H6905">SUM(H6902:H6904)</f>
        <v>0</v>
      </c>
      <c r="I6905" s="16" cm="1">
        <f t="array" ref="I6905">SUM(I6902:I6904)</f>
        <v>0</v>
      </c>
    </row>
    <row r="6906" ht="20.35" customHeight="1">
      <c r="A6906" s="10">
        <v>45735</v>
      </c>
      <c r="B6906" t="s" s="11">
        <v>28</v>
      </c>
      <c r="C6906" t="s" s="12">
        <v>993</v>
      </c>
      <c r="D6906" s="17">
        <v>35000</v>
      </c>
      <c r="E6906" s="17"/>
      <c r="F6906" s="18"/>
      <c r="G6906" s="18"/>
      <c r="H6906" s="18"/>
      <c r="I6906" s="18"/>
    </row>
    <row r="6907" ht="20.35" customHeight="1">
      <c r="A6907" s="10">
        <v>45735</v>
      </c>
      <c r="B6907" t="s" s="11">
        <v>21</v>
      </c>
      <c r="C6907" t="s" s="12">
        <v>993</v>
      </c>
      <c r="D6907" s="13"/>
      <c r="E6907" s="13">
        <v>35000</v>
      </c>
      <c r="F6907" s="14"/>
      <c r="G6907" s="14"/>
      <c r="H6907" s="14"/>
      <c r="I6907" s="14"/>
    </row>
    <row r="6908" ht="20.7" customHeight="1">
      <c r="A6908" s="10">
        <v>45735</v>
      </c>
      <c r="B6908" t="s" s="11">
        <v>8</v>
      </c>
      <c r="C6908" t="s" s="12">
        <v>8</v>
      </c>
      <c r="D6908" s="15" cm="1">
        <f t="array" ref="D6908">SUM(D6906:D6907)</f>
        <v>35000</v>
      </c>
      <c r="E6908" s="15" cm="1">
        <f t="array" ref="E6908">SUM(E6906:E6907)</f>
        <v>35000</v>
      </c>
      <c r="F6908" s="16" cm="1">
        <f t="array" ref="F6908">SUM(F6906:F6907)</f>
        <v>0</v>
      </c>
      <c r="G6908" s="16" cm="1">
        <f t="array" ref="G6908">SUM(G6906:G6907)</f>
        <v>0</v>
      </c>
      <c r="H6908" s="16" cm="1">
        <f t="array" ref="H6908">SUM(H6906:H6907)</f>
        <v>0</v>
      </c>
      <c r="I6908" s="16" cm="1">
        <f t="array" ref="I6908">SUM(I6906:I6907)</f>
        <v>0</v>
      </c>
    </row>
    <row r="6909" ht="21.25" customHeight="1">
      <c r="A6909" s="10">
        <v>45735</v>
      </c>
      <c r="B6909" t="s" s="11">
        <v>28</v>
      </c>
      <c r="C6909" t="s" s="12">
        <v>994</v>
      </c>
      <c r="D6909" s="17"/>
      <c r="E6909" s="17">
        <v>12500</v>
      </c>
      <c r="F6909" s="18"/>
      <c r="G6909" s="18"/>
      <c r="H6909" s="18"/>
      <c r="I6909" s="18"/>
    </row>
    <row r="6910" ht="20.9" customHeight="1">
      <c r="A6910" s="10">
        <v>45735</v>
      </c>
      <c r="B6910" t="s" s="11">
        <v>89</v>
      </c>
      <c r="C6910" t="s" s="12">
        <v>994</v>
      </c>
      <c r="D6910" s="19">
        <v>6400</v>
      </c>
      <c r="E6910" s="19"/>
      <c r="F6910" s="20"/>
      <c r="G6910" s="20"/>
      <c r="H6910" s="20"/>
      <c r="I6910" s="20"/>
    </row>
    <row r="6911" ht="21.25" customHeight="1">
      <c r="A6911" s="10">
        <v>45735</v>
      </c>
      <c r="B6911" t="s" s="11">
        <v>10</v>
      </c>
      <c r="C6911" t="s" s="12">
        <v>994</v>
      </c>
      <c r="D6911" s="13">
        <v>6100</v>
      </c>
      <c r="E6911" s="13"/>
      <c r="F6911" s="14"/>
      <c r="G6911" s="14"/>
      <c r="H6911" s="14"/>
      <c r="I6911" s="14"/>
    </row>
    <row r="6912" ht="20.7" customHeight="1">
      <c r="A6912" s="10">
        <v>45735</v>
      </c>
      <c r="B6912" t="s" s="11">
        <v>8</v>
      </c>
      <c r="C6912" t="s" s="12">
        <v>8</v>
      </c>
      <c r="D6912" s="15" cm="1">
        <f t="array" ref="D6912">SUM(D6909:D6911)</f>
        <v>12500</v>
      </c>
      <c r="E6912" s="15" cm="1">
        <f t="array" ref="E6912">SUM(E6909:E6911)</f>
        <v>12500</v>
      </c>
      <c r="F6912" s="16" cm="1">
        <f t="array" ref="F6912">SUM(F6909:F6911)</f>
        <v>0</v>
      </c>
      <c r="G6912" s="16" cm="1">
        <f t="array" ref="G6912">SUM(G6909:G6911)</f>
        <v>0</v>
      </c>
      <c r="H6912" s="16" cm="1">
        <f t="array" ref="H6912">SUM(H6909:H6911)</f>
        <v>0</v>
      </c>
      <c r="I6912" s="16" cm="1">
        <f t="array" ref="I6912">SUM(I6909:I6911)</f>
        <v>0</v>
      </c>
    </row>
    <row r="6913" ht="20.35" customHeight="1">
      <c r="A6913" s="10">
        <v>45735</v>
      </c>
      <c r="B6913" t="s" s="11">
        <v>121</v>
      </c>
      <c r="C6913" t="s" s="12">
        <v>995</v>
      </c>
      <c r="D6913" s="17"/>
      <c r="E6913" s="17">
        <v>4300</v>
      </c>
      <c r="F6913" s="18"/>
      <c r="G6913" s="18"/>
      <c r="H6913" s="18"/>
      <c r="I6913" s="18"/>
    </row>
    <row r="6914" ht="20.35" customHeight="1">
      <c r="A6914" s="10">
        <v>45735</v>
      </c>
      <c r="B6914" t="s" s="11">
        <v>12</v>
      </c>
      <c r="C6914" t="s" s="12">
        <v>995</v>
      </c>
      <c r="D6914" s="13">
        <v>4300</v>
      </c>
      <c r="E6914" s="13"/>
      <c r="F6914" s="14"/>
      <c r="G6914" s="14"/>
      <c r="H6914" s="14"/>
      <c r="I6914" s="14"/>
    </row>
    <row r="6915" ht="20.7" customHeight="1">
      <c r="A6915" s="10">
        <v>45735</v>
      </c>
      <c r="B6915" t="s" s="11">
        <v>8</v>
      </c>
      <c r="C6915" t="s" s="12">
        <v>8</v>
      </c>
      <c r="D6915" s="15" cm="1">
        <f t="array" ref="D6915">SUM(D6913:D6914)</f>
        <v>4300</v>
      </c>
      <c r="E6915" s="15" cm="1">
        <f t="array" ref="E6915">SUM(E6913:E6914)</f>
        <v>4300</v>
      </c>
      <c r="F6915" s="16" cm="1">
        <f t="array" ref="F6915">SUM(F6913:F6914)</f>
        <v>0</v>
      </c>
      <c r="G6915" s="16" cm="1">
        <f t="array" ref="G6915">SUM(G6913:G6914)</f>
        <v>0</v>
      </c>
      <c r="H6915" s="16" cm="1">
        <f t="array" ref="H6915">SUM(H6913:H6914)</f>
        <v>0</v>
      </c>
      <c r="I6915" s="16" cm="1">
        <f t="array" ref="I6915">SUM(I6913:I6914)</f>
        <v>0</v>
      </c>
    </row>
    <row r="6916" ht="21.25" customHeight="1">
      <c r="A6916" s="10">
        <v>45736</v>
      </c>
      <c r="B6916" t="s" s="11">
        <v>89</v>
      </c>
      <c r="C6916" t="s" s="12">
        <v>996</v>
      </c>
      <c r="D6916" s="17">
        <v>132100</v>
      </c>
      <c r="E6916" s="17"/>
      <c r="F6916" s="18"/>
      <c r="G6916" s="18"/>
      <c r="H6916" s="18"/>
      <c r="I6916" s="18"/>
    </row>
    <row r="6917" ht="21.25" customHeight="1">
      <c r="A6917" s="10">
        <v>45736</v>
      </c>
      <c r="B6917" t="s" s="11">
        <v>10</v>
      </c>
      <c r="C6917" t="s" s="12">
        <v>996</v>
      </c>
      <c r="D6917" s="13"/>
      <c r="E6917" s="13">
        <v>132100</v>
      </c>
      <c r="F6917" s="14"/>
      <c r="G6917" s="14"/>
      <c r="H6917" s="14"/>
      <c r="I6917" s="14"/>
    </row>
    <row r="6918" ht="20.7" customHeight="1">
      <c r="A6918" s="10">
        <v>45736</v>
      </c>
      <c r="B6918" t="s" s="11">
        <v>8</v>
      </c>
      <c r="C6918" t="s" s="12">
        <v>8</v>
      </c>
      <c r="D6918" s="15" cm="1">
        <f t="array" ref="D6918">SUM(D6916:D6917)</f>
        <v>132100</v>
      </c>
      <c r="E6918" s="15" cm="1">
        <f t="array" ref="E6918">SUM(E6916:E6917)</f>
        <v>132100</v>
      </c>
      <c r="F6918" s="16" cm="1">
        <f t="array" ref="F6918">SUM(F6916:F6917)</f>
        <v>0</v>
      </c>
      <c r="G6918" s="16" cm="1">
        <f t="array" ref="G6918">SUM(G6916:G6917)</f>
        <v>0</v>
      </c>
      <c r="H6918" s="16" cm="1">
        <f t="array" ref="H6918">SUM(H6916:H6917)</f>
        <v>0</v>
      </c>
      <c r="I6918" s="16" cm="1">
        <f t="array" ref="I6918">SUM(I6916:I6917)</f>
        <v>0</v>
      </c>
    </row>
    <row r="6919" ht="20.65" customHeight="1">
      <c r="A6919" s="10">
        <v>45736</v>
      </c>
      <c r="B6919" t="s" s="11">
        <v>843</v>
      </c>
      <c r="C6919" t="s" s="12">
        <v>820</v>
      </c>
      <c r="D6919" s="17">
        <v>4</v>
      </c>
      <c r="E6919" s="17"/>
      <c r="F6919" s="18"/>
      <c r="G6919" s="18"/>
      <c r="H6919" s="18"/>
      <c r="I6919" s="18"/>
    </row>
    <row r="6920" ht="20.65" customHeight="1">
      <c r="A6920" s="10">
        <v>45736</v>
      </c>
      <c r="B6920" t="s" s="11">
        <v>91</v>
      </c>
      <c r="C6920" t="s" s="12">
        <v>820</v>
      </c>
      <c r="D6920" s="13"/>
      <c r="E6920" s="13">
        <v>4</v>
      </c>
      <c r="F6920" s="14"/>
      <c r="G6920" s="14"/>
      <c r="H6920" s="14"/>
      <c r="I6920" s="14"/>
    </row>
    <row r="6921" ht="20.7" customHeight="1">
      <c r="A6921" s="10">
        <v>45736</v>
      </c>
      <c r="B6921" t="s" s="11">
        <v>8</v>
      </c>
      <c r="C6921" t="s" s="12">
        <v>8</v>
      </c>
      <c r="D6921" s="15" cm="1">
        <f t="array" ref="D6921">SUM(D6919:D6920)</f>
        <v>4</v>
      </c>
      <c r="E6921" s="15" cm="1">
        <f t="array" ref="E6921">SUM(E6919:E6920)</f>
        <v>4</v>
      </c>
      <c r="F6921" s="16" cm="1">
        <f t="array" ref="F6921">SUM(F6919:F6920)</f>
        <v>0</v>
      </c>
      <c r="G6921" s="16" cm="1">
        <f t="array" ref="G6921">SUM(G6919:G6920)</f>
        <v>0</v>
      </c>
      <c r="H6921" s="16" cm="1">
        <f t="array" ref="H6921">SUM(H6919:H6920)</f>
        <v>0</v>
      </c>
      <c r="I6921" s="16" cm="1">
        <f t="array" ref="I6921">SUM(I6919:I6920)</f>
        <v>0</v>
      </c>
    </row>
    <row r="6922" ht="20.65" customHeight="1">
      <c r="A6922" s="10">
        <v>45736</v>
      </c>
      <c r="B6922" t="s" s="11">
        <v>814</v>
      </c>
      <c r="C6922" t="s" s="12">
        <v>820</v>
      </c>
      <c r="D6922" s="17">
        <v>168</v>
      </c>
      <c r="E6922" s="17"/>
      <c r="F6922" s="18"/>
      <c r="G6922" s="18"/>
      <c r="H6922" s="18"/>
      <c r="I6922" s="18"/>
    </row>
    <row r="6923" ht="20.65" customHeight="1">
      <c r="A6923" s="10">
        <v>45736</v>
      </c>
      <c r="B6923" t="s" s="11">
        <v>91</v>
      </c>
      <c r="C6923" t="s" s="12">
        <v>820</v>
      </c>
      <c r="D6923" s="13"/>
      <c r="E6923" s="13">
        <v>168</v>
      </c>
      <c r="F6923" s="14"/>
      <c r="G6923" s="14"/>
      <c r="H6923" s="14"/>
      <c r="I6923" s="14"/>
    </row>
    <row r="6924" ht="20.7" customHeight="1">
      <c r="A6924" s="10">
        <v>45736</v>
      </c>
      <c r="B6924" t="s" s="11">
        <v>8</v>
      </c>
      <c r="C6924" t="s" s="12">
        <v>8</v>
      </c>
      <c r="D6924" s="15" cm="1">
        <f t="array" ref="D6924">SUM(D6922:D6923)</f>
        <v>168</v>
      </c>
      <c r="E6924" s="15" cm="1">
        <f t="array" ref="E6924">SUM(E6922:E6923)</f>
        <v>168</v>
      </c>
      <c r="F6924" s="16" cm="1">
        <f t="array" ref="F6924">SUM(F6922:F6923)</f>
        <v>0</v>
      </c>
      <c r="G6924" s="16" cm="1">
        <f t="array" ref="G6924">SUM(G6922:G6923)</f>
        <v>0</v>
      </c>
      <c r="H6924" s="16" cm="1">
        <f t="array" ref="H6924">SUM(H6922:H6923)</f>
        <v>0</v>
      </c>
      <c r="I6924" s="16" cm="1">
        <f t="array" ref="I6924">SUM(I6922:I6923)</f>
        <v>0</v>
      </c>
    </row>
    <row r="6925" ht="20.35" customHeight="1">
      <c r="A6925" s="10">
        <v>45736</v>
      </c>
      <c r="B6925" t="s" s="11">
        <v>28</v>
      </c>
      <c r="C6925" t="s" s="12">
        <v>96</v>
      </c>
      <c r="D6925" s="17"/>
      <c r="E6925" s="17">
        <v>50000</v>
      </c>
      <c r="F6925" s="18"/>
      <c r="G6925" s="18"/>
      <c r="H6925" s="18"/>
      <c r="I6925" s="18"/>
    </row>
    <row r="6926" ht="20.35" customHeight="1">
      <c r="A6926" s="10">
        <v>45736</v>
      </c>
      <c r="B6926" t="s" s="11">
        <v>5</v>
      </c>
      <c r="C6926" t="s" s="12">
        <v>96</v>
      </c>
      <c r="D6926" s="13">
        <v>50000</v>
      </c>
      <c r="E6926" s="13"/>
      <c r="F6926" s="14"/>
      <c r="G6926" s="14"/>
      <c r="H6926" s="14"/>
      <c r="I6926" s="14"/>
    </row>
    <row r="6927" ht="20.7" customHeight="1">
      <c r="A6927" s="10">
        <v>45736</v>
      </c>
      <c r="B6927" t="s" s="11">
        <v>8</v>
      </c>
      <c r="C6927" t="s" s="12">
        <v>8</v>
      </c>
      <c r="D6927" s="15" cm="1">
        <f t="array" ref="D6927">SUM(D6925:D6926)</f>
        <v>50000</v>
      </c>
      <c r="E6927" s="15" cm="1">
        <f t="array" ref="E6927">SUM(E6925:E6926)</f>
        <v>50000</v>
      </c>
      <c r="F6927" s="16" cm="1">
        <f t="array" ref="F6927">SUM(F6925:F6926)</f>
        <v>0</v>
      </c>
      <c r="G6927" s="16" cm="1">
        <f t="array" ref="G6927">SUM(G6925:G6926)</f>
        <v>0</v>
      </c>
      <c r="H6927" s="16" cm="1">
        <f t="array" ref="H6927">SUM(H6925:H6926)</f>
        <v>0</v>
      </c>
      <c r="I6927" s="16" cm="1">
        <f t="array" ref="I6927">SUM(I6925:I6926)</f>
        <v>0</v>
      </c>
    </row>
    <row r="6928" ht="20.35" customHeight="1">
      <c r="A6928" s="10">
        <v>45736</v>
      </c>
      <c r="B6928" t="s" s="11">
        <v>5</v>
      </c>
      <c r="C6928" t="s" s="12">
        <v>604</v>
      </c>
      <c r="D6928" s="17"/>
      <c r="E6928" s="17">
        <v>10000</v>
      </c>
      <c r="F6928" s="18"/>
      <c r="G6928" s="18"/>
      <c r="H6928" s="18"/>
      <c r="I6928" s="18"/>
    </row>
    <row r="6929" ht="20.35" customHeight="1">
      <c r="A6929" s="10">
        <v>45736</v>
      </c>
      <c r="B6929" t="s" s="11">
        <v>93</v>
      </c>
      <c r="C6929" t="s" s="12">
        <v>604</v>
      </c>
      <c r="D6929" s="13">
        <v>10000</v>
      </c>
      <c r="E6929" s="13"/>
      <c r="F6929" s="14"/>
      <c r="G6929" s="14"/>
      <c r="H6929" s="14"/>
      <c r="I6929" s="14"/>
    </row>
    <row r="6930" ht="20.7" customHeight="1">
      <c r="A6930" s="10">
        <v>45736</v>
      </c>
      <c r="B6930" t="s" s="11">
        <v>8</v>
      </c>
      <c r="C6930" t="s" s="12">
        <v>8</v>
      </c>
      <c r="D6930" s="15" cm="1">
        <f t="array" ref="D6930">SUM(D6928:D6929)</f>
        <v>10000</v>
      </c>
      <c r="E6930" s="15" cm="1">
        <f t="array" ref="E6930">SUM(E6928:E6929)</f>
        <v>10000</v>
      </c>
      <c r="F6930" s="16" cm="1">
        <f t="array" ref="F6930">SUM(F6928:F6929)</f>
        <v>0</v>
      </c>
      <c r="G6930" s="16" cm="1">
        <f t="array" ref="G6930">SUM(G6928:G6929)</f>
        <v>0</v>
      </c>
      <c r="H6930" s="16" cm="1">
        <f t="array" ref="H6930">SUM(H6928:H6929)</f>
        <v>0</v>
      </c>
      <c r="I6930" s="16" cm="1">
        <f t="array" ref="I6930">SUM(I6928:I6929)</f>
        <v>0</v>
      </c>
    </row>
    <row r="6931" ht="20.35" customHeight="1">
      <c r="A6931" s="10">
        <v>45736</v>
      </c>
      <c r="B6931" t="s" s="11">
        <v>93</v>
      </c>
      <c r="C6931" t="s" s="12">
        <v>54</v>
      </c>
      <c r="D6931" s="17"/>
      <c r="E6931" s="17">
        <v>3300</v>
      </c>
      <c r="F6931" s="18"/>
      <c r="G6931" s="18"/>
      <c r="H6931" s="18"/>
      <c r="I6931" s="18"/>
    </row>
    <row r="6932" ht="20.35" customHeight="1">
      <c r="A6932" s="10">
        <v>45736</v>
      </c>
      <c r="B6932" t="s" s="11">
        <v>10</v>
      </c>
      <c r="C6932" t="s" s="12">
        <v>54</v>
      </c>
      <c r="D6932" s="13">
        <v>3300</v>
      </c>
      <c r="E6932" s="13"/>
      <c r="F6932" s="14"/>
      <c r="G6932" s="14"/>
      <c r="H6932" s="14"/>
      <c r="I6932" s="14"/>
    </row>
    <row r="6933" ht="20.7" customHeight="1">
      <c r="A6933" s="10">
        <v>45736</v>
      </c>
      <c r="B6933" t="s" s="11">
        <v>8</v>
      </c>
      <c r="C6933" t="s" s="12">
        <v>8</v>
      </c>
      <c r="D6933" s="15" cm="1">
        <f t="array" ref="D6933">SUM(D6931:D6932)</f>
        <v>3300</v>
      </c>
      <c r="E6933" s="15" cm="1">
        <f t="array" ref="E6933">SUM(E6931:E6932)</f>
        <v>3300</v>
      </c>
      <c r="F6933" s="16" cm="1">
        <f t="array" ref="F6933">SUM(F6931:F6932)</f>
        <v>0</v>
      </c>
      <c r="G6933" s="16" cm="1">
        <f t="array" ref="G6933">SUM(G6931:G6932)</f>
        <v>0</v>
      </c>
      <c r="H6933" s="16" cm="1">
        <f t="array" ref="H6933">SUM(H6931:H6932)</f>
        <v>0</v>
      </c>
      <c r="I6933" s="16" cm="1">
        <f t="array" ref="I6933">SUM(I6931:I6932)</f>
        <v>0</v>
      </c>
    </row>
    <row r="6934" ht="20.35" customHeight="1">
      <c r="A6934" s="10">
        <v>45736</v>
      </c>
      <c r="B6934" t="s" s="11">
        <v>5</v>
      </c>
      <c r="C6934" t="s" s="12">
        <v>993</v>
      </c>
      <c r="D6934" s="17"/>
      <c r="E6934" s="17">
        <v>35000</v>
      </c>
      <c r="F6934" s="18"/>
      <c r="G6934" s="18"/>
      <c r="H6934" s="18"/>
      <c r="I6934" s="18"/>
    </row>
    <row r="6935" ht="20.35" customHeight="1">
      <c r="A6935" s="10">
        <v>45736</v>
      </c>
      <c r="B6935" t="s" s="11">
        <v>21</v>
      </c>
      <c r="C6935" t="s" s="12">
        <v>993</v>
      </c>
      <c r="D6935" s="13">
        <v>35000</v>
      </c>
      <c r="E6935" s="13"/>
      <c r="F6935" s="14"/>
      <c r="G6935" s="14"/>
      <c r="H6935" s="14"/>
      <c r="I6935" s="14"/>
    </row>
    <row r="6936" ht="20.7" customHeight="1">
      <c r="A6936" s="10">
        <v>45736</v>
      </c>
      <c r="B6936" t="s" s="11">
        <v>8</v>
      </c>
      <c r="C6936" t="s" s="12">
        <v>8</v>
      </c>
      <c r="D6936" s="15" cm="1">
        <f t="array" ref="D6936">SUM(D6934:D6935)</f>
        <v>35000</v>
      </c>
      <c r="E6936" s="15" cm="1">
        <f t="array" ref="E6936">SUM(E6934:E6935)</f>
        <v>35000</v>
      </c>
      <c r="F6936" s="16" cm="1">
        <f t="array" ref="F6936">SUM(F6934:F6935)</f>
        <v>0</v>
      </c>
      <c r="G6936" s="16" cm="1">
        <f t="array" ref="G6936">SUM(G6934:G6935)</f>
        <v>0</v>
      </c>
      <c r="H6936" s="16" cm="1">
        <f t="array" ref="H6936">SUM(H6934:H6935)</f>
        <v>0</v>
      </c>
      <c r="I6936" s="16" cm="1">
        <f t="array" ref="I6936">SUM(I6934:I6935)</f>
        <v>0</v>
      </c>
    </row>
    <row r="6937" ht="20.35" customHeight="1">
      <c r="A6937" s="10">
        <v>45736</v>
      </c>
      <c r="B6937" t="s" s="11">
        <v>121</v>
      </c>
      <c r="C6937" t="s" s="12">
        <v>997</v>
      </c>
      <c r="D6937" s="17"/>
      <c r="E6937" s="17">
        <v>900</v>
      </c>
      <c r="F6937" s="18"/>
      <c r="G6937" s="18"/>
      <c r="H6937" s="18"/>
      <c r="I6937" s="18"/>
    </row>
    <row r="6938" ht="20.35" customHeight="1">
      <c r="A6938" s="10">
        <v>45736</v>
      </c>
      <c r="B6938" t="s" s="11">
        <v>12</v>
      </c>
      <c r="C6938" t="s" s="12">
        <v>997</v>
      </c>
      <c r="D6938" s="13">
        <v>900</v>
      </c>
      <c r="E6938" s="13"/>
      <c r="F6938" s="14"/>
      <c r="G6938" s="14"/>
      <c r="H6938" s="14"/>
      <c r="I6938" s="14"/>
    </row>
    <row r="6939" ht="20.7" customHeight="1">
      <c r="A6939" s="10">
        <v>45736</v>
      </c>
      <c r="B6939" t="s" s="11">
        <v>8</v>
      </c>
      <c r="C6939" t="s" s="12">
        <v>8</v>
      </c>
      <c r="D6939" s="15" cm="1">
        <f t="array" ref="D6939">SUM(D6937:D6938)</f>
        <v>900</v>
      </c>
      <c r="E6939" s="15" cm="1">
        <f t="array" ref="E6939">SUM(E6937:E6938)</f>
        <v>900</v>
      </c>
      <c r="F6939" s="16" cm="1">
        <f t="array" ref="F6939">SUM(F6937:F6938)</f>
        <v>0</v>
      </c>
      <c r="G6939" s="16" cm="1">
        <f t="array" ref="G6939">SUM(G6937:G6938)</f>
        <v>0</v>
      </c>
      <c r="H6939" s="16" cm="1">
        <f t="array" ref="H6939">SUM(H6937:H6938)</f>
        <v>0</v>
      </c>
      <c r="I6939" s="16" cm="1">
        <f t="array" ref="I6939">SUM(I6937:I6938)</f>
        <v>0</v>
      </c>
    </row>
    <row r="6940" ht="20.65" customHeight="1">
      <c r="A6940" s="10">
        <v>45736</v>
      </c>
      <c r="B6940" t="s" s="11">
        <v>28</v>
      </c>
      <c r="C6940" t="s" s="12">
        <v>998</v>
      </c>
      <c r="D6940" s="17"/>
      <c r="E6940" s="17">
        <v>6000</v>
      </c>
      <c r="F6940" s="18"/>
      <c r="G6940" s="18"/>
      <c r="H6940" s="18"/>
      <c r="I6940" s="18"/>
    </row>
    <row r="6941" ht="20.65" customHeight="1">
      <c r="A6941" s="10">
        <v>45736</v>
      </c>
      <c r="B6941" t="s" s="11">
        <v>12</v>
      </c>
      <c r="C6941" t="s" s="12">
        <v>998</v>
      </c>
      <c r="D6941" s="13">
        <v>6000</v>
      </c>
      <c r="E6941" s="13"/>
      <c r="F6941" s="14"/>
      <c r="G6941" s="14"/>
      <c r="H6941" s="14"/>
      <c r="I6941" s="14"/>
    </row>
    <row r="6942" ht="20.7" customHeight="1">
      <c r="A6942" s="10">
        <v>45736</v>
      </c>
      <c r="B6942" t="s" s="11">
        <v>8</v>
      </c>
      <c r="C6942" t="s" s="12">
        <v>8</v>
      </c>
      <c r="D6942" s="15" cm="1">
        <f t="array" ref="D6942">SUM(D6940:D6941)</f>
        <v>6000</v>
      </c>
      <c r="E6942" s="15" cm="1">
        <f t="array" ref="E6942">SUM(E6940:E6941)</f>
        <v>6000</v>
      </c>
      <c r="F6942" s="16" cm="1">
        <f t="array" ref="F6942">SUM(F6940:F6941)</f>
        <v>0</v>
      </c>
      <c r="G6942" s="16" cm="1">
        <f t="array" ref="G6942">SUM(G6940:G6941)</f>
        <v>0</v>
      </c>
      <c r="H6942" s="16" cm="1">
        <f t="array" ref="H6942">SUM(H6940:H6941)</f>
        <v>0</v>
      </c>
      <c r="I6942" s="16" cm="1">
        <f t="array" ref="I6942">SUM(I6940:I6941)</f>
        <v>0</v>
      </c>
    </row>
    <row r="6943" ht="20.65" customHeight="1">
      <c r="A6943" s="10">
        <v>45736</v>
      </c>
      <c r="B6943" t="s" s="11">
        <v>121</v>
      </c>
      <c r="C6943" t="s" s="12">
        <v>896</v>
      </c>
      <c r="D6943" s="17">
        <v>1189</v>
      </c>
      <c r="E6943" s="17"/>
      <c r="F6943" s="18"/>
      <c r="G6943" s="18"/>
      <c r="H6943" s="18"/>
      <c r="I6943" s="18"/>
    </row>
    <row r="6944" ht="20.65" customHeight="1">
      <c r="A6944" s="10">
        <v>45736</v>
      </c>
      <c r="B6944" t="s" s="11">
        <v>10</v>
      </c>
      <c r="C6944" t="s" s="12">
        <v>896</v>
      </c>
      <c r="D6944" s="13"/>
      <c r="E6944" s="13">
        <v>1189</v>
      </c>
      <c r="F6944" s="14"/>
      <c r="G6944" s="14"/>
      <c r="H6944" s="14"/>
      <c r="I6944" s="14"/>
    </row>
    <row r="6945" ht="20.7" customHeight="1">
      <c r="A6945" s="10">
        <v>45736</v>
      </c>
      <c r="B6945" t="s" s="11">
        <v>8</v>
      </c>
      <c r="C6945" t="s" s="12">
        <v>8</v>
      </c>
      <c r="D6945" s="15" cm="1">
        <f t="array" ref="D6945">SUM(D6943:D6944)</f>
        <v>1189</v>
      </c>
      <c r="E6945" s="15" cm="1">
        <f t="array" ref="E6945">SUM(E6943:E6944)</f>
        <v>1189</v>
      </c>
      <c r="F6945" s="16" cm="1">
        <f t="array" ref="F6945">SUM(F6943:F6944)</f>
        <v>0</v>
      </c>
      <c r="G6945" s="16" cm="1">
        <f t="array" ref="G6945">SUM(G6943:G6944)</f>
        <v>0</v>
      </c>
      <c r="H6945" s="16" cm="1">
        <f t="array" ref="H6945">SUM(H6943:H6944)</f>
        <v>0</v>
      </c>
      <c r="I6945" s="16" cm="1">
        <f t="array" ref="I6945">SUM(I6943:I6944)</f>
        <v>0</v>
      </c>
    </row>
    <row r="6946" ht="20.65" customHeight="1">
      <c r="A6946" s="10">
        <v>45737</v>
      </c>
      <c r="B6946" t="s" s="11">
        <v>843</v>
      </c>
      <c r="C6946" t="s" s="12">
        <v>820</v>
      </c>
      <c r="D6946" s="17">
        <v>4</v>
      </c>
      <c r="E6946" s="17"/>
      <c r="F6946" s="18"/>
      <c r="G6946" s="18"/>
      <c r="H6946" s="18"/>
      <c r="I6946" s="18"/>
    </row>
    <row r="6947" ht="20.65" customHeight="1">
      <c r="A6947" s="10">
        <v>45737</v>
      </c>
      <c r="B6947" t="s" s="11">
        <v>91</v>
      </c>
      <c r="C6947" t="s" s="12">
        <v>820</v>
      </c>
      <c r="D6947" s="13"/>
      <c r="E6947" s="13">
        <v>4</v>
      </c>
      <c r="F6947" s="14"/>
      <c r="G6947" s="14"/>
      <c r="H6947" s="14"/>
      <c r="I6947" s="14"/>
    </row>
    <row r="6948" ht="20.7" customHeight="1">
      <c r="A6948" s="10">
        <v>45737</v>
      </c>
      <c r="B6948" t="s" s="11">
        <v>8</v>
      </c>
      <c r="C6948" t="s" s="12">
        <v>8</v>
      </c>
      <c r="D6948" s="15" cm="1">
        <f t="array" ref="D6948">SUM(D6946:D6947)</f>
        <v>4</v>
      </c>
      <c r="E6948" s="15" cm="1">
        <f t="array" ref="E6948">SUM(E6946:E6947)</f>
        <v>4</v>
      </c>
      <c r="F6948" s="16" cm="1">
        <f t="array" ref="F6948">SUM(F6946:F6947)</f>
        <v>0</v>
      </c>
      <c r="G6948" s="16" cm="1">
        <f t="array" ref="G6948">SUM(G6946:G6947)</f>
        <v>0</v>
      </c>
      <c r="H6948" s="16" cm="1">
        <f t="array" ref="H6948">SUM(H6946:H6947)</f>
        <v>0</v>
      </c>
      <c r="I6948" s="16" cm="1">
        <f t="array" ref="I6948">SUM(I6946:I6947)</f>
        <v>0</v>
      </c>
    </row>
    <row r="6949" ht="20.65" customHeight="1">
      <c r="A6949" s="10">
        <v>45737</v>
      </c>
      <c r="B6949" t="s" s="11">
        <v>814</v>
      </c>
      <c r="C6949" t="s" s="12">
        <v>820</v>
      </c>
      <c r="D6949" s="17">
        <v>168</v>
      </c>
      <c r="E6949" s="17"/>
      <c r="F6949" s="18"/>
      <c r="G6949" s="18"/>
      <c r="H6949" s="18"/>
      <c r="I6949" s="18"/>
    </row>
    <row r="6950" ht="20.65" customHeight="1">
      <c r="A6950" s="10">
        <v>45737</v>
      </c>
      <c r="B6950" t="s" s="11">
        <v>91</v>
      </c>
      <c r="C6950" t="s" s="12">
        <v>820</v>
      </c>
      <c r="D6950" s="13"/>
      <c r="E6950" s="13">
        <v>168</v>
      </c>
      <c r="F6950" s="14"/>
      <c r="G6950" s="14"/>
      <c r="H6950" s="14"/>
      <c r="I6950" s="14"/>
    </row>
    <row r="6951" ht="20.7" customHeight="1">
      <c r="A6951" s="10">
        <v>45737</v>
      </c>
      <c r="B6951" t="s" s="11">
        <v>8</v>
      </c>
      <c r="C6951" t="s" s="12">
        <v>8</v>
      </c>
      <c r="D6951" s="15" cm="1">
        <f t="array" ref="D6951">SUM(D6949:D6950)</f>
        <v>168</v>
      </c>
      <c r="E6951" s="15" cm="1">
        <f t="array" ref="E6951">SUM(E6949:E6950)</f>
        <v>168</v>
      </c>
      <c r="F6951" s="16" cm="1">
        <f t="array" ref="F6951">SUM(F6949:F6950)</f>
        <v>0</v>
      </c>
      <c r="G6951" s="16" cm="1">
        <f t="array" ref="G6951">SUM(G6949:G6950)</f>
        <v>0</v>
      </c>
      <c r="H6951" s="16" cm="1">
        <f t="array" ref="H6951">SUM(H6949:H6950)</f>
        <v>0</v>
      </c>
      <c r="I6951" s="16" cm="1">
        <f t="array" ref="I6951">SUM(I6949:I6950)</f>
        <v>0</v>
      </c>
    </row>
    <row r="6952" ht="21.25" customHeight="1">
      <c r="A6952" s="10">
        <v>45737</v>
      </c>
      <c r="B6952" t="s" s="11">
        <v>5</v>
      </c>
      <c r="C6952" t="s" s="12">
        <v>999</v>
      </c>
      <c r="D6952" s="17"/>
      <c r="E6952" s="17">
        <v>700</v>
      </c>
      <c r="F6952" s="18"/>
      <c r="G6952" s="18"/>
      <c r="H6952" s="18"/>
      <c r="I6952" s="18"/>
    </row>
    <row r="6953" ht="21.25" customHeight="1">
      <c r="A6953" s="10">
        <v>45737</v>
      </c>
      <c r="B6953" t="s" s="11">
        <v>10</v>
      </c>
      <c r="C6953" t="s" s="12">
        <v>999</v>
      </c>
      <c r="D6953" s="13">
        <v>700</v>
      </c>
      <c r="E6953" s="13"/>
      <c r="F6953" s="14"/>
      <c r="G6953" s="14"/>
      <c r="H6953" s="14"/>
      <c r="I6953" s="14"/>
    </row>
    <row r="6954" ht="20.7" customHeight="1">
      <c r="A6954" s="10">
        <v>45737</v>
      </c>
      <c r="B6954" t="s" s="11">
        <v>8</v>
      </c>
      <c r="C6954" t="s" s="12">
        <v>8</v>
      </c>
      <c r="D6954" s="15" cm="1">
        <f t="array" ref="D6954">SUM(D6952:D6953)</f>
        <v>700</v>
      </c>
      <c r="E6954" s="15" cm="1">
        <f t="array" ref="E6954">SUM(E6952:E6953)</f>
        <v>700</v>
      </c>
      <c r="F6954" s="16" cm="1">
        <f t="array" ref="F6954">SUM(F6952:F6953)</f>
        <v>0</v>
      </c>
      <c r="G6954" s="16" cm="1">
        <f t="array" ref="G6954">SUM(G6952:G6953)</f>
        <v>0</v>
      </c>
      <c r="H6954" s="16" cm="1">
        <f t="array" ref="H6954">SUM(H6952:H6953)</f>
        <v>0</v>
      </c>
      <c r="I6954" s="16" cm="1">
        <f t="array" ref="I6954">SUM(I6952:I6953)</f>
        <v>0</v>
      </c>
    </row>
    <row r="6955" ht="20.35" customHeight="1">
      <c r="A6955" s="10">
        <v>45737</v>
      </c>
      <c r="B6955" t="s" s="11">
        <v>5</v>
      </c>
      <c r="C6955" t="s" s="12">
        <v>1000</v>
      </c>
      <c r="D6955" s="17"/>
      <c r="E6955" s="17">
        <v>2500</v>
      </c>
      <c r="F6955" s="18"/>
      <c r="G6955" s="18"/>
      <c r="H6955" s="18"/>
      <c r="I6955" s="18"/>
    </row>
    <row r="6956" ht="20.35" customHeight="1">
      <c r="A6956" s="10">
        <v>45737</v>
      </c>
      <c r="B6956" t="s" s="11">
        <v>10</v>
      </c>
      <c r="C6956" t="s" s="12">
        <v>1000</v>
      </c>
      <c r="D6956" s="13">
        <v>2500</v>
      </c>
      <c r="E6956" s="13"/>
      <c r="F6956" s="14"/>
      <c r="G6956" s="14"/>
      <c r="H6956" s="14"/>
      <c r="I6956" s="14"/>
    </row>
    <row r="6957" ht="20.7" customHeight="1">
      <c r="A6957" s="10">
        <v>45737</v>
      </c>
      <c r="B6957" t="s" s="11">
        <v>8</v>
      </c>
      <c r="C6957" t="s" s="12">
        <v>8</v>
      </c>
      <c r="D6957" s="15" cm="1">
        <f t="array" ref="D6957">SUM(D6955:D6956)</f>
        <v>2500</v>
      </c>
      <c r="E6957" s="15" cm="1">
        <f t="array" ref="E6957">SUM(E6955:E6956)</f>
        <v>2500</v>
      </c>
      <c r="F6957" s="16" cm="1">
        <f t="array" ref="F6957">SUM(F6955:F6956)</f>
        <v>0</v>
      </c>
      <c r="G6957" s="16" cm="1">
        <f t="array" ref="G6957">SUM(G6955:G6956)</f>
        <v>0</v>
      </c>
      <c r="H6957" s="16" cm="1">
        <f t="array" ref="H6957">SUM(H6955:H6956)</f>
        <v>0</v>
      </c>
      <c r="I6957" s="16" cm="1">
        <f t="array" ref="I6957">SUM(I6955:I6956)</f>
        <v>0</v>
      </c>
    </row>
    <row r="6958" ht="21.25" customHeight="1">
      <c r="A6958" s="10">
        <v>45737</v>
      </c>
      <c r="B6958" t="s" s="11">
        <v>121</v>
      </c>
      <c r="C6958" t="s" s="12">
        <v>1001</v>
      </c>
      <c r="D6958" s="17"/>
      <c r="E6958" s="17">
        <v>8500</v>
      </c>
      <c r="F6958" s="18"/>
      <c r="G6958" s="18"/>
      <c r="H6958" s="18"/>
      <c r="I6958" s="18"/>
    </row>
    <row r="6959" ht="20.9" customHeight="1">
      <c r="A6959" s="10">
        <v>45737</v>
      </c>
      <c r="B6959" t="s" s="11">
        <v>10</v>
      </c>
      <c r="C6959" t="s" s="12">
        <v>1001</v>
      </c>
      <c r="D6959" s="19">
        <v>4050</v>
      </c>
      <c r="E6959" s="19"/>
      <c r="F6959" s="20"/>
      <c r="G6959" s="20"/>
      <c r="H6959" s="20"/>
      <c r="I6959" s="20"/>
    </row>
    <row r="6960" ht="21.25" customHeight="1">
      <c r="A6960" s="10">
        <v>45737</v>
      </c>
      <c r="B6960" t="s" s="11">
        <v>12</v>
      </c>
      <c r="C6960" t="s" s="12">
        <v>1001</v>
      </c>
      <c r="D6960" s="13">
        <v>4450</v>
      </c>
      <c r="E6960" s="13"/>
      <c r="F6960" s="14"/>
      <c r="G6960" s="14"/>
      <c r="H6960" s="14"/>
      <c r="I6960" s="14"/>
    </row>
    <row r="6961" ht="20.7" customHeight="1">
      <c r="A6961" s="10">
        <v>45737</v>
      </c>
      <c r="B6961" t="s" s="11">
        <v>8</v>
      </c>
      <c r="C6961" t="s" s="12">
        <v>8</v>
      </c>
      <c r="D6961" s="15" cm="1">
        <f t="array" ref="D6961">SUM(D6958:D6960)</f>
        <v>8500</v>
      </c>
      <c r="E6961" s="15" cm="1">
        <f t="array" ref="E6961">SUM(E6958:E6960)</f>
        <v>8500</v>
      </c>
      <c r="F6961" s="16" cm="1">
        <f t="array" ref="F6961">SUM(F6958:F6960)</f>
        <v>0</v>
      </c>
      <c r="G6961" s="16" cm="1">
        <f t="array" ref="G6961">SUM(G6958:G6960)</f>
        <v>0</v>
      </c>
      <c r="H6961" s="16" cm="1">
        <f t="array" ref="H6961">SUM(H6958:H6960)</f>
        <v>0</v>
      </c>
      <c r="I6961" s="16" cm="1">
        <f t="array" ref="I6961">SUM(I6958:I6960)</f>
        <v>0</v>
      </c>
    </row>
    <row r="6962" ht="21.25" customHeight="1">
      <c r="A6962" s="10">
        <v>45737</v>
      </c>
      <c r="B6962" t="s" s="11">
        <v>5</v>
      </c>
      <c r="C6962" t="s" s="12">
        <v>799</v>
      </c>
      <c r="D6962" s="17">
        <v>2</v>
      </c>
      <c r="E6962" s="17"/>
      <c r="F6962" s="18"/>
      <c r="G6962" s="18"/>
      <c r="H6962" s="18"/>
      <c r="I6962" s="18"/>
    </row>
    <row r="6963" ht="21.25" customHeight="1">
      <c r="A6963" s="10">
        <v>45737</v>
      </c>
      <c r="B6963" t="s" s="11">
        <v>91</v>
      </c>
      <c r="C6963" t="s" s="12">
        <v>799</v>
      </c>
      <c r="D6963" s="13"/>
      <c r="E6963" s="13">
        <v>2</v>
      </c>
      <c r="F6963" s="14"/>
      <c r="G6963" s="14"/>
      <c r="H6963" s="14"/>
      <c r="I6963" s="14"/>
    </row>
    <row r="6964" ht="20.7" customHeight="1">
      <c r="A6964" s="10">
        <v>45737</v>
      </c>
      <c r="B6964" t="s" s="11">
        <v>8</v>
      </c>
      <c r="C6964" t="s" s="12">
        <v>8</v>
      </c>
      <c r="D6964" s="15" cm="1">
        <f t="array" ref="D6964">SUM(D6962:D6963)</f>
        <v>2</v>
      </c>
      <c r="E6964" s="15" cm="1">
        <f t="array" ref="E6964">SUM(E6962:E6963)</f>
        <v>2</v>
      </c>
      <c r="F6964" s="16" cm="1">
        <f t="array" ref="F6964">SUM(F6962:F6963)</f>
        <v>0</v>
      </c>
      <c r="G6964" s="16" cm="1">
        <f t="array" ref="G6964">SUM(G6962:G6963)</f>
        <v>0</v>
      </c>
      <c r="H6964" s="16" cm="1">
        <f t="array" ref="H6964">SUM(H6962:H6963)</f>
        <v>0</v>
      </c>
      <c r="I6964" s="16" cm="1">
        <f t="array" ref="I6964">SUM(I6962:I6963)</f>
        <v>0</v>
      </c>
    </row>
    <row r="6965" ht="21.25" customHeight="1">
      <c r="A6965" s="10">
        <v>45737</v>
      </c>
      <c r="B6965" t="s" s="11">
        <v>121</v>
      </c>
      <c r="C6965" t="s" s="12">
        <v>996</v>
      </c>
      <c r="D6965" s="17">
        <v>132100</v>
      </c>
      <c r="E6965" s="17"/>
      <c r="F6965" s="18"/>
      <c r="G6965" s="18"/>
      <c r="H6965" s="18"/>
      <c r="I6965" s="18"/>
    </row>
    <row r="6966" ht="21.25" customHeight="1">
      <c r="A6966" s="10">
        <v>45737</v>
      </c>
      <c r="B6966" t="s" s="11">
        <v>89</v>
      </c>
      <c r="C6966" t="s" s="12">
        <v>996</v>
      </c>
      <c r="D6966" s="13"/>
      <c r="E6966" s="13">
        <v>132100</v>
      </c>
      <c r="F6966" s="14"/>
      <c r="G6966" s="14"/>
      <c r="H6966" s="14"/>
      <c r="I6966" s="14"/>
    </row>
    <row r="6967" ht="20.7" customHeight="1">
      <c r="A6967" s="10">
        <v>45737</v>
      </c>
      <c r="B6967" t="s" s="11">
        <v>8</v>
      </c>
      <c r="C6967" t="s" s="12">
        <v>8</v>
      </c>
      <c r="D6967" s="15" cm="1">
        <f t="array" ref="D6967">SUM(D6965:D6966)</f>
        <v>132100</v>
      </c>
      <c r="E6967" s="15" cm="1">
        <f t="array" ref="E6967">SUM(E6965:E6966)</f>
        <v>132100</v>
      </c>
      <c r="F6967" s="16" cm="1">
        <f t="array" ref="F6967">SUM(F6965:F6966)</f>
        <v>0</v>
      </c>
      <c r="G6967" s="16" cm="1">
        <f t="array" ref="G6967">SUM(G6965:G6966)</f>
        <v>0</v>
      </c>
      <c r="H6967" s="16" cm="1">
        <f t="array" ref="H6967">SUM(H6965:H6966)</f>
        <v>0</v>
      </c>
      <c r="I6967" s="16" cm="1">
        <f t="array" ref="I6967">SUM(I6965:I6966)</f>
        <v>0</v>
      </c>
    </row>
    <row r="6968" ht="21.25" customHeight="1">
      <c r="A6968" s="10">
        <v>45737</v>
      </c>
      <c r="B6968" t="s" s="11">
        <v>89</v>
      </c>
      <c r="C6968" t="s" s="12">
        <v>994</v>
      </c>
      <c r="D6968" s="17"/>
      <c r="E6968" s="17">
        <v>6400</v>
      </c>
      <c r="F6968" s="18"/>
      <c r="G6968" s="18"/>
      <c r="H6968" s="18"/>
      <c r="I6968" s="18"/>
    </row>
    <row r="6969" ht="21.25" customHeight="1">
      <c r="A6969" s="10">
        <v>45737</v>
      </c>
      <c r="B6969" t="s" s="11">
        <v>10</v>
      </c>
      <c r="C6969" t="s" s="12">
        <v>994</v>
      </c>
      <c r="D6969" s="13">
        <v>6400</v>
      </c>
      <c r="E6969" s="13"/>
      <c r="F6969" s="14"/>
      <c r="G6969" s="14"/>
      <c r="H6969" s="14"/>
      <c r="I6969" s="14"/>
    </row>
    <row r="6970" ht="20.7" customHeight="1">
      <c r="A6970" s="10">
        <v>45737</v>
      </c>
      <c r="B6970" t="s" s="11">
        <v>8</v>
      </c>
      <c r="C6970" t="s" s="12">
        <v>8</v>
      </c>
      <c r="D6970" s="15" cm="1">
        <f t="array" ref="D6970">SUM(D6968:D6969)</f>
        <v>6400</v>
      </c>
      <c r="E6970" s="15" cm="1">
        <f t="array" ref="E6970">SUM(E6968:E6969)</f>
        <v>6400</v>
      </c>
      <c r="F6970" s="16" cm="1">
        <f t="array" ref="F6970">SUM(F6968:F6969)</f>
        <v>0</v>
      </c>
      <c r="G6970" s="16" cm="1">
        <f t="array" ref="G6970">SUM(G6968:G6969)</f>
        <v>0</v>
      </c>
      <c r="H6970" s="16" cm="1">
        <f t="array" ref="H6970">SUM(H6968:H6969)</f>
        <v>0</v>
      </c>
      <c r="I6970" s="16" cm="1">
        <f t="array" ref="I6970">SUM(I6968:I6969)</f>
        <v>0</v>
      </c>
    </row>
    <row r="6971" ht="20.35" customHeight="1">
      <c r="A6971" s="10">
        <v>45737</v>
      </c>
      <c r="B6971" t="s" s="11">
        <v>28</v>
      </c>
      <c r="C6971" t="s" s="12">
        <v>1002</v>
      </c>
      <c r="D6971" s="17">
        <v>35000</v>
      </c>
      <c r="E6971" s="17"/>
      <c r="F6971" s="18"/>
      <c r="G6971" s="18"/>
      <c r="H6971" s="18"/>
      <c r="I6971" s="18"/>
    </row>
    <row r="6972" ht="20.35" customHeight="1">
      <c r="A6972" s="10">
        <v>45737</v>
      </c>
      <c r="B6972" t="s" s="11">
        <v>21</v>
      </c>
      <c r="C6972" t="s" s="12">
        <v>1002</v>
      </c>
      <c r="D6972" s="13"/>
      <c r="E6972" s="13">
        <v>35000</v>
      </c>
      <c r="F6972" s="14"/>
      <c r="G6972" s="14"/>
      <c r="H6972" s="14"/>
      <c r="I6972" s="14"/>
    </row>
    <row r="6973" ht="20.7" customHeight="1">
      <c r="A6973" s="10">
        <v>45737</v>
      </c>
      <c r="B6973" t="s" s="11">
        <v>8</v>
      </c>
      <c r="C6973" t="s" s="12">
        <v>8</v>
      </c>
      <c r="D6973" s="15" cm="1">
        <f t="array" ref="D6973">SUM(D6971:D6972)</f>
        <v>35000</v>
      </c>
      <c r="E6973" s="15" cm="1">
        <f t="array" ref="E6973">SUM(E6971:E6972)</f>
        <v>35000</v>
      </c>
      <c r="F6973" s="16" cm="1">
        <f t="array" ref="F6973">SUM(F6971:F6972)</f>
        <v>0</v>
      </c>
      <c r="G6973" s="16" cm="1">
        <f t="array" ref="G6973">SUM(G6971:G6972)</f>
        <v>0</v>
      </c>
      <c r="H6973" s="16" cm="1">
        <f t="array" ref="H6973">SUM(H6971:H6972)</f>
        <v>0</v>
      </c>
      <c r="I6973" s="16" cm="1">
        <f t="array" ref="I6973">SUM(I6971:I6972)</f>
        <v>0</v>
      </c>
    </row>
    <row r="6974" ht="20.35" customHeight="1">
      <c r="A6974" s="10">
        <v>45737</v>
      </c>
      <c r="B6974" t="s" s="11">
        <v>28</v>
      </c>
      <c r="C6974" t="s" s="12">
        <v>96</v>
      </c>
      <c r="D6974" s="17"/>
      <c r="E6974" s="17">
        <v>30000</v>
      </c>
      <c r="F6974" s="18"/>
      <c r="G6974" s="18"/>
      <c r="H6974" s="18"/>
      <c r="I6974" s="18"/>
    </row>
    <row r="6975" ht="20.35" customHeight="1">
      <c r="A6975" s="10">
        <v>45737</v>
      </c>
      <c r="B6975" t="s" s="11">
        <v>5</v>
      </c>
      <c r="C6975" t="s" s="12">
        <v>96</v>
      </c>
      <c r="D6975" s="13">
        <v>30000</v>
      </c>
      <c r="E6975" s="13"/>
      <c r="F6975" s="14"/>
      <c r="G6975" s="14"/>
      <c r="H6975" s="14"/>
      <c r="I6975" s="14"/>
    </row>
    <row r="6976" ht="20.7" customHeight="1">
      <c r="A6976" s="10">
        <v>45737</v>
      </c>
      <c r="B6976" t="s" s="11">
        <v>8</v>
      </c>
      <c r="C6976" t="s" s="12">
        <v>8</v>
      </c>
      <c r="D6976" s="15" cm="1">
        <f t="array" ref="D6976">SUM(D6974:D6975)</f>
        <v>30000</v>
      </c>
      <c r="E6976" s="15" cm="1">
        <f t="array" ref="E6976">SUM(E6974:E6975)</f>
        <v>30000</v>
      </c>
      <c r="F6976" s="16" cm="1">
        <f t="array" ref="F6976">SUM(F6974:F6975)</f>
        <v>0</v>
      </c>
      <c r="G6976" s="16" cm="1">
        <f t="array" ref="G6976">SUM(G6974:G6975)</f>
        <v>0</v>
      </c>
      <c r="H6976" s="16" cm="1">
        <f t="array" ref="H6976">SUM(H6974:H6975)</f>
        <v>0</v>
      </c>
      <c r="I6976" s="16" cm="1">
        <f t="array" ref="I6976">SUM(I6974:I6975)</f>
        <v>0</v>
      </c>
    </row>
    <row r="6977" ht="20.35" customHeight="1">
      <c r="A6977" s="10">
        <v>45737</v>
      </c>
      <c r="B6977" t="s" s="11">
        <v>121</v>
      </c>
      <c r="C6977" t="s" s="12">
        <v>96</v>
      </c>
      <c r="D6977" s="17"/>
      <c r="E6977" s="17">
        <v>5000</v>
      </c>
      <c r="F6977" s="18"/>
      <c r="G6977" s="18"/>
      <c r="H6977" s="18"/>
      <c r="I6977" s="18"/>
    </row>
    <row r="6978" ht="20.35" customHeight="1">
      <c r="A6978" s="10">
        <v>45737</v>
      </c>
      <c r="B6978" t="s" s="11">
        <v>5</v>
      </c>
      <c r="C6978" t="s" s="12">
        <v>96</v>
      </c>
      <c r="D6978" s="13">
        <v>5000</v>
      </c>
      <c r="E6978" s="13"/>
      <c r="F6978" s="14"/>
      <c r="G6978" s="14"/>
      <c r="H6978" s="14"/>
      <c r="I6978" s="14"/>
    </row>
    <row r="6979" ht="20.7" customHeight="1">
      <c r="A6979" s="10">
        <v>45737</v>
      </c>
      <c r="B6979" t="s" s="11">
        <v>8</v>
      </c>
      <c r="C6979" t="s" s="12">
        <v>8</v>
      </c>
      <c r="D6979" s="15" cm="1">
        <f t="array" ref="D6979">SUM(D6977:D6978)</f>
        <v>5000</v>
      </c>
      <c r="E6979" s="15" cm="1">
        <f t="array" ref="E6979">SUM(E6977:E6978)</f>
        <v>5000</v>
      </c>
      <c r="F6979" s="16" cm="1">
        <f t="array" ref="F6979">SUM(F6977:F6978)</f>
        <v>0</v>
      </c>
      <c r="G6979" s="16" cm="1">
        <f t="array" ref="G6979">SUM(G6977:G6978)</f>
        <v>0</v>
      </c>
      <c r="H6979" s="16" cm="1">
        <f t="array" ref="H6979">SUM(H6977:H6978)</f>
        <v>0</v>
      </c>
      <c r="I6979" s="16" cm="1">
        <f t="array" ref="I6979">SUM(I6977:I6978)</f>
        <v>0</v>
      </c>
    </row>
    <row r="6980" ht="20.35" customHeight="1">
      <c r="A6980" s="10">
        <v>45737</v>
      </c>
      <c r="B6980" t="s" s="11">
        <v>5</v>
      </c>
      <c r="C6980" t="s" s="12">
        <v>1002</v>
      </c>
      <c r="D6980" s="17"/>
      <c r="E6980" s="17">
        <v>35000</v>
      </c>
      <c r="F6980" s="18"/>
      <c r="G6980" s="18"/>
      <c r="H6980" s="18"/>
      <c r="I6980" s="18"/>
    </row>
    <row r="6981" ht="20.35" customHeight="1">
      <c r="A6981" s="10">
        <v>45737</v>
      </c>
      <c r="B6981" t="s" s="11">
        <v>21</v>
      </c>
      <c r="C6981" t="s" s="12">
        <v>1002</v>
      </c>
      <c r="D6981" s="13">
        <v>35000</v>
      </c>
      <c r="E6981" s="13"/>
      <c r="F6981" s="14"/>
      <c r="G6981" s="14"/>
      <c r="H6981" s="14"/>
      <c r="I6981" s="14"/>
    </row>
    <row r="6982" ht="20.7" customHeight="1">
      <c r="A6982" s="10">
        <v>45737</v>
      </c>
      <c r="B6982" t="s" s="11">
        <v>8</v>
      </c>
      <c r="C6982" t="s" s="12">
        <v>8</v>
      </c>
      <c r="D6982" s="15" cm="1">
        <f t="array" ref="D6982">SUM(D6980:D6981)</f>
        <v>35000</v>
      </c>
      <c r="E6982" s="15" cm="1">
        <f t="array" ref="E6982">SUM(E6980:E6981)</f>
        <v>35000</v>
      </c>
      <c r="F6982" s="16" cm="1">
        <f t="array" ref="F6982">SUM(F6980:F6981)</f>
        <v>0</v>
      </c>
      <c r="G6982" s="16" cm="1">
        <f t="array" ref="G6982">SUM(G6980:G6981)</f>
        <v>0</v>
      </c>
      <c r="H6982" s="16" cm="1">
        <f t="array" ref="H6982">SUM(H6980:H6981)</f>
        <v>0</v>
      </c>
      <c r="I6982" s="16" cm="1">
        <f t="array" ref="I6982">SUM(I6980:I6981)</f>
        <v>0</v>
      </c>
    </row>
    <row r="6983" ht="20.35" customHeight="1">
      <c r="A6983" s="10">
        <v>45737</v>
      </c>
      <c r="B6983" t="s" s="11">
        <v>121</v>
      </c>
      <c r="C6983" t="s" s="12">
        <v>314</v>
      </c>
      <c r="D6983" s="17"/>
      <c r="E6983" s="17">
        <v>35000</v>
      </c>
      <c r="F6983" s="18"/>
      <c r="G6983" s="18"/>
      <c r="H6983" s="18"/>
      <c r="I6983" s="18"/>
    </row>
    <row r="6984" ht="20.35" customHeight="1">
      <c r="A6984" s="10">
        <v>45737</v>
      </c>
      <c r="B6984" t="s" s="11">
        <v>10</v>
      </c>
      <c r="C6984" t="s" s="12">
        <v>314</v>
      </c>
      <c r="D6984" s="13">
        <v>35000</v>
      </c>
      <c r="E6984" s="13"/>
      <c r="F6984" s="14"/>
      <c r="G6984" s="14"/>
      <c r="H6984" s="14"/>
      <c r="I6984" s="14"/>
    </row>
    <row r="6985" ht="20.7" customHeight="1">
      <c r="A6985" s="10">
        <v>45737</v>
      </c>
      <c r="B6985" t="s" s="11">
        <v>8</v>
      </c>
      <c r="C6985" t="s" s="12">
        <v>8</v>
      </c>
      <c r="D6985" s="15" cm="1">
        <f t="array" ref="D6985">SUM(D6983:D6984)</f>
        <v>35000</v>
      </c>
      <c r="E6985" s="15" cm="1">
        <f t="array" ref="E6985">SUM(E6983:E6984)</f>
        <v>35000</v>
      </c>
      <c r="F6985" s="16" cm="1">
        <f t="array" ref="F6985">SUM(F6983:F6984)</f>
        <v>0</v>
      </c>
      <c r="G6985" s="16" cm="1">
        <f t="array" ref="G6985">SUM(G6983:G6984)</f>
        <v>0</v>
      </c>
      <c r="H6985" s="16" cm="1">
        <f t="array" ref="H6985">SUM(H6983:H6984)</f>
        <v>0</v>
      </c>
      <c r="I6985" s="16" cm="1">
        <f t="array" ref="I6985">SUM(I6983:I6984)</f>
        <v>0</v>
      </c>
    </row>
    <row r="6986" ht="21.25" customHeight="1">
      <c r="A6986" s="10">
        <v>45738</v>
      </c>
      <c r="B6986" t="s" s="11">
        <v>121</v>
      </c>
      <c r="C6986" t="s" s="12">
        <v>799</v>
      </c>
      <c r="D6986" s="17">
        <v>1</v>
      </c>
      <c r="E6986" s="17"/>
      <c r="F6986" s="18"/>
      <c r="G6986" s="18"/>
      <c r="H6986" s="18"/>
      <c r="I6986" s="18"/>
    </row>
    <row r="6987" ht="21.25" customHeight="1">
      <c r="A6987" s="10">
        <v>45738</v>
      </c>
      <c r="B6987" t="s" s="11">
        <v>91</v>
      </c>
      <c r="C6987" t="s" s="12">
        <v>799</v>
      </c>
      <c r="D6987" s="13"/>
      <c r="E6987" s="13">
        <v>1</v>
      </c>
      <c r="F6987" s="14"/>
      <c r="G6987" s="14"/>
      <c r="H6987" s="14"/>
      <c r="I6987" s="14"/>
    </row>
    <row r="6988" ht="20.7" customHeight="1">
      <c r="A6988" s="10">
        <v>45738</v>
      </c>
      <c r="B6988" t="s" s="11">
        <v>8</v>
      </c>
      <c r="C6988" t="s" s="12">
        <v>8</v>
      </c>
      <c r="D6988" s="15" cm="1">
        <f t="array" ref="D6988">SUM(D6986:D6987)</f>
        <v>1</v>
      </c>
      <c r="E6988" s="15" cm="1">
        <f t="array" ref="E6988">SUM(E6986:E6987)</f>
        <v>1</v>
      </c>
      <c r="F6988" s="16" cm="1">
        <f t="array" ref="F6988">SUM(F6986:F6987)</f>
        <v>0</v>
      </c>
      <c r="G6988" s="16" cm="1">
        <f t="array" ref="G6988">SUM(G6986:G6987)</f>
        <v>0</v>
      </c>
      <c r="H6988" s="16" cm="1">
        <f t="array" ref="H6988">SUM(H6986:H6987)</f>
        <v>0</v>
      </c>
      <c r="I6988" s="16" cm="1">
        <f t="array" ref="I6988">SUM(I6986:I6987)</f>
        <v>0</v>
      </c>
    </row>
    <row r="6989" ht="20.65" customHeight="1">
      <c r="A6989" s="10">
        <v>45738</v>
      </c>
      <c r="B6989" t="s" s="11">
        <v>843</v>
      </c>
      <c r="C6989" t="s" s="12">
        <v>820</v>
      </c>
      <c r="D6989" s="17">
        <v>4</v>
      </c>
      <c r="E6989" s="17"/>
      <c r="F6989" s="18"/>
      <c r="G6989" s="18"/>
      <c r="H6989" s="18"/>
      <c r="I6989" s="18"/>
    </row>
    <row r="6990" ht="20.65" customHeight="1">
      <c r="A6990" s="10">
        <v>45738</v>
      </c>
      <c r="B6990" t="s" s="11">
        <v>91</v>
      </c>
      <c r="C6990" t="s" s="12">
        <v>820</v>
      </c>
      <c r="D6990" s="13"/>
      <c r="E6990" s="13">
        <v>4</v>
      </c>
      <c r="F6990" s="14"/>
      <c r="G6990" s="14"/>
      <c r="H6990" s="14"/>
      <c r="I6990" s="14"/>
    </row>
    <row r="6991" ht="20.7" customHeight="1">
      <c r="A6991" s="10">
        <v>45738</v>
      </c>
      <c r="B6991" t="s" s="11">
        <v>8</v>
      </c>
      <c r="C6991" t="s" s="12">
        <v>8</v>
      </c>
      <c r="D6991" s="15">
        <v>4</v>
      </c>
      <c r="E6991" s="15">
        <v>4</v>
      </c>
      <c r="F6991" s="16" cm="1">
        <f t="array" ref="F6991">SUM(F6989:F6990)</f>
        <v>0</v>
      </c>
      <c r="G6991" s="16" cm="1">
        <f t="array" ref="G6991">SUM(G6989:G6990)</f>
        <v>0</v>
      </c>
      <c r="H6991" s="16" cm="1">
        <f t="array" ref="H6991">SUM(H6989:H6990)</f>
        <v>0</v>
      </c>
      <c r="I6991" s="16" cm="1">
        <f t="array" ref="I6991">SUM(I6989:I6990)</f>
        <v>0</v>
      </c>
    </row>
    <row r="6992" ht="20.65" customHeight="1">
      <c r="A6992" s="10">
        <v>45738</v>
      </c>
      <c r="B6992" t="s" s="11">
        <v>814</v>
      </c>
      <c r="C6992" t="s" s="12">
        <v>820</v>
      </c>
      <c r="D6992" s="17">
        <v>168</v>
      </c>
      <c r="E6992" s="17"/>
      <c r="F6992" s="18"/>
      <c r="G6992" s="18"/>
      <c r="H6992" s="18"/>
      <c r="I6992" s="18"/>
    </row>
    <row r="6993" ht="20.65" customHeight="1">
      <c r="A6993" s="10">
        <v>45738</v>
      </c>
      <c r="B6993" t="s" s="11">
        <v>91</v>
      </c>
      <c r="C6993" t="s" s="12">
        <v>820</v>
      </c>
      <c r="D6993" s="13"/>
      <c r="E6993" s="13">
        <v>168</v>
      </c>
      <c r="F6993" s="14"/>
      <c r="G6993" s="14"/>
      <c r="H6993" s="14"/>
      <c r="I6993" s="14"/>
    </row>
    <row r="6994" ht="20.7" customHeight="1">
      <c r="A6994" s="10">
        <v>45738</v>
      </c>
      <c r="B6994" t="s" s="11">
        <v>8</v>
      </c>
      <c r="C6994" t="s" s="12">
        <v>8</v>
      </c>
      <c r="D6994" s="15" cm="1">
        <f t="array" ref="D6994">SUM(D6992:D6993)</f>
        <v>168</v>
      </c>
      <c r="E6994" s="15" cm="1">
        <f t="array" ref="E6994">SUM(E6992:E6993)</f>
        <v>168</v>
      </c>
      <c r="F6994" s="16" cm="1">
        <f t="array" ref="F6994">SUM(F6992:F6993)</f>
        <v>0</v>
      </c>
      <c r="G6994" s="16" cm="1">
        <f t="array" ref="G6994">SUM(G6992:G6993)</f>
        <v>0</v>
      </c>
      <c r="H6994" s="16" cm="1">
        <f t="array" ref="H6994">SUM(H6992:H6993)</f>
        <v>0</v>
      </c>
      <c r="I6994" s="16" cm="1">
        <f t="array" ref="I6994">SUM(I6992:I6993)</f>
        <v>0</v>
      </c>
    </row>
    <row r="6995" ht="21.25" customHeight="1">
      <c r="A6995" s="10">
        <v>45738</v>
      </c>
      <c r="B6995" t="s" s="11">
        <v>121</v>
      </c>
      <c r="C6995" t="s" s="12">
        <v>1003</v>
      </c>
      <c r="D6995" s="17"/>
      <c r="E6995" s="17">
        <v>6000</v>
      </c>
      <c r="F6995" s="18"/>
      <c r="G6995" s="18"/>
      <c r="H6995" s="18"/>
      <c r="I6995" s="18"/>
    </row>
    <row r="6996" ht="21.25" customHeight="1">
      <c r="A6996" s="10">
        <v>45738</v>
      </c>
      <c r="B6996" t="s" s="11">
        <v>10</v>
      </c>
      <c r="C6996" t="s" s="12">
        <v>1003</v>
      </c>
      <c r="D6996" s="13">
        <v>6000</v>
      </c>
      <c r="E6996" s="13"/>
      <c r="F6996" s="14"/>
      <c r="G6996" s="14"/>
      <c r="H6996" s="14"/>
      <c r="I6996" s="14"/>
    </row>
    <row r="6997" ht="20.7" customHeight="1">
      <c r="A6997" s="10">
        <v>45738</v>
      </c>
      <c r="B6997" t="s" s="11">
        <v>8</v>
      </c>
      <c r="C6997" t="s" s="12">
        <v>8</v>
      </c>
      <c r="D6997" s="15" cm="1">
        <f t="array" ref="D6997">SUM(D6995:D6996)</f>
        <v>6000</v>
      </c>
      <c r="E6997" s="15" cm="1">
        <f t="array" ref="E6997">SUM(E6995:E6996)</f>
        <v>6000</v>
      </c>
      <c r="F6997" s="16" cm="1">
        <f t="array" ref="F6997">SUM(F6995:F6996)</f>
        <v>0</v>
      </c>
      <c r="G6997" s="16" cm="1">
        <f t="array" ref="G6997">SUM(G6995:G6996)</f>
        <v>0</v>
      </c>
      <c r="H6997" s="16" cm="1">
        <f t="array" ref="H6997">SUM(H6995:H6996)</f>
        <v>0</v>
      </c>
      <c r="I6997" s="16" cm="1">
        <f t="array" ref="I6997">SUM(I6995:I6996)</f>
        <v>0</v>
      </c>
    </row>
    <row r="6998" ht="20.65" customHeight="1">
      <c r="A6998" s="10">
        <v>45738</v>
      </c>
      <c r="B6998" t="s" s="11">
        <v>121</v>
      </c>
      <c r="C6998" t="s" s="12">
        <v>363</v>
      </c>
      <c r="D6998" s="17"/>
      <c r="E6998" s="17">
        <v>15000</v>
      </c>
      <c r="F6998" s="18"/>
      <c r="G6998" s="18"/>
      <c r="H6998" s="18"/>
      <c r="I6998" s="18"/>
    </row>
    <row r="6999" ht="20.65" customHeight="1">
      <c r="A6999" s="10">
        <v>45738</v>
      </c>
      <c r="B6999" t="s" s="11">
        <v>12</v>
      </c>
      <c r="C6999" t="s" s="12">
        <v>363</v>
      </c>
      <c r="D6999" s="13">
        <v>15000</v>
      </c>
      <c r="E6999" s="13"/>
      <c r="F6999" s="14"/>
      <c r="G6999" s="14"/>
      <c r="H6999" s="14"/>
      <c r="I6999" s="14"/>
    </row>
    <row r="7000" ht="20.7" customHeight="1">
      <c r="A7000" s="10">
        <v>45738</v>
      </c>
      <c r="B7000" t="s" s="11">
        <v>8</v>
      </c>
      <c r="C7000" t="s" s="12">
        <v>8</v>
      </c>
      <c r="D7000" s="15" cm="1">
        <f t="array" ref="D7000">SUM(D6998:D6999)</f>
        <v>15000</v>
      </c>
      <c r="E7000" s="15" cm="1">
        <f t="array" ref="E7000">SUM(E6998:E6999)</f>
        <v>15000</v>
      </c>
      <c r="F7000" s="16" cm="1">
        <f t="array" ref="F7000">SUM(F6998:F6999)</f>
        <v>0</v>
      </c>
      <c r="G7000" s="16" cm="1">
        <f t="array" ref="G7000">SUM(G6998:G6999)</f>
        <v>0</v>
      </c>
      <c r="H7000" s="16" cm="1">
        <f t="array" ref="H7000">SUM(H6998:H6999)</f>
        <v>0</v>
      </c>
      <c r="I7000" s="16" cm="1">
        <f t="array" ref="I7000">SUM(I6998:I6999)</f>
        <v>0</v>
      </c>
    </row>
    <row r="7001" ht="20.35" customHeight="1">
      <c r="A7001" s="10">
        <v>45738</v>
      </c>
      <c r="B7001" t="s" s="11">
        <v>93</v>
      </c>
      <c r="C7001" t="s" s="12">
        <v>344</v>
      </c>
      <c r="D7001" s="17">
        <v>6000</v>
      </c>
      <c r="E7001" s="17"/>
      <c r="F7001" s="18"/>
      <c r="G7001" s="18"/>
      <c r="H7001" s="18"/>
      <c r="I7001" s="18"/>
    </row>
    <row r="7002" ht="20.35" customHeight="1">
      <c r="A7002" s="10">
        <v>45738</v>
      </c>
      <c r="B7002" t="s" s="11">
        <v>21</v>
      </c>
      <c r="C7002" t="s" s="12">
        <v>344</v>
      </c>
      <c r="D7002" s="13"/>
      <c r="E7002" s="13">
        <v>6000</v>
      </c>
      <c r="F7002" s="14"/>
      <c r="G7002" s="14"/>
      <c r="H7002" s="14"/>
      <c r="I7002" s="14"/>
    </row>
    <row r="7003" ht="20.7" customHeight="1">
      <c r="A7003" s="10">
        <v>45738</v>
      </c>
      <c r="B7003" t="s" s="11">
        <v>8</v>
      </c>
      <c r="C7003" t="s" s="12">
        <v>8</v>
      </c>
      <c r="D7003" s="15" cm="1">
        <f t="array" ref="D7003">SUM(D7001:D7002)</f>
        <v>6000</v>
      </c>
      <c r="E7003" s="15" cm="1">
        <f t="array" ref="E7003">SUM(E7001:E7002)</f>
        <v>6000</v>
      </c>
      <c r="F7003" s="16" cm="1">
        <f t="array" ref="F7003">SUM(F7001:F7002)</f>
        <v>0</v>
      </c>
      <c r="G7003" s="16" cm="1">
        <f t="array" ref="G7003">SUM(G7001:G7002)</f>
        <v>0</v>
      </c>
      <c r="H7003" s="16" cm="1">
        <f t="array" ref="H7003">SUM(H7001:H7002)</f>
        <v>0</v>
      </c>
      <c r="I7003" s="16" cm="1">
        <f t="array" ref="I7003">SUM(I7001:I7002)</f>
        <v>0</v>
      </c>
    </row>
    <row r="7004" ht="20.35" customHeight="1">
      <c r="A7004" s="10">
        <v>45738</v>
      </c>
      <c r="B7004" t="s" s="11">
        <v>93</v>
      </c>
      <c r="C7004" t="s" s="12">
        <v>273</v>
      </c>
      <c r="D7004" s="17"/>
      <c r="E7004" s="17">
        <v>12000</v>
      </c>
      <c r="F7004" s="18"/>
      <c r="G7004" s="18"/>
      <c r="H7004" s="18"/>
      <c r="I7004" s="18"/>
    </row>
    <row r="7005" ht="20.05" customHeight="1">
      <c r="A7005" s="10">
        <v>45738</v>
      </c>
      <c r="B7005" t="s" s="11">
        <v>21</v>
      </c>
      <c r="C7005" t="s" s="12">
        <v>273</v>
      </c>
      <c r="D7005" s="19">
        <v>6000</v>
      </c>
      <c r="E7005" s="19"/>
      <c r="F7005" s="20"/>
      <c r="G7005" s="20"/>
      <c r="H7005" s="20"/>
      <c r="I7005" s="20"/>
    </row>
    <row r="7006" ht="20.35" customHeight="1">
      <c r="A7006" s="10">
        <v>45738</v>
      </c>
      <c r="B7006" t="s" s="11">
        <v>10</v>
      </c>
      <c r="C7006" t="s" s="12">
        <v>273</v>
      </c>
      <c r="D7006" s="13">
        <v>6000</v>
      </c>
      <c r="E7006" s="13"/>
      <c r="F7006" s="14"/>
      <c r="G7006" s="14"/>
      <c r="H7006" s="14"/>
      <c r="I7006" s="14"/>
    </row>
    <row r="7007" ht="20.7" customHeight="1">
      <c r="A7007" s="10">
        <v>45738</v>
      </c>
      <c r="B7007" t="s" s="11">
        <v>8</v>
      </c>
      <c r="C7007" t="s" s="12">
        <v>8</v>
      </c>
      <c r="D7007" s="15" cm="1">
        <f t="array" ref="D7007">SUM(D7004:D7006)</f>
        <v>12000</v>
      </c>
      <c r="E7007" s="15" cm="1">
        <f t="array" ref="E7007">SUM(E7004:E7006)</f>
        <v>12000</v>
      </c>
      <c r="F7007" s="16" cm="1">
        <f t="array" ref="F7007">SUM(F7004:F7006)</f>
        <v>0</v>
      </c>
      <c r="G7007" s="16" cm="1">
        <f t="array" ref="G7007">SUM(G7004:G7006)</f>
        <v>0</v>
      </c>
      <c r="H7007" s="16" cm="1">
        <f t="array" ref="H7007">SUM(H7004:H7006)</f>
        <v>0</v>
      </c>
      <c r="I7007" s="16" cm="1">
        <f t="array" ref="I7007">SUM(I7004:I7006)</f>
        <v>0</v>
      </c>
    </row>
    <row r="7008" ht="21.25" customHeight="1">
      <c r="A7008" s="10">
        <v>45738</v>
      </c>
      <c r="B7008" t="s" s="11">
        <v>121</v>
      </c>
      <c r="C7008" t="s" s="12">
        <v>1004</v>
      </c>
      <c r="D7008" s="17"/>
      <c r="E7008" s="17">
        <v>4000</v>
      </c>
      <c r="F7008" s="18"/>
      <c r="G7008" s="18"/>
      <c r="H7008" s="18"/>
      <c r="I7008" s="18"/>
    </row>
    <row r="7009" ht="21.25" customHeight="1">
      <c r="A7009" s="10">
        <v>45738</v>
      </c>
      <c r="B7009" t="s" s="11">
        <v>12</v>
      </c>
      <c r="C7009" t="s" s="12">
        <v>1004</v>
      </c>
      <c r="D7009" s="13">
        <v>4000</v>
      </c>
      <c r="E7009" s="13"/>
      <c r="F7009" s="14"/>
      <c r="G7009" s="14"/>
      <c r="H7009" s="14"/>
      <c r="I7009" s="14"/>
    </row>
    <row r="7010" ht="20.7" customHeight="1">
      <c r="A7010" s="10">
        <v>45738</v>
      </c>
      <c r="B7010" t="s" s="11">
        <v>8</v>
      </c>
      <c r="C7010" t="s" s="12">
        <v>8</v>
      </c>
      <c r="D7010" s="15" cm="1">
        <f t="array" ref="D7010">SUM(D7008:D7009)</f>
        <v>4000</v>
      </c>
      <c r="E7010" s="15" cm="1">
        <f t="array" ref="E7010">SUM(E7008:E7009)</f>
        <v>4000</v>
      </c>
      <c r="F7010" s="16" cm="1">
        <f t="array" ref="F7010">SUM(F7008:F7009)</f>
        <v>0</v>
      </c>
      <c r="G7010" s="16" cm="1">
        <f t="array" ref="G7010">SUM(G7008:G7009)</f>
        <v>0</v>
      </c>
      <c r="H7010" s="16" cm="1">
        <f t="array" ref="H7010">SUM(H7008:H7009)</f>
        <v>0</v>
      </c>
      <c r="I7010" s="16" cm="1">
        <f t="array" ref="I7010">SUM(I7008:I7009)</f>
        <v>0</v>
      </c>
    </row>
    <row r="7011" ht="21.25" customHeight="1">
      <c r="A7011" s="10">
        <v>45738</v>
      </c>
      <c r="B7011" t="s" s="11">
        <v>21</v>
      </c>
      <c r="C7011" t="s" s="12">
        <v>1005</v>
      </c>
      <c r="D7011" s="17"/>
      <c r="E7011" s="17">
        <v>3000</v>
      </c>
      <c r="F7011" s="18"/>
      <c r="G7011" s="18"/>
      <c r="H7011" s="18"/>
      <c r="I7011" s="18"/>
    </row>
    <row r="7012" ht="21.25" customHeight="1">
      <c r="A7012" s="10">
        <v>45738</v>
      </c>
      <c r="B7012" t="s" s="11">
        <v>16</v>
      </c>
      <c r="C7012" t="s" s="12">
        <v>1005</v>
      </c>
      <c r="D7012" s="13">
        <v>3000</v>
      </c>
      <c r="E7012" s="13"/>
      <c r="F7012" s="14"/>
      <c r="G7012" s="14"/>
      <c r="H7012" s="14"/>
      <c r="I7012" s="14"/>
    </row>
    <row r="7013" ht="20.7" customHeight="1">
      <c r="A7013" s="10">
        <v>45738</v>
      </c>
      <c r="B7013" t="s" s="11">
        <v>8</v>
      </c>
      <c r="C7013" t="s" s="12">
        <v>8</v>
      </c>
      <c r="D7013" s="15" cm="1">
        <f t="array" ref="D7013">SUM(D7011:D7012)</f>
        <v>3000</v>
      </c>
      <c r="E7013" s="15" cm="1">
        <f t="array" ref="E7013">SUM(E7011:E7012)</f>
        <v>3000</v>
      </c>
      <c r="F7013" s="16" cm="1">
        <f t="array" ref="F7013">SUM(F7011:F7012)</f>
        <v>0</v>
      </c>
      <c r="G7013" s="16" cm="1">
        <f t="array" ref="G7013">SUM(G7011:G7012)</f>
        <v>0</v>
      </c>
      <c r="H7013" s="16" cm="1">
        <f t="array" ref="H7013">SUM(H7011:H7012)</f>
        <v>0</v>
      </c>
      <c r="I7013" s="16" cm="1">
        <f t="array" ref="I7013">SUM(I7011:I7012)</f>
        <v>0</v>
      </c>
    </row>
    <row r="7014" ht="20.65" customHeight="1">
      <c r="A7014" s="10">
        <v>45739</v>
      </c>
      <c r="B7014" t="s" s="11">
        <v>843</v>
      </c>
      <c r="C7014" t="s" s="12">
        <v>820</v>
      </c>
      <c r="D7014" s="17">
        <v>4</v>
      </c>
      <c r="E7014" s="17"/>
      <c r="F7014" s="18"/>
      <c r="G7014" s="18"/>
      <c r="H7014" s="18"/>
      <c r="I7014" s="18"/>
    </row>
    <row r="7015" ht="20.65" customHeight="1">
      <c r="A7015" s="10">
        <v>45739</v>
      </c>
      <c r="B7015" t="s" s="11">
        <v>91</v>
      </c>
      <c r="C7015" t="s" s="12">
        <v>820</v>
      </c>
      <c r="D7015" s="13"/>
      <c r="E7015" s="13">
        <v>4</v>
      </c>
      <c r="F7015" s="14"/>
      <c r="G7015" s="14"/>
      <c r="H7015" s="14"/>
      <c r="I7015" s="14"/>
    </row>
    <row r="7016" ht="20.7" customHeight="1">
      <c r="A7016" s="10">
        <v>45739</v>
      </c>
      <c r="B7016" t="s" s="11">
        <v>8</v>
      </c>
      <c r="C7016" t="s" s="12">
        <v>8</v>
      </c>
      <c r="D7016" s="15">
        <v>4</v>
      </c>
      <c r="E7016" s="15">
        <v>4</v>
      </c>
      <c r="F7016" s="16" cm="1">
        <f t="array" ref="F7016">SUM(F7014:F7015)</f>
        <v>0</v>
      </c>
      <c r="G7016" s="16" cm="1">
        <f t="array" ref="G7016">SUM(G7014:G7015)</f>
        <v>0</v>
      </c>
      <c r="H7016" s="16" cm="1">
        <f t="array" ref="H7016">SUM(H7014:H7015)</f>
        <v>0</v>
      </c>
      <c r="I7016" s="16" cm="1">
        <f t="array" ref="I7016">SUM(I7014:I7015)</f>
        <v>0</v>
      </c>
    </row>
    <row r="7017" ht="20.65" customHeight="1">
      <c r="A7017" s="10">
        <v>45739</v>
      </c>
      <c r="B7017" t="s" s="11">
        <v>814</v>
      </c>
      <c r="C7017" t="s" s="12">
        <v>820</v>
      </c>
      <c r="D7017" s="17">
        <v>168</v>
      </c>
      <c r="E7017" s="17"/>
      <c r="F7017" s="18"/>
      <c r="G7017" s="18"/>
      <c r="H7017" s="18"/>
      <c r="I7017" s="18"/>
    </row>
    <row r="7018" ht="20.65" customHeight="1">
      <c r="A7018" s="10">
        <v>45739</v>
      </c>
      <c r="B7018" t="s" s="11">
        <v>91</v>
      </c>
      <c r="C7018" t="s" s="12">
        <v>820</v>
      </c>
      <c r="D7018" s="13"/>
      <c r="E7018" s="13">
        <v>168</v>
      </c>
      <c r="F7018" s="14"/>
      <c r="G7018" s="14"/>
      <c r="H7018" s="14"/>
      <c r="I7018" s="14"/>
    </row>
    <row r="7019" ht="20.7" customHeight="1">
      <c r="A7019" s="10">
        <v>45739</v>
      </c>
      <c r="B7019" t="s" s="11">
        <v>8</v>
      </c>
      <c r="C7019" t="s" s="12">
        <v>8</v>
      </c>
      <c r="D7019" s="15" cm="1">
        <f t="array" ref="D7019">SUM(D7017:D7018)</f>
        <v>168</v>
      </c>
      <c r="E7019" s="15" cm="1">
        <f t="array" ref="E7019">SUM(E7017:E7018)</f>
        <v>168</v>
      </c>
      <c r="F7019" s="16" cm="1">
        <f t="array" ref="F7019">SUM(F7017:F7018)</f>
        <v>0</v>
      </c>
      <c r="G7019" s="16" cm="1">
        <f t="array" ref="G7019">SUM(G7017:G7018)</f>
        <v>0</v>
      </c>
      <c r="H7019" s="16" cm="1">
        <f t="array" ref="H7019">SUM(H7017:H7018)</f>
        <v>0</v>
      </c>
      <c r="I7019" s="16" cm="1">
        <f t="array" ref="I7019">SUM(I7017:I7018)</f>
        <v>0</v>
      </c>
    </row>
    <row r="7020" ht="20.35" customHeight="1">
      <c r="A7020" s="10">
        <v>45739</v>
      </c>
      <c r="B7020" t="s" s="11">
        <v>121</v>
      </c>
      <c r="C7020" t="s" s="12">
        <v>182</v>
      </c>
      <c r="D7020" s="17"/>
      <c r="E7020" s="17">
        <v>16000</v>
      </c>
      <c r="F7020" s="18"/>
      <c r="G7020" s="18"/>
      <c r="H7020" s="18"/>
      <c r="I7020" s="18"/>
    </row>
    <row r="7021" ht="20.35" customHeight="1">
      <c r="A7021" s="10">
        <v>45739</v>
      </c>
      <c r="B7021" t="s" s="11">
        <v>10</v>
      </c>
      <c r="C7021" t="s" s="12">
        <v>182</v>
      </c>
      <c r="D7021" s="13">
        <v>16000</v>
      </c>
      <c r="E7021" s="13"/>
      <c r="F7021" s="14"/>
      <c r="G7021" s="14"/>
      <c r="H7021" s="14"/>
      <c r="I7021" s="14"/>
    </row>
    <row r="7022" ht="20.7" customHeight="1">
      <c r="A7022" s="10">
        <v>45739</v>
      </c>
      <c r="B7022" t="s" s="11">
        <v>8</v>
      </c>
      <c r="C7022" t="s" s="12">
        <v>8</v>
      </c>
      <c r="D7022" s="15" cm="1">
        <f t="array" ref="D7022">SUM(D7020:D7021)</f>
        <v>16000</v>
      </c>
      <c r="E7022" s="15" cm="1">
        <f t="array" ref="E7022">SUM(E7020:E7021)</f>
        <v>16000</v>
      </c>
      <c r="F7022" s="16" cm="1">
        <f t="array" ref="F7022">SUM(F7020:F7021)</f>
        <v>0</v>
      </c>
      <c r="G7022" s="16" cm="1">
        <f t="array" ref="G7022">SUM(G7020:G7021)</f>
        <v>0</v>
      </c>
      <c r="H7022" s="16" cm="1">
        <f t="array" ref="H7022">SUM(H7020:H7021)</f>
        <v>0</v>
      </c>
      <c r="I7022" s="16" cm="1">
        <f t="array" ref="I7022">SUM(I7020:I7021)</f>
        <v>0</v>
      </c>
    </row>
    <row r="7023" ht="20.65" customHeight="1">
      <c r="A7023" s="10">
        <v>45739</v>
      </c>
      <c r="B7023" t="s" s="11">
        <v>121</v>
      </c>
      <c r="C7023" t="s" s="12">
        <v>638</v>
      </c>
      <c r="D7023" s="17"/>
      <c r="E7023" s="17">
        <v>5700</v>
      </c>
      <c r="F7023" s="18"/>
      <c r="G7023" s="18"/>
      <c r="H7023" s="18"/>
      <c r="I7023" s="18"/>
    </row>
    <row r="7024" ht="20.65" customHeight="1">
      <c r="A7024" s="10">
        <v>45739</v>
      </c>
      <c r="B7024" t="s" s="11">
        <v>12</v>
      </c>
      <c r="C7024" t="s" s="12">
        <v>638</v>
      </c>
      <c r="D7024" s="13">
        <v>5700</v>
      </c>
      <c r="E7024" s="13"/>
      <c r="F7024" s="14"/>
      <c r="G7024" s="14"/>
      <c r="H7024" s="14"/>
      <c r="I7024" s="14"/>
    </row>
    <row r="7025" ht="20.7" customHeight="1">
      <c r="A7025" s="10">
        <v>45739</v>
      </c>
      <c r="B7025" t="s" s="11">
        <v>8</v>
      </c>
      <c r="C7025" t="s" s="12">
        <v>8</v>
      </c>
      <c r="D7025" s="15" cm="1">
        <f t="array" ref="D7025">SUM(D7023:D7024)</f>
        <v>5700</v>
      </c>
      <c r="E7025" s="15" cm="1">
        <f t="array" ref="E7025">SUM(E7023:E7024)</f>
        <v>5700</v>
      </c>
      <c r="F7025" s="16" cm="1">
        <f t="array" ref="F7025">SUM(F7023:F7024)</f>
        <v>0</v>
      </c>
      <c r="G7025" s="16" cm="1">
        <f t="array" ref="G7025">SUM(G7023:G7024)</f>
        <v>0</v>
      </c>
      <c r="H7025" s="16" cm="1">
        <f t="array" ref="H7025">SUM(H7023:H7024)</f>
        <v>0</v>
      </c>
      <c r="I7025" s="16" cm="1">
        <f t="array" ref="I7025">SUM(I7023:I7024)</f>
        <v>0</v>
      </c>
    </row>
    <row r="7026" ht="21.25" customHeight="1">
      <c r="A7026" s="10">
        <v>45739</v>
      </c>
      <c r="B7026" t="s" s="11">
        <v>121</v>
      </c>
      <c r="C7026" t="s" s="12">
        <v>1006</v>
      </c>
      <c r="D7026" s="17"/>
      <c r="E7026" s="17">
        <v>77800</v>
      </c>
      <c r="F7026" s="18"/>
      <c r="G7026" s="18"/>
      <c r="H7026" s="18"/>
      <c r="I7026" s="18"/>
    </row>
    <row r="7027" ht="20.9" customHeight="1">
      <c r="A7027" s="10">
        <v>45739</v>
      </c>
      <c r="B7027" t="s" s="11">
        <v>12</v>
      </c>
      <c r="C7027" t="s" s="12">
        <v>1006</v>
      </c>
      <c r="D7027" s="19">
        <v>38900</v>
      </c>
      <c r="E7027" s="19"/>
      <c r="F7027" s="20"/>
      <c r="G7027" s="20"/>
      <c r="H7027" s="20"/>
      <c r="I7027" s="20"/>
    </row>
    <row r="7028" ht="21.25" customHeight="1">
      <c r="A7028" s="10">
        <v>45739</v>
      </c>
      <c r="B7028" t="s" s="11">
        <v>89</v>
      </c>
      <c r="C7028" t="s" s="12">
        <v>1006</v>
      </c>
      <c r="D7028" s="13">
        <v>38900</v>
      </c>
      <c r="E7028" s="13"/>
      <c r="F7028" s="14"/>
      <c r="G7028" s="14"/>
      <c r="H7028" s="14"/>
      <c r="I7028" s="14"/>
    </row>
    <row r="7029" ht="20.7" customHeight="1">
      <c r="A7029" s="10">
        <v>45739</v>
      </c>
      <c r="B7029" t="s" s="11">
        <v>8</v>
      </c>
      <c r="C7029" t="s" s="12">
        <v>8</v>
      </c>
      <c r="D7029" s="15" cm="1">
        <f t="array" ref="D7029">SUM(D7026:D7028)</f>
        <v>77800</v>
      </c>
      <c r="E7029" s="15" cm="1">
        <f t="array" ref="E7029">SUM(E7026:E7028)</f>
        <v>77800</v>
      </c>
      <c r="F7029" s="16" cm="1">
        <f t="array" ref="F7029">SUM(F7026:F7028)</f>
        <v>0</v>
      </c>
      <c r="G7029" s="16" cm="1">
        <f t="array" ref="G7029">SUM(G7026:G7028)</f>
        <v>0</v>
      </c>
      <c r="H7029" s="16" cm="1">
        <f t="array" ref="H7029">SUM(H7026:H7028)</f>
        <v>0</v>
      </c>
      <c r="I7029" s="16" cm="1">
        <f t="array" ref="I7029">SUM(I7026:I7028)</f>
        <v>0</v>
      </c>
    </row>
    <row r="7030" ht="21.25" customHeight="1">
      <c r="A7030" s="10">
        <v>45739</v>
      </c>
      <c r="B7030" t="s" s="11">
        <v>93</v>
      </c>
      <c r="C7030" t="s" s="12">
        <v>1006</v>
      </c>
      <c r="D7030" s="17">
        <v>38900</v>
      </c>
      <c r="E7030" s="17"/>
      <c r="F7030" s="18"/>
      <c r="G7030" s="18"/>
      <c r="H7030" s="18"/>
      <c r="I7030" s="18"/>
    </row>
    <row r="7031" ht="21.25" customHeight="1">
      <c r="A7031" s="10">
        <v>45739</v>
      </c>
      <c r="B7031" t="s" s="11">
        <v>89</v>
      </c>
      <c r="C7031" t="s" s="12">
        <v>1006</v>
      </c>
      <c r="D7031" s="13"/>
      <c r="E7031" s="13">
        <v>38900</v>
      </c>
      <c r="F7031" s="14"/>
      <c r="G7031" s="14"/>
      <c r="H7031" s="14"/>
      <c r="I7031" s="14"/>
    </row>
    <row r="7032" ht="20.7" customHeight="1">
      <c r="A7032" s="10">
        <v>45739</v>
      </c>
      <c r="B7032" t="s" s="11">
        <v>8</v>
      </c>
      <c r="C7032" t="s" s="12">
        <v>8</v>
      </c>
      <c r="D7032" s="15" cm="1">
        <f t="array" ref="D7032">SUM(D7030:D7031)</f>
        <v>38900</v>
      </c>
      <c r="E7032" s="15" cm="1">
        <f t="array" ref="E7032">SUM(E7030:E7031)</f>
        <v>38900</v>
      </c>
      <c r="F7032" s="16" cm="1">
        <f t="array" ref="F7032">SUM(F7030:F7031)</f>
        <v>0</v>
      </c>
      <c r="G7032" s="16" cm="1">
        <f t="array" ref="G7032">SUM(G7030:G7031)</f>
        <v>0</v>
      </c>
      <c r="H7032" s="16" cm="1">
        <f t="array" ref="H7032">SUM(H7030:H7031)</f>
        <v>0</v>
      </c>
      <c r="I7032" s="16" cm="1">
        <f t="array" ref="I7032">SUM(I7030:I7031)</f>
        <v>0</v>
      </c>
    </row>
    <row r="7033" ht="20.35" customHeight="1">
      <c r="A7033" s="10">
        <v>45739</v>
      </c>
      <c r="B7033" t="s" s="11">
        <v>93</v>
      </c>
      <c r="C7033" t="s" s="12">
        <v>439</v>
      </c>
      <c r="D7033" s="17"/>
      <c r="E7033" s="17">
        <v>39600</v>
      </c>
      <c r="F7033" s="18"/>
      <c r="G7033" s="18"/>
      <c r="H7033" s="18"/>
      <c r="I7033" s="18"/>
    </row>
    <row r="7034" ht="20.35" customHeight="1">
      <c r="A7034" s="10">
        <v>45739</v>
      </c>
      <c r="B7034" t="s" s="11">
        <v>121</v>
      </c>
      <c r="C7034" t="s" s="12">
        <v>439</v>
      </c>
      <c r="D7034" s="13">
        <v>39600</v>
      </c>
      <c r="E7034" s="13"/>
      <c r="F7034" s="14"/>
      <c r="G7034" s="14"/>
      <c r="H7034" s="14"/>
      <c r="I7034" s="14"/>
    </row>
    <row r="7035" ht="20.7" customHeight="1">
      <c r="A7035" s="10">
        <v>45739</v>
      </c>
      <c r="B7035" t="s" s="11">
        <v>8</v>
      </c>
      <c r="C7035" t="s" s="12">
        <v>8</v>
      </c>
      <c r="D7035" s="15" cm="1">
        <f t="array" ref="D7035">SUM(D7033:D7034)</f>
        <v>39600</v>
      </c>
      <c r="E7035" s="15" cm="1">
        <f t="array" ref="E7035">SUM(E7033:E7034)</f>
        <v>39600</v>
      </c>
      <c r="F7035" s="16" cm="1">
        <f t="array" ref="F7035">SUM(F7033:F7034)</f>
        <v>0</v>
      </c>
      <c r="G7035" s="16" cm="1">
        <f t="array" ref="G7035">SUM(G7033:G7034)</f>
        <v>0</v>
      </c>
      <c r="H7035" s="16" cm="1">
        <f t="array" ref="H7035">SUM(H7033:H7034)</f>
        <v>0</v>
      </c>
      <c r="I7035" s="16" cm="1">
        <f t="array" ref="I7035">SUM(I7033:I7034)</f>
        <v>0</v>
      </c>
    </row>
    <row r="7036" ht="21.25" customHeight="1">
      <c r="A7036" s="10">
        <v>45739</v>
      </c>
      <c r="B7036" t="s" s="11">
        <v>121</v>
      </c>
      <c r="C7036" t="s" s="12">
        <v>1007</v>
      </c>
      <c r="D7036" s="17"/>
      <c r="E7036" s="17">
        <v>35100</v>
      </c>
      <c r="F7036" s="18"/>
      <c r="G7036" s="18"/>
      <c r="H7036" s="18"/>
      <c r="I7036" s="18"/>
    </row>
    <row r="7037" ht="20.9" customHeight="1">
      <c r="A7037" s="10">
        <v>45739</v>
      </c>
      <c r="B7037" t="s" s="11">
        <v>12</v>
      </c>
      <c r="C7037" t="s" s="12">
        <v>1007</v>
      </c>
      <c r="D7037" s="19">
        <v>9500</v>
      </c>
      <c r="E7037" s="19"/>
      <c r="F7037" s="20"/>
      <c r="G7037" s="20"/>
      <c r="H7037" s="20"/>
      <c r="I7037" s="20"/>
    </row>
    <row r="7038" ht="21.25" customHeight="1">
      <c r="A7038" s="10">
        <v>45739</v>
      </c>
      <c r="B7038" t="s" s="11">
        <v>10</v>
      </c>
      <c r="C7038" t="s" s="12">
        <v>1007</v>
      </c>
      <c r="D7038" s="13">
        <v>25600</v>
      </c>
      <c r="E7038" s="13"/>
      <c r="F7038" s="14"/>
      <c r="G7038" s="14"/>
      <c r="H7038" s="14"/>
      <c r="I7038" s="14"/>
    </row>
    <row r="7039" ht="20.7" customHeight="1">
      <c r="A7039" s="10">
        <v>45739</v>
      </c>
      <c r="B7039" t="s" s="11">
        <v>8</v>
      </c>
      <c r="C7039" t="s" s="12">
        <v>8</v>
      </c>
      <c r="D7039" s="15" cm="1">
        <f t="array" ref="D7039">SUM(D7036:D7038)</f>
        <v>35100</v>
      </c>
      <c r="E7039" s="15" cm="1">
        <f t="array" ref="E7039">SUM(E7036:E7038)</f>
        <v>35100</v>
      </c>
      <c r="F7039" s="16" cm="1">
        <f t="array" ref="F7039">SUM(F7036:F7038)</f>
        <v>0</v>
      </c>
      <c r="G7039" s="16" cm="1">
        <f t="array" ref="G7039">SUM(G7036:G7038)</f>
        <v>0</v>
      </c>
      <c r="H7039" s="16" cm="1">
        <f t="array" ref="H7039">SUM(H7036:H7038)</f>
        <v>0</v>
      </c>
      <c r="I7039" s="16" cm="1">
        <f t="array" ref="I7039">SUM(I7036:I7038)</f>
        <v>0</v>
      </c>
    </row>
    <row r="7040" ht="20.35" customHeight="1">
      <c r="A7040" s="10">
        <v>45739</v>
      </c>
      <c r="B7040" t="s" s="11">
        <v>121</v>
      </c>
      <c r="C7040" t="s" s="12">
        <v>1000</v>
      </c>
      <c r="D7040" s="17"/>
      <c r="E7040" s="17">
        <v>1330</v>
      </c>
      <c r="F7040" s="18"/>
      <c r="G7040" s="18"/>
      <c r="H7040" s="18"/>
      <c r="I7040" s="18"/>
    </row>
    <row r="7041" ht="20.35" customHeight="1">
      <c r="A7041" s="10">
        <v>45739</v>
      </c>
      <c r="B7041" t="s" s="11">
        <v>10</v>
      </c>
      <c r="C7041" t="s" s="12">
        <v>1000</v>
      </c>
      <c r="D7041" s="13">
        <v>1330</v>
      </c>
      <c r="E7041" s="13"/>
      <c r="F7041" s="14"/>
      <c r="G7041" s="14"/>
      <c r="H7041" s="14"/>
      <c r="I7041" s="14"/>
    </row>
    <row r="7042" ht="20.7" customHeight="1">
      <c r="A7042" s="10">
        <v>45739</v>
      </c>
      <c r="B7042" t="s" s="11">
        <v>8</v>
      </c>
      <c r="C7042" t="s" s="12">
        <v>8</v>
      </c>
      <c r="D7042" s="15" cm="1">
        <f t="array" ref="D7042">SUM(D7040:D7041)</f>
        <v>1330</v>
      </c>
      <c r="E7042" s="15" cm="1">
        <f t="array" ref="E7042">SUM(E7040:E7041)</f>
        <v>1330</v>
      </c>
      <c r="F7042" s="16" cm="1">
        <f t="array" ref="F7042">SUM(F7040:F7041)</f>
        <v>0</v>
      </c>
      <c r="G7042" s="16" cm="1">
        <f t="array" ref="G7042">SUM(G7040:G7041)</f>
        <v>0</v>
      </c>
      <c r="H7042" s="16" cm="1">
        <f t="array" ref="H7042">SUM(H7040:H7041)</f>
        <v>0</v>
      </c>
      <c r="I7042" s="16" cm="1">
        <f t="array" ref="I7042">SUM(I7040:I7041)</f>
        <v>0</v>
      </c>
    </row>
    <row r="7043" ht="20.35" customHeight="1">
      <c r="A7043" s="10">
        <v>45739</v>
      </c>
      <c r="B7043" t="s" s="11">
        <v>39</v>
      </c>
      <c r="C7043" t="s" s="12">
        <v>64</v>
      </c>
      <c r="D7043" s="17"/>
      <c r="E7043" s="17"/>
      <c r="F7043" s="18">
        <v>50</v>
      </c>
      <c r="G7043" s="18"/>
      <c r="H7043" s="18"/>
      <c r="I7043" s="18"/>
    </row>
    <row r="7044" ht="20.35" customHeight="1">
      <c r="A7044" s="10">
        <v>45739</v>
      </c>
      <c r="B7044" t="s" s="11">
        <v>41</v>
      </c>
      <c r="C7044" t="s" s="12">
        <v>64</v>
      </c>
      <c r="D7044" s="13"/>
      <c r="E7044" s="13"/>
      <c r="F7044" s="14"/>
      <c r="G7044" s="14">
        <v>50</v>
      </c>
      <c r="H7044" s="14"/>
      <c r="I7044" s="14"/>
    </row>
    <row r="7045" ht="20.7" customHeight="1">
      <c r="A7045" s="10">
        <v>45739</v>
      </c>
      <c r="B7045" t="s" s="11">
        <v>8</v>
      </c>
      <c r="C7045" t="s" s="12">
        <v>8</v>
      </c>
      <c r="D7045" s="15" cm="1">
        <f t="array" ref="D7045">SUM(D7043:D7044)</f>
        <v>0</v>
      </c>
      <c r="E7045" s="15" cm="1">
        <f t="array" ref="E7045">SUM(E7043:E7044)</f>
        <v>0</v>
      </c>
      <c r="F7045" s="16" cm="1">
        <f t="array" ref="F7045">SUM(F7043:F7044)</f>
        <v>50</v>
      </c>
      <c r="G7045" s="16" cm="1">
        <f t="array" ref="G7045">SUM(G7043:G7044)</f>
        <v>50</v>
      </c>
      <c r="H7045" s="16" cm="1">
        <f t="array" ref="H7045">SUM(H7043:H7044)</f>
        <v>0</v>
      </c>
      <c r="I7045" s="16" cm="1">
        <f t="array" ref="I7045">SUM(I7043:I7044)</f>
        <v>0</v>
      </c>
    </row>
    <row r="7046" ht="20.35" customHeight="1">
      <c r="A7046" s="10">
        <v>45739</v>
      </c>
      <c r="B7046" t="s" s="11">
        <v>39</v>
      </c>
      <c r="C7046" t="s" s="12">
        <v>68</v>
      </c>
      <c r="D7046" s="17"/>
      <c r="E7046" s="17"/>
      <c r="F7046" s="18"/>
      <c r="G7046" s="18">
        <v>8.49</v>
      </c>
      <c r="H7046" s="18"/>
      <c r="I7046" s="18"/>
    </row>
    <row r="7047" ht="20.35" customHeight="1">
      <c r="A7047" s="10">
        <v>45739</v>
      </c>
      <c r="B7047" t="s" s="11">
        <v>44</v>
      </c>
      <c r="C7047" t="s" s="12">
        <v>68</v>
      </c>
      <c r="D7047" s="13"/>
      <c r="E7047" s="13"/>
      <c r="F7047" s="14">
        <v>8.49</v>
      </c>
      <c r="G7047" s="14"/>
      <c r="H7047" s="14"/>
      <c r="I7047" s="14"/>
    </row>
    <row r="7048" ht="20.7" customHeight="1">
      <c r="A7048" s="10">
        <v>45739</v>
      </c>
      <c r="B7048" t="s" s="11">
        <v>8</v>
      </c>
      <c r="C7048" t="s" s="12">
        <v>8</v>
      </c>
      <c r="D7048" s="15" cm="1">
        <f t="array" ref="D7048">SUM(D7046:D7047)</f>
        <v>0</v>
      </c>
      <c r="E7048" s="15" cm="1">
        <f t="array" ref="E7048">SUM(E7046:E7047)</f>
        <v>0</v>
      </c>
      <c r="F7048" s="16" cm="1">
        <f t="array" ref="F7048">SUM(F7046:F7047)</f>
        <v>8.49</v>
      </c>
      <c r="G7048" s="16" cm="1">
        <f t="array" ref="G7048">SUM(G7046:G7047)</f>
        <v>8.49</v>
      </c>
      <c r="H7048" s="16" cm="1">
        <f t="array" ref="H7048">SUM(H7046:H7047)</f>
        <v>0</v>
      </c>
      <c r="I7048" s="16" cm="1">
        <f t="array" ref="I7048">SUM(I7046:I7047)</f>
        <v>0</v>
      </c>
    </row>
    <row r="7049" ht="20.65" customHeight="1">
      <c r="A7049" s="10">
        <v>45740</v>
      </c>
      <c r="B7049" t="s" s="11">
        <v>843</v>
      </c>
      <c r="C7049" t="s" s="12">
        <v>820</v>
      </c>
      <c r="D7049" s="17">
        <v>4</v>
      </c>
      <c r="E7049" s="17"/>
      <c r="F7049" s="18"/>
      <c r="G7049" s="18"/>
      <c r="H7049" s="18"/>
      <c r="I7049" s="18"/>
    </row>
    <row r="7050" ht="20.65" customHeight="1">
      <c r="A7050" s="10">
        <v>45740</v>
      </c>
      <c r="B7050" t="s" s="11">
        <v>91</v>
      </c>
      <c r="C7050" t="s" s="12">
        <v>820</v>
      </c>
      <c r="D7050" s="13"/>
      <c r="E7050" s="13">
        <v>4</v>
      </c>
      <c r="F7050" s="14"/>
      <c r="G7050" s="14"/>
      <c r="H7050" s="14"/>
      <c r="I7050" s="14"/>
    </row>
    <row r="7051" ht="20.7" customHeight="1">
      <c r="A7051" s="10">
        <v>45740</v>
      </c>
      <c r="B7051" t="s" s="11">
        <v>8</v>
      </c>
      <c r="C7051" t="s" s="12">
        <v>8</v>
      </c>
      <c r="D7051" s="15">
        <v>4</v>
      </c>
      <c r="E7051" s="15">
        <v>4</v>
      </c>
      <c r="F7051" s="16" cm="1">
        <f t="array" ref="F7051">SUM(F7049:F7050)</f>
        <v>0</v>
      </c>
      <c r="G7051" s="16" cm="1">
        <f t="array" ref="G7051">SUM(G7049:G7050)</f>
        <v>0</v>
      </c>
      <c r="H7051" s="16" cm="1">
        <f t="array" ref="H7051">SUM(H7049:H7050)</f>
        <v>0</v>
      </c>
      <c r="I7051" s="16" cm="1">
        <f t="array" ref="I7051">SUM(I7049:I7050)</f>
        <v>0</v>
      </c>
    </row>
    <row r="7052" ht="20.65" customHeight="1">
      <c r="A7052" s="10">
        <v>45740</v>
      </c>
      <c r="B7052" t="s" s="11">
        <v>814</v>
      </c>
      <c r="C7052" t="s" s="12">
        <v>820</v>
      </c>
      <c r="D7052" s="17">
        <v>168</v>
      </c>
      <c r="E7052" s="17"/>
      <c r="F7052" s="18"/>
      <c r="G7052" s="18"/>
      <c r="H7052" s="18"/>
      <c r="I7052" s="18"/>
    </row>
    <row r="7053" ht="20.65" customHeight="1">
      <c r="A7053" s="10">
        <v>45740</v>
      </c>
      <c r="B7053" t="s" s="11">
        <v>91</v>
      </c>
      <c r="C7053" t="s" s="12">
        <v>820</v>
      </c>
      <c r="D7053" s="13"/>
      <c r="E7053" s="13">
        <v>168</v>
      </c>
      <c r="F7053" s="14"/>
      <c r="G7053" s="14"/>
      <c r="H7053" s="14"/>
      <c r="I7053" s="14"/>
    </row>
    <row r="7054" ht="20.7" customHeight="1">
      <c r="A7054" s="10">
        <v>45740</v>
      </c>
      <c r="B7054" t="s" s="11">
        <v>8</v>
      </c>
      <c r="C7054" t="s" s="12">
        <v>8</v>
      </c>
      <c r="D7054" s="15" cm="1">
        <f t="array" ref="D7054">SUM(D7052:D7053)</f>
        <v>168</v>
      </c>
      <c r="E7054" s="15" cm="1">
        <f t="array" ref="E7054">SUM(E7052:E7053)</f>
        <v>168</v>
      </c>
      <c r="F7054" s="16" cm="1">
        <f t="array" ref="F7054">SUM(F7052:F7053)</f>
        <v>0</v>
      </c>
      <c r="G7054" s="16" cm="1">
        <f t="array" ref="G7054">SUM(G7052:G7053)</f>
        <v>0</v>
      </c>
      <c r="H7054" s="16" cm="1">
        <f t="array" ref="H7054">SUM(H7052:H7053)</f>
        <v>0</v>
      </c>
      <c r="I7054" s="16" cm="1">
        <f t="array" ref="I7054">SUM(I7052:I7053)</f>
        <v>0</v>
      </c>
    </row>
    <row r="7055" ht="20.65" customHeight="1">
      <c r="A7055" s="10">
        <v>45740</v>
      </c>
      <c r="B7055" t="s" s="11">
        <v>107</v>
      </c>
      <c r="C7055" t="s" s="12">
        <v>1008</v>
      </c>
      <c r="D7055" s="17"/>
      <c r="E7055" s="17">
        <v>22206</v>
      </c>
      <c r="F7055" s="18"/>
      <c r="G7055" s="18"/>
      <c r="H7055" s="18"/>
      <c r="I7055" s="18"/>
    </row>
    <row r="7056" ht="20.65" customHeight="1">
      <c r="A7056" s="10">
        <v>45740</v>
      </c>
      <c r="B7056" t="s" s="11">
        <v>10</v>
      </c>
      <c r="C7056" t="s" s="12">
        <v>1008</v>
      </c>
      <c r="D7056" s="13">
        <v>22206</v>
      </c>
      <c r="E7056" s="13"/>
      <c r="F7056" s="14"/>
      <c r="G7056" s="14"/>
      <c r="H7056" s="14"/>
      <c r="I7056" s="14"/>
    </row>
    <row r="7057" ht="20.7" customHeight="1">
      <c r="A7057" s="10">
        <v>45740</v>
      </c>
      <c r="B7057" t="s" s="11">
        <v>8</v>
      </c>
      <c r="C7057" t="s" s="12">
        <v>8</v>
      </c>
      <c r="D7057" s="15" cm="1">
        <f t="array" ref="D7057">SUM(D7055:D7056)</f>
        <v>22206</v>
      </c>
      <c r="E7057" s="15" cm="1">
        <f t="array" ref="E7057">SUM(E7055:E7056)</f>
        <v>22206</v>
      </c>
      <c r="F7057" s="16" cm="1">
        <f t="array" ref="F7057">SUM(F7055:F7056)</f>
        <v>0</v>
      </c>
      <c r="G7057" s="16" cm="1">
        <f t="array" ref="G7057">SUM(G7055:G7056)</f>
        <v>0</v>
      </c>
      <c r="H7057" s="16" cm="1">
        <f t="array" ref="H7057">SUM(H7055:H7056)</f>
        <v>0</v>
      </c>
      <c r="I7057" s="16" cm="1">
        <f t="array" ref="I7057">SUM(I7055:I7056)</f>
        <v>0</v>
      </c>
    </row>
    <row r="7058" ht="21.25" customHeight="1">
      <c r="A7058" s="10">
        <v>45740</v>
      </c>
      <c r="B7058" t="s" s="11">
        <v>121</v>
      </c>
      <c r="C7058" t="s" s="12">
        <v>999</v>
      </c>
      <c r="D7058" s="17"/>
      <c r="E7058" s="17">
        <v>70</v>
      </c>
      <c r="F7058" s="18"/>
      <c r="G7058" s="18"/>
      <c r="H7058" s="18"/>
      <c r="I7058" s="18"/>
    </row>
    <row r="7059" ht="21.25" customHeight="1">
      <c r="A7059" s="10">
        <v>45740</v>
      </c>
      <c r="B7059" t="s" s="11">
        <v>10</v>
      </c>
      <c r="C7059" t="s" s="12">
        <v>999</v>
      </c>
      <c r="D7059" s="13">
        <v>70</v>
      </c>
      <c r="E7059" s="13"/>
      <c r="F7059" s="14"/>
      <c r="G7059" s="14"/>
      <c r="H7059" s="14"/>
      <c r="I7059" s="14"/>
    </row>
    <row r="7060" ht="20.7" customHeight="1">
      <c r="A7060" s="10">
        <v>45740</v>
      </c>
      <c r="B7060" t="s" s="11">
        <v>8</v>
      </c>
      <c r="C7060" t="s" s="12">
        <v>8</v>
      </c>
      <c r="D7060" s="15" cm="1">
        <f t="array" ref="D7060">SUM(D7058:D7059)</f>
        <v>70</v>
      </c>
      <c r="E7060" s="15" cm="1">
        <f t="array" ref="E7060">SUM(E7058:E7059)</f>
        <v>70</v>
      </c>
      <c r="F7060" s="16" cm="1">
        <f t="array" ref="F7060">SUM(F7058:F7059)</f>
        <v>0</v>
      </c>
      <c r="G7060" s="16" cm="1">
        <f t="array" ref="G7060">SUM(G7058:G7059)</f>
        <v>0</v>
      </c>
      <c r="H7060" s="16" cm="1">
        <f t="array" ref="H7060">SUM(H7058:H7059)</f>
        <v>0</v>
      </c>
      <c r="I7060" s="16" cm="1">
        <f t="array" ref="I7060">SUM(I7058:I7059)</f>
        <v>0</v>
      </c>
    </row>
    <row r="7061" ht="21.25" customHeight="1">
      <c r="A7061" s="10">
        <v>45740</v>
      </c>
      <c r="B7061" t="s" s="11">
        <v>121</v>
      </c>
      <c r="C7061" t="s" s="12">
        <v>999</v>
      </c>
      <c r="D7061" s="17"/>
      <c r="E7061" s="17">
        <v>140</v>
      </c>
      <c r="F7061" s="18"/>
      <c r="G7061" s="18"/>
      <c r="H7061" s="18"/>
      <c r="I7061" s="18"/>
    </row>
    <row r="7062" ht="21.25" customHeight="1">
      <c r="A7062" s="10">
        <v>45740</v>
      </c>
      <c r="B7062" t="s" s="11">
        <v>10</v>
      </c>
      <c r="C7062" t="s" s="12">
        <v>999</v>
      </c>
      <c r="D7062" s="13">
        <v>140</v>
      </c>
      <c r="E7062" s="13"/>
      <c r="F7062" s="14"/>
      <c r="G7062" s="14"/>
      <c r="H7062" s="14"/>
      <c r="I7062" s="14"/>
    </row>
    <row r="7063" ht="20.7" customHeight="1">
      <c r="A7063" s="10">
        <v>45740</v>
      </c>
      <c r="B7063" t="s" s="11">
        <v>8</v>
      </c>
      <c r="C7063" t="s" s="12">
        <v>8</v>
      </c>
      <c r="D7063" s="15" cm="1">
        <f t="array" ref="D7063">SUM(D7061:D7062)</f>
        <v>140</v>
      </c>
      <c r="E7063" s="15" cm="1">
        <f t="array" ref="E7063">SUM(E7061:E7062)</f>
        <v>140</v>
      </c>
      <c r="F7063" s="16" cm="1">
        <f t="array" ref="F7063">SUM(F7061:F7062)</f>
        <v>0</v>
      </c>
      <c r="G7063" s="16" cm="1">
        <f t="array" ref="G7063">SUM(G7061:G7062)</f>
        <v>0</v>
      </c>
      <c r="H7063" s="16" cm="1">
        <f t="array" ref="H7063">SUM(H7061:H7062)</f>
        <v>0</v>
      </c>
      <c r="I7063" s="16" cm="1">
        <f t="array" ref="I7063">SUM(I7061:I7062)</f>
        <v>0</v>
      </c>
    </row>
    <row r="7064" ht="20.35" customHeight="1">
      <c r="A7064" s="10">
        <v>45740</v>
      </c>
      <c r="B7064" t="s" s="11">
        <v>107</v>
      </c>
      <c r="C7064" t="s" s="12">
        <v>96</v>
      </c>
      <c r="D7064" s="17"/>
      <c r="E7064" s="17">
        <v>10000</v>
      </c>
      <c r="F7064" s="18"/>
      <c r="G7064" s="18"/>
      <c r="H7064" s="18"/>
      <c r="I7064" s="18"/>
    </row>
    <row r="7065" ht="20.35" customHeight="1">
      <c r="A7065" s="10">
        <v>45740</v>
      </c>
      <c r="B7065" t="s" s="11">
        <v>5</v>
      </c>
      <c r="C7065" t="s" s="12">
        <v>96</v>
      </c>
      <c r="D7065" s="13">
        <v>10000</v>
      </c>
      <c r="E7065" s="13"/>
      <c r="F7065" s="14"/>
      <c r="G7065" s="14"/>
      <c r="H7065" s="14"/>
      <c r="I7065" s="14"/>
    </row>
    <row r="7066" ht="20.7" customHeight="1">
      <c r="A7066" s="10">
        <v>45740</v>
      </c>
      <c r="B7066" t="s" s="11">
        <v>8</v>
      </c>
      <c r="C7066" t="s" s="12">
        <v>8</v>
      </c>
      <c r="D7066" s="15" cm="1">
        <f t="array" ref="D7066">SUM(D7064:D7065)</f>
        <v>10000</v>
      </c>
      <c r="E7066" s="15" cm="1">
        <f t="array" ref="E7066">SUM(E7064:E7065)</f>
        <v>10000</v>
      </c>
      <c r="F7066" s="16" cm="1">
        <f t="array" ref="F7066">SUM(F7064:F7065)</f>
        <v>0</v>
      </c>
      <c r="G7066" s="16" cm="1">
        <f t="array" ref="G7066">SUM(G7064:G7065)</f>
        <v>0</v>
      </c>
      <c r="H7066" s="16" cm="1">
        <f t="array" ref="H7066">SUM(H7064:H7065)</f>
        <v>0</v>
      </c>
      <c r="I7066" s="16" cm="1">
        <f t="array" ref="I7066">SUM(I7064:I7065)</f>
        <v>0</v>
      </c>
    </row>
    <row r="7067" ht="20.35" customHeight="1">
      <c r="A7067" s="10">
        <v>45740</v>
      </c>
      <c r="B7067" t="s" s="11">
        <v>5</v>
      </c>
      <c r="C7067" t="s" s="12">
        <v>735</v>
      </c>
      <c r="D7067" s="17"/>
      <c r="E7067" s="17">
        <v>10000</v>
      </c>
      <c r="F7067" s="18"/>
      <c r="G7067" s="18"/>
      <c r="H7067" s="18"/>
      <c r="I7067" s="18"/>
    </row>
    <row r="7068" ht="20.35" customHeight="1">
      <c r="A7068" s="10">
        <v>45740</v>
      </c>
      <c r="B7068" t="s" s="11">
        <v>28</v>
      </c>
      <c r="C7068" t="s" s="12">
        <v>735</v>
      </c>
      <c r="D7068" s="13">
        <v>10000</v>
      </c>
      <c r="E7068" s="13"/>
      <c r="F7068" s="14"/>
      <c r="G7068" s="14"/>
      <c r="H7068" s="14"/>
      <c r="I7068" s="14"/>
    </row>
    <row r="7069" ht="20.7" customHeight="1">
      <c r="A7069" s="10">
        <v>45740</v>
      </c>
      <c r="B7069" t="s" s="11">
        <v>8</v>
      </c>
      <c r="C7069" t="s" s="12">
        <v>8</v>
      </c>
      <c r="D7069" s="15" cm="1">
        <f t="array" ref="D7069">SUM(D7067:D7068)</f>
        <v>10000</v>
      </c>
      <c r="E7069" s="15" cm="1">
        <f t="array" ref="E7069">SUM(E7067:E7068)</f>
        <v>10000</v>
      </c>
      <c r="F7069" s="16" cm="1">
        <f t="array" ref="F7069">SUM(F7067:F7068)</f>
        <v>0</v>
      </c>
      <c r="G7069" s="16" cm="1">
        <f t="array" ref="G7069">SUM(G7067:G7068)</f>
        <v>0</v>
      </c>
      <c r="H7069" s="16" cm="1">
        <f t="array" ref="H7069">SUM(H7067:H7068)</f>
        <v>0</v>
      </c>
      <c r="I7069" s="16" cm="1">
        <f t="array" ref="I7069">SUM(I7067:I7068)</f>
        <v>0</v>
      </c>
    </row>
    <row r="7070" ht="20.35" customHeight="1">
      <c r="A7070" s="10">
        <v>45740</v>
      </c>
      <c r="B7070" t="s" s="11">
        <v>28</v>
      </c>
      <c r="C7070" t="s" s="12">
        <v>1009</v>
      </c>
      <c r="D7070" s="17">
        <v>50000</v>
      </c>
      <c r="E7070" s="17"/>
      <c r="F7070" s="18"/>
      <c r="G7070" s="18"/>
      <c r="H7070" s="18"/>
      <c r="I7070" s="18"/>
    </row>
    <row r="7071" ht="20.35" customHeight="1">
      <c r="A7071" s="10">
        <v>45740</v>
      </c>
      <c r="B7071" t="s" s="11">
        <v>21</v>
      </c>
      <c r="C7071" t="s" s="12">
        <v>1009</v>
      </c>
      <c r="D7071" s="13"/>
      <c r="E7071" s="13">
        <v>50000</v>
      </c>
      <c r="F7071" s="14"/>
      <c r="G7071" s="14"/>
      <c r="H7071" s="14"/>
      <c r="I7071" s="14"/>
    </row>
    <row r="7072" ht="20.7" customHeight="1">
      <c r="A7072" s="10">
        <v>45740</v>
      </c>
      <c r="B7072" t="s" s="11">
        <v>8</v>
      </c>
      <c r="C7072" t="s" s="12">
        <v>8</v>
      </c>
      <c r="D7072" s="15" cm="1">
        <f t="array" ref="D7072">SUM(D7070:D7071)</f>
        <v>50000</v>
      </c>
      <c r="E7072" s="15" cm="1">
        <f t="array" ref="E7072">SUM(E7070:E7071)</f>
        <v>50000</v>
      </c>
      <c r="F7072" s="16" cm="1">
        <f t="array" ref="F7072">SUM(F7070:F7071)</f>
        <v>0</v>
      </c>
      <c r="G7072" s="16" cm="1">
        <f t="array" ref="G7072">SUM(G7070:G7071)</f>
        <v>0</v>
      </c>
      <c r="H7072" s="16" cm="1">
        <f t="array" ref="H7072">SUM(H7070:H7071)</f>
        <v>0</v>
      </c>
      <c r="I7072" s="16" cm="1">
        <f t="array" ref="I7072">SUM(I7070:I7071)</f>
        <v>0</v>
      </c>
    </row>
    <row r="7073" ht="20.35" customHeight="1">
      <c r="A7073" s="10">
        <v>45740</v>
      </c>
      <c r="B7073" t="s" s="11">
        <v>28</v>
      </c>
      <c r="C7073" t="s" s="12">
        <v>1010</v>
      </c>
      <c r="D7073" s="17"/>
      <c r="E7073" s="17">
        <v>15000</v>
      </c>
      <c r="F7073" s="18"/>
      <c r="G7073" s="18"/>
      <c r="H7073" s="18"/>
      <c r="I7073" s="18"/>
    </row>
    <row r="7074" ht="20.35" customHeight="1">
      <c r="A7074" s="10">
        <v>45740</v>
      </c>
      <c r="B7074" t="s" s="11">
        <v>21</v>
      </c>
      <c r="C7074" t="s" s="12">
        <v>1010</v>
      </c>
      <c r="D7074" s="13">
        <v>15000</v>
      </c>
      <c r="E7074" s="13"/>
      <c r="F7074" s="14"/>
      <c r="G7074" s="14"/>
      <c r="H7074" s="14"/>
      <c r="I7074" s="14"/>
    </row>
    <row r="7075" ht="20.7" customHeight="1">
      <c r="A7075" s="10">
        <v>45740</v>
      </c>
      <c r="B7075" t="s" s="11">
        <v>8</v>
      </c>
      <c r="C7075" t="s" s="12">
        <v>8</v>
      </c>
      <c r="D7075" s="15" cm="1">
        <f t="array" ref="D7075">SUM(D7073:D7074)</f>
        <v>15000</v>
      </c>
      <c r="E7075" s="15" cm="1">
        <f t="array" ref="E7075">SUM(E7073:E7074)</f>
        <v>15000</v>
      </c>
      <c r="F7075" s="16" cm="1">
        <f t="array" ref="F7075">SUM(F7073:F7074)</f>
        <v>0</v>
      </c>
      <c r="G7075" s="16" cm="1">
        <f t="array" ref="G7075">SUM(G7073:G7074)</f>
        <v>0</v>
      </c>
      <c r="H7075" s="16" cm="1">
        <f t="array" ref="H7075">SUM(H7073:H7074)</f>
        <v>0</v>
      </c>
      <c r="I7075" s="16" cm="1">
        <f t="array" ref="I7075">SUM(I7073:I7074)</f>
        <v>0</v>
      </c>
    </row>
    <row r="7076" ht="20.35" customHeight="1">
      <c r="A7076" s="10">
        <v>45740</v>
      </c>
      <c r="B7076" t="s" s="11">
        <v>107</v>
      </c>
      <c r="C7076" t="s" s="12">
        <v>439</v>
      </c>
      <c r="D7076" s="17"/>
      <c r="E7076" s="17">
        <v>7794</v>
      </c>
      <c r="F7076" s="18"/>
      <c r="G7076" s="18"/>
      <c r="H7076" s="18"/>
      <c r="I7076" s="18"/>
    </row>
    <row r="7077" ht="20.35" customHeight="1">
      <c r="A7077" s="10">
        <v>45740</v>
      </c>
      <c r="B7077" t="s" s="11">
        <v>121</v>
      </c>
      <c r="C7077" t="s" s="12">
        <v>439</v>
      </c>
      <c r="D7077" s="13">
        <v>7794</v>
      </c>
      <c r="E7077" s="13"/>
      <c r="F7077" s="14"/>
      <c r="G7077" s="14"/>
      <c r="H7077" s="14"/>
      <c r="I7077" s="14"/>
    </row>
    <row r="7078" ht="20.7" customHeight="1">
      <c r="A7078" s="10">
        <v>45740</v>
      </c>
      <c r="B7078" t="s" s="11">
        <v>8</v>
      </c>
      <c r="C7078" t="s" s="12">
        <v>8</v>
      </c>
      <c r="D7078" s="15" cm="1">
        <f t="array" ref="D7078">SUM(D7076:D7077)</f>
        <v>7794</v>
      </c>
      <c r="E7078" s="15" cm="1">
        <f t="array" ref="E7078">SUM(E7076:E7077)</f>
        <v>7794</v>
      </c>
      <c r="F7078" s="16" cm="1">
        <f t="array" ref="F7078">SUM(F7076:F7077)</f>
        <v>0</v>
      </c>
      <c r="G7078" s="16" cm="1">
        <f t="array" ref="G7078">SUM(G7076:G7077)</f>
        <v>0</v>
      </c>
      <c r="H7078" s="16" cm="1">
        <f t="array" ref="H7078">SUM(H7076:H7077)</f>
        <v>0</v>
      </c>
      <c r="I7078" s="16" cm="1">
        <f t="array" ref="I7078">SUM(I7076:I7077)</f>
        <v>0</v>
      </c>
    </row>
    <row r="7079" ht="20.35" customHeight="1">
      <c r="A7079" s="10">
        <v>45740</v>
      </c>
      <c r="B7079" t="s" s="11">
        <v>10</v>
      </c>
      <c r="C7079" t="s" s="12">
        <v>915</v>
      </c>
      <c r="D7079" s="17">
        <v>7000</v>
      </c>
      <c r="E7079" s="17"/>
      <c r="F7079" s="18"/>
      <c r="G7079" s="18"/>
      <c r="H7079" s="18"/>
      <c r="I7079" s="18"/>
    </row>
    <row r="7080" ht="20.35" customHeight="1">
      <c r="A7080" s="10">
        <v>45740</v>
      </c>
      <c r="B7080" t="s" s="11">
        <v>121</v>
      </c>
      <c r="C7080" t="s" s="12">
        <v>915</v>
      </c>
      <c r="D7080" s="13"/>
      <c r="E7080" s="13">
        <v>7000</v>
      </c>
      <c r="F7080" s="14"/>
      <c r="G7080" s="14"/>
      <c r="H7080" s="14"/>
      <c r="I7080" s="14"/>
    </row>
    <row r="7081" ht="20.7" customHeight="1">
      <c r="A7081" s="10">
        <v>45740</v>
      </c>
      <c r="B7081" t="s" s="11">
        <v>8</v>
      </c>
      <c r="C7081" t="s" s="12">
        <v>8</v>
      </c>
      <c r="D7081" s="15" cm="1">
        <f t="array" ref="D7081">SUM(D7079:D7080)</f>
        <v>7000</v>
      </c>
      <c r="E7081" s="15" cm="1">
        <f t="array" ref="E7081">SUM(E7079:E7080)</f>
        <v>7000</v>
      </c>
      <c r="F7081" s="16" cm="1">
        <f t="array" ref="F7081">SUM(F7079:F7080)</f>
        <v>0</v>
      </c>
      <c r="G7081" s="16" cm="1">
        <f t="array" ref="G7081">SUM(G7079:G7080)</f>
        <v>0</v>
      </c>
      <c r="H7081" s="16" cm="1">
        <f t="array" ref="H7081">SUM(H7079:H7080)</f>
        <v>0</v>
      </c>
      <c r="I7081" s="16" cm="1">
        <f t="array" ref="I7081">SUM(I7079:I7080)</f>
        <v>0</v>
      </c>
    </row>
    <row r="7082" ht="21.25" customHeight="1">
      <c r="A7082" s="10">
        <v>45740</v>
      </c>
      <c r="B7082" t="s" s="11">
        <v>91</v>
      </c>
      <c r="C7082" t="s" s="12">
        <v>1011</v>
      </c>
      <c r="D7082" s="17"/>
      <c r="E7082" s="17">
        <v>35</v>
      </c>
      <c r="F7082" s="18"/>
      <c r="G7082" s="18"/>
      <c r="H7082" s="18"/>
      <c r="I7082" s="18"/>
    </row>
    <row r="7083" ht="21.25" customHeight="1">
      <c r="A7083" s="10">
        <v>45740</v>
      </c>
      <c r="B7083" t="s" s="11">
        <v>121</v>
      </c>
      <c r="C7083" t="s" s="12">
        <v>1011</v>
      </c>
      <c r="D7083" s="13">
        <v>35</v>
      </c>
      <c r="E7083" s="13"/>
      <c r="F7083" s="14"/>
      <c r="G7083" s="14"/>
      <c r="H7083" s="14"/>
      <c r="I7083" s="14"/>
    </row>
    <row r="7084" ht="20.7" customHeight="1">
      <c r="A7084" s="10">
        <v>45740</v>
      </c>
      <c r="B7084" t="s" s="11">
        <v>8</v>
      </c>
      <c r="C7084" t="s" s="12">
        <v>8</v>
      </c>
      <c r="D7084" s="15" cm="1">
        <f t="array" ref="D7084">SUM(D7082:D7083)</f>
        <v>35</v>
      </c>
      <c r="E7084" s="15" cm="1">
        <f t="array" ref="E7084">SUM(E7082:E7083)</f>
        <v>35</v>
      </c>
      <c r="F7084" s="16" cm="1">
        <f t="array" ref="F7084">SUM(F7082:F7083)</f>
        <v>0</v>
      </c>
      <c r="G7084" s="16" cm="1">
        <f t="array" ref="G7084">SUM(G7082:G7083)</f>
        <v>0</v>
      </c>
      <c r="H7084" s="16" cm="1">
        <f t="array" ref="H7084">SUM(H7082:H7083)</f>
        <v>0</v>
      </c>
      <c r="I7084" s="16" cm="1">
        <f t="array" ref="I7084">SUM(I7082:I7083)</f>
        <v>0</v>
      </c>
    </row>
    <row r="7085" ht="20.35" customHeight="1">
      <c r="A7085" s="10">
        <v>45740</v>
      </c>
      <c r="B7085" t="s" s="11">
        <v>814</v>
      </c>
      <c r="C7085" t="s" s="12">
        <v>1012</v>
      </c>
      <c r="D7085" s="17"/>
      <c r="E7085" s="17">
        <v>100000</v>
      </c>
      <c r="F7085" s="18"/>
      <c r="G7085" s="18"/>
      <c r="H7085" s="18"/>
      <c r="I7085" s="18"/>
    </row>
    <row r="7086" ht="20.35" customHeight="1">
      <c r="A7086" s="10">
        <v>45740</v>
      </c>
      <c r="B7086" t="s" s="11">
        <v>5</v>
      </c>
      <c r="C7086" t="s" s="12">
        <v>1012</v>
      </c>
      <c r="D7086" s="13">
        <v>100000</v>
      </c>
      <c r="E7086" s="13"/>
      <c r="F7086" s="14"/>
      <c r="G7086" s="14"/>
      <c r="H7086" s="14"/>
      <c r="I7086" s="14"/>
    </row>
    <row r="7087" ht="20.7" customHeight="1">
      <c r="A7087" s="10">
        <v>45740</v>
      </c>
      <c r="B7087" t="s" s="11">
        <v>8</v>
      </c>
      <c r="C7087" t="s" s="12">
        <v>8</v>
      </c>
      <c r="D7087" s="15" cm="1">
        <f t="array" ref="D7087">SUM(D7085:D7086)</f>
        <v>100000</v>
      </c>
      <c r="E7087" s="15" cm="1">
        <f t="array" ref="E7087">SUM(E7085:E7086)</f>
        <v>100000</v>
      </c>
      <c r="F7087" s="16" cm="1">
        <f t="array" ref="F7087">SUM(F7085:F7086)</f>
        <v>0</v>
      </c>
      <c r="G7087" s="16" cm="1">
        <f t="array" ref="G7087">SUM(G7085:G7086)</f>
        <v>0</v>
      </c>
      <c r="H7087" s="16" cm="1">
        <f t="array" ref="H7087">SUM(H7085:H7086)</f>
        <v>0</v>
      </c>
      <c r="I7087" s="16" cm="1">
        <f t="array" ref="I7087">SUM(I7085:I7086)</f>
        <v>0</v>
      </c>
    </row>
    <row r="7088" ht="20.35" customHeight="1">
      <c r="A7088" s="10">
        <v>45740</v>
      </c>
      <c r="B7088" t="s" s="11">
        <v>5</v>
      </c>
      <c r="C7088" t="s" s="12">
        <v>916</v>
      </c>
      <c r="D7088" s="17"/>
      <c r="E7088" s="17">
        <v>73080</v>
      </c>
      <c r="F7088" s="18"/>
      <c r="G7088" s="18"/>
      <c r="H7088" s="18"/>
      <c r="I7088" s="18"/>
    </row>
    <row r="7089" ht="20.05" customHeight="1">
      <c r="A7089" s="10">
        <v>45740</v>
      </c>
      <c r="B7089" t="s" s="11">
        <v>12</v>
      </c>
      <c r="C7089" t="s" s="12">
        <v>916</v>
      </c>
      <c r="D7089" s="19">
        <v>36540</v>
      </c>
      <c r="E7089" s="19"/>
      <c r="F7089" s="20"/>
      <c r="G7089" s="20"/>
      <c r="H7089" s="20"/>
      <c r="I7089" s="20"/>
    </row>
    <row r="7090" ht="20.35" customHeight="1">
      <c r="A7090" s="10">
        <v>45740</v>
      </c>
      <c r="B7090" t="s" s="11">
        <v>89</v>
      </c>
      <c r="C7090" t="s" s="12">
        <v>916</v>
      </c>
      <c r="D7090" s="13">
        <v>36540</v>
      </c>
      <c r="E7090" s="13"/>
      <c r="F7090" s="14"/>
      <c r="G7090" s="14"/>
      <c r="H7090" s="14"/>
      <c r="I7090" s="14"/>
    </row>
    <row r="7091" ht="20.7" customHeight="1">
      <c r="A7091" s="10">
        <v>45740</v>
      </c>
      <c r="B7091" t="s" s="11">
        <v>8</v>
      </c>
      <c r="C7091" t="s" s="12">
        <v>8</v>
      </c>
      <c r="D7091" s="15" cm="1">
        <f t="array" ref="D7091">SUM(D7088:D7090)</f>
        <v>73080</v>
      </c>
      <c r="E7091" s="15" cm="1">
        <f t="array" ref="E7091">SUM(E7088:E7090)</f>
        <v>73080</v>
      </c>
      <c r="F7091" s="16" cm="1">
        <f t="array" ref="F7091">SUM(F7088:F7090)</f>
        <v>0</v>
      </c>
      <c r="G7091" s="16" cm="1">
        <f t="array" ref="G7091">SUM(G7088:G7090)</f>
        <v>0</v>
      </c>
      <c r="H7091" s="16" cm="1">
        <f t="array" ref="H7091">SUM(H7088:H7090)</f>
        <v>0</v>
      </c>
      <c r="I7091" s="16" cm="1">
        <f t="array" ref="I7091">SUM(I7088:I7090)</f>
        <v>0</v>
      </c>
    </row>
    <row r="7092" ht="20.35" customHeight="1">
      <c r="A7092" s="10">
        <v>45740</v>
      </c>
      <c r="B7092" t="s" s="11">
        <v>91</v>
      </c>
      <c r="C7092" t="s" s="12">
        <v>17</v>
      </c>
      <c r="D7092" s="17"/>
      <c r="E7092" s="17">
        <v>500</v>
      </c>
      <c r="F7092" s="18"/>
      <c r="G7092" s="18"/>
      <c r="H7092" s="18"/>
      <c r="I7092" s="18"/>
    </row>
    <row r="7093" ht="20.35" customHeight="1">
      <c r="A7093" s="10">
        <v>45740</v>
      </c>
      <c r="B7093" t="s" s="11">
        <v>5</v>
      </c>
      <c r="C7093" t="s" s="12">
        <v>17</v>
      </c>
      <c r="D7093" s="13">
        <v>500</v>
      </c>
      <c r="E7093" s="13"/>
      <c r="F7093" s="14"/>
      <c r="G7093" s="14"/>
      <c r="H7093" s="14"/>
      <c r="I7093" s="14"/>
    </row>
    <row r="7094" ht="20.7" customHeight="1">
      <c r="A7094" s="10">
        <v>45740</v>
      </c>
      <c r="B7094" t="s" s="11">
        <v>8</v>
      </c>
      <c r="C7094" t="s" s="12">
        <v>8</v>
      </c>
      <c r="D7094" s="15" cm="1">
        <f t="array" ref="D7094">SUM(D7092:D7093)</f>
        <v>500</v>
      </c>
      <c r="E7094" s="15" cm="1">
        <f t="array" ref="E7094">SUM(E7092:E7093)</f>
        <v>500</v>
      </c>
      <c r="F7094" s="16" cm="1">
        <f t="array" ref="F7094">SUM(F7092:F7093)</f>
        <v>0</v>
      </c>
      <c r="G7094" s="16" cm="1">
        <f t="array" ref="G7094">SUM(G7092:G7093)</f>
        <v>0</v>
      </c>
      <c r="H7094" s="16" cm="1">
        <f t="array" ref="H7094">SUM(H7092:H7093)</f>
        <v>0</v>
      </c>
      <c r="I7094" s="16" cm="1">
        <f t="array" ref="I7094">SUM(I7092:I7093)</f>
        <v>0</v>
      </c>
    </row>
    <row r="7095" ht="20.35" customHeight="1">
      <c r="A7095" s="10">
        <v>45740</v>
      </c>
      <c r="B7095" t="s" s="11">
        <v>10</v>
      </c>
      <c r="C7095" t="s" s="12">
        <v>1013</v>
      </c>
      <c r="D7095" s="17"/>
      <c r="E7095" s="17">
        <v>6100</v>
      </c>
      <c r="F7095" s="18"/>
      <c r="G7095" s="18"/>
      <c r="H7095" s="18"/>
      <c r="I7095" s="18"/>
    </row>
    <row r="7096" ht="20.35" customHeight="1">
      <c r="A7096" s="10">
        <v>45740</v>
      </c>
      <c r="B7096" t="s" s="11">
        <v>107</v>
      </c>
      <c r="C7096" t="s" s="12">
        <v>1013</v>
      </c>
      <c r="D7096" s="13">
        <v>6100</v>
      </c>
      <c r="E7096" s="13"/>
      <c r="F7096" s="14"/>
      <c r="G7096" s="14"/>
      <c r="H7096" s="14"/>
      <c r="I7096" s="14"/>
    </row>
    <row r="7097" ht="20.7" customHeight="1">
      <c r="A7097" s="10">
        <v>45740</v>
      </c>
      <c r="B7097" t="s" s="11">
        <v>8</v>
      </c>
      <c r="C7097" t="s" s="12">
        <v>8</v>
      </c>
      <c r="D7097" s="15" cm="1">
        <f t="array" ref="D7097">SUM(D7095:D7096)</f>
        <v>6100</v>
      </c>
      <c r="E7097" s="15" cm="1">
        <f t="array" ref="E7097">SUM(E7095:E7096)</f>
        <v>6100</v>
      </c>
      <c r="F7097" s="16" cm="1">
        <f t="array" ref="F7097">SUM(F7095:F7096)</f>
        <v>0</v>
      </c>
      <c r="G7097" s="16" cm="1">
        <f t="array" ref="G7097">SUM(G7095:G7096)</f>
        <v>0</v>
      </c>
      <c r="H7097" s="16" cm="1">
        <f t="array" ref="H7097">SUM(H7095:H7096)</f>
        <v>0</v>
      </c>
      <c r="I7097" s="16" cm="1">
        <f t="array" ref="I7097">SUM(I7095:I7096)</f>
        <v>0</v>
      </c>
    </row>
    <row r="7098" ht="21.25" customHeight="1">
      <c r="A7098" s="10">
        <v>45740</v>
      </c>
      <c r="B7098" t="s" s="11">
        <v>5</v>
      </c>
      <c r="C7098" t="s" s="12">
        <v>1014</v>
      </c>
      <c r="D7098" s="17"/>
      <c r="E7098" s="17">
        <v>7000</v>
      </c>
      <c r="F7098" s="18"/>
      <c r="G7098" s="18"/>
      <c r="H7098" s="18"/>
      <c r="I7098" s="18"/>
    </row>
    <row r="7099" ht="20.9" customHeight="1">
      <c r="A7099" s="10">
        <v>45740</v>
      </c>
      <c r="B7099" t="s" s="11">
        <v>12</v>
      </c>
      <c r="C7099" t="s" s="12">
        <v>1014</v>
      </c>
      <c r="D7099" s="19">
        <v>3500</v>
      </c>
      <c r="E7099" s="19"/>
      <c r="F7099" s="20"/>
      <c r="G7099" s="20"/>
      <c r="H7099" s="20"/>
      <c r="I7099" s="20"/>
    </row>
    <row r="7100" ht="21.25" customHeight="1">
      <c r="A7100" s="10">
        <v>45740</v>
      </c>
      <c r="B7100" t="s" s="11">
        <v>10</v>
      </c>
      <c r="C7100" t="s" s="12">
        <v>1014</v>
      </c>
      <c r="D7100" s="13">
        <v>3500</v>
      </c>
      <c r="E7100" s="13"/>
      <c r="F7100" s="14"/>
      <c r="G7100" s="14"/>
      <c r="H7100" s="14"/>
      <c r="I7100" s="14"/>
    </row>
    <row r="7101" ht="20.7" customHeight="1">
      <c r="A7101" s="10">
        <v>45740</v>
      </c>
      <c r="B7101" t="s" s="11">
        <v>8</v>
      </c>
      <c r="C7101" t="s" s="12">
        <v>8</v>
      </c>
      <c r="D7101" s="15" cm="1">
        <f t="array" ref="D7101">SUM(D7098:D7100)</f>
        <v>7000</v>
      </c>
      <c r="E7101" s="15" cm="1">
        <f t="array" ref="E7101">SUM(E7098:E7100)</f>
        <v>7000</v>
      </c>
      <c r="F7101" s="16" cm="1">
        <f t="array" ref="F7101">SUM(F7098:F7100)</f>
        <v>0</v>
      </c>
      <c r="G7101" s="16" cm="1">
        <f t="array" ref="G7101">SUM(G7098:G7100)</f>
        <v>0</v>
      </c>
      <c r="H7101" s="16" cm="1">
        <f t="array" ref="H7101">SUM(H7098:H7100)</f>
        <v>0</v>
      </c>
      <c r="I7101" s="16" cm="1">
        <f t="array" ref="I7101">SUM(I7098:I7100)</f>
        <v>0</v>
      </c>
    </row>
    <row r="7102" ht="20.65" customHeight="1">
      <c r="A7102" s="10">
        <v>45741</v>
      </c>
      <c r="B7102" t="s" s="11">
        <v>843</v>
      </c>
      <c r="C7102" t="s" s="12">
        <v>820</v>
      </c>
      <c r="D7102" s="17">
        <v>4</v>
      </c>
      <c r="E7102" s="17"/>
      <c r="F7102" s="18"/>
      <c r="G7102" s="18"/>
      <c r="H7102" s="18"/>
      <c r="I7102" s="18"/>
    </row>
    <row r="7103" ht="20.65" customHeight="1">
      <c r="A7103" s="10">
        <v>45741</v>
      </c>
      <c r="B7103" t="s" s="11">
        <v>91</v>
      </c>
      <c r="C7103" t="s" s="12">
        <v>820</v>
      </c>
      <c r="D7103" s="13"/>
      <c r="E7103" s="13">
        <v>4</v>
      </c>
      <c r="F7103" s="14"/>
      <c r="G7103" s="14"/>
      <c r="H7103" s="14"/>
      <c r="I7103" s="14"/>
    </row>
    <row r="7104" ht="20.7" customHeight="1">
      <c r="A7104" s="10">
        <v>45741</v>
      </c>
      <c r="B7104" t="s" s="11">
        <v>8</v>
      </c>
      <c r="C7104" t="s" s="12">
        <v>8</v>
      </c>
      <c r="D7104" s="15">
        <v>4</v>
      </c>
      <c r="E7104" s="15">
        <v>4</v>
      </c>
      <c r="F7104" s="16" cm="1">
        <f t="array" ref="F7104">SUM(F7102:F7103)</f>
        <v>0</v>
      </c>
      <c r="G7104" s="16" cm="1">
        <f t="array" ref="G7104">SUM(G7102:G7103)</f>
        <v>0</v>
      </c>
      <c r="H7104" s="16" cm="1">
        <f t="array" ref="H7104">SUM(H7102:H7103)</f>
        <v>0</v>
      </c>
      <c r="I7104" s="16" cm="1">
        <f t="array" ref="I7104">SUM(I7102:I7103)</f>
        <v>0</v>
      </c>
    </row>
    <row r="7105" ht="20.65" customHeight="1">
      <c r="A7105" s="10">
        <v>45741</v>
      </c>
      <c r="B7105" t="s" s="11">
        <v>814</v>
      </c>
      <c r="C7105" t="s" s="12">
        <v>820</v>
      </c>
      <c r="D7105" s="17">
        <v>163</v>
      </c>
      <c r="E7105" s="17"/>
      <c r="F7105" s="18"/>
      <c r="G7105" s="18"/>
      <c r="H7105" s="18"/>
      <c r="I7105" s="18"/>
    </row>
    <row r="7106" ht="20.65" customHeight="1">
      <c r="A7106" s="10">
        <v>45741</v>
      </c>
      <c r="B7106" t="s" s="11">
        <v>91</v>
      </c>
      <c r="C7106" t="s" s="12">
        <v>820</v>
      </c>
      <c r="D7106" s="13"/>
      <c r="E7106" s="13">
        <v>163</v>
      </c>
      <c r="F7106" s="14"/>
      <c r="G7106" s="14"/>
      <c r="H7106" s="14"/>
      <c r="I7106" s="14"/>
    </row>
    <row r="7107" ht="20.7" customHeight="1">
      <c r="A7107" s="10">
        <v>45741</v>
      </c>
      <c r="B7107" t="s" s="11">
        <v>8</v>
      </c>
      <c r="C7107" t="s" s="12">
        <v>8</v>
      </c>
      <c r="D7107" s="15" cm="1">
        <f t="array" ref="D7107">SUM(D7105:D7106)</f>
        <v>163</v>
      </c>
      <c r="E7107" s="15" cm="1">
        <f t="array" ref="E7107">SUM(E7105:E7106)</f>
        <v>163</v>
      </c>
      <c r="F7107" s="16" cm="1">
        <f t="array" ref="F7107">SUM(F7105:F7106)</f>
        <v>0</v>
      </c>
      <c r="G7107" s="16" cm="1">
        <f t="array" ref="G7107">SUM(G7105:G7106)</f>
        <v>0</v>
      </c>
      <c r="H7107" s="16" cm="1">
        <f t="array" ref="H7107">SUM(H7105:H7106)</f>
        <v>0</v>
      </c>
      <c r="I7107" s="16" cm="1">
        <f t="array" ref="I7107">SUM(I7105:I7106)</f>
        <v>0</v>
      </c>
    </row>
    <row r="7108" ht="20.35" customHeight="1">
      <c r="A7108" s="10">
        <v>45741</v>
      </c>
      <c r="B7108" t="s" s="11">
        <v>39</v>
      </c>
      <c r="C7108" t="s" s="12">
        <v>64</v>
      </c>
      <c r="D7108" s="17"/>
      <c r="E7108" s="17"/>
      <c r="F7108" s="18">
        <v>2000</v>
      </c>
      <c r="G7108" s="18"/>
      <c r="H7108" s="18"/>
      <c r="I7108" s="18"/>
    </row>
    <row r="7109" ht="20.35" customHeight="1">
      <c r="A7109" s="10">
        <v>45741</v>
      </c>
      <c r="B7109" t="s" s="11">
        <v>41</v>
      </c>
      <c r="C7109" t="s" s="12">
        <v>64</v>
      </c>
      <c r="D7109" s="13"/>
      <c r="E7109" s="13"/>
      <c r="F7109" s="14"/>
      <c r="G7109" s="14">
        <v>2000</v>
      </c>
      <c r="H7109" s="14"/>
      <c r="I7109" s="14"/>
    </row>
    <row r="7110" ht="20.7" customHeight="1">
      <c r="A7110" s="10">
        <v>45741</v>
      </c>
      <c r="B7110" t="s" s="11">
        <v>8</v>
      </c>
      <c r="C7110" t="s" s="12">
        <v>8</v>
      </c>
      <c r="D7110" s="15" cm="1">
        <f t="array" ref="D7110">SUM(D7108:D7109)</f>
        <v>0</v>
      </c>
      <c r="E7110" s="15" cm="1">
        <f t="array" ref="E7110">SUM(E7108:E7109)</f>
        <v>0</v>
      </c>
      <c r="F7110" s="16" cm="1">
        <f t="array" ref="F7110">SUM(F7108:F7109)</f>
        <v>2000</v>
      </c>
      <c r="G7110" s="16" cm="1">
        <f t="array" ref="G7110">SUM(G7108:G7109)</f>
        <v>2000</v>
      </c>
      <c r="H7110" s="16" cm="1">
        <f t="array" ref="H7110">SUM(H7108:H7109)</f>
        <v>0</v>
      </c>
      <c r="I7110" s="16" cm="1">
        <f t="array" ref="I7110">SUM(I7108:I7109)</f>
        <v>0</v>
      </c>
    </row>
    <row r="7111" ht="20.35" customHeight="1">
      <c r="A7111" s="10">
        <v>45741</v>
      </c>
      <c r="B7111" t="s" s="11">
        <v>39</v>
      </c>
      <c r="C7111" t="s" s="12">
        <v>1015</v>
      </c>
      <c r="D7111" s="17"/>
      <c r="E7111" s="17"/>
      <c r="F7111" s="18"/>
      <c r="G7111" s="18">
        <v>2041.51</v>
      </c>
      <c r="H7111" s="18"/>
      <c r="I7111" s="18"/>
    </row>
    <row r="7112" ht="20.05" customHeight="1">
      <c r="A7112" s="10">
        <v>45741</v>
      </c>
      <c r="B7112" t="s" s="11">
        <v>44</v>
      </c>
      <c r="C7112" t="s" s="12">
        <v>1015</v>
      </c>
      <c r="D7112" s="19"/>
      <c r="E7112" s="19"/>
      <c r="F7112" s="20">
        <v>2017.49</v>
      </c>
      <c r="G7112" s="20"/>
      <c r="H7112" s="20"/>
      <c r="I7112" s="20"/>
    </row>
    <row r="7113" ht="20.05" customHeight="1">
      <c r="A7113" s="10">
        <v>45741</v>
      </c>
      <c r="B7113" t="s" s="11">
        <v>898</v>
      </c>
      <c r="C7113" t="s" s="12">
        <v>1015</v>
      </c>
      <c r="D7113" s="19"/>
      <c r="E7113" s="19"/>
      <c r="F7113" s="20">
        <v>24.02</v>
      </c>
      <c r="G7113" s="20"/>
      <c r="H7113" s="20"/>
      <c r="I7113" s="20"/>
    </row>
    <row r="7114" ht="20.05" customHeight="1">
      <c r="A7114" s="10">
        <v>45741</v>
      </c>
      <c r="B7114" t="s" s="11">
        <v>5</v>
      </c>
      <c r="C7114" t="s" s="12">
        <v>1015</v>
      </c>
      <c r="D7114" s="19">
        <v>667559</v>
      </c>
      <c r="E7114" s="19"/>
      <c r="F7114" s="20"/>
      <c r="G7114" s="20"/>
      <c r="H7114" s="20"/>
      <c r="I7114" s="20"/>
    </row>
    <row r="7115" ht="20.35" customHeight="1">
      <c r="A7115" s="10">
        <v>45741</v>
      </c>
      <c r="B7115" t="s" s="11">
        <v>46</v>
      </c>
      <c r="C7115" t="s" s="12">
        <v>1015</v>
      </c>
      <c r="D7115" s="13"/>
      <c r="E7115" s="13">
        <v>667559</v>
      </c>
      <c r="F7115" s="14"/>
      <c r="G7115" s="14"/>
      <c r="H7115" s="14"/>
      <c r="I7115" s="14"/>
    </row>
    <row r="7116" ht="20.7" customHeight="1">
      <c r="A7116" s="10">
        <v>45741</v>
      </c>
      <c r="B7116" t="s" s="11">
        <v>8</v>
      </c>
      <c r="C7116" t="s" s="12">
        <v>8</v>
      </c>
      <c r="D7116" s="15" cm="1">
        <f t="array" ref="D7116">SUM(D7111:D7115)</f>
        <v>667559</v>
      </c>
      <c r="E7116" s="15" cm="1">
        <f t="array" ref="E7116">SUM(E7111:E7115)</f>
        <v>667559</v>
      </c>
      <c r="F7116" s="16" cm="1">
        <f t="array" ref="F7116">SUM(F7111:F7115)</f>
        <v>2041.51</v>
      </c>
      <c r="G7116" s="16" cm="1">
        <f t="array" ref="G7116">SUM(G7111:G7115)</f>
        <v>2041.51</v>
      </c>
      <c r="H7116" s="16" cm="1">
        <f t="array" ref="H7116">SUM(H7111:H7115)</f>
        <v>0</v>
      </c>
      <c r="I7116" s="16" cm="1">
        <f t="array" ref="I7116">SUM(I7111:I7115)</f>
        <v>0</v>
      </c>
    </row>
    <row r="7117" ht="20.35" customHeight="1">
      <c r="A7117" s="10">
        <v>45741</v>
      </c>
      <c r="B7117" t="s" s="11">
        <v>5</v>
      </c>
      <c r="C7117" t="s" s="12">
        <v>439</v>
      </c>
      <c r="D7117" s="17"/>
      <c r="E7117" s="17">
        <v>5726</v>
      </c>
      <c r="F7117" s="18"/>
      <c r="G7117" s="18"/>
      <c r="H7117" s="18"/>
      <c r="I7117" s="18"/>
    </row>
    <row r="7118" ht="20.35" customHeight="1">
      <c r="A7118" s="10">
        <v>45741</v>
      </c>
      <c r="B7118" t="s" s="11">
        <v>121</v>
      </c>
      <c r="C7118" t="s" s="12">
        <v>439</v>
      </c>
      <c r="D7118" s="13">
        <v>5726</v>
      </c>
      <c r="E7118" s="13"/>
      <c r="F7118" s="14"/>
      <c r="G7118" s="14"/>
      <c r="H7118" s="14"/>
      <c r="I7118" s="14"/>
    </row>
    <row r="7119" ht="20.7" customHeight="1">
      <c r="A7119" s="10">
        <v>45741</v>
      </c>
      <c r="B7119" t="s" s="11">
        <v>8</v>
      </c>
      <c r="C7119" t="s" s="12">
        <v>8</v>
      </c>
      <c r="D7119" s="15" cm="1">
        <f t="array" ref="D7119">SUM(D7117:D7118)</f>
        <v>5726</v>
      </c>
      <c r="E7119" s="15" cm="1">
        <f t="array" ref="E7119">SUM(E7117:E7118)</f>
        <v>5726</v>
      </c>
      <c r="F7119" s="16" cm="1">
        <f t="array" ref="F7119">SUM(F7117:F7118)</f>
        <v>0</v>
      </c>
      <c r="G7119" s="16" cm="1">
        <f t="array" ref="G7119">SUM(G7117:G7118)</f>
        <v>0</v>
      </c>
      <c r="H7119" s="16" cm="1">
        <f t="array" ref="H7119">SUM(H7117:H7118)</f>
        <v>0</v>
      </c>
      <c r="I7119" s="16" cm="1">
        <f t="array" ref="I7119">SUM(I7117:I7118)</f>
        <v>0</v>
      </c>
    </row>
    <row r="7120" ht="21.25" customHeight="1">
      <c r="A7120" s="10">
        <v>45741</v>
      </c>
      <c r="B7120" t="s" s="11">
        <v>5</v>
      </c>
      <c r="C7120" t="s" s="12">
        <v>1016</v>
      </c>
      <c r="D7120" s="17"/>
      <c r="E7120" s="17">
        <v>54000</v>
      </c>
      <c r="F7120" s="18"/>
      <c r="G7120" s="18"/>
      <c r="H7120" s="18"/>
      <c r="I7120" s="18"/>
    </row>
    <row r="7121" ht="20.05" customHeight="1">
      <c r="A7121" s="10">
        <v>45741</v>
      </c>
      <c r="B7121" t="s" s="11">
        <v>28</v>
      </c>
      <c r="C7121" t="s" s="12">
        <v>1017</v>
      </c>
      <c r="D7121" s="19">
        <v>3500</v>
      </c>
      <c r="E7121" s="19"/>
      <c r="F7121" s="20"/>
      <c r="G7121" s="20"/>
      <c r="H7121" s="20"/>
      <c r="I7121" s="20"/>
    </row>
    <row r="7122" ht="20.05" customHeight="1">
      <c r="A7122" s="10">
        <v>45741</v>
      </c>
      <c r="B7122" t="s" s="11">
        <v>89</v>
      </c>
      <c r="C7122" t="s" s="12">
        <v>1017</v>
      </c>
      <c r="D7122" s="19">
        <v>37875</v>
      </c>
      <c r="E7122" s="19"/>
      <c r="F7122" s="20"/>
      <c r="G7122" s="20"/>
      <c r="H7122" s="20"/>
      <c r="I7122" s="20"/>
    </row>
    <row r="7123" ht="20.35" customHeight="1">
      <c r="A7123" s="10">
        <v>45741</v>
      </c>
      <c r="B7123" t="s" s="11">
        <v>12</v>
      </c>
      <c r="C7123" t="s" s="12">
        <v>1017</v>
      </c>
      <c r="D7123" s="13">
        <v>12625</v>
      </c>
      <c r="E7123" s="13"/>
      <c r="F7123" s="14"/>
      <c r="G7123" s="14"/>
      <c r="H7123" s="14"/>
      <c r="I7123" s="14"/>
    </row>
    <row r="7124" ht="20.7" customHeight="1">
      <c r="A7124" s="10">
        <v>45741</v>
      </c>
      <c r="B7124" t="s" s="11">
        <v>8</v>
      </c>
      <c r="C7124" t="s" s="12">
        <v>8</v>
      </c>
      <c r="D7124" s="15" cm="1">
        <f t="array" ref="D7124">SUM(D7120:D7123)</f>
        <v>54000</v>
      </c>
      <c r="E7124" s="15" cm="1">
        <f t="array" ref="E7124">SUM(E7120:E7123)</f>
        <v>54000</v>
      </c>
      <c r="F7124" s="16" cm="1">
        <f t="array" ref="F7124">SUM(F7120:F7123)</f>
        <v>0</v>
      </c>
      <c r="G7124" s="16" cm="1">
        <f t="array" ref="G7124">SUM(G7120:G7123)</f>
        <v>0</v>
      </c>
      <c r="H7124" s="16" cm="1">
        <f t="array" ref="H7124">SUM(H7120:H7123)</f>
        <v>0</v>
      </c>
      <c r="I7124" s="16" cm="1">
        <f t="array" ref="I7124">SUM(I7120:I7123)</f>
        <v>0</v>
      </c>
    </row>
    <row r="7125" ht="21.25" customHeight="1">
      <c r="A7125" s="10">
        <v>45741</v>
      </c>
      <c r="B7125" t="s" s="11">
        <v>89</v>
      </c>
      <c r="C7125" t="s" s="12">
        <v>1016</v>
      </c>
      <c r="D7125" s="17"/>
      <c r="E7125" s="17">
        <v>25250</v>
      </c>
      <c r="F7125" s="18"/>
      <c r="G7125" s="18"/>
      <c r="H7125" s="18"/>
      <c r="I7125" s="18"/>
    </row>
    <row r="7126" ht="21.25" customHeight="1">
      <c r="A7126" s="10">
        <v>45741</v>
      </c>
      <c r="B7126" t="s" s="11">
        <v>107</v>
      </c>
      <c r="C7126" t="s" s="12">
        <v>1016</v>
      </c>
      <c r="D7126" s="13">
        <v>25250</v>
      </c>
      <c r="E7126" s="13"/>
      <c r="F7126" s="14"/>
      <c r="G7126" s="14"/>
      <c r="H7126" s="14"/>
      <c r="I7126" s="14"/>
    </row>
    <row r="7127" ht="20.7" customHeight="1">
      <c r="A7127" s="10">
        <v>45741</v>
      </c>
      <c r="B7127" t="s" s="11">
        <v>8</v>
      </c>
      <c r="C7127" t="s" s="12">
        <v>8</v>
      </c>
      <c r="D7127" s="15" cm="1">
        <f t="array" ref="D7127">SUM(D7125:D7126)</f>
        <v>25250</v>
      </c>
      <c r="E7127" s="15" cm="1">
        <f t="array" ref="E7127">SUM(E7125:E7126)</f>
        <v>25250</v>
      </c>
      <c r="F7127" s="16" cm="1">
        <f t="array" ref="F7127">SUM(F7125:F7126)</f>
        <v>0</v>
      </c>
      <c r="G7127" s="16" cm="1">
        <f t="array" ref="G7127">SUM(G7125:G7126)</f>
        <v>0</v>
      </c>
      <c r="H7127" s="16" cm="1">
        <f t="array" ref="H7127">SUM(H7125:H7126)</f>
        <v>0</v>
      </c>
      <c r="I7127" s="16" cm="1">
        <f t="array" ref="I7127">SUM(I7125:I7126)</f>
        <v>0</v>
      </c>
    </row>
    <row r="7128" ht="21.25" customHeight="1">
      <c r="A7128" s="10">
        <v>45741</v>
      </c>
      <c r="B7128" t="s" s="11">
        <v>89</v>
      </c>
      <c r="C7128" t="s" s="12">
        <v>1016</v>
      </c>
      <c r="D7128" s="17"/>
      <c r="E7128" s="17">
        <v>12625</v>
      </c>
      <c r="F7128" s="18"/>
      <c r="G7128" s="18"/>
      <c r="H7128" s="18"/>
      <c r="I7128" s="18"/>
    </row>
    <row r="7129" ht="20.9" customHeight="1">
      <c r="A7129" s="10">
        <v>45741</v>
      </c>
      <c r="B7129" t="s" s="11">
        <v>107</v>
      </c>
      <c r="C7129" t="s" s="12">
        <v>1016</v>
      </c>
      <c r="D7129" s="19">
        <v>12600</v>
      </c>
      <c r="E7129" s="19"/>
      <c r="F7129" s="20"/>
      <c r="G7129" s="20"/>
      <c r="H7129" s="20"/>
      <c r="I7129" s="20"/>
    </row>
    <row r="7130" ht="21.25" customHeight="1">
      <c r="A7130" s="10">
        <v>45741</v>
      </c>
      <c r="B7130" t="s" s="11">
        <v>10</v>
      </c>
      <c r="C7130" t="s" s="12">
        <v>1016</v>
      </c>
      <c r="D7130" s="13">
        <v>25</v>
      </c>
      <c r="E7130" s="13"/>
      <c r="F7130" s="14"/>
      <c r="G7130" s="14"/>
      <c r="H7130" s="14"/>
      <c r="I7130" s="14"/>
    </row>
    <row r="7131" ht="20.7" customHeight="1">
      <c r="A7131" s="10">
        <v>45741</v>
      </c>
      <c r="B7131" t="s" s="11">
        <v>8</v>
      </c>
      <c r="C7131" t="s" s="12">
        <v>8</v>
      </c>
      <c r="D7131" s="15" cm="1">
        <f t="array" ref="D7131">SUM(D7128:D7130)</f>
        <v>12625</v>
      </c>
      <c r="E7131" s="15" cm="1">
        <f t="array" ref="E7131">SUM(E7128:E7130)</f>
        <v>12625</v>
      </c>
      <c r="F7131" s="16" cm="1">
        <f t="array" ref="F7131">SUM(F7128:F7130)</f>
        <v>0</v>
      </c>
      <c r="G7131" s="16" cm="1">
        <f t="array" ref="G7131">SUM(G7128:G7130)</f>
        <v>0</v>
      </c>
      <c r="H7131" s="16" cm="1">
        <f t="array" ref="H7131">SUM(H7128:H7130)</f>
        <v>0</v>
      </c>
      <c r="I7131" s="16" cm="1">
        <f t="array" ref="I7131">SUM(I7128:I7130)</f>
        <v>0</v>
      </c>
    </row>
    <row r="7132" ht="20.35" customHeight="1">
      <c r="A7132" s="10">
        <v>45741</v>
      </c>
      <c r="B7132" t="s" s="11">
        <v>107</v>
      </c>
      <c r="C7132" t="s" s="12">
        <v>439</v>
      </c>
      <c r="D7132" s="17"/>
      <c r="E7132" s="17">
        <v>6965</v>
      </c>
      <c r="F7132" s="18"/>
      <c r="G7132" s="18"/>
      <c r="H7132" s="18"/>
      <c r="I7132" s="18"/>
    </row>
    <row r="7133" ht="20.35" customHeight="1">
      <c r="A7133" s="10">
        <v>45741</v>
      </c>
      <c r="B7133" t="s" s="11">
        <v>121</v>
      </c>
      <c r="C7133" t="s" s="12">
        <v>439</v>
      </c>
      <c r="D7133" s="13">
        <v>6965</v>
      </c>
      <c r="E7133" s="13"/>
      <c r="F7133" s="14"/>
      <c r="G7133" s="14"/>
      <c r="H7133" s="14"/>
      <c r="I7133" s="14"/>
    </row>
    <row r="7134" ht="20.7" customHeight="1">
      <c r="A7134" s="10">
        <v>45741</v>
      </c>
      <c r="B7134" t="s" s="11">
        <v>8</v>
      </c>
      <c r="C7134" t="s" s="12">
        <v>8</v>
      </c>
      <c r="D7134" s="15" cm="1">
        <f t="array" ref="D7134">SUM(D7132:D7133)</f>
        <v>6965</v>
      </c>
      <c r="E7134" s="15" cm="1">
        <f t="array" ref="E7134">SUM(E7132:E7133)</f>
        <v>6965</v>
      </c>
      <c r="F7134" s="16" cm="1">
        <f t="array" ref="F7134">SUM(F7132:F7133)</f>
        <v>0</v>
      </c>
      <c r="G7134" s="16" cm="1">
        <f t="array" ref="G7134">SUM(G7132:G7133)</f>
        <v>0</v>
      </c>
      <c r="H7134" s="16" cm="1">
        <f t="array" ref="H7134">SUM(H7132:H7133)</f>
        <v>0</v>
      </c>
      <c r="I7134" s="16" cm="1">
        <f t="array" ref="I7134">SUM(I7132:I7133)</f>
        <v>0</v>
      </c>
    </row>
    <row r="7135" ht="20.35" customHeight="1">
      <c r="A7135" s="10">
        <v>45741</v>
      </c>
      <c r="B7135" t="s" s="11">
        <v>107</v>
      </c>
      <c r="C7135" t="s" s="12">
        <v>1009</v>
      </c>
      <c r="D7135" s="17"/>
      <c r="E7135" s="17">
        <v>35000</v>
      </c>
      <c r="F7135" s="18"/>
      <c r="G7135" s="18"/>
      <c r="H7135" s="18"/>
      <c r="I7135" s="18"/>
    </row>
    <row r="7136" ht="20.35" customHeight="1">
      <c r="A7136" s="10">
        <v>45741</v>
      </c>
      <c r="B7136" t="s" s="11">
        <v>21</v>
      </c>
      <c r="C7136" t="s" s="12">
        <v>1009</v>
      </c>
      <c r="D7136" s="13">
        <v>35000</v>
      </c>
      <c r="E7136" s="13"/>
      <c r="F7136" s="14"/>
      <c r="G7136" s="14"/>
      <c r="H7136" s="14"/>
      <c r="I7136" s="14"/>
    </row>
    <row r="7137" ht="20.7" customHeight="1">
      <c r="A7137" s="10">
        <v>45741</v>
      </c>
      <c r="B7137" t="s" s="11">
        <v>8</v>
      </c>
      <c r="C7137" t="s" s="12">
        <v>8</v>
      </c>
      <c r="D7137" s="15" cm="1">
        <f t="array" ref="D7137">SUM(D7135:D7136)</f>
        <v>35000</v>
      </c>
      <c r="E7137" s="15" cm="1">
        <f t="array" ref="E7137">SUM(E7135:E7136)</f>
        <v>35000</v>
      </c>
      <c r="F7137" s="16" cm="1">
        <f t="array" ref="F7137">SUM(F7135:F7136)</f>
        <v>0</v>
      </c>
      <c r="G7137" s="16" cm="1">
        <f t="array" ref="G7137">SUM(G7135:G7136)</f>
        <v>0</v>
      </c>
      <c r="H7137" s="16" cm="1">
        <f t="array" ref="H7137">SUM(H7135:H7136)</f>
        <v>0</v>
      </c>
      <c r="I7137" s="16" cm="1">
        <f t="array" ref="I7137">SUM(I7135:I7136)</f>
        <v>0</v>
      </c>
    </row>
    <row r="7138" ht="21.25" customHeight="1">
      <c r="A7138" s="10">
        <v>45741</v>
      </c>
      <c r="B7138" t="s" s="11">
        <v>121</v>
      </c>
      <c r="C7138" t="s" s="12">
        <v>1018</v>
      </c>
      <c r="D7138" s="17"/>
      <c r="E7138" s="17">
        <v>10000</v>
      </c>
      <c r="F7138" s="18"/>
      <c r="G7138" s="18"/>
      <c r="H7138" s="18"/>
      <c r="I7138" s="18"/>
    </row>
    <row r="7139" ht="21.25" customHeight="1">
      <c r="A7139" s="10">
        <v>45741</v>
      </c>
      <c r="B7139" t="s" s="11">
        <v>786</v>
      </c>
      <c r="C7139" t="s" s="12">
        <v>1018</v>
      </c>
      <c r="D7139" s="13">
        <v>10000</v>
      </c>
      <c r="E7139" s="13"/>
      <c r="F7139" s="14"/>
      <c r="G7139" s="14"/>
      <c r="H7139" s="14"/>
      <c r="I7139" s="14"/>
    </row>
    <row r="7140" ht="20.7" customHeight="1">
      <c r="A7140" s="10">
        <v>45741</v>
      </c>
      <c r="B7140" t="s" s="11">
        <v>8</v>
      </c>
      <c r="C7140" t="s" s="12">
        <v>8</v>
      </c>
      <c r="D7140" s="15" cm="1">
        <f t="array" ref="D7140">SUM(D7138:D7139)</f>
        <v>10000</v>
      </c>
      <c r="E7140" s="15" cm="1">
        <f t="array" ref="E7140">SUM(E7138:E7139)</f>
        <v>10000</v>
      </c>
      <c r="F7140" s="16" cm="1">
        <f t="array" ref="F7140">SUM(F7138:F7139)</f>
        <v>0</v>
      </c>
      <c r="G7140" s="16" cm="1">
        <f t="array" ref="G7140">SUM(G7138:G7139)</f>
        <v>0</v>
      </c>
      <c r="H7140" s="16" cm="1">
        <f t="array" ref="H7140">SUM(H7138:H7139)</f>
        <v>0</v>
      </c>
      <c r="I7140" s="16" cm="1">
        <f t="array" ref="I7140">SUM(I7138:I7139)</f>
        <v>0</v>
      </c>
    </row>
    <row r="7141" ht="21.25" customHeight="1">
      <c r="A7141" s="10">
        <v>45741</v>
      </c>
      <c r="B7141" t="s" s="11">
        <v>121</v>
      </c>
      <c r="C7141" t="s" s="12">
        <v>952</v>
      </c>
      <c r="D7141" s="17"/>
      <c r="E7141" s="17">
        <v>10000</v>
      </c>
      <c r="F7141" s="18"/>
      <c r="G7141" s="18"/>
      <c r="H7141" s="18"/>
      <c r="I7141" s="18"/>
    </row>
    <row r="7142" ht="21.25" customHeight="1">
      <c r="A7142" s="10">
        <v>45741</v>
      </c>
      <c r="B7142" t="s" s="11">
        <v>788</v>
      </c>
      <c r="C7142" t="s" s="12">
        <v>952</v>
      </c>
      <c r="D7142" s="13">
        <v>10000</v>
      </c>
      <c r="E7142" s="13"/>
      <c r="F7142" s="14"/>
      <c r="G7142" s="14"/>
      <c r="H7142" s="14"/>
      <c r="I7142" s="14"/>
    </row>
    <row r="7143" ht="20.7" customHeight="1">
      <c r="A7143" s="10">
        <v>45741</v>
      </c>
      <c r="B7143" t="s" s="11">
        <v>8</v>
      </c>
      <c r="C7143" t="s" s="12">
        <v>8</v>
      </c>
      <c r="D7143" s="15" cm="1">
        <f t="array" ref="D7143">SUM(D7141:D7142)</f>
        <v>10000</v>
      </c>
      <c r="E7143" s="15" cm="1">
        <f t="array" ref="E7143">SUM(E7141:E7142)</f>
        <v>10000</v>
      </c>
      <c r="F7143" s="16" cm="1">
        <f t="array" ref="F7143">SUM(F7141:F7142)</f>
        <v>0</v>
      </c>
      <c r="G7143" s="16" cm="1">
        <f t="array" ref="G7143">SUM(G7141:G7142)</f>
        <v>0</v>
      </c>
      <c r="H7143" s="16" cm="1">
        <f t="array" ref="H7143">SUM(H7141:H7142)</f>
        <v>0</v>
      </c>
      <c r="I7143" s="16" cm="1">
        <f t="array" ref="I7143">SUM(I7141:I7142)</f>
        <v>0</v>
      </c>
    </row>
    <row r="7144" ht="20.35" customHeight="1">
      <c r="A7144" s="10">
        <v>45741</v>
      </c>
      <c r="B7144" t="s" s="11">
        <v>5</v>
      </c>
      <c r="C7144" t="s" s="12">
        <v>916</v>
      </c>
      <c r="D7144" s="17"/>
      <c r="E7144" s="17">
        <v>61490</v>
      </c>
      <c r="F7144" s="18"/>
      <c r="G7144" s="18"/>
      <c r="H7144" s="18"/>
      <c r="I7144" s="18"/>
    </row>
    <row r="7145" ht="20.05" customHeight="1">
      <c r="A7145" s="10">
        <v>45741</v>
      </c>
      <c r="B7145" t="s" s="11">
        <v>12</v>
      </c>
      <c r="C7145" t="s" s="12">
        <v>916</v>
      </c>
      <c r="D7145" s="19">
        <v>30745</v>
      </c>
      <c r="E7145" s="19"/>
      <c r="F7145" s="20"/>
      <c r="G7145" s="20"/>
      <c r="H7145" s="20"/>
      <c r="I7145" s="20"/>
    </row>
    <row r="7146" ht="20.35" customHeight="1">
      <c r="A7146" s="10">
        <v>45741</v>
      </c>
      <c r="B7146" t="s" s="11">
        <v>89</v>
      </c>
      <c r="C7146" t="s" s="12">
        <v>916</v>
      </c>
      <c r="D7146" s="13">
        <v>30745</v>
      </c>
      <c r="E7146" s="13"/>
      <c r="F7146" s="14"/>
      <c r="G7146" s="14"/>
      <c r="H7146" s="14"/>
      <c r="I7146" s="14"/>
    </row>
    <row r="7147" ht="20.7" customHeight="1">
      <c r="A7147" s="10">
        <v>45741</v>
      </c>
      <c r="B7147" t="s" s="11">
        <v>8</v>
      </c>
      <c r="C7147" t="s" s="12">
        <v>8</v>
      </c>
      <c r="D7147" s="15" cm="1">
        <f t="array" ref="D7147">SUM(D7144:D7146)</f>
        <v>61490</v>
      </c>
      <c r="E7147" s="15" cm="1">
        <f t="array" ref="E7147">SUM(E7144:E7146)</f>
        <v>61490</v>
      </c>
      <c r="F7147" s="16" cm="1">
        <f t="array" ref="F7147">SUM(F7144:F7146)</f>
        <v>0</v>
      </c>
      <c r="G7147" s="16" cm="1">
        <f t="array" ref="G7147">SUM(G7144:G7146)</f>
        <v>0</v>
      </c>
      <c r="H7147" s="16" cm="1">
        <f t="array" ref="H7147">SUM(H7144:H7146)</f>
        <v>0</v>
      </c>
      <c r="I7147" s="16" cm="1">
        <f t="array" ref="I7147">SUM(I7144:I7146)</f>
        <v>0</v>
      </c>
    </row>
    <row r="7148" ht="20.35" customHeight="1">
      <c r="A7148" s="10">
        <v>45741</v>
      </c>
      <c r="B7148" t="s" s="11">
        <v>91</v>
      </c>
      <c r="C7148" t="s" s="12">
        <v>17</v>
      </c>
      <c r="D7148" s="17"/>
      <c r="E7148" s="17">
        <v>500</v>
      </c>
      <c r="F7148" s="18"/>
      <c r="G7148" s="18"/>
      <c r="H7148" s="18"/>
      <c r="I7148" s="18"/>
    </row>
    <row r="7149" ht="20.35" customHeight="1">
      <c r="A7149" s="10">
        <v>45741</v>
      </c>
      <c r="B7149" t="s" s="11">
        <v>5</v>
      </c>
      <c r="C7149" t="s" s="12">
        <v>17</v>
      </c>
      <c r="D7149" s="13">
        <v>500</v>
      </c>
      <c r="E7149" s="13"/>
      <c r="F7149" s="14"/>
      <c r="G7149" s="14"/>
      <c r="H7149" s="14"/>
      <c r="I7149" s="14"/>
    </row>
    <row r="7150" ht="20.7" customHeight="1">
      <c r="A7150" s="10">
        <v>45741</v>
      </c>
      <c r="B7150" t="s" s="11">
        <v>8</v>
      </c>
      <c r="C7150" t="s" s="12">
        <v>8</v>
      </c>
      <c r="D7150" s="15" cm="1">
        <f t="array" ref="D7150">SUM(D7148:D7149)</f>
        <v>500</v>
      </c>
      <c r="E7150" s="15" cm="1">
        <f t="array" ref="E7150">SUM(E7148:E7149)</f>
        <v>500</v>
      </c>
      <c r="F7150" s="16" cm="1">
        <f t="array" ref="F7150">SUM(F7148:F7149)</f>
        <v>0</v>
      </c>
      <c r="G7150" s="16" cm="1">
        <f t="array" ref="G7150">SUM(G7148:G7149)</f>
        <v>0</v>
      </c>
      <c r="H7150" s="16" cm="1">
        <f t="array" ref="H7150">SUM(H7148:H7149)</f>
        <v>0</v>
      </c>
      <c r="I7150" s="16" cm="1">
        <f t="array" ref="I7150">SUM(I7148:I7149)</f>
        <v>0</v>
      </c>
    </row>
    <row r="7151" ht="20.35" customHeight="1">
      <c r="A7151" s="10">
        <v>45741</v>
      </c>
      <c r="B7151" t="s" s="11">
        <v>814</v>
      </c>
      <c r="C7151" t="s" s="12">
        <v>96</v>
      </c>
      <c r="D7151" s="17"/>
      <c r="E7151" s="17">
        <v>590565</v>
      </c>
      <c r="F7151" s="18"/>
      <c r="G7151" s="18"/>
      <c r="H7151" s="18"/>
      <c r="I7151" s="18"/>
    </row>
    <row r="7152" ht="20.35" customHeight="1">
      <c r="A7152" s="10">
        <v>45741</v>
      </c>
      <c r="B7152" t="s" s="11">
        <v>5</v>
      </c>
      <c r="C7152" t="s" s="12">
        <v>96</v>
      </c>
      <c r="D7152" s="13">
        <v>590565</v>
      </c>
      <c r="E7152" s="13"/>
      <c r="F7152" s="14"/>
      <c r="G7152" s="14"/>
      <c r="H7152" s="14"/>
      <c r="I7152" s="14"/>
    </row>
    <row r="7153" ht="20.7" customHeight="1">
      <c r="A7153" s="10">
        <v>45741</v>
      </c>
      <c r="B7153" t="s" s="11">
        <v>8</v>
      </c>
      <c r="C7153" t="s" s="12">
        <v>8</v>
      </c>
      <c r="D7153" s="15" cm="1">
        <f t="array" ref="D7153">SUM(D7151:D7152)</f>
        <v>590565</v>
      </c>
      <c r="E7153" s="15" cm="1">
        <f t="array" ref="E7153">SUM(E7151:E7152)</f>
        <v>590565</v>
      </c>
      <c r="F7153" s="16" cm="1">
        <f t="array" ref="F7153">SUM(F7151:F7152)</f>
        <v>0</v>
      </c>
      <c r="G7153" s="16" cm="1">
        <f t="array" ref="G7153">SUM(G7151:G7152)</f>
        <v>0</v>
      </c>
      <c r="H7153" s="16" cm="1">
        <f t="array" ref="H7153">SUM(H7151:H7152)</f>
        <v>0</v>
      </c>
      <c r="I7153" s="16" cm="1">
        <f t="array" ref="I7153">SUM(I7151:I7152)</f>
        <v>0</v>
      </c>
    </row>
    <row r="7154" ht="20.35" customHeight="1">
      <c r="A7154" s="10">
        <v>45741</v>
      </c>
      <c r="B7154" t="s" s="11">
        <v>5</v>
      </c>
      <c r="C7154" t="s" s="12">
        <v>75</v>
      </c>
      <c r="D7154" s="17"/>
      <c r="E7154" s="17">
        <v>1159130</v>
      </c>
      <c r="F7154" s="18"/>
      <c r="G7154" s="18"/>
      <c r="H7154" s="18"/>
      <c r="I7154" s="18"/>
    </row>
    <row r="7155" ht="20.05" customHeight="1">
      <c r="A7155" s="10">
        <v>45741</v>
      </c>
      <c r="B7155" t="s" s="11">
        <v>89</v>
      </c>
      <c r="C7155" t="s" s="12">
        <v>75</v>
      </c>
      <c r="D7155" s="19">
        <v>579565</v>
      </c>
      <c r="E7155" s="19"/>
      <c r="F7155" s="20"/>
      <c r="G7155" s="20"/>
      <c r="H7155" s="20"/>
      <c r="I7155" s="20"/>
    </row>
    <row r="7156" ht="20.35" customHeight="1">
      <c r="A7156" s="10">
        <v>45741</v>
      </c>
      <c r="B7156" t="s" s="11">
        <v>74</v>
      </c>
      <c r="C7156" t="s" s="12">
        <v>75</v>
      </c>
      <c r="D7156" s="13">
        <v>579565</v>
      </c>
      <c r="E7156" s="13"/>
      <c r="F7156" s="14"/>
      <c r="G7156" s="14"/>
      <c r="H7156" s="14"/>
      <c r="I7156" s="14"/>
    </row>
    <row r="7157" ht="20.7" customHeight="1">
      <c r="A7157" s="10">
        <v>45741</v>
      </c>
      <c r="B7157" t="s" s="11">
        <v>8</v>
      </c>
      <c r="C7157" t="s" s="12">
        <v>8</v>
      </c>
      <c r="D7157" s="15" cm="1">
        <f t="array" ref="D7157">SUM(D7154:D7156)</f>
        <v>1159130</v>
      </c>
      <c r="E7157" s="15" cm="1">
        <f t="array" ref="E7157">SUM(E7154:E7156)</f>
        <v>1159130</v>
      </c>
      <c r="F7157" s="16" cm="1">
        <f t="array" ref="F7157">SUM(F7154:F7156)</f>
        <v>0</v>
      </c>
      <c r="G7157" s="16" cm="1">
        <f t="array" ref="G7157">SUM(G7154:G7156)</f>
        <v>0</v>
      </c>
      <c r="H7157" s="16" cm="1">
        <f t="array" ref="H7157">SUM(H7154:H7156)</f>
        <v>0</v>
      </c>
      <c r="I7157" s="16" cm="1">
        <f t="array" ref="I7157">SUM(I7154:I7156)</f>
        <v>0</v>
      </c>
    </row>
    <row r="7158" ht="20.35" customHeight="1">
      <c r="A7158" s="10">
        <v>45741</v>
      </c>
      <c r="B7158" t="s" s="11">
        <v>814</v>
      </c>
      <c r="C7158" t="s" s="12">
        <v>96</v>
      </c>
      <c r="D7158" s="17"/>
      <c r="E7158" s="17">
        <v>22340</v>
      </c>
      <c r="F7158" s="18"/>
      <c r="G7158" s="18"/>
      <c r="H7158" s="18"/>
      <c r="I7158" s="18"/>
    </row>
    <row r="7159" ht="20.35" customHeight="1">
      <c r="A7159" s="10">
        <v>45741</v>
      </c>
      <c r="B7159" t="s" s="11">
        <v>5</v>
      </c>
      <c r="C7159" t="s" s="12">
        <v>96</v>
      </c>
      <c r="D7159" s="13">
        <v>22340</v>
      </c>
      <c r="E7159" s="13"/>
      <c r="F7159" s="14"/>
      <c r="G7159" s="14"/>
      <c r="H7159" s="14"/>
      <c r="I7159" s="14"/>
    </row>
    <row r="7160" ht="20.7" customHeight="1">
      <c r="A7160" s="10">
        <v>45741</v>
      </c>
      <c r="B7160" t="s" s="11">
        <v>8</v>
      </c>
      <c r="C7160" t="s" s="12">
        <v>8</v>
      </c>
      <c r="D7160" s="15" cm="1">
        <f t="array" ref="D7160">SUM(D7158:D7159)</f>
        <v>22340</v>
      </c>
      <c r="E7160" s="15" cm="1">
        <f t="array" ref="E7160">SUM(E7158:E7159)</f>
        <v>22340</v>
      </c>
      <c r="F7160" s="16" cm="1">
        <f t="array" ref="F7160">SUM(F7158:F7159)</f>
        <v>0</v>
      </c>
      <c r="G7160" s="16" cm="1">
        <f t="array" ref="G7160">SUM(G7158:G7159)</f>
        <v>0</v>
      </c>
      <c r="H7160" s="16" cm="1">
        <f t="array" ref="H7160">SUM(H7158:H7159)</f>
        <v>0</v>
      </c>
      <c r="I7160" s="16" cm="1">
        <f t="array" ref="I7160">SUM(I7158:I7159)</f>
        <v>0</v>
      </c>
    </row>
    <row r="7161" ht="20.35" customHeight="1">
      <c r="A7161" s="10">
        <v>45741</v>
      </c>
      <c r="B7161" t="s" s="11">
        <v>5</v>
      </c>
      <c r="C7161" t="s" s="12">
        <v>659</v>
      </c>
      <c r="D7161" s="17"/>
      <c r="E7161" s="17">
        <v>22340</v>
      </c>
      <c r="F7161" s="18"/>
      <c r="G7161" s="18"/>
      <c r="H7161" s="18"/>
      <c r="I7161" s="18"/>
    </row>
    <row r="7162" ht="20.35" customHeight="1">
      <c r="A7162" s="10">
        <v>45741</v>
      </c>
      <c r="B7162" t="s" s="11">
        <v>89</v>
      </c>
      <c r="C7162" t="s" s="12">
        <v>659</v>
      </c>
      <c r="D7162" s="13">
        <v>22340</v>
      </c>
      <c r="E7162" s="13"/>
      <c r="F7162" s="14"/>
      <c r="G7162" s="14"/>
      <c r="H7162" s="14"/>
      <c r="I7162" s="14"/>
    </row>
    <row r="7163" ht="20.7" customHeight="1">
      <c r="A7163" s="10">
        <v>45741</v>
      </c>
      <c r="B7163" t="s" s="11">
        <v>8</v>
      </c>
      <c r="C7163" t="s" s="12">
        <v>8</v>
      </c>
      <c r="D7163" s="15" cm="1">
        <f t="array" ref="D7163">SUM(D7161:D7162)</f>
        <v>22340</v>
      </c>
      <c r="E7163" s="15" cm="1">
        <f t="array" ref="E7163">SUM(E7161:E7162)</f>
        <v>22340</v>
      </c>
      <c r="F7163" s="16" cm="1">
        <f t="array" ref="F7163">SUM(F7161:F7162)</f>
        <v>0</v>
      </c>
      <c r="G7163" s="16" cm="1">
        <f t="array" ref="G7163">SUM(G7161:G7162)</f>
        <v>0</v>
      </c>
      <c r="H7163" s="16" cm="1">
        <f t="array" ref="H7163">SUM(H7161:H7162)</f>
        <v>0</v>
      </c>
      <c r="I7163" s="16" cm="1">
        <f t="array" ref="I7163">SUM(I7161:I7162)</f>
        <v>0</v>
      </c>
    </row>
    <row r="7164" ht="20.35" customHeight="1">
      <c r="A7164" s="10">
        <v>45741</v>
      </c>
      <c r="B7164" t="s" s="11">
        <v>89</v>
      </c>
      <c r="C7164" t="s" s="12">
        <v>1019</v>
      </c>
      <c r="D7164" s="17"/>
      <c r="E7164" s="17">
        <v>53085</v>
      </c>
      <c r="F7164" s="18"/>
      <c r="G7164" s="18"/>
      <c r="H7164" s="18"/>
      <c r="I7164" s="18"/>
    </row>
    <row r="7165" ht="20.05" customHeight="1">
      <c r="A7165" s="10">
        <v>45741</v>
      </c>
      <c r="B7165" t="s" s="11">
        <v>21</v>
      </c>
      <c r="C7165" t="s" s="12">
        <v>1019</v>
      </c>
      <c r="D7165" s="19"/>
      <c r="E7165" s="19">
        <v>46915</v>
      </c>
      <c r="F7165" s="20"/>
      <c r="G7165" s="20"/>
      <c r="H7165" s="20"/>
      <c r="I7165" s="20"/>
    </row>
    <row r="7166" ht="20.35" customHeight="1">
      <c r="A7166" s="10">
        <v>45741</v>
      </c>
      <c r="B7166" t="s" s="11">
        <v>28</v>
      </c>
      <c r="C7166" t="s" s="12">
        <v>1019</v>
      </c>
      <c r="D7166" s="13">
        <v>100000</v>
      </c>
      <c r="E7166" s="13"/>
      <c r="F7166" s="14"/>
      <c r="G7166" s="14"/>
      <c r="H7166" s="14"/>
      <c r="I7166" s="14"/>
    </row>
    <row r="7167" ht="20.7" customHeight="1">
      <c r="A7167" s="10">
        <v>45741</v>
      </c>
      <c r="B7167" t="s" s="11">
        <v>8</v>
      </c>
      <c r="C7167" t="s" s="12">
        <v>8</v>
      </c>
      <c r="D7167" s="15" cm="1">
        <f t="array" ref="D7167">SUM(D7164:D7166)</f>
        <v>100000</v>
      </c>
      <c r="E7167" s="15" cm="1">
        <f t="array" ref="E7167">SUM(E7164:E7166)</f>
        <v>100000</v>
      </c>
      <c r="F7167" s="16" cm="1">
        <f t="array" ref="F7167">SUM(F7164:F7166)</f>
        <v>0</v>
      </c>
      <c r="G7167" s="16" cm="1">
        <f t="array" ref="G7167">SUM(G7164:G7166)</f>
        <v>0</v>
      </c>
      <c r="H7167" s="16" cm="1">
        <f t="array" ref="H7167">SUM(H7164:H7166)</f>
        <v>0</v>
      </c>
      <c r="I7167" s="16" cm="1">
        <f t="array" ref="I7167">SUM(I7164:I7166)</f>
        <v>0</v>
      </c>
    </row>
    <row r="7168" ht="20.35" customHeight="1">
      <c r="A7168" s="10">
        <v>45741</v>
      </c>
      <c r="B7168" t="s" s="11">
        <v>21</v>
      </c>
      <c r="C7168" t="s" s="12">
        <v>1020</v>
      </c>
      <c r="D7168" s="17"/>
      <c r="E7168" s="17">
        <v>35000</v>
      </c>
      <c r="F7168" s="18"/>
      <c r="G7168" s="18"/>
      <c r="H7168" s="18"/>
      <c r="I7168" s="18"/>
    </row>
    <row r="7169" ht="20.35" customHeight="1">
      <c r="A7169" s="10">
        <v>45741</v>
      </c>
      <c r="B7169" t="s" s="11">
        <v>28</v>
      </c>
      <c r="C7169" t="s" s="12">
        <v>1020</v>
      </c>
      <c r="D7169" s="13">
        <v>35000</v>
      </c>
      <c r="E7169" s="13"/>
      <c r="F7169" s="14"/>
      <c r="G7169" s="14"/>
      <c r="H7169" s="14"/>
      <c r="I7169" s="14"/>
    </row>
    <row r="7170" ht="20.7" customHeight="1">
      <c r="A7170" s="10">
        <v>45741</v>
      </c>
      <c r="B7170" t="s" s="11">
        <v>8</v>
      </c>
      <c r="C7170" t="s" s="12">
        <v>8</v>
      </c>
      <c r="D7170" s="15" cm="1">
        <f t="array" ref="D7170">SUM(D7168:D7169)</f>
        <v>35000</v>
      </c>
      <c r="E7170" s="15" cm="1">
        <f t="array" ref="E7170">SUM(E7168:E7169)</f>
        <v>35000</v>
      </c>
      <c r="F7170" s="16" cm="1">
        <f t="array" ref="F7170">SUM(F7168:F7169)</f>
        <v>0</v>
      </c>
      <c r="G7170" s="16" cm="1">
        <f t="array" ref="G7170">SUM(G7168:G7169)</f>
        <v>0</v>
      </c>
      <c r="H7170" s="16" cm="1">
        <f t="array" ref="H7170">SUM(H7168:H7169)</f>
        <v>0</v>
      </c>
      <c r="I7170" s="16" cm="1">
        <f t="array" ref="I7170">SUM(I7168:I7169)</f>
        <v>0</v>
      </c>
    </row>
    <row r="7171" ht="20.35" customHeight="1">
      <c r="A7171" s="10">
        <v>45741</v>
      </c>
      <c r="B7171" t="s" s="11">
        <v>21</v>
      </c>
      <c r="C7171" t="s" s="12">
        <v>1021</v>
      </c>
      <c r="D7171" s="17"/>
      <c r="E7171" s="17">
        <v>35000</v>
      </c>
      <c r="F7171" s="18"/>
      <c r="G7171" s="18"/>
      <c r="H7171" s="18"/>
      <c r="I7171" s="18"/>
    </row>
    <row r="7172" ht="20.35" customHeight="1">
      <c r="A7172" s="10">
        <v>45741</v>
      </c>
      <c r="B7172" t="s" s="11">
        <v>28</v>
      </c>
      <c r="C7172" t="s" s="12">
        <v>1021</v>
      </c>
      <c r="D7172" s="13">
        <v>35000</v>
      </c>
      <c r="E7172" s="13"/>
      <c r="F7172" s="14"/>
      <c r="G7172" s="14"/>
      <c r="H7172" s="14"/>
      <c r="I7172" s="14"/>
    </row>
    <row r="7173" ht="20.7" customHeight="1">
      <c r="A7173" s="10">
        <v>45741</v>
      </c>
      <c r="B7173" t="s" s="11">
        <v>8</v>
      </c>
      <c r="C7173" t="s" s="12">
        <v>8</v>
      </c>
      <c r="D7173" s="15" cm="1">
        <f t="array" ref="D7173">SUM(D7171:D7172)</f>
        <v>35000</v>
      </c>
      <c r="E7173" s="15" cm="1">
        <f t="array" ref="E7173">SUM(E7171:E7172)</f>
        <v>35000</v>
      </c>
      <c r="F7173" s="16" cm="1">
        <f t="array" ref="F7173">SUM(F7171:F7172)</f>
        <v>0</v>
      </c>
      <c r="G7173" s="16" cm="1">
        <f t="array" ref="G7173">SUM(G7171:G7172)</f>
        <v>0</v>
      </c>
      <c r="H7173" s="16" cm="1">
        <f t="array" ref="H7173">SUM(H7171:H7172)</f>
        <v>0</v>
      </c>
      <c r="I7173" s="16" cm="1">
        <f t="array" ref="I7173">SUM(I7171:I7172)</f>
        <v>0</v>
      </c>
    </row>
    <row r="7174" ht="20.65" customHeight="1">
      <c r="A7174" s="10">
        <v>45742</v>
      </c>
      <c r="B7174" t="s" s="11">
        <v>843</v>
      </c>
      <c r="C7174" t="s" s="12">
        <v>820</v>
      </c>
      <c r="D7174" s="17">
        <v>4</v>
      </c>
      <c r="E7174" s="17"/>
      <c r="F7174" s="18"/>
      <c r="G7174" s="18"/>
      <c r="H7174" s="18"/>
      <c r="I7174" s="18"/>
    </row>
    <row r="7175" ht="20.65" customHeight="1">
      <c r="A7175" s="10">
        <v>45742</v>
      </c>
      <c r="B7175" t="s" s="11">
        <v>91</v>
      </c>
      <c r="C7175" t="s" s="12">
        <v>820</v>
      </c>
      <c r="D7175" s="13"/>
      <c r="E7175" s="13">
        <v>4</v>
      </c>
      <c r="F7175" s="14"/>
      <c r="G7175" s="14"/>
      <c r="H7175" s="14"/>
      <c r="I7175" s="14"/>
    </row>
    <row r="7176" ht="20.7" customHeight="1">
      <c r="A7176" s="10">
        <v>45742</v>
      </c>
      <c r="B7176" t="s" s="11">
        <v>8</v>
      </c>
      <c r="C7176" t="s" s="12">
        <v>8</v>
      </c>
      <c r="D7176" s="15">
        <v>4</v>
      </c>
      <c r="E7176" s="15">
        <v>4</v>
      </c>
      <c r="F7176" s="16" cm="1">
        <f t="array" ref="F7176">SUM(F7174:F7175)</f>
        <v>0</v>
      </c>
      <c r="G7176" s="16" cm="1">
        <f t="array" ref="G7176">SUM(G7174:G7175)</f>
        <v>0</v>
      </c>
      <c r="H7176" s="16" cm="1">
        <f t="array" ref="H7176">SUM(H7174:H7175)</f>
        <v>0</v>
      </c>
      <c r="I7176" s="16" cm="1">
        <f t="array" ref="I7176">SUM(I7174:I7175)</f>
        <v>0</v>
      </c>
    </row>
    <row r="7177" ht="20.65" customHeight="1">
      <c r="A7177" s="10">
        <v>45742</v>
      </c>
      <c r="B7177" t="s" s="11">
        <v>814</v>
      </c>
      <c r="C7177" t="s" s="12">
        <v>820</v>
      </c>
      <c r="D7177" s="17">
        <v>132</v>
      </c>
      <c r="E7177" s="17"/>
      <c r="F7177" s="18"/>
      <c r="G7177" s="18"/>
      <c r="H7177" s="18"/>
      <c r="I7177" s="18"/>
    </row>
    <row r="7178" ht="20.65" customHeight="1">
      <c r="A7178" s="10">
        <v>45742</v>
      </c>
      <c r="B7178" t="s" s="11">
        <v>91</v>
      </c>
      <c r="C7178" t="s" s="12">
        <v>820</v>
      </c>
      <c r="D7178" s="13"/>
      <c r="E7178" s="13">
        <v>132</v>
      </c>
      <c r="F7178" s="14"/>
      <c r="G7178" s="14"/>
      <c r="H7178" s="14"/>
      <c r="I7178" s="14"/>
    </row>
    <row r="7179" ht="20.7" customHeight="1">
      <c r="A7179" s="10">
        <v>45742</v>
      </c>
      <c r="B7179" t="s" s="11">
        <v>8</v>
      </c>
      <c r="C7179" t="s" s="12">
        <v>8</v>
      </c>
      <c r="D7179" s="15" cm="1">
        <f t="array" ref="D7179">SUM(D7177:D7178)</f>
        <v>132</v>
      </c>
      <c r="E7179" s="15" cm="1">
        <f t="array" ref="E7179">SUM(E7177:E7178)</f>
        <v>132</v>
      </c>
      <c r="F7179" s="16" cm="1">
        <f t="array" ref="F7179">SUM(F7177:F7178)</f>
        <v>0</v>
      </c>
      <c r="G7179" s="16" cm="1">
        <f t="array" ref="G7179">SUM(G7177:G7178)</f>
        <v>0</v>
      </c>
      <c r="H7179" s="16" cm="1">
        <f t="array" ref="H7179">SUM(H7177:H7178)</f>
        <v>0</v>
      </c>
      <c r="I7179" s="16" cm="1">
        <f t="array" ref="I7179">SUM(I7177:I7178)</f>
        <v>0</v>
      </c>
    </row>
    <row r="7180" ht="20.35" customHeight="1">
      <c r="A7180" s="10">
        <v>45742</v>
      </c>
      <c r="B7180" t="s" s="11">
        <v>5</v>
      </c>
      <c r="C7180" t="s" s="12">
        <v>1022</v>
      </c>
      <c r="D7180" s="17">
        <v>616540</v>
      </c>
      <c r="E7180" s="17"/>
      <c r="F7180" s="18"/>
      <c r="G7180" s="18"/>
      <c r="H7180" s="18"/>
      <c r="I7180" s="18"/>
    </row>
    <row r="7181" ht="20.05" customHeight="1">
      <c r="A7181" s="10">
        <v>45742</v>
      </c>
      <c r="B7181" t="s" s="11">
        <v>89</v>
      </c>
      <c r="C7181" t="s" s="12">
        <v>1022</v>
      </c>
      <c r="D7181" s="19"/>
      <c r="E7181" s="19">
        <v>616105</v>
      </c>
      <c r="F7181" s="20"/>
      <c r="G7181" s="20"/>
      <c r="H7181" s="20"/>
      <c r="I7181" s="20"/>
    </row>
    <row r="7182" ht="20.35" customHeight="1">
      <c r="A7182" s="10">
        <v>45742</v>
      </c>
      <c r="B7182" t="s" s="11">
        <v>91</v>
      </c>
      <c r="C7182" t="s" s="12">
        <v>1022</v>
      </c>
      <c r="D7182" s="13"/>
      <c r="E7182" s="13">
        <v>435</v>
      </c>
      <c r="F7182" s="14"/>
      <c r="G7182" s="14"/>
      <c r="H7182" s="14"/>
      <c r="I7182" s="14"/>
    </row>
    <row r="7183" ht="20.7" customHeight="1">
      <c r="A7183" s="10">
        <v>45742</v>
      </c>
      <c r="B7183" t="s" s="11">
        <v>8</v>
      </c>
      <c r="C7183" t="s" s="12">
        <v>8</v>
      </c>
      <c r="D7183" s="15" cm="1">
        <f t="array" ref="D7183">SUM(D7180:D7182)</f>
        <v>616540</v>
      </c>
      <c r="E7183" s="15" cm="1">
        <f t="array" ref="E7183">SUM(E7180:E7182)</f>
        <v>616540</v>
      </c>
      <c r="F7183" s="16" cm="1">
        <f t="array" ref="F7183">SUM(F7180:F7182)</f>
        <v>0</v>
      </c>
      <c r="G7183" s="16" cm="1">
        <f t="array" ref="G7183">SUM(G7180:G7182)</f>
        <v>0</v>
      </c>
      <c r="H7183" s="16" cm="1">
        <f t="array" ref="H7183">SUM(H7180:H7182)</f>
        <v>0</v>
      </c>
      <c r="I7183" s="16" cm="1">
        <f t="array" ref="I7183">SUM(I7180:I7182)</f>
        <v>0</v>
      </c>
    </row>
    <row r="7184" ht="20.35" customHeight="1">
      <c r="A7184" s="10">
        <v>45742</v>
      </c>
      <c r="B7184" t="s" s="11">
        <v>5</v>
      </c>
      <c r="C7184" t="s" s="12">
        <v>867</v>
      </c>
      <c r="D7184" s="17"/>
      <c r="E7184" s="17">
        <v>612905</v>
      </c>
      <c r="F7184" s="18"/>
      <c r="G7184" s="18"/>
      <c r="H7184" s="18"/>
      <c r="I7184" s="18"/>
    </row>
    <row r="7185" ht="20.35" customHeight="1">
      <c r="A7185" s="10">
        <v>45742</v>
      </c>
      <c r="B7185" t="s" s="11">
        <v>814</v>
      </c>
      <c r="C7185" t="s" s="12">
        <v>867</v>
      </c>
      <c r="D7185" s="13">
        <v>612905</v>
      </c>
      <c r="E7185" s="13"/>
      <c r="F7185" s="14"/>
      <c r="G7185" s="14"/>
      <c r="H7185" s="14"/>
      <c r="I7185" s="14"/>
    </row>
    <row r="7186" ht="20.7" customHeight="1">
      <c r="A7186" s="10">
        <v>45742</v>
      </c>
      <c r="B7186" t="s" s="11">
        <v>8</v>
      </c>
      <c r="C7186" t="s" s="12">
        <v>8</v>
      </c>
      <c r="D7186" s="15" cm="1">
        <f t="array" ref="D7186">SUM(D7184:D7185)</f>
        <v>612905</v>
      </c>
      <c r="E7186" s="15" cm="1">
        <f t="array" ref="E7186">SUM(E7184:E7185)</f>
        <v>612905</v>
      </c>
      <c r="F7186" s="16" cm="1">
        <f t="array" ref="F7186">SUM(F7184:F7185)</f>
        <v>0</v>
      </c>
      <c r="G7186" s="16" cm="1">
        <f t="array" ref="G7186">SUM(G7184:G7185)</f>
        <v>0</v>
      </c>
      <c r="H7186" s="16" cm="1">
        <f t="array" ref="H7186">SUM(H7184:H7185)</f>
        <v>0</v>
      </c>
      <c r="I7186" s="16" cm="1">
        <f t="array" ref="I7186">SUM(I7184:I7185)</f>
        <v>0</v>
      </c>
    </row>
    <row r="7187" ht="20.35" customHeight="1">
      <c r="A7187" s="10">
        <v>45742</v>
      </c>
      <c r="B7187" t="s" s="11">
        <v>5</v>
      </c>
      <c r="C7187" t="s" s="12">
        <v>867</v>
      </c>
      <c r="D7187" s="17"/>
      <c r="E7187" s="17">
        <v>1470</v>
      </c>
      <c r="F7187" s="18"/>
      <c r="G7187" s="18"/>
      <c r="H7187" s="18"/>
      <c r="I7187" s="18"/>
    </row>
    <row r="7188" ht="20.35" customHeight="1">
      <c r="A7188" s="10">
        <v>45742</v>
      </c>
      <c r="B7188" t="s" s="11">
        <v>814</v>
      </c>
      <c r="C7188" t="s" s="12">
        <v>867</v>
      </c>
      <c r="D7188" s="13">
        <v>1470</v>
      </c>
      <c r="E7188" s="13"/>
      <c r="F7188" s="14"/>
      <c r="G7188" s="14"/>
      <c r="H7188" s="14"/>
      <c r="I7188" s="14"/>
    </row>
    <row r="7189" ht="20.7" customHeight="1">
      <c r="A7189" s="10">
        <v>45742</v>
      </c>
      <c r="B7189" t="s" s="11">
        <v>8</v>
      </c>
      <c r="C7189" t="s" s="12">
        <v>8</v>
      </c>
      <c r="D7189" s="15" cm="1">
        <f t="array" ref="D7189">SUM(D7187:D7188)</f>
        <v>1470</v>
      </c>
      <c r="E7189" s="15" cm="1">
        <f t="array" ref="E7189">SUM(E7187:E7188)</f>
        <v>1470</v>
      </c>
      <c r="F7189" s="16" cm="1">
        <f t="array" ref="F7189">SUM(F7187:F7188)</f>
        <v>0</v>
      </c>
      <c r="G7189" s="16" cm="1">
        <f t="array" ref="G7189">SUM(G7187:G7188)</f>
        <v>0</v>
      </c>
      <c r="H7189" s="16" cm="1">
        <f t="array" ref="H7189">SUM(H7187:H7188)</f>
        <v>0</v>
      </c>
      <c r="I7189" s="16" cm="1">
        <f t="array" ref="I7189">SUM(I7187:I7188)</f>
        <v>0</v>
      </c>
    </row>
    <row r="7190" ht="20.35" customHeight="1">
      <c r="A7190" s="10">
        <v>45742</v>
      </c>
      <c r="B7190" t="s" s="11">
        <v>5</v>
      </c>
      <c r="C7190" t="s" s="12">
        <v>1000</v>
      </c>
      <c r="D7190" s="17"/>
      <c r="E7190" s="17">
        <v>1150</v>
      </c>
      <c r="F7190" s="18"/>
      <c r="G7190" s="18"/>
      <c r="H7190" s="18"/>
      <c r="I7190" s="18"/>
    </row>
    <row r="7191" ht="20.35" customHeight="1">
      <c r="A7191" s="10">
        <v>45742</v>
      </c>
      <c r="B7191" t="s" s="11">
        <v>10</v>
      </c>
      <c r="C7191" t="s" s="12">
        <v>1000</v>
      </c>
      <c r="D7191" s="13">
        <v>1150</v>
      </c>
      <c r="E7191" s="13"/>
      <c r="F7191" s="14"/>
      <c r="G7191" s="14"/>
      <c r="H7191" s="14"/>
      <c r="I7191" s="14"/>
    </row>
    <row r="7192" ht="20.7" customHeight="1">
      <c r="A7192" s="10">
        <v>45742</v>
      </c>
      <c r="B7192" t="s" s="11">
        <v>8</v>
      </c>
      <c r="C7192" t="s" s="12">
        <v>8</v>
      </c>
      <c r="D7192" s="15" cm="1">
        <f t="array" ref="D7192">SUM(D7190:D7191)</f>
        <v>1150</v>
      </c>
      <c r="E7192" s="15" cm="1">
        <f t="array" ref="E7192">SUM(E7190:E7191)</f>
        <v>1150</v>
      </c>
      <c r="F7192" s="16" cm="1">
        <f t="array" ref="F7192">SUM(F7190:F7191)</f>
        <v>0</v>
      </c>
      <c r="G7192" s="16" cm="1">
        <f t="array" ref="G7192">SUM(G7190:G7191)</f>
        <v>0</v>
      </c>
      <c r="H7192" s="16" cm="1">
        <f t="array" ref="H7192">SUM(H7190:H7191)</f>
        <v>0</v>
      </c>
      <c r="I7192" s="16" cm="1">
        <f t="array" ref="I7192">SUM(I7190:I7191)</f>
        <v>0</v>
      </c>
    </row>
    <row r="7193" ht="20.35" customHeight="1">
      <c r="A7193" s="10">
        <v>45742</v>
      </c>
      <c r="B7193" t="s" s="11">
        <v>5</v>
      </c>
      <c r="C7193" t="s" s="12">
        <v>1000</v>
      </c>
      <c r="D7193" s="17"/>
      <c r="E7193" s="17">
        <v>1000</v>
      </c>
      <c r="F7193" s="18"/>
      <c r="G7193" s="18"/>
      <c r="H7193" s="18"/>
      <c r="I7193" s="18"/>
    </row>
    <row r="7194" ht="20.35" customHeight="1">
      <c r="A7194" s="10">
        <v>45742</v>
      </c>
      <c r="B7194" t="s" s="11">
        <v>10</v>
      </c>
      <c r="C7194" t="s" s="12">
        <v>1000</v>
      </c>
      <c r="D7194" s="13">
        <v>1000</v>
      </c>
      <c r="E7194" s="13"/>
      <c r="F7194" s="14"/>
      <c r="G7194" s="14"/>
      <c r="H7194" s="14"/>
      <c r="I7194" s="14"/>
    </row>
    <row r="7195" ht="20.7" customHeight="1">
      <c r="A7195" s="10">
        <v>45742</v>
      </c>
      <c r="B7195" t="s" s="11">
        <v>8</v>
      </c>
      <c r="C7195" t="s" s="12">
        <v>8</v>
      </c>
      <c r="D7195" s="15" cm="1">
        <f t="array" ref="D7195">SUM(D7193:D7194)</f>
        <v>1000</v>
      </c>
      <c r="E7195" s="15" cm="1">
        <f t="array" ref="E7195">SUM(E7193:E7194)</f>
        <v>1000</v>
      </c>
      <c r="F7195" s="16" cm="1">
        <f t="array" ref="F7195">SUM(F7193:F7194)</f>
        <v>0</v>
      </c>
      <c r="G7195" s="16" cm="1">
        <f t="array" ref="G7195">SUM(G7193:G7194)</f>
        <v>0</v>
      </c>
      <c r="H7195" s="16" cm="1">
        <f t="array" ref="H7195">SUM(H7193:H7194)</f>
        <v>0</v>
      </c>
      <c r="I7195" s="16" cm="1">
        <f t="array" ref="I7195">SUM(I7193:I7194)</f>
        <v>0</v>
      </c>
    </row>
    <row r="7196" ht="21.25" customHeight="1">
      <c r="A7196" s="10">
        <v>45742</v>
      </c>
      <c r="B7196" t="s" s="11">
        <v>21</v>
      </c>
      <c r="C7196" t="s" s="12">
        <v>1023</v>
      </c>
      <c r="D7196" s="17"/>
      <c r="E7196" s="17">
        <v>3000</v>
      </c>
      <c r="F7196" s="18"/>
      <c r="G7196" s="18"/>
      <c r="H7196" s="18"/>
      <c r="I7196" s="18"/>
    </row>
    <row r="7197" ht="21.25" customHeight="1">
      <c r="A7197" s="10">
        <v>45742</v>
      </c>
      <c r="B7197" t="s" s="11">
        <v>16</v>
      </c>
      <c r="C7197" t="s" s="12">
        <v>1023</v>
      </c>
      <c r="D7197" s="13">
        <v>3000</v>
      </c>
      <c r="E7197" s="13"/>
      <c r="F7197" s="14"/>
      <c r="G7197" s="14"/>
      <c r="H7197" s="14"/>
      <c r="I7197" s="14"/>
    </row>
    <row r="7198" ht="20.7" customHeight="1">
      <c r="A7198" s="10">
        <v>45742</v>
      </c>
      <c r="B7198" t="s" s="11">
        <v>8</v>
      </c>
      <c r="C7198" t="s" s="12">
        <v>8</v>
      </c>
      <c r="D7198" s="15" cm="1">
        <f t="array" ref="D7198">SUM(D7196:D7197)</f>
        <v>3000</v>
      </c>
      <c r="E7198" s="15" cm="1">
        <f t="array" ref="E7198">SUM(E7196:E7197)</f>
        <v>3000</v>
      </c>
      <c r="F7198" s="16" cm="1">
        <f t="array" ref="F7198">SUM(F7196:F7197)</f>
        <v>0</v>
      </c>
      <c r="G7198" s="16" cm="1">
        <f t="array" ref="G7198">SUM(G7196:G7197)</f>
        <v>0</v>
      </c>
      <c r="H7198" s="16" cm="1">
        <f t="array" ref="H7198">SUM(H7196:H7197)</f>
        <v>0</v>
      </c>
      <c r="I7198" s="16" cm="1">
        <f t="array" ref="I7198">SUM(I7196:I7197)</f>
        <v>0</v>
      </c>
    </row>
    <row r="7199" ht="20.65" customHeight="1">
      <c r="A7199" s="10">
        <v>45743</v>
      </c>
      <c r="B7199" t="s" s="11">
        <v>843</v>
      </c>
      <c r="C7199" t="s" s="12">
        <v>820</v>
      </c>
      <c r="D7199" s="17">
        <v>4</v>
      </c>
      <c r="E7199" s="17"/>
      <c r="F7199" s="18"/>
      <c r="G7199" s="18"/>
      <c r="H7199" s="18"/>
      <c r="I7199" s="18"/>
    </row>
    <row r="7200" ht="20.65" customHeight="1">
      <c r="A7200" s="10">
        <v>45743</v>
      </c>
      <c r="B7200" t="s" s="11">
        <v>91</v>
      </c>
      <c r="C7200" t="s" s="12">
        <v>820</v>
      </c>
      <c r="D7200" s="13"/>
      <c r="E7200" s="13">
        <v>4</v>
      </c>
      <c r="F7200" s="14"/>
      <c r="G7200" s="14"/>
      <c r="H7200" s="14"/>
      <c r="I7200" s="14"/>
    </row>
    <row r="7201" ht="20.7" customHeight="1">
      <c r="A7201" s="10">
        <v>45743</v>
      </c>
      <c r="B7201" t="s" s="11">
        <v>8</v>
      </c>
      <c r="C7201" t="s" s="12">
        <v>8</v>
      </c>
      <c r="D7201" s="15">
        <v>4</v>
      </c>
      <c r="E7201" s="15">
        <v>4</v>
      </c>
      <c r="F7201" s="16" cm="1">
        <f t="array" ref="F7201">SUM(F7199:F7200)</f>
        <v>0</v>
      </c>
      <c r="G7201" s="16" cm="1">
        <f t="array" ref="G7201">SUM(G7199:G7200)</f>
        <v>0</v>
      </c>
      <c r="H7201" s="16" cm="1">
        <f t="array" ref="H7201">SUM(H7199:H7200)</f>
        <v>0</v>
      </c>
      <c r="I7201" s="16" cm="1">
        <f t="array" ref="I7201">SUM(I7199:I7200)</f>
        <v>0</v>
      </c>
    </row>
    <row r="7202" ht="20.65" customHeight="1">
      <c r="A7202" s="10">
        <v>45743</v>
      </c>
      <c r="B7202" t="s" s="11">
        <v>814</v>
      </c>
      <c r="C7202" t="s" s="12">
        <v>820</v>
      </c>
      <c r="D7202" s="17">
        <v>163</v>
      </c>
      <c r="E7202" s="17"/>
      <c r="F7202" s="18"/>
      <c r="G7202" s="18"/>
      <c r="H7202" s="18"/>
      <c r="I7202" s="18"/>
    </row>
    <row r="7203" ht="20.65" customHeight="1">
      <c r="A7203" s="10">
        <v>45743</v>
      </c>
      <c r="B7203" t="s" s="11">
        <v>91</v>
      </c>
      <c r="C7203" t="s" s="12">
        <v>820</v>
      </c>
      <c r="D7203" s="13"/>
      <c r="E7203" s="13">
        <v>163</v>
      </c>
      <c r="F7203" s="14"/>
      <c r="G7203" s="14"/>
      <c r="H7203" s="14"/>
      <c r="I7203" s="14"/>
    </row>
    <row r="7204" ht="20.7" customHeight="1">
      <c r="A7204" s="10">
        <v>45743</v>
      </c>
      <c r="B7204" t="s" s="11">
        <v>8</v>
      </c>
      <c r="C7204" t="s" s="12">
        <v>8</v>
      </c>
      <c r="D7204" s="15" cm="1">
        <f t="array" ref="D7204">SUM(D7202:D7203)</f>
        <v>163</v>
      </c>
      <c r="E7204" s="15" cm="1">
        <f t="array" ref="E7204">SUM(E7202:E7203)</f>
        <v>163</v>
      </c>
      <c r="F7204" s="16" cm="1">
        <f t="array" ref="F7204">SUM(F7202:F7203)</f>
        <v>0</v>
      </c>
      <c r="G7204" s="16" cm="1">
        <f t="array" ref="G7204">SUM(G7202:G7203)</f>
        <v>0</v>
      </c>
      <c r="H7204" s="16" cm="1">
        <f t="array" ref="H7204">SUM(H7202:H7203)</f>
        <v>0</v>
      </c>
      <c r="I7204" s="16" cm="1">
        <f t="array" ref="I7204">SUM(I7202:I7203)</f>
        <v>0</v>
      </c>
    </row>
    <row r="7205" ht="20.65" customHeight="1">
      <c r="A7205" s="10">
        <v>45743</v>
      </c>
      <c r="B7205" t="s" s="11">
        <v>28</v>
      </c>
      <c r="C7205" t="s" s="12">
        <v>1024</v>
      </c>
      <c r="D7205" s="17"/>
      <c r="E7205" s="17">
        <v>13000</v>
      </c>
      <c r="F7205" s="18"/>
      <c r="G7205" s="18"/>
      <c r="H7205" s="18"/>
      <c r="I7205" s="18"/>
    </row>
    <row r="7206" ht="20.65" customHeight="1">
      <c r="A7206" s="10">
        <v>45743</v>
      </c>
      <c r="B7206" t="s" s="11">
        <v>12</v>
      </c>
      <c r="C7206" t="s" s="12">
        <v>1024</v>
      </c>
      <c r="D7206" s="13">
        <v>13000</v>
      </c>
      <c r="E7206" s="13"/>
      <c r="F7206" s="14"/>
      <c r="G7206" s="14"/>
      <c r="H7206" s="14"/>
      <c r="I7206" s="14"/>
    </row>
    <row r="7207" ht="20.7" customHeight="1">
      <c r="A7207" s="10">
        <v>45743</v>
      </c>
      <c r="B7207" t="s" s="11">
        <v>8</v>
      </c>
      <c r="C7207" t="s" s="12">
        <v>8</v>
      </c>
      <c r="D7207" s="15" cm="1">
        <f t="array" ref="D7207">SUM(D7205:D7206)</f>
        <v>13000</v>
      </c>
      <c r="E7207" s="15" cm="1">
        <f t="array" ref="E7207">SUM(E7205:E7206)</f>
        <v>13000</v>
      </c>
      <c r="F7207" s="16" cm="1">
        <f t="array" ref="F7207">SUM(F7205:F7206)</f>
        <v>0</v>
      </c>
      <c r="G7207" s="16" cm="1">
        <f t="array" ref="G7207">SUM(G7205:G7206)</f>
        <v>0</v>
      </c>
      <c r="H7207" s="16" cm="1">
        <f t="array" ref="H7207">SUM(H7205:H7206)</f>
        <v>0</v>
      </c>
      <c r="I7207" s="16" cm="1">
        <f t="array" ref="I7207">SUM(I7205:I7206)</f>
        <v>0</v>
      </c>
    </row>
    <row r="7208" ht="20.35" customHeight="1">
      <c r="A7208" s="10">
        <v>45743</v>
      </c>
      <c r="B7208" t="s" s="11">
        <v>5</v>
      </c>
      <c r="C7208" t="s" s="12">
        <v>1025</v>
      </c>
      <c r="D7208" s="17">
        <v>303000</v>
      </c>
      <c r="E7208" s="17"/>
      <c r="F7208" s="18"/>
      <c r="G7208" s="18"/>
      <c r="H7208" s="18"/>
      <c r="I7208" s="18"/>
    </row>
    <row r="7209" ht="20.35" customHeight="1">
      <c r="A7209" s="10">
        <v>45743</v>
      </c>
      <c r="B7209" t="s" s="11">
        <v>91</v>
      </c>
      <c r="C7209" t="s" s="12">
        <v>1025</v>
      </c>
      <c r="D7209" s="13"/>
      <c r="E7209" s="13">
        <v>303000</v>
      </c>
      <c r="F7209" s="14"/>
      <c r="G7209" s="14"/>
      <c r="H7209" s="14"/>
      <c r="I7209" s="14"/>
    </row>
    <row r="7210" ht="20.7" customHeight="1">
      <c r="A7210" s="10">
        <v>45743</v>
      </c>
      <c r="B7210" t="s" s="11">
        <v>8</v>
      </c>
      <c r="C7210" t="s" s="12">
        <v>8</v>
      </c>
      <c r="D7210" s="15" cm="1">
        <f t="array" ref="D7210">SUM(D7208:D7209)</f>
        <v>303000</v>
      </c>
      <c r="E7210" s="15" cm="1">
        <f t="array" ref="E7210">SUM(E7208:E7209)</f>
        <v>303000</v>
      </c>
      <c r="F7210" s="16" cm="1">
        <f t="array" ref="F7210">SUM(F7208:F7209)</f>
        <v>0</v>
      </c>
      <c r="G7210" s="16" cm="1">
        <f t="array" ref="G7210">SUM(G7208:G7209)</f>
        <v>0</v>
      </c>
      <c r="H7210" s="16" cm="1">
        <f t="array" ref="H7210">SUM(H7208:H7209)</f>
        <v>0</v>
      </c>
      <c r="I7210" s="16" cm="1">
        <f t="array" ref="I7210">SUM(I7208:I7209)</f>
        <v>0</v>
      </c>
    </row>
    <row r="7211" ht="20.35" customHeight="1">
      <c r="A7211" s="10">
        <v>45743</v>
      </c>
      <c r="B7211" t="s" s="11">
        <v>5</v>
      </c>
      <c r="C7211" t="s" s="12">
        <v>1020</v>
      </c>
      <c r="D7211" s="17"/>
      <c r="E7211" s="17">
        <v>35000</v>
      </c>
      <c r="F7211" s="18"/>
      <c r="G7211" s="18"/>
      <c r="H7211" s="18"/>
      <c r="I7211" s="18"/>
    </row>
    <row r="7212" ht="20.35" customHeight="1">
      <c r="A7212" s="10">
        <v>45743</v>
      </c>
      <c r="B7212" t="s" s="11">
        <v>21</v>
      </c>
      <c r="C7212" t="s" s="12">
        <v>1020</v>
      </c>
      <c r="D7212" s="13">
        <v>35000</v>
      </c>
      <c r="E7212" s="13"/>
      <c r="F7212" s="14"/>
      <c r="G7212" s="14"/>
      <c r="H7212" s="14"/>
      <c r="I7212" s="14"/>
    </row>
    <row r="7213" ht="20.7" customHeight="1">
      <c r="A7213" s="10">
        <v>45743</v>
      </c>
      <c r="B7213" t="s" s="11">
        <v>8</v>
      </c>
      <c r="C7213" t="s" s="12">
        <v>8</v>
      </c>
      <c r="D7213" s="15" cm="1">
        <f t="array" ref="D7213">SUM(D7211:D7212)</f>
        <v>35000</v>
      </c>
      <c r="E7213" s="15" cm="1">
        <f t="array" ref="E7213">SUM(E7211:E7212)</f>
        <v>35000</v>
      </c>
      <c r="F7213" s="16" cm="1">
        <f t="array" ref="F7213">SUM(F7211:F7212)</f>
        <v>0</v>
      </c>
      <c r="G7213" s="16" cm="1">
        <f t="array" ref="G7213">SUM(G7211:G7212)</f>
        <v>0</v>
      </c>
      <c r="H7213" s="16" cm="1">
        <f t="array" ref="H7213">SUM(H7211:H7212)</f>
        <v>0</v>
      </c>
      <c r="I7213" s="16" cm="1">
        <f t="array" ref="I7213">SUM(I7211:I7212)</f>
        <v>0</v>
      </c>
    </row>
    <row r="7214" ht="20.35" customHeight="1">
      <c r="A7214" s="10">
        <v>45743</v>
      </c>
      <c r="B7214" t="s" s="11">
        <v>5</v>
      </c>
      <c r="C7214" t="s" s="12">
        <v>1021</v>
      </c>
      <c r="D7214" s="17"/>
      <c r="E7214" s="17">
        <v>35000</v>
      </c>
      <c r="F7214" s="18"/>
      <c r="G7214" s="18"/>
      <c r="H7214" s="18"/>
      <c r="I7214" s="18"/>
    </row>
    <row r="7215" ht="20.35" customHeight="1">
      <c r="A7215" s="10">
        <v>45743</v>
      </c>
      <c r="B7215" t="s" s="11">
        <v>21</v>
      </c>
      <c r="C7215" t="s" s="12">
        <v>1021</v>
      </c>
      <c r="D7215" s="13">
        <v>35000</v>
      </c>
      <c r="E7215" s="13"/>
      <c r="F7215" s="14"/>
      <c r="G7215" s="14"/>
      <c r="H7215" s="14"/>
      <c r="I7215" s="14"/>
    </row>
    <row r="7216" ht="20.7" customHeight="1">
      <c r="A7216" s="10">
        <v>45743</v>
      </c>
      <c r="B7216" t="s" s="11">
        <v>8</v>
      </c>
      <c r="C7216" t="s" s="12">
        <v>8</v>
      </c>
      <c r="D7216" s="15" cm="1">
        <f t="array" ref="D7216">SUM(D7214:D7215)</f>
        <v>35000</v>
      </c>
      <c r="E7216" s="15" cm="1">
        <f t="array" ref="E7216">SUM(E7214:E7215)</f>
        <v>35000</v>
      </c>
      <c r="F7216" s="16" cm="1">
        <f t="array" ref="F7216">SUM(F7214:F7215)</f>
        <v>0</v>
      </c>
      <c r="G7216" s="16" cm="1">
        <f t="array" ref="G7216">SUM(G7214:G7215)</f>
        <v>0</v>
      </c>
      <c r="H7216" s="16" cm="1">
        <f t="array" ref="H7216">SUM(H7214:H7215)</f>
        <v>0</v>
      </c>
      <c r="I7216" s="16" cm="1">
        <f t="array" ref="I7216">SUM(I7214:I7215)</f>
        <v>0</v>
      </c>
    </row>
    <row r="7217" ht="20.35" customHeight="1">
      <c r="A7217" s="10">
        <v>45743</v>
      </c>
      <c r="B7217" t="s" s="11">
        <v>5</v>
      </c>
      <c r="C7217" t="s" s="12">
        <v>961</v>
      </c>
      <c r="D7217" s="17"/>
      <c r="E7217" s="17">
        <v>46915</v>
      </c>
      <c r="F7217" s="18"/>
      <c r="G7217" s="18"/>
      <c r="H7217" s="18"/>
      <c r="I7217" s="18"/>
    </row>
    <row r="7218" ht="20.35" customHeight="1">
      <c r="A7218" s="10">
        <v>45743</v>
      </c>
      <c r="B7218" t="s" s="11">
        <v>21</v>
      </c>
      <c r="C7218" t="s" s="12">
        <v>961</v>
      </c>
      <c r="D7218" s="13">
        <v>46915</v>
      </c>
      <c r="E7218" s="13"/>
      <c r="F7218" s="14"/>
      <c r="G7218" s="14"/>
      <c r="H7218" s="14"/>
      <c r="I7218" s="14"/>
    </row>
    <row r="7219" ht="20.7" customHeight="1">
      <c r="A7219" s="10">
        <v>45743</v>
      </c>
      <c r="B7219" t="s" s="11">
        <v>8</v>
      </c>
      <c r="C7219" t="s" s="12">
        <v>8</v>
      </c>
      <c r="D7219" s="15" cm="1">
        <f t="array" ref="D7219">SUM(D7217:D7218)</f>
        <v>46915</v>
      </c>
      <c r="E7219" s="15" cm="1">
        <f t="array" ref="E7219">SUM(E7217:E7218)</f>
        <v>46915</v>
      </c>
      <c r="F7219" s="16" cm="1">
        <f t="array" ref="F7219">SUM(F7217:F7218)</f>
        <v>0</v>
      </c>
      <c r="G7219" s="16" cm="1">
        <f t="array" ref="G7219">SUM(G7217:G7218)</f>
        <v>0</v>
      </c>
      <c r="H7219" s="16" cm="1">
        <f t="array" ref="H7219">SUM(H7217:H7218)</f>
        <v>0</v>
      </c>
      <c r="I7219" s="16" cm="1">
        <f t="array" ref="I7219">SUM(I7217:I7218)</f>
        <v>0</v>
      </c>
    </row>
    <row r="7220" ht="20.35" customHeight="1">
      <c r="A7220" s="10">
        <v>45743</v>
      </c>
      <c r="B7220" t="s" s="11">
        <v>28</v>
      </c>
      <c r="C7220" t="s" s="12">
        <v>96</v>
      </c>
      <c r="D7220" s="17"/>
      <c r="E7220" s="17">
        <v>210000</v>
      </c>
      <c r="F7220" s="18"/>
      <c r="G7220" s="18"/>
      <c r="H7220" s="18"/>
      <c r="I7220" s="18"/>
    </row>
    <row r="7221" ht="20.35" customHeight="1">
      <c r="A7221" s="10">
        <v>45743</v>
      </c>
      <c r="B7221" t="s" s="11">
        <v>5</v>
      </c>
      <c r="C7221" t="s" s="12">
        <v>96</v>
      </c>
      <c r="D7221" s="13">
        <v>210000</v>
      </c>
      <c r="E7221" s="13"/>
      <c r="F7221" s="14"/>
      <c r="G7221" s="14"/>
      <c r="H7221" s="14"/>
      <c r="I7221" s="14"/>
    </row>
    <row r="7222" ht="20.7" customHeight="1">
      <c r="A7222" s="10">
        <v>45743</v>
      </c>
      <c r="B7222" t="s" s="11">
        <v>8</v>
      </c>
      <c r="C7222" t="s" s="12">
        <v>8</v>
      </c>
      <c r="D7222" s="15" cm="1">
        <f t="array" ref="D7222">SUM(D7220:D7221)</f>
        <v>210000</v>
      </c>
      <c r="E7222" s="15" cm="1">
        <f t="array" ref="E7222">SUM(E7220:E7221)</f>
        <v>210000</v>
      </c>
      <c r="F7222" s="16" cm="1">
        <f t="array" ref="F7222">SUM(F7220:F7221)</f>
        <v>0</v>
      </c>
      <c r="G7222" s="16" cm="1">
        <f t="array" ref="G7222">SUM(G7220:G7221)</f>
        <v>0</v>
      </c>
      <c r="H7222" s="16" cm="1">
        <f t="array" ref="H7222">SUM(H7220:H7221)</f>
        <v>0</v>
      </c>
      <c r="I7222" s="16" cm="1">
        <f t="array" ref="I7222">SUM(I7220:I7221)</f>
        <v>0</v>
      </c>
    </row>
    <row r="7223" ht="21.25" customHeight="1">
      <c r="A7223" s="10">
        <v>45743</v>
      </c>
      <c r="B7223" t="s" s="11">
        <v>5</v>
      </c>
      <c r="C7223" t="s" s="12">
        <v>1026</v>
      </c>
      <c r="D7223" s="17"/>
      <c r="E7223" s="17">
        <v>15866</v>
      </c>
      <c r="F7223" s="18"/>
      <c r="G7223" s="18"/>
      <c r="H7223" s="18"/>
      <c r="I7223" s="18"/>
    </row>
    <row r="7224" ht="21.25" customHeight="1">
      <c r="A7224" s="10">
        <v>45743</v>
      </c>
      <c r="B7224" t="s" s="11">
        <v>12</v>
      </c>
      <c r="C7224" t="s" s="12">
        <v>1026</v>
      </c>
      <c r="D7224" s="13">
        <v>15866</v>
      </c>
      <c r="E7224" s="13"/>
      <c r="F7224" s="14"/>
      <c r="G7224" s="14"/>
      <c r="H7224" s="14"/>
      <c r="I7224" s="14"/>
    </row>
    <row r="7225" ht="20.7" customHeight="1">
      <c r="A7225" s="10">
        <v>45743</v>
      </c>
      <c r="B7225" t="s" s="11">
        <v>8</v>
      </c>
      <c r="C7225" t="s" s="12">
        <v>8</v>
      </c>
      <c r="D7225" s="15" cm="1">
        <f t="array" ref="D7225">SUM(D7223:D7224)</f>
        <v>15866</v>
      </c>
      <c r="E7225" s="15" cm="1">
        <f t="array" ref="E7225">SUM(E7223:E7224)</f>
        <v>15866</v>
      </c>
      <c r="F7225" s="16" cm="1">
        <f t="array" ref="F7225">SUM(F7223:F7224)</f>
        <v>0</v>
      </c>
      <c r="G7225" s="16" cm="1">
        <f t="array" ref="G7225">SUM(G7223:G7224)</f>
        <v>0</v>
      </c>
      <c r="H7225" s="16" cm="1">
        <f t="array" ref="H7225">SUM(H7223:H7224)</f>
        <v>0</v>
      </c>
      <c r="I7225" s="16" cm="1">
        <f t="array" ref="I7225">SUM(I7223:I7224)</f>
        <v>0</v>
      </c>
    </row>
    <row r="7226" ht="21.25" customHeight="1">
      <c r="A7226" s="10">
        <v>45743</v>
      </c>
      <c r="B7226" t="s" s="11">
        <v>5</v>
      </c>
      <c r="C7226" t="s" s="12">
        <v>799</v>
      </c>
      <c r="D7226" s="17">
        <v>9</v>
      </c>
      <c r="E7226" s="17"/>
      <c r="F7226" s="18"/>
      <c r="G7226" s="18"/>
      <c r="H7226" s="18"/>
      <c r="I7226" s="18"/>
    </row>
    <row r="7227" ht="21.25" customHeight="1">
      <c r="A7227" s="10">
        <v>45743</v>
      </c>
      <c r="B7227" t="s" s="11">
        <v>91</v>
      </c>
      <c r="C7227" t="s" s="12">
        <v>799</v>
      </c>
      <c r="D7227" s="13"/>
      <c r="E7227" s="13">
        <v>9</v>
      </c>
      <c r="F7227" s="14"/>
      <c r="G7227" s="14"/>
      <c r="H7227" s="14"/>
      <c r="I7227" s="14"/>
    </row>
    <row r="7228" ht="20.7" customHeight="1">
      <c r="A7228" s="10">
        <v>45743</v>
      </c>
      <c r="B7228" t="s" s="11">
        <v>8</v>
      </c>
      <c r="C7228" t="s" s="12">
        <v>8</v>
      </c>
      <c r="D7228" s="15" cm="1">
        <f t="array" ref="D7228">SUM(D7226:D7227)</f>
        <v>9</v>
      </c>
      <c r="E7228" s="15" cm="1">
        <f t="array" ref="E7228">SUM(E7226:E7227)</f>
        <v>9</v>
      </c>
      <c r="F7228" s="16" cm="1">
        <f t="array" ref="F7228">SUM(F7226:F7227)</f>
        <v>0</v>
      </c>
      <c r="G7228" s="16" cm="1">
        <f t="array" ref="G7228">SUM(G7226:G7227)</f>
        <v>0</v>
      </c>
      <c r="H7228" s="16" cm="1">
        <f t="array" ref="H7228">SUM(H7226:H7227)</f>
        <v>0</v>
      </c>
      <c r="I7228" s="16" cm="1">
        <f t="array" ref="I7228">SUM(I7226:I7227)</f>
        <v>0</v>
      </c>
    </row>
    <row r="7229" ht="21.25" customHeight="1">
      <c r="A7229" s="10">
        <v>45743</v>
      </c>
      <c r="B7229" t="s" s="11">
        <v>5</v>
      </c>
      <c r="C7229" t="s" s="12">
        <v>799</v>
      </c>
      <c r="D7229" s="17">
        <v>2</v>
      </c>
      <c r="E7229" s="17"/>
      <c r="F7229" s="18"/>
      <c r="G7229" s="18"/>
      <c r="H7229" s="18"/>
      <c r="I7229" s="18"/>
    </row>
    <row r="7230" ht="21.25" customHeight="1">
      <c r="A7230" s="10">
        <v>45743</v>
      </c>
      <c r="B7230" t="s" s="11">
        <v>91</v>
      </c>
      <c r="C7230" t="s" s="12">
        <v>799</v>
      </c>
      <c r="D7230" s="13"/>
      <c r="E7230" s="13">
        <v>2</v>
      </c>
      <c r="F7230" s="14"/>
      <c r="G7230" s="14"/>
      <c r="H7230" s="14"/>
      <c r="I7230" s="14"/>
    </row>
    <row r="7231" ht="20.7" customHeight="1">
      <c r="A7231" s="10">
        <v>45743</v>
      </c>
      <c r="B7231" t="s" s="11">
        <v>8</v>
      </c>
      <c r="C7231" t="s" s="12">
        <v>8</v>
      </c>
      <c r="D7231" s="15" cm="1">
        <f t="array" ref="D7231">SUM(D7229:D7230)</f>
        <v>2</v>
      </c>
      <c r="E7231" s="15" cm="1">
        <f t="array" ref="E7231">SUM(E7229:E7230)</f>
        <v>2</v>
      </c>
      <c r="F7231" s="16" cm="1">
        <f t="array" ref="F7231">SUM(F7229:F7230)</f>
        <v>0</v>
      </c>
      <c r="G7231" s="16" cm="1">
        <f t="array" ref="G7231">SUM(G7229:G7230)</f>
        <v>0</v>
      </c>
      <c r="H7231" s="16" cm="1">
        <f t="array" ref="H7231">SUM(H7229:H7230)</f>
        <v>0</v>
      </c>
      <c r="I7231" s="16" cm="1">
        <f t="array" ref="I7231">SUM(I7229:I7230)</f>
        <v>0</v>
      </c>
    </row>
    <row r="7232" ht="21.25" customHeight="1">
      <c r="A7232" s="10">
        <v>45743</v>
      </c>
      <c r="B7232" t="s" s="11">
        <v>5</v>
      </c>
      <c r="C7232" t="s" s="12">
        <v>1027</v>
      </c>
      <c r="D7232" s="17"/>
      <c r="E7232" s="17">
        <v>77000</v>
      </c>
      <c r="F7232" s="18"/>
      <c r="G7232" s="18"/>
      <c r="H7232" s="18"/>
      <c r="I7232" s="18"/>
    </row>
    <row r="7233" ht="21.25" customHeight="1">
      <c r="A7233" s="10">
        <v>45743</v>
      </c>
      <c r="B7233" t="s" s="11">
        <v>89</v>
      </c>
      <c r="C7233" t="s" s="12">
        <v>1027</v>
      </c>
      <c r="D7233" s="13">
        <v>77000</v>
      </c>
      <c r="E7233" s="13"/>
      <c r="F7233" s="14"/>
      <c r="G7233" s="14"/>
      <c r="H7233" s="14"/>
      <c r="I7233" s="14"/>
    </row>
    <row r="7234" ht="20.7" customHeight="1">
      <c r="A7234" s="10">
        <v>45743</v>
      </c>
      <c r="B7234" t="s" s="11">
        <v>8</v>
      </c>
      <c r="C7234" t="s" s="12">
        <v>8</v>
      </c>
      <c r="D7234" s="15" cm="1">
        <f t="array" ref="D7234">SUM(D7232:D7233)</f>
        <v>77000</v>
      </c>
      <c r="E7234" s="15" cm="1">
        <f t="array" ref="E7234">SUM(E7232:E7233)</f>
        <v>77000</v>
      </c>
      <c r="F7234" s="16" cm="1">
        <f t="array" ref="F7234">SUM(F7232:F7233)</f>
        <v>0</v>
      </c>
      <c r="G7234" s="16" cm="1">
        <f t="array" ref="G7234">SUM(G7232:G7233)</f>
        <v>0</v>
      </c>
      <c r="H7234" s="16" cm="1">
        <f t="array" ref="H7234">SUM(H7232:H7233)</f>
        <v>0</v>
      </c>
      <c r="I7234" s="16" cm="1">
        <f t="array" ref="I7234">SUM(I7232:I7233)</f>
        <v>0</v>
      </c>
    </row>
    <row r="7235" ht="20.35" customHeight="1">
      <c r="A7235" s="10">
        <v>45743</v>
      </c>
      <c r="B7235" t="s" s="11">
        <v>5</v>
      </c>
      <c r="C7235" t="s" s="12">
        <v>997</v>
      </c>
      <c r="D7235" s="17"/>
      <c r="E7235" s="17">
        <v>12700</v>
      </c>
      <c r="F7235" s="18"/>
      <c r="G7235" s="18"/>
      <c r="H7235" s="18"/>
      <c r="I7235" s="18"/>
    </row>
    <row r="7236" ht="20.35" customHeight="1">
      <c r="A7236" s="10">
        <v>45743</v>
      </c>
      <c r="B7236" t="s" s="11">
        <v>12</v>
      </c>
      <c r="C7236" t="s" s="12">
        <v>997</v>
      </c>
      <c r="D7236" s="13">
        <v>12700</v>
      </c>
      <c r="E7236" s="13"/>
      <c r="F7236" s="14"/>
      <c r="G7236" s="14"/>
      <c r="H7236" s="14"/>
      <c r="I7236" s="14"/>
    </row>
    <row r="7237" ht="20.7" customHeight="1">
      <c r="A7237" s="10">
        <v>45743</v>
      </c>
      <c r="B7237" t="s" s="11">
        <v>8</v>
      </c>
      <c r="C7237" t="s" s="12">
        <v>8</v>
      </c>
      <c r="D7237" s="15" cm="1">
        <f t="array" ref="D7237">SUM(D7235:D7236)</f>
        <v>12700</v>
      </c>
      <c r="E7237" s="15" cm="1">
        <f t="array" ref="E7237">SUM(E7235:E7236)</f>
        <v>12700</v>
      </c>
      <c r="F7237" s="16" cm="1">
        <f t="array" ref="F7237">SUM(F7235:F7236)</f>
        <v>0</v>
      </c>
      <c r="G7237" s="16" cm="1">
        <f t="array" ref="G7237">SUM(G7235:G7236)</f>
        <v>0</v>
      </c>
      <c r="H7237" s="16" cm="1">
        <f t="array" ref="H7237">SUM(H7235:H7236)</f>
        <v>0</v>
      </c>
      <c r="I7237" s="16" cm="1">
        <f t="array" ref="I7237">SUM(I7235:I7236)</f>
        <v>0</v>
      </c>
    </row>
    <row r="7238" ht="21.25" customHeight="1">
      <c r="A7238" s="10">
        <v>45743</v>
      </c>
      <c r="B7238" t="s" s="11">
        <v>5</v>
      </c>
      <c r="C7238" t="s" s="12">
        <v>799</v>
      </c>
      <c r="D7238" s="17">
        <v>2</v>
      </c>
      <c r="E7238" s="17"/>
      <c r="F7238" s="18"/>
      <c r="G7238" s="18"/>
      <c r="H7238" s="18"/>
      <c r="I7238" s="18"/>
    </row>
    <row r="7239" ht="21.25" customHeight="1">
      <c r="A7239" s="10">
        <v>45743</v>
      </c>
      <c r="B7239" t="s" s="11">
        <v>91</v>
      </c>
      <c r="C7239" t="s" s="12">
        <v>799</v>
      </c>
      <c r="D7239" s="13"/>
      <c r="E7239" s="13">
        <v>2</v>
      </c>
      <c r="F7239" s="14"/>
      <c r="G7239" s="14"/>
      <c r="H7239" s="14"/>
      <c r="I7239" s="14"/>
    </row>
    <row r="7240" ht="20.7" customHeight="1">
      <c r="A7240" s="10">
        <v>45743</v>
      </c>
      <c r="B7240" t="s" s="11">
        <v>8</v>
      </c>
      <c r="C7240" t="s" s="12">
        <v>8</v>
      </c>
      <c r="D7240" s="15" cm="1">
        <f t="array" ref="D7240">SUM(D7238:D7239)</f>
        <v>2</v>
      </c>
      <c r="E7240" s="15" cm="1">
        <f t="array" ref="E7240">SUM(E7238:E7239)</f>
        <v>2</v>
      </c>
      <c r="F7240" s="16" cm="1">
        <f t="array" ref="F7240">SUM(F7238:F7239)</f>
        <v>0</v>
      </c>
      <c r="G7240" s="16" cm="1">
        <f t="array" ref="G7240">SUM(G7238:G7239)</f>
        <v>0</v>
      </c>
      <c r="H7240" s="16" cm="1">
        <f t="array" ref="H7240">SUM(H7238:H7239)</f>
        <v>0</v>
      </c>
      <c r="I7240" s="16" cm="1">
        <f t="array" ref="I7240">SUM(I7238:I7239)</f>
        <v>0</v>
      </c>
    </row>
    <row r="7241" ht="21.25" customHeight="1">
      <c r="A7241" s="10">
        <v>45743</v>
      </c>
      <c r="B7241" t="s" s="11">
        <v>5</v>
      </c>
      <c r="C7241" t="s" s="12">
        <v>799</v>
      </c>
      <c r="D7241" s="17">
        <v>11</v>
      </c>
      <c r="E7241" s="17"/>
      <c r="F7241" s="18"/>
      <c r="G7241" s="18"/>
      <c r="H7241" s="18"/>
      <c r="I7241" s="18"/>
    </row>
    <row r="7242" ht="21.25" customHeight="1">
      <c r="A7242" s="10">
        <v>45743</v>
      </c>
      <c r="B7242" t="s" s="11">
        <v>91</v>
      </c>
      <c r="C7242" t="s" s="12">
        <v>799</v>
      </c>
      <c r="D7242" s="13"/>
      <c r="E7242" s="13">
        <v>11</v>
      </c>
      <c r="F7242" s="14"/>
      <c r="G7242" s="14"/>
      <c r="H7242" s="14"/>
      <c r="I7242" s="14"/>
    </row>
    <row r="7243" ht="20.7" customHeight="1">
      <c r="A7243" s="10">
        <v>45743</v>
      </c>
      <c r="B7243" t="s" s="11">
        <v>8</v>
      </c>
      <c r="C7243" t="s" s="12">
        <v>8</v>
      </c>
      <c r="D7243" s="15" cm="1">
        <f t="array" ref="D7243">SUM(D7241:D7242)</f>
        <v>11</v>
      </c>
      <c r="E7243" s="15" cm="1">
        <f t="array" ref="E7243">SUM(E7241:E7242)</f>
        <v>11</v>
      </c>
      <c r="F7243" s="16" cm="1">
        <f t="array" ref="F7243">SUM(F7241:F7242)</f>
        <v>0</v>
      </c>
      <c r="G7243" s="16" cm="1">
        <f t="array" ref="G7243">SUM(G7241:G7242)</f>
        <v>0</v>
      </c>
      <c r="H7243" s="16" cm="1">
        <f t="array" ref="H7243">SUM(H7241:H7242)</f>
        <v>0</v>
      </c>
      <c r="I7243" s="16" cm="1">
        <f t="array" ref="I7243">SUM(I7241:I7242)</f>
        <v>0</v>
      </c>
    </row>
    <row r="7244" ht="21.25" customHeight="1">
      <c r="A7244" s="10">
        <v>45743</v>
      </c>
      <c r="B7244" t="s" s="11">
        <v>89</v>
      </c>
      <c r="C7244" t="s" s="12">
        <v>1027</v>
      </c>
      <c r="D7244" s="17"/>
      <c r="E7244" s="17">
        <v>77000</v>
      </c>
      <c r="F7244" s="18"/>
      <c r="G7244" s="18"/>
      <c r="H7244" s="18"/>
      <c r="I7244" s="18"/>
    </row>
    <row r="7245" ht="21.25" customHeight="1">
      <c r="A7245" s="10">
        <v>45743</v>
      </c>
      <c r="B7245" t="s" s="11">
        <v>107</v>
      </c>
      <c r="C7245" t="s" s="12">
        <v>1027</v>
      </c>
      <c r="D7245" s="13">
        <v>77000</v>
      </c>
      <c r="E7245" s="13"/>
      <c r="F7245" s="14"/>
      <c r="G7245" s="14"/>
      <c r="H7245" s="14"/>
      <c r="I7245" s="14"/>
    </row>
    <row r="7246" ht="20.7" customHeight="1">
      <c r="A7246" s="10">
        <v>45743</v>
      </c>
      <c r="B7246" t="s" s="11">
        <v>8</v>
      </c>
      <c r="C7246" t="s" s="12">
        <v>8</v>
      </c>
      <c r="D7246" s="15" cm="1">
        <f t="array" ref="D7246">SUM(D7244:D7245)</f>
        <v>77000</v>
      </c>
      <c r="E7246" s="15" cm="1">
        <f t="array" ref="E7246">SUM(E7244:E7245)</f>
        <v>77000</v>
      </c>
      <c r="F7246" s="16" cm="1">
        <f t="array" ref="F7246">SUM(F7244:F7245)</f>
        <v>0</v>
      </c>
      <c r="G7246" s="16" cm="1">
        <f t="array" ref="G7246">SUM(G7244:G7245)</f>
        <v>0</v>
      </c>
      <c r="H7246" s="16" cm="1">
        <f t="array" ref="H7246">SUM(H7244:H7245)</f>
        <v>0</v>
      </c>
      <c r="I7246" s="16" cm="1">
        <f t="array" ref="I7246">SUM(I7244:I7245)</f>
        <v>0</v>
      </c>
    </row>
    <row r="7247" ht="21.25" customHeight="1">
      <c r="A7247" s="10">
        <v>45743</v>
      </c>
      <c r="B7247" t="s" s="11">
        <v>21</v>
      </c>
      <c r="C7247" t="s" s="12">
        <v>1028</v>
      </c>
      <c r="D7247" s="17"/>
      <c r="E7247" s="17">
        <v>1600</v>
      </c>
      <c r="F7247" s="18"/>
      <c r="G7247" s="18"/>
      <c r="H7247" s="18"/>
      <c r="I7247" s="18"/>
    </row>
    <row r="7248" ht="21.25" customHeight="1">
      <c r="A7248" s="10">
        <v>45743</v>
      </c>
      <c r="B7248" t="s" s="11">
        <v>16</v>
      </c>
      <c r="C7248" t="s" s="12">
        <v>1028</v>
      </c>
      <c r="D7248" s="13">
        <v>1600</v>
      </c>
      <c r="E7248" s="13"/>
      <c r="F7248" s="14"/>
      <c r="G7248" s="14"/>
      <c r="H7248" s="14"/>
      <c r="I7248" s="14"/>
    </row>
    <row r="7249" ht="20.7" customHeight="1">
      <c r="A7249" s="10">
        <v>45743</v>
      </c>
      <c r="B7249" t="s" s="11">
        <v>8</v>
      </c>
      <c r="C7249" t="s" s="12">
        <v>8</v>
      </c>
      <c r="D7249" s="15"/>
      <c r="E7249" s="15"/>
      <c r="F7249" s="16"/>
      <c r="G7249" s="16"/>
      <c r="H7249" s="16"/>
      <c r="I7249" s="16"/>
    </row>
    <row r="7250" ht="20.65" customHeight="1">
      <c r="A7250" s="10">
        <v>45744</v>
      </c>
      <c r="B7250" t="s" s="11">
        <v>843</v>
      </c>
      <c r="C7250" t="s" s="12">
        <v>820</v>
      </c>
      <c r="D7250" s="17">
        <v>4</v>
      </c>
      <c r="E7250" s="17"/>
      <c r="F7250" s="18"/>
      <c r="G7250" s="18"/>
      <c r="H7250" s="18"/>
      <c r="I7250" s="18"/>
    </row>
    <row r="7251" ht="20.65" customHeight="1">
      <c r="A7251" s="10">
        <v>45744</v>
      </c>
      <c r="B7251" t="s" s="11">
        <v>91</v>
      </c>
      <c r="C7251" t="s" s="12">
        <v>820</v>
      </c>
      <c r="D7251" s="13"/>
      <c r="E7251" s="13">
        <v>4</v>
      </c>
      <c r="F7251" s="14"/>
      <c r="G7251" s="14"/>
      <c r="H7251" s="14"/>
      <c r="I7251" s="14"/>
    </row>
    <row r="7252" ht="20.7" customHeight="1">
      <c r="A7252" s="10">
        <v>45744</v>
      </c>
      <c r="B7252" t="s" s="11">
        <v>8</v>
      </c>
      <c r="C7252" t="s" s="12">
        <v>8</v>
      </c>
      <c r="D7252" s="15">
        <v>4</v>
      </c>
      <c r="E7252" s="15">
        <v>4</v>
      </c>
      <c r="F7252" s="16" cm="1">
        <f t="array" ref="F7252">SUM(F7250:F7251)</f>
        <v>0</v>
      </c>
      <c r="G7252" s="16" cm="1">
        <f t="array" ref="G7252">SUM(G7250:G7251)</f>
        <v>0</v>
      </c>
      <c r="H7252" s="16" cm="1">
        <f t="array" ref="H7252">SUM(H7250:H7251)</f>
        <v>0</v>
      </c>
      <c r="I7252" s="16" cm="1">
        <f t="array" ref="I7252">SUM(I7250:I7251)</f>
        <v>0</v>
      </c>
    </row>
    <row r="7253" ht="20.65" customHeight="1">
      <c r="A7253" s="10">
        <v>45744</v>
      </c>
      <c r="B7253" t="s" s="11">
        <v>814</v>
      </c>
      <c r="C7253" t="s" s="12">
        <v>820</v>
      </c>
      <c r="D7253" s="17">
        <v>163</v>
      </c>
      <c r="E7253" s="17"/>
      <c r="F7253" s="18"/>
      <c r="G7253" s="18"/>
      <c r="H7253" s="18"/>
      <c r="I7253" s="18"/>
    </row>
    <row r="7254" ht="20.65" customHeight="1">
      <c r="A7254" s="10">
        <v>45744</v>
      </c>
      <c r="B7254" t="s" s="11">
        <v>91</v>
      </c>
      <c r="C7254" t="s" s="12">
        <v>820</v>
      </c>
      <c r="D7254" s="13"/>
      <c r="E7254" s="13">
        <v>163</v>
      </c>
      <c r="F7254" s="14"/>
      <c r="G7254" s="14"/>
      <c r="H7254" s="14"/>
      <c r="I7254" s="14"/>
    </row>
    <row r="7255" ht="20.7" customHeight="1">
      <c r="A7255" s="10">
        <v>45744</v>
      </c>
      <c r="B7255" t="s" s="11">
        <v>8</v>
      </c>
      <c r="C7255" t="s" s="12">
        <v>8</v>
      </c>
      <c r="D7255" s="15" cm="1">
        <f t="array" ref="D7255">SUM(D7253:D7254)</f>
        <v>163</v>
      </c>
      <c r="E7255" s="15" cm="1">
        <f t="array" ref="E7255">SUM(E7253:E7254)</f>
        <v>163</v>
      </c>
      <c r="F7255" s="16" cm="1">
        <f t="array" ref="F7255">SUM(F7253:F7254)</f>
        <v>0</v>
      </c>
      <c r="G7255" s="16" cm="1">
        <f t="array" ref="G7255">SUM(G7253:G7254)</f>
        <v>0</v>
      </c>
      <c r="H7255" s="16" cm="1">
        <f t="array" ref="H7255">SUM(H7253:H7254)</f>
        <v>0</v>
      </c>
      <c r="I7255" s="16" cm="1">
        <f t="array" ref="I7255">SUM(I7253:I7254)</f>
        <v>0</v>
      </c>
    </row>
    <row r="7256" ht="20.35" customHeight="1">
      <c r="A7256" s="10">
        <v>45744</v>
      </c>
      <c r="B7256" t="s" s="11">
        <v>107</v>
      </c>
      <c r="C7256" t="s" s="12">
        <v>1029</v>
      </c>
      <c r="D7256" s="17"/>
      <c r="E7256" s="17">
        <v>65270</v>
      </c>
      <c r="F7256" s="18"/>
      <c r="G7256" s="18"/>
      <c r="H7256" s="18"/>
      <c r="I7256" s="18"/>
    </row>
    <row r="7257" ht="20.35" customHeight="1">
      <c r="A7257" s="10">
        <v>45744</v>
      </c>
      <c r="B7257" t="s" s="11">
        <v>79</v>
      </c>
      <c r="C7257" t="s" s="12">
        <v>1029</v>
      </c>
      <c r="D7257" s="13">
        <v>65270</v>
      </c>
      <c r="E7257" s="13"/>
      <c r="F7257" s="14"/>
      <c r="G7257" s="14"/>
      <c r="H7257" s="14"/>
      <c r="I7257" s="14"/>
    </row>
    <row r="7258" ht="20.7" customHeight="1">
      <c r="A7258" s="10">
        <v>45744</v>
      </c>
      <c r="B7258" t="s" s="11">
        <v>8</v>
      </c>
      <c r="C7258" t="s" s="12">
        <v>8</v>
      </c>
      <c r="D7258" s="15" cm="1">
        <f t="array" ref="D7258">SUM(D7256:D7257)</f>
        <v>65270</v>
      </c>
      <c r="E7258" s="15" cm="1">
        <f t="array" ref="E7258">SUM(E7256:E7257)</f>
        <v>65270</v>
      </c>
      <c r="F7258" s="16" cm="1">
        <f t="array" ref="F7258">SUM(F7256:F7257)</f>
        <v>0</v>
      </c>
      <c r="G7258" s="16" cm="1">
        <f t="array" ref="G7258">SUM(G7256:G7257)</f>
        <v>0</v>
      </c>
      <c r="H7258" s="16" cm="1">
        <f t="array" ref="H7258">SUM(H7256:H7257)</f>
        <v>0</v>
      </c>
      <c r="I7258" s="16" cm="1">
        <f t="array" ref="I7258">SUM(I7256:I7257)</f>
        <v>0</v>
      </c>
    </row>
    <row r="7259" ht="20.35" customHeight="1">
      <c r="A7259" s="10">
        <v>45744</v>
      </c>
      <c r="B7259" t="s" s="11">
        <v>79</v>
      </c>
      <c r="C7259" t="s" s="12">
        <v>791</v>
      </c>
      <c r="D7259" s="17"/>
      <c r="E7259" s="17">
        <v>65270</v>
      </c>
      <c r="F7259" s="18"/>
      <c r="G7259" s="18"/>
      <c r="H7259" s="18"/>
      <c r="I7259" s="18"/>
    </row>
    <row r="7260" ht="20.35" customHeight="1">
      <c r="A7260" s="10">
        <v>45744</v>
      </c>
      <c r="B7260" t="s" s="11">
        <v>121</v>
      </c>
      <c r="C7260" t="s" s="12">
        <v>791</v>
      </c>
      <c r="D7260" s="13">
        <v>65270</v>
      </c>
      <c r="E7260" s="13"/>
      <c r="F7260" s="14"/>
      <c r="G7260" s="14"/>
      <c r="H7260" s="14"/>
      <c r="I7260" s="14"/>
    </row>
    <row r="7261" ht="20.7" customHeight="1">
      <c r="A7261" s="10">
        <v>45744</v>
      </c>
      <c r="B7261" t="s" s="11">
        <v>8</v>
      </c>
      <c r="C7261" t="s" s="12">
        <v>8</v>
      </c>
      <c r="D7261" s="15" cm="1">
        <f t="array" ref="D7261">SUM(D7259:D7260)</f>
        <v>65270</v>
      </c>
      <c r="E7261" s="15" cm="1">
        <f t="array" ref="E7261">SUM(E7259:E7260)</f>
        <v>65270</v>
      </c>
      <c r="F7261" s="16" cm="1">
        <f t="array" ref="F7261">SUM(F7259:F7260)</f>
        <v>0</v>
      </c>
      <c r="G7261" s="16" cm="1">
        <f t="array" ref="G7261">SUM(G7259:G7260)</f>
        <v>0</v>
      </c>
      <c r="H7261" s="16" cm="1">
        <f t="array" ref="H7261">SUM(H7259:H7260)</f>
        <v>0</v>
      </c>
      <c r="I7261" s="16" cm="1">
        <f t="array" ref="I7261">SUM(I7259:I7260)</f>
        <v>0</v>
      </c>
    </row>
    <row r="7262" ht="20.35" customHeight="1">
      <c r="A7262" s="10">
        <v>45744</v>
      </c>
      <c r="B7262" t="s" s="11">
        <v>121</v>
      </c>
      <c r="C7262" t="s" s="12">
        <v>802</v>
      </c>
      <c r="D7262" s="17"/>
      <c r="E7262" s="17">
        <v>65270</v>
      </c>
      <c r="F7262" s="18"/>
      <c r="G7262" s="18"/>
      <c r="H7262" s="18"/>
      <c r="I7262" s="18"/>
    </row>
    <row r="7263" ht="20.35" customHeight="1">
      <c r="A7263" s="10">
        <v>45744</v>
      </c>
      <c r="B7263" t="s" s="11">
        <v>81</v>
      </c>
      <c r="C7263" t="s" s="12">
        <v>802</v>
      </c>
      <c r="D7263" s="13">
        <v>65270</v>
      </c>
      <c r="E7263" s="13"/>
      <c r="F7263" s="14"/>
      <c r="G7263" s="14"/>
      <c r="H7263" s="14"/>
      <c r="I7263" s="14"/>
    </row>
    <row r="7264" ht="20.7" customHeight="1">
      <c r="A7264" s="10">
        <v>45744</v>
      </c>
      <c r="B7264" t="s" s="11">
        <v>8</v>
      </c>
      <c r="C7264" t="s" s="12">
        <v>8</v>
      </c>
      <c r="D7264" s="15" cm="1">
        <f t="array" ref="D7264">SUM(D7262:D7263)</f>
        <v>65270</v>
      </c>
      <c r="E7264" s="15" cm="1">
        <f t="array" ref="E7264">SUM(E7262:E7263)</f>
        <v>65270</v>
      </c>
      <c r="F7264" s="16" cm="1">
        <f t="array" ref="F7264">SUM(F7262:F7263)</f>
        <v>0</v>
      </c>
      <c r="G7264" s="16" cm="1">
        <f t="array" ref="G7264">SUM(G7262:G7263)</f>
        <v>0</v>
      </c>
      <c r="H7264" s="16" cm="1">
        <f t="array" ref="H7264">SUM(H7262:H7263)</f>
        <v>0</v>
      </c>
      <c r="I7264" s="16" cm="1">
        <f t="array" ref="I7264">SUM(I7262:I7263)</f>
        <v>0</v>
      </c>
    </row>
    <row r="7265" ht="20.35" customHeight="1">
      <c r="A7265" s="10">
        <v>45744</v>
      </c>
      <c r="B7265" t="s" s="11">
        <v>107</v>
      </c>
      <c r="C7265" t="s" s="12">
        <v>96</v>
      </c>
      <c r="D7265" s="17"/>
      <c r="E7265" s="17">
        <v>13715</v>
      </c>
      <c r="F7265" s="18"/>
      <c r="G7265" s="18"/>
      <c r="H7265" s="18"/>
      <c r="I7265" s="18"/>
    </row>
    <row r="7266" ht="20.35" customHeight="1">
      <c r="A7266" s="10">
        <v>45744</v>
      </c>
      <c r="B7266" t="s" s="11">
        <v>5</v>
      </c>
      <c r="C7266" t="s" s="12">
        <v>96</v>
      </c>
      <c r="D7266" s="13">
        <v>13715</v>
      </c>
      <c r="E7266" s="13"/>
      <c r="F7266" s="14"/>
      <c r="G7266" s="14"/>
      <c r="H7266" s="14"/>
      <c r="I7266" s="14"/>
    </row>
    <row r="7267" ht="20.7" customHeight="1">
      <c r="A7267" s="10">
        <v>45744</v>
      </c>
      <c r="B7267" t="s" s="11">
        <v>8</v>
      </c>
      <c r="C7267" t="s" s="12">
        <v>8</v>
      </c>
      <c r="D7267" s="15" cm="1">
        <f t="array" ref="D7267">SUM(D7265:D7266)</f>
        <v>13715</v>
      </c>
      <c r="E7267" s="15" cm="1">
        <f t="array" ref="E7267">SUM(E7265:E7266)</f>
        <v>13715</v>
      </c>
      <c r="F7267" s="16" cm="1">
        <f t="array" ref="F7267">SUM(F7265:F7266)</f>
        <v>0</v>
      </c>
      <c r="G7267" s="16" cm="1">
        <f t="array" ref="G7267">SUM(G7265:G7266)</f>
        <v>0</v>
      </c>
      <c r="H7267" s="16" cm="1">
        <f t="array" ref="H7267">SUM(H7265:H7266)</f>
        <v>0</v>
      </c>
      <c r="I7267" s="16" cm="1">
        <f t="array" ref="I7267">SUM(I7265:I7266)</f>
        <v>0</v>
      </c>
    </row>
    <row r="7268" ht="20.35" customHeight="1">
      <c r="A7268" s="10">
        <v>45744</v>
      </c>
      <c r="B7268" t="s" s="11">
        <v>5</v>
      </c>
      <c r="C7268" t="s" s="12">
        <v>867</v>
      </c>
      <c r="D7268" s="17"/>
      <c r="E7268" s="17">
        <v>75300</v>
      </c>
      <c r="F7268" s="18"/>
      <c r="G7268" s="18"/>
      <c r="H7268" s="18"/>
      <c r="I7268" s="18"/>
    </row>
    <row r="7269" ht="20.35" customHeight="1">
      <c r="A7269" s="10">
        <v>45744</v>
      </c>
      <c r="B7269" t="s" s="11">
        <v>843</v>
      </c>
      <c r="C7269" t="s" s="12">
        <v>867</v>
      </c>
      <c r="D7269" s="13">
        <v>75300</v>
      </c>
      <c r="E7269" s="13"/>
      <c r="F7269" s="14"/>
      <c r="G7269" s="14"/>
      <c r="H7269" s="14"/>
      <c r="I7269" s="14"/>
    </row>
    <row r="7270" ht="20.7" customHeight="1">
      <c r="A7270" s="10">
        <v>45744</v>
      </c>
      <c r="B7270" t="s" s="11">
        <v>8</v>
      </c>
      <c r="C7270" t="s" s="12">
        <v>8</v>
      </c>
      <c r="D7270" s="15" cm="1">
        <f t="array" ref="D7270">SUM(D7268:D7269)</f>
        <v>75300</v>
      </c>
      <c r="E7270" s="15" cm="1">
        <f t="array" ref="E7270">SUM(E7268:E7269)</f>
        <v>75300</v>
      </c>
      <c r="F7270" s="16" cm="1">
        <f t="array" ref="F7270">SUM(F7268:F7269)</f>
        <v>0</v>
      </c>
      <c r="G7270" s="16" cm="1">
        <f t="array" ref="G7270">SUM(G7268:G7269)</f>
        <v>0</v>
      </c>
      <c r="H7270" s="16" cm="1">
        <f t="array" ref="H7270">SUM(H7268:H7269)</f>
        <v>0</v>
      </c>
      <c r="I7270" s="16" cm="1">
        <f t="array" ref="I7270">SUM(I7268:I7269)</f>
        <v>0</v>
      </c>
    </row>
    <row r="7271" ht="20.35" customHeight="1">
      <c r="A7271" s="10">
        <v>45744</v>
      </c>
      <c r="B7271" t="s" s="11">
        <v>5</v>
      </c>
      <c r="C7271" t="s" s="12">
        <v>439</v>
      </c>
      <c r="D7271" s="17"/>
      <c r="E7271" s="17">
        <v>112235</v>
      </c>
      <c r="F7271" s="18"/>
      <c r="G7271" s="18"/>
      <c r="H7271" s="18"/>
      <c r="I7271" s="18"/>
    </row>
    <row r="7272" ht="20.35" customHeight="1">
      <c r="A7272" s="10">
        <v>45744</v>
      </c>
      <c r="B7272" t="s" s="11">
        <v>121</v>
      </c>
      <c r="C7272" t="s" s="12">
        <v>439</v>
      </c>
      <c r="D7272" s="13">
        <v>112235</v>
      </c>
      <c r="E7272" s="13"/>
      <c r="F7272" s="14"/>
      <c r="G7272" s="14"/>
      <c r="H7272" s="14"/>
      <c r="I7272" s="14"/>
    </row>
    <row r="7273" ht="20.7" customHeight="1">
      <c r="A7273" s="10">
        <v>45744</v>
      </c>
      <c r="B7273" t="s" s="11">
        <v>8</v>
      </c>
      <c r="C7273" t="s" s="12">
        <v>8</v>
      </c>
      <c r="D7273" s="15" cm="1">
        <f t="array" ref="D7273">SUM(D7271:D7272)</f>
        <v>112235</v>
      </c>
      <c r="E7273" s="15" cm="1">
        <f t="array" ref="E7273">SUM(E7271:E7272)</f>
        <v>112235</v>
      </c>
      <c r="F7273" s="16" cm="1">
        <f t="array" ref="F7273">SUM(F7271:F7272)</f>
        <v>0</v>
      </c>
      <c r="G7273" s="16" cm="1">
        <f t="array" ref="G7273">SUM(G7271:G7272)</f>
        <v>0</v>
      </c>
      <c r="H7273" s="16" cm="1">
        <f t="array" ref="H7273">SUM(H7271:H7272)</f>
        <v>0</v>
      </c>
      <c r="I7273" s="16" cm="1">
        <f t="array" ref="I7273">SUM(I7271:I7272)</f>
        <v>0</v>
      </c>
    </row>
    <row r="7274" ht="21.25" customHeight="1">
      <c r="A7274" s="10">
        <v>45744</v>
      </c>
      <c r="B7274" t="s" s="11">
        <v>121</v>
      </c>
      <c r="C7274" t="s" s="12">
        <v>1030</v>
      </c>
      <c r="D7274" s="17"/>
      <c r="E7274" s="17">
        <v>111966</v>
      </c>
      <c r="F7274" s="18"/>
      <c r="G7274" s="18"/>
      <c r="H7274" s="18"/>
      <c r="I7274" s="18"/>
    </row>
    <row r="7275" ht="21.25" customHeight="1">
      <c r="A7275" s="10">
        <v>45744</v>
      </c>
      <c r="B7275" t="s" s="11">
        <v>441</v>
      </c>
      <c r="C7275" t="s" s="12">
        <v>1030</v>
      </c>
      <c r="D7275" s="13">
        <v>111966</v>
      </c>
      <c r="E7275" s="13"/>
      <c r="F7275" s="14"/>
      <c r="G7275" s="14"/>
      <c r="H7275" s="14"/>
      <c r="I7275" s="14"/>
    </row>
    <row r="7276" ht="20.7" customHeight="1">
      <c r="A7276" s="10">
        <v>45744</v>
      </c>
      <c r="B7276" t="s" s="11">
        <v>8</v>
      </c>
      <c r="C7276" t="s" s="12">
        <v>8</v>
      </c>
      <c r="D7276" s="15" cm="1">
        <f t="array" ref="D7276">SUM(D7274:D7275)</f>
        <v>111966</v>
      </c>
      <c r="E7276" s="15" cm="1">
        <f t="array" ref="E7276">SUM(E7274:E7275)</f>
        <v>111966</v>
      </c>
      <c r="F7276" s="16" cm="1">
        <f t="array" ref="F7276">SUM(F7274:F7275)</f>
        <v>0</v>
      </c>
      <c r="G7276" s="16" cm="1">
        <f t="array" ref="G7276">SUM(G7274:G7275)</f>
        <v>0</v>
      </c>
      <c r="H7276" s="16" cm="1">
        <f t="array" ref="H7276">SUM(H7274:H7275)</f>
        <v>0</v>
      </c>
      <c r="I7276" s="16" cm="1">
        <f t="array" ref="I7276">SUM(I7274:I7275)</f>
        <v>0</v>
      </c>
    </row>
    <row r="7277" ht="20.35" customHeight="1">
      <c r="A7277" s="10">
        <v>45744</v>
      </c>
      <c r="B7277" t="s" s="11">
        <v>5</v>
      </c>
      <c r="C7277" t="s" s="12">
        <v>53</v>
      </c>
      <c r="D7277" s="17"/>
      <c r="E7277" s="17">
        <v>1600</v>
      </c>
      <c r="F7277" s="18"/>
      <c r="G7277" s="18"/>
      <c r="H7277" s="18"/>
      <c r="I7277" s="18"/>
    </row>
    <row r="7278" ht="20.35" customHeight="1">
      <c r="A7278" s="10">
        <v>45744</v>
      </c>
      <c r="B7278" t="s" s="11">
        <v>12</v>
      </c>
      <c r="C7278" t="s" s="12">
        <v>53</v>
      </c>
      <c r="D7278" s="13">
        <v>1600</v>
      </c>
      <c r="E7278" s="13"/>
      <c r="F7278" s="14"/>
      <c r="G7278" s="14"/>
      <c r="H7278" s="14"/>
      <c r="I7278" s="14"/>
    </row>
    <row r="7279" ht="20.7" customHeight="1">
      <c r="A7279" s="10">
        <v>45744</v>
      </c>
      <c r="B7279" t="s" s="11">
        <v>8</v>
      </c>
      <c r="C7279" t="s" s="12">
        <v>8</v>
      </c>
      <c r="D7279" s="15" cm="1">
        <f t="array" ref="D7279">SUM(D7277:D7278)</f>
        <v>1600</v>
      </c>
      <c r="E7279" s="15" cm="1">
        <f t="array" ref="E7279">SUM(E7277:E7278)</f>
        <v>1600</v>
      </c>
      <c r="F7279" s="16" cm="1">
        <f t="array" ref="F7279">SUM(F7277:F7278)</f>
        <v>0</v>
      </c>
      <c r="G7279" s="16" cm="1">
        <f t="array" ref="G7279">SUM(G7277:G7278)</f>
        <v>0</v>
      </c>
      <c r="H7279" s="16" cm="1">
        <f t="array" ref="H7279">SUM(H7277:H7278)</f>
        <v>0</v>
      </c>
      <c r="I7279" s="16" cm="1">
        <f t="array" ref="I7279">SUM(I7277:I7278)</f>
        <v>0</v>
      </c>
    </row>
    <row r="7280" ht="21.25" customHeight="1">
      <c r="A7280" s="10">
        <v>45744</v>
      </c>
      <c r="B7280" t="s" s="11">
        <v>5</v>
      </c>
      <c r="C7280" t="s" s="12">
        <v>799</v>
      </c>
      <c r="D7280" s="17">
        <v>1</v>
      </c>
      <c r="E7280" s="17"/>
      <c r="F7280" s="18"/>
      <c r="G7280" s="18"/>
      <c r="H7280" s="18"/>
      <c r="I7280" s="18"/>
    </row>
    <row r="7281" ht="21.25" customHeight="1">
      <c r="A7281" s="10">
        <v>45744</v>
      </c>
      <c r="B7281" t="s" s="11">
        <v>91</v>
      </c>
      <c r="C7281" t="s" s="12">
        <v>799</v>
      </c>
      <c r="D7281" s="13"/>
      <c r="E7281" s="13">
        <v>1</v>
      </c>
      <c r="F7281" s="14"/>
      <c r="G7281" s="14"/>
      <c r="H7281" s="14"/>
      <c r="I7281" s="14"/>
    </row>
    <row r="7282" ht="20.7" customHeight="1">
      <c r="A7282" s="10">
        <v>45744</v>
      </c>
      <c r="B7282" t="s" s="11">
        <v>8</v>
      </c>
      <c r="C7282" t="s" s="12">
        <v>8</v>
      </c>
      <c r="D7282" s="15" cm="1">
        <f t="array" ref="D7282">SUM(D7280:D7281)</f>
        <v>1</v>
      </c>
      <c r="E7282" s="15" cm="1">
        <f t="array" ref="E7282">SUM(E7280:E7281)</f>
        <v>1</v>
      </c>
      <c r="F7282" s="16" cm="1">
        <f t="array" ref="F7282">SUM(F7280:F7281)</f>
        <v>0</v>
      </c>
      <c r="G7282" s="16" cm="1">
        <f t="array" ref="G7282">SUM(G7280:G7281)</f>
        <v>0</v>
      </c>
      <c r="H7282" s="16" cm="1">
        <f t="array" ref="H7282">SUM(H7280:H7281)</f>
        <v>0</v>
      </c>
      <c r="I7282" s="16" cm="1">
        <f t="array" ref="I7282">SUM(I7280:I7281)</f>
        <v>0</v>
      </c>
    </row>
    <row r="7283" ht="20.35" customHeight="1">
      <c r="A7283" s="10">
        <v>45744</v>
      </c>
      <c r="B7283" t="s" s="11">
        <v>5</v>
      </c>
      <c r="C7283" t="s" s="12">
        <v>915</v>
      </c>
      <c r="D7283" s="17"/>
      <c r="E7283" s="17">
        <v>2000</v>
      </c>
      <c r="F7283" s="18"/>
      <c r="G7283" s="18"/>
      <c r="H7283" s="18"/>
      <c r="I7283" s="18"/>
    </row>
    <row r="7284" ht="20.35" customHeight="1">
      <c r="A7284" s="10">
        <v>45744</v>
      </c>
      <c r="B7284" t="s" s="11">
        <v>10</v>
      </c>
      <c r="C7284" t="s" s="12">
        <v>915</v>
      </c>
      <c r="D7284" s="13">
        <v>2000</v>
      </c>
      <c r="E7284" s="13"/>
      <c r="F7284" s="14"/>
      <c r="G7284" s="14"/>
      <c r="H7284" s="14"/>
      <c r="I7284" s="14"/>
    </row>
    <row r="7285" ht="20.7" customHeight="1">
      <c r="A7285" s="10">
        <v>45744</v>
      </c>
      <c r="B7285" t="s" s="11">
        <v>8</v>
      </c>
      <c r="C7285" t="s" s="12">
        <v>8</v>
      </c>
      <c r="D7285" s="15" cm="1">
        <f t="array" ref="D7285">SUM(D7283:D7284)</f>
        <v>2000</v>
      </c>
      <c r="E7285" s="15" cm="1">
        <f t="array" ref="E7285">SUM(E7283:E7284)</f>
        <v>2000</v>
      </c>
      <c r="F7285" s="16" cm="1">
        <f t="array" ref="F7285">SUM(F7283:F7284)</f>
        <v>0</v>
      </c>
      <c r="G7285" s="16" cm="1">
        <f t="array" ref="G7285">SUM(G7283:G7284)</f>
        <v>0</v>
      </c>
      <c r="H7285" s="16" cm="1">
        <f t="array" ref="H7285">SUM(H7283:H7284)</f>
        <v>0</v>
      </c>
      <c r="I7285" s="16" cm="1">
        <f t="array" ref="I7285">SUM(I7283:I7284)</f>
        <v>0</v>
      </c>
    </row>
    <row r="7286" ht="20.65" customHeight="1">
      <c r="A7286" s="10">
        <v>45744</v>
      </c>
      <c r="B7286" t="s" s="11">
        <v>5</v>
      </c>
      <c r="C7286" t="s" s="12">
        <v>1031</v>
      </c>
      <c r="D7286" s="17"/>
      <c r="E7286" s="17">
        <v>5000</v>
      </c>
      <c r="F7286" s="18"/>
      <c r="G7286" s="18"/>
      <c r="H7286" s="18"/>
      <c r="I7286" s="18"/>
    </row>
    <row r="7287" ht="20.65" customHeight="1">
      <c r="A7287" s="10">
        <v>45744</v>
      </c>
      <c r="B7287" t="s" s="11">
        <v>10</v>
      </c>
      <c r="C7287" t="s" s="12">
        <v>1031</v>
      </c>
      <c r="D7287" s="13">
        <v>5000</v>
      </c>
      <c r="E7287" s="13"/>
      <c r="F7287" s="14"/>
      <c r="G7287" s="14"/>
      <c r="H7287" s="14"/>
      <c r="I7287" s="14"/>
    </row>
    <row r="7288" ht="20.7" customHeight="1">
      <c r="A7288" s="10">
        <v>45744</v>
      </c>
      <c r="B7288" t="s" s="11">
        <v>8</v>
      </c>
      <c r="C7288" t="s" s="12">
        <v>8</v>
      </c>
      <c r="D7288" s="15" cm="1">
        <f t="array" ref="D7288">SUM(D7286:D7287)</f>
        <v>5000</v>
      </c>
      <c r="E7288" s="15" cm="1">
        <f t="array" ref="E7288">SUM(E7286:E7287)</f>
        <v>5000</v>
      </c>
      <c r="F7288" s="16" cm="1">
        <f t="array" ref="F7288">SUM(F7286:F7287)</f>
        <v>0</v>
      </c>
      <c r="G7288" s="16" cm="1">
        <f t="array" ref="G7288">SUM(G7286:G7287)</f>
        <v>0</v>
      </c>
      <c r="H7288" s="16" cm="1">
        <f t="array" ref="H7288">SUM(H7286:H7287)</f>
        <v>0</v>
      </c>
      <c r="I7288" s="16" cm="1">
        <f t="array" ref="I7288">SUM(I7286:I7287)</f>
        <v>0</v>
      </c>
    </row>
    <row r="7289" ht="20.35" customHeight="1">
      <c r="A7289" s="10">
        <v>45744</v>
      </c>
      <c r="B7289" t="s" s="11">
        <v>21</v>
      </c>
      <c r="C7289" t="s" s="12">
        <v>1020</v>
      </c>
      <c r="D7289" s="17"/>
      <c r="E7289" s="17">
        <v>15886</v>
      </c>
      <c r="F7289" s="18"/>
      <c r="G7289" s="18"/>
      <c r="H7289" s="18"/>
      <c r="I7289" s="18"/>
    </row>
    <row r="7290" ht="20.05" customHeight="1">
      <c r="A7290" s="10">
        <v>45744</v>
      </c>
      <c r="B7290" t="s" s="11">
        <v>91</v>
      </c>
      <c r="C7290" t="s" s="12">
        <v>1020</v>
      </c>
      <c r="D7290" s="19"/>
      <c r="E7290" s="19">
        <v>114</v>
      </c>
      <c r="F7290" s="20"/>
      <c r="G7290" s="20"/>
      <c r="H7290" s="20"/>
      <c r="I7290" s="20"/>
    </row>
    <row r="7291" ht="20.35" customHeight="1">
      <c r="A7291" s="10">
        <v>45744</v>
      </c>
      <c r="B7291" t="s" s="11">
        <v>28</v>
      </c>
      <c r="C7291" t="s" s="12">
        <v>1020</v>
      </c>
      <c r="D7291" s="13">
        <v>16000</v>
      </c>
      <c r="E7291" s="13"/>
      <c r="F7291" s="14"/>
      <c r="G7291" s="14"/>
      <c r="H7291" s="14"/>
      <c r="I7291" s="14"/>
    </row>
    <row r="7292" ht="20.7" customHeight="1">
      <c r="A7292" s="10">
        <v>45744</v>
      </c>
      <c r="B7292" t="s" s="11">
        <v>8</v>
      </c>
      <c r="C7292" t="s" s="12">
        <v>8</v>
      </c>
      <c r="D7292" s="15" cm="1">
        <f t="array" ref="D7292">SUM(D7289:D7291)</f>
        <v>16000</v>
      </c>
      <c r="E7292" s="15" cm="1">
        <f t="array" ref="E7292">SUM(E7289:E7291)</f>
        <v>16000</v>
      </c>
      <c r="F7292" s="16" cm="1">
        <f t="array" ref="F7292">SUM(F7289:F7291)</f>
        <v>0</v>
      </c>
      <c r="G7292" s="16" cm="1">
        <f t="array" ref="G7292">SUM(G7289:G7291)</f>
        <v>0</v>
      </c>
      <c r="H7292" s="16" cm="1">
        <f t="array" ref="H7292">SUM(H7289:H7291)</f>
        <v>0</v>
      </c>
      <c r="I7292" s="16" cm="1">
        <f t="array" ref="I7292">SUM(I7289:I7291)</f>
        <v>0</v>
      </c>
    </row>
    <row r="7293" ht="20.35" customHeight="1">
      <c r="A7293" s="10">
        <v>45744</v>
      </c>
      <c r="B7293" t="s" s="11">
        <v>21</v>
      </c>
      <c r="C7293" t="s" s="12">
        <v>1021</v>
      </c>
      <c r="D7293" s="17"/>
      <c r="E7293" s="17">
        <v>15886</v>
      </c>
      <c r="F7293" s="18"/>
      <c r="G7293" s="18"/>
      <c r="H7293" s="18"/>
      <c r="I7293" s="18"/>
    </row>
    <row r="7294" ht="20.05" customHeight="1">
      <c r="A7294" s="10">
        <v>45744</v>
      </c>
      <c r="B7294" t="s" s="11">
        <v>91</v>
      </c>
      <c r="C7294" t="s" s="12">
        <v>1021</v>
      </c>
      <c r="D7294" s="19"/>
      <c r="E7294" s="19">
        <v>14</v>
      </c>
      <c r="F7294" s="20"/>
      <c r="G7294" s="20"/>
      <c r="H7294" s="20"/>
      <c r="I7294" s="20"/>
    </row>
    <row r="7295" ht="20.35" customHeight="1">
      <c r="A7295" s="10">
        <v>45744</v>
      </c>
      <c r="B7295" t="s" s="11">
        <v>28</v>
      </c>
      <c r="C7295" t="s" s="12">
        <v>1021</v>
      </c>
      <c r="D7295" s="13">
        <v>15900</v>
      </c>
      <c r="E7295" s="13"/>
      <c r="F7295" s="14"/>
      <c r="G7295" s="14"/>
      <c r="H7295" s="14"/>
      <c r="I7295" s="14"/>
    </row>
    <row r="7296" ht="20.7" customHeight="1">
      <c r="A7296" s="10">
        <v>45744</v>
      </c>
      <c r="B7296" t="s" s="11">
        <v>8</v>
      </c>
      <c r="C7296" t="s" s="12">
        <v>8</v>
      </c>
      <c r="D7296" s="15" cm="1">
        <f t="array" ref="D7296">SUM(D7293:D7295)</f>
        <v>15900</v>
      </c>
      <c r="E7296" s="15" cm="1">
        <f t="array" ref="E7296">SUM(E7293:E7295)</f>
        <v>15900</v>
      </c>
      <c r="F7296" s="16" cm="1">
        <f t="array" ref="F7296">SUM(F7293:F7295)</f>
        <v>0</v>
      </c>
      <c r="G7296" s="16" cm="1">
        <f t="array" ref="G7296">SUM(G7293:G7295)</f>
        <v>0</v>
      </c>
      <c r="H7296" s="16" cm="1">
        <f t="array" ref="H7296">SUM(H7293:H7295)</f>
        <v>0</v>
      </c>
      <c r="I7296" s="16" cm="1">
        <f t="array" ref="I7296">SUM(I7293:I7295)</f>
        <v>0</v>
      </c>
    </row>
    <row r="7297" ht="20.35" customHeight="1">
      <c r="A7297" s="10">
        <v>45744</v>
      </c>
      <c r="B7297" t="s" s="11">
        <v>5</v>
      </c>
      <c r="C7297" t="s" s="12">
        <v>1032</v>
      </c>
      <c r="D7297" s="17"/>
      <c r="E7297" s="17">
        <v>16800</v>
      </c>
      <c r="F7297" s="18"/>
      <c r="G7297" s="18"/>
      <c r="H7297" s="18"/>
      <c r="I7297" s="18"/>
    </row>
    <row r="7298" ht="20.05" customHeight="1">
      <c r="A7298" s="10">
        <v>45744</v>
      </c>
      <c r="B7298" t="s" s="11">
        <v>10</v>
      </c>
      <c r="C7298" t="s" s="12">
        <v>1032</v>
      </c>
      <c r="D7298" s="19">
        <v>11300</v>
      </c>
      <c r="E7298" s="19"/>
      <c r="F7298" s="20"/>
      <c r="G7298" s="20"/>
      <c r="H7298" s="20"/>
      <c r="I7298" s="20"/>
    </row>
    <row r="7299" ht="20.35" customHeight="1">
      <c r="A7299" s="10">
        <v>45744</v>
      </c>
      <c r="B7299" t="s" s="11">
        <v>12</v>
      </c>
      <c r="C7299" t="s" s="12">
        <v>1032</v>
      </c>
      <c r="D7299" s="13">
        <v>5500</v>
      </c>
      <c r="E7299" s="13"/>
      <c r="F7299" s="14"/>
      <c r="G7299" s="14"/>
      <c r="H7299" s="14"/>
      <c r="I7299" s="14"/>
    </row>
    <row r="7300" ht="20.7" customHeight="1">
      <c r="A7300" s="10">
        <v>45744</v>
      </c>
      <c r="B7300" t="s" s="11">
        <v>8</v>
      </c>
      <c r="C7300" t="s" s="12">
        <v>8</v>
      </c>
      <c r="D7300" s="15" cm="1">
        <f t="array" ref="D7300">SUM(D7297:D7299)</f>
        <v>16800</v>
      </c>
      <c r="E7300" s="15" cm="1">
        <f t="array" ref="E7300">SUM(E7297:E7299)</f>
        <v>16800</v>
      </c>
      <c r="F7300" s="16" cm="1">
        <f t="array" ref="F7300">SUM(F7297:F7299)</f>
        <v>0</v>
      </c>
      <c r="G7300" s="16" cm="1">
        <f t="array" ref="G7300">SUM(G7297:G7299)</f>
        <v>0</v>
      </c>
      <c r="H7300" s="16" cm="1">
        <f t="array" ref="H7300">SUM(H7297:H7299)</f>
        <v>0</v>
      </c>
      <c r="I7300" s="16" cm="1">
        <f t="array" ref="I7300">SUM(I7297:I7299)</f>
        <v>0</v>
      </c>
    </row>
    <row r="7301" ht="20.35" customHeight="1">
      <c r="A7301" s="10">
        <v>45744</v>
      </c>
      <c r="B7301" t="s" s="11">
        <v>91</v>
      </c>
      <c r="C7301" t="s" s="12">
        <v>17</v>
      </c>
      <c r="D7301" s="17"/>
      <c r="E7301" s="17">
        <v>500</v>
      </c>
      <c r="F7301" s="18"/>
      <c r="G7301" s="18"/>
      <c r="H7301" s="18"/>
      <c r="I7301" s="18"/>
    </row>
    <row r="7302" ht="20.35" customHeight="1">
      <c r="A7302" s="10">
        <v>45744</v>
      </c>
      <c r="B7302" t="s" s="11">
        <v>5</v>
      </c>
      <c r="C7302" t="s" s="12">
        <v>17</v>
      </c>
      <c r="D7302" s="13">
        <v>500</v>
      </c>
      <c r="E7302" s="13"/>
      <c r="F7302" s="14"/>
      <c r="G7302" s="14"/>
      <c r="H7302" s="14"/>
      <c r="I7302" s="14"/>
    </row>
    <row r="7303" ht="20.7" customHeight="1">
      <c r="A7303" s="10">
        <v>45744</v>
      </c>
      <c r="B7303" t="s" s="11">
        <v>8</v>
      </c>
      <c r="C7303" t="s" s="12">
        <v>8</v>
      </c>
      <c r="D7303" s="15" cm="1">
        <f t="array" ref="D7303">SUM(D7301:D7302)</f>
        <v>500</v>
      </c>
      <c r="E7303" s="15" cm="1">
        <f t="array" ref="E7303">SUM(E7301:E7302)</f>
        <v>500</v>
      </c>
      <c r="F7303" s="16" cm="1">
        <f t="array" ref="F7303">SUM(F7301:F7302)</f>
        <v>0</v>
      </c>
      <c r="G7303" s="16" cm="1">
        <f t="array" ref="G7303">SUM(G7301:G7302)</f>
        <v>0</v>
      </c>
      <c r="H7303" s="16" cm="1">
        <f t="array" ref="H7303">SUM(H7301:H7302)</f>
        <v>0</v>
      </c>
      <c r="I7303" s="16" cm="1">
        <f t="array" ref="I7303">SUM(I7301:I7302)</f>
        <v>0</v>
      </c>
    </row>
    <row r="7304" ht="20.35" customHeight="1">
      <c r="A7304" s="10">
        <v>45744</v>
      </c>
      <c r="B7304" t="s" s="11">
        <v>5</v>
      </c>
      <c r="C7304" t="s" s="12">
        <v>677</v>
      </c>
      <c r="D7304" s="17"/>
      <c r="E7304" s="17">
        <v>14000</v>
      </c>
      <c r="F7304" s="18"/>
      <c r="G7304" s="18"/>
      <c r="H7304" s="18"/>
      <c r="I7304" s="18"/>
    </row>
    <row r="7305" ht="20.35" customHeight="1">
      <c r="A7305" s="10">
        <v>45744</v>
      </c>
      <c r="B7305" t="s" s="11">
        <v>10</v>
      </c>
      <c r="C7305" t="s" s="12">
        <v>677</v>
      </c>
      <c r="D7305" s="13">
        <v>14000</v>
      </c>
      <c r="E7305" s="13"/>
      <c r="F7305" s="14"/>
      <c r="G7305" s="14"/>
      <c r="H7305" s="14"/>
      <c r="I7305" s="14"/>
    </row>
    <row r="7306" ht="20.7" customHeight="1">
      <c r="A7306" s="10">
        <v>45744</v>
      </c>
      <c r="B7306" t="s" s="11">
        <v>8</v>
      </c>
      <c r="C7306" t="s" s="12">
        <v>8</v>
      </c>
      <c r="D7306" s="15" cm="1">
        <f t="array" ref="D7306">SUM(D7304:D7305)</f>
        <v>14000</v>
      </c>
      <c r="E7306" s="15" cm="1">
        <f t="array" ref="E7306">SUM(E7304:E7305)</f>
        <v>14000</v>
      </c>
      <c r="F7306" s="16" cm="1">
        <f t="array" ref="F7306">SUM(F7304:F7305)</f>
        <v>0</v>
      </c>
      <c r="G7306" s="16" cm="1">
        <f t="array" ref="G7306">SUM(G7304:G7305)</f>
        <v>0</v>
      </c>
      <c r="H7306" s="16" cm="1">
        <f t="array" ref="H7306">SUM(H7304:H7305)</f>
        <v>0</v>
      </c>
      <c r="I7306" s="16" cm="1">
        <f t="array" ref="I7306">SUM(I7304:I7305)</f>
        <v>0</v>
      </c>
    </row>
    <row r="7307" ht="20.35" customHeight="1">
      <c r="A7307" s="10">
        <v>45744</v>
      </c>
      <c r="B7307" t="s" s="11">
        <v>91</v>
      </c>
      <c r="C7307" t="s" s="12">
        <v>17</v>
      </c>
      <c r="D7307" s="17"/>
      <c r="E7307" s="17">
        <v>100</v>
      </c>
      <c r="F7307" s="18"/>
      <c r="G7307" s="18"/>
      <c r="H7307" s="18"/>
      <c r="I7307" s="18"/>
    </row>
    <row r="7308" ht="20.35" customHeight="1">
      <c r="A7308" s="10">
        <v>45744</v>
      </c>
      <c r="B7308" t="s" s="11">
        <v>5</v>
      </c>
      <c r="C7308" t="s" s="12">
        <v>17</v>
      </c>
      <c r="D7308" s="13">
        <v>100</v>
      </c>
      <c r="E7308" s="13"/>
      <c r="F7308" s="14"/>
      <c r="G7308" s="14"/>
      <c r="H7308" s="14"/>
      <c r="I7308" s="14"/>
    </row>
    <row r="7309" ht="20.7" customHeight="1">
      <c r="A7309" s="10">
        <v>45744</v>
      </c>
      <c r="B7309" t="s" s="11">
        <v>8</v>
      </c>
      <c r="C7309" t="s" s="12">
        <v>8</v>
      </c>
      <c r="D7309" s="15" cm="1">
        <f t="array" ref="D7309">SUM(D7307:D7308)</f>
        <v>100</v>
      </c>
      <c r="E7309" s="15" cm="1">
        <f t="array" ref="E7309">SUM(E7307:E7308)</f>
        <v>100</v>
      </c>
      <c r="F7309" s="16" cm="1">
        <f t="array" ref="F7309">SUM(F7307:F7308)</f>
        <v>0</v>
      </c>
      <c r="G7309" s="16" cm="1">
        <f t="array" ref="G7309">SUM(G7307:G7308)</f>
        <v>0</v>
      </c>
      <c r="H7309" s="16" cm="1">
        <f t="array" ref="H7309">SUM(H7307:H7308)</f>
        <v>0</v>
      </c>
      <c r="I7309" s="16" cm="1">
        <f t="array" ref="I7309">SUM(I7307:I7308)</f>
        <v>0</v>
      </c>
    </row>
    <row r="7310" ht="20.35" customHeight="1">
      <c r="A7310" s="10">
        <v>45744</v>
      </c>
      <c r="B7310" t="s" s="11">
        <v>5</v>
      </c>
      <c r="C7310" t="s" s="12">
        <v>1033</v>
      </c>
      <c r="D7310" s="17"/>
      <c r="E7310" s="17">
        <v>39835</v>
      </c>
      <c r="F7310" s="18"/>
      <c r="G7310" s="18"/>
      <c r="H7310" s="18"/>
      <c r="I7310" s="18"/>
    </row>
    <row r="7311" ht="20.05" customHeight="1">
      <c r="A7311" s="10">
        <v>45744</v>
      </c>
      <c r="B7311" t="s" s="11">
        <v>10</v>
      </c>
      <c r="C7311" t="s" s="12">
        <v>1033</v>
      </c>
      <c r="D7311" s="19">
        <v>19917</v>
      </c>
      <c r="E7311" s="19"/>
      <c r="F7311" s="20"/>
      <c r="G7311" s="20"/>
      <c r="H7311" s="20"/>
      <c r="I7311" s="20"/>
    </row>
    <row r="7312" ht="20.35" customHeight="1">
      <c r="A7312" s="10">
        <v>45744</v>
      </c>
      <c r="B7312" t="s" s="11">
        <v>74</v>
      </c>
      <c r="C7312" t="s" s="12">
        <v>1033</v>
      </c>
      <c r="D7312" s="13">
        <v>19918</v>
      </c>
      <c r="E7312" s="13"/>
      <c r="F7312" s="14"/>
      <c r="G7312" s="14"/>
      <c r="H7312" s="14"/>
      <c r="I7312" s="14"/>
    </row>
    <row r="7313" ht="20.7" customHeight="1">
      <c r="A7313" s="10">
        <v>45744</v>
      </c>
      <c r="B7313" t="s" s="11">
        <v>8</v>
      </c>
      <c r="C7313" t="s" s="12">
        <v>8</v>
      </c>
      <c r="D7313" s="15" cm="1">
        <f t="array" ref="D7313">SUM(D7310:D7312)</f>
        <v>39835</v>
      </c>
      <c r="E7313" s="15" cm="1">
        <f t="array" ref="E7313">SUM(E7310:E7312)</f>
        <v>39835</v>
      </c>
      <c r="F7313" s="16" cm="1">
        <f t="array" ref="F7313">SUM(F7310:F7312)</f>
        <v>0</v>
      </c>
      <c r="G7313" s="16" cm="1">
        <f t="array" ref="G7313">SUM(G7310:G7312)</f>
        <v>0</v>
      </c>
      <c r="H7313" s="16" cm="1">
        <f t="array" ref="H7313">SUM(H7310:H7312)</f>
        <v>0</v>
      </c>
      <c r="I7313" s="16" cm="1">
        <f t="array" ref="I7313">SUM(I7310:I7312)</f>
        <v>0</v>
      </c>
    </row>
    <row r="7314" ht="21.25" customHeight="1">
      <c r="A7314" s="10">
        <v>45744</v>
      </c>
      <c r="B7314" t="s" s="11">
        <v>21</v>
      </c>
      <c r="C7314" t="s" s="12">
        <v>1034</v>
      </c>
      <c r="D7314" s="17"/>
      <c r="E7314" s="17">
        <v>3000</v>
      </c>
      <c r="F7314" s="18"/>
      <c r="G7314" s="18"/>
      <c r="H7314" s="18"/>
      <c r="I7314" s="18"/>
    </row>
    <row r="7315" ht="21.25" customHeight="1">
      <c r="A7315" s="10">
        <v>45744</v>
      </c>
      <c r="B7315" t="s" s="11">
        <v>16</v>
      </c>
      <c r="C7315" t="s" s="12">
        <v>1034</v>
      </c>
      <c r="D7315" s="13">
        <v>3000</v>
      </c>
      <c r="E7315" s="13"/>
      <c r="F7315" s="14"/>
      <c r="G7315" s="14"/>
      <c r="H7315" s="14"/>
      <c r="I7315" s="14"/>
    </row>
    <row r="7316" ht="20.7" customHeight="1">
      <c r="A7316" s="10">
        <v>45744</v>
      </c>
      <c r="B7316" t="s" s="11">
        <v>8</v>
      </c>
      <c r="C7316" t="s" s="12">
        <v>8</v>
      </c>
      <c r="D7316" s="15"/>
      <c r="E7316" s="15"/>
      <c r="F7316" s="16"/>
      <c r="G7316" s="16"/>
      <c r="H7316" s="16"/>
      <c r="I7316" s="16"/>
    </row>
    <row r="7317" ht="20.65" customHeight="1">
      <c r="A7317" s="10">
        <v>45745</v>
      </c>
      <c r="B7317" t="s" s="11">
        <v>843</v>
      </c>
      <c r="C7317" t="s" s="12">
        <v>820</v>
      </c>
      <c r="D7317" s="17">
        <v>8</v>
      </c>
      <c r="E7317" s="17"/>
      <c r="F7317" s="18"/>
      <c r="G7317" s="18"/>
      <c r="H7317" s="18"/>
      <c r="I7317" s="18"/>
    </row>
    <row r="7318" ht="20.65" customHeight="1">
      <c r="A7318" s="10">
        <v>45745</v>
      </c>
      <c r="B7318" t="s" s="11">
        <v>91</v>
      </c>
      <c r="C7318" t="s" s="12">
        <v>820</v>
      </c>
      <c r="D7318" s="13"/>
      <c r="E7318" s="13">
        <v>8</v>
      </c>
      <c r="F7318" s="14"/>
      <c r="G7318" s="14"/>
      <c r="H7318" s="14"/>
      <c r="I7318" s="14"/>
    </row>
    <row r="7319" ht="20.7" customHeight="1">
      <c r="A7319" s="10">
        <v>45745</v>
      </c>
      <c r="B7319" t="s" s="11">
        <v>8</v>
      </c>
      <c r="C7319" t="s" s="12">
        <v>8</v>
      </c>
      <c r="D7319" s="15">
        <v>4</v>
      </c>
      <c r="E7319" s="15">
        <v>4</v>
      </c>
      <c r="F7319" s="16" cm="1">
        <f t="array" ref="F7319">SUM(F7317:F7318)</f>
        <v>0</v>
      </c>
      <c r="G7319" s="16" cm="1">
        <f t="array" ref="G7319">SUM(G7317:G7318)</f>
        <v>0</v>
      </c>
      <c r="H7319" s="16" cm="1">
        <f t="array" ref="H7319">SUM(H7317:H7318)</f>
        <v>0</v>
      </c>
      <c r="I7319" s="16" cm="1">
        <f t="array" ref="I7319">SUM(I7317:I7318)</f>
        <v>0</v>
      </c>
    </row>
    <row r="7320" ht="20.65" customHeight="1">
      <c r="A7320" s="10">
        <v>45745</v>
      </c>
      <c r="B7320" t="s" s="11">
        <v>814</v>
      </c>
      <c r="C7320" t="s" s="12">
        <v>820</v>
      </c>
      <c r="D7320" s="17">
        <v>163</v>
      </c>
      <c r="E7320" s="17"/>
      <c r="F7320" s="18"/>
      <c r="G7320" s="18"/>
      <c r="H7320" s="18"/>
      <c r="I7320" s="18"/>
    </row>
    <row r="7321" ht="20.65" customHeight="1">
      <c r="A7321" s="10">
        <v>45745</v>
      </c>
      <c r="B7321" t="s" s="11">
        <v>91</v>
      </c>
      <c r="C7321" t="s" s="12">
        <v>820</v>
      </c>
      <c r="D7321" s="13"/>
      <c r="E7321" s="13">
        <v>163</v>
      </c>
      <c r="F7321" s="14"/>
      <c r="G7321" s="14"/>
      <c r="H7321" s="14"/>
      <c r="I7321" s="14"/>
    </row>
    <row r="7322" ht="20.7" customHeight="1">
      <c r="A7322" s="10">
        <v>45745</v>
      </c>
      <c r="B7322" t="s" s="11">
        <v>8</v>
      </c>
      <c r="C7322" t="s" s="12">
        <v>8</v>
      </c>
      <c r="D7322" s="15" cm="1">
        <f t="array" ref="D7322">SUM(D7320:D7321)</f>
        <v>163</v>
      </c>
      <c r="E7322" s="15" cm="1">
        <f t="array" ref="E7322">SUM(E7320:E7321)</f>
        <v>163</v>
      </c>
      <c r="F7322" s="16" cm="1">
        <f t="array" ref="F7322">SUM(F7320:F7321)</f>
        <v>0</v>
      </c>
      <c r="G7322" s="16" cm="1">
        <f t="array" ref="G7322">SUM(G7320:G7321)</f>
        <v>0</v>
      </c>
      <c r="H7322" s="16" cm="1">
        <f t="array" ref="H7322">SUM(H7320:H7321)</f>
        <v>0</v>
      </c>
      <c r="I7322" s="16" cm="1">
        <f t="array" ref="I7322">SUM(I7320:I7321)</f>
        <v>0</v>
      </c>
    </row>
    <row r="7323" ht="20.35" customHeight="1">
      <c r="A7323" s="10">
        <v>45745</v>
      </c>
      <c r="B7323" t="s" s="11">
        <v>5</v>
      </c>
      <c r="C7323" t="s" s="12">
        <v>1035</v>
      </c>
      <c r="D7323" s="17"/>
      <c r="E7323" s="17">
        <v>3200</v>
      </c>
      <c r="F7323" s="18"/>
      <c r="G7323" s="18"/>
      <c r="H7323" s="18"/>
      <c r="I7323" s="18"/>
    </row>
    <row r="7324" ht="20.35" customHeight="1">
      <c r="A7324" s="10">
        <v>45745</v>
      </c>
      <c r="B7324" t="s" s="11">
        <v>12</v>
      </c>
      <c r="C7324" t="s" s="12">
        <v>1035</v>
      </c>
      <c r="D7324" s="13">
        <v>3200</v>
      </c>
      <c r="E7324" s="13"/>
      <c r="F7324" s="14"/>
      <c r="G7324" s="14"/>
      <c r="H7324" s="14"/>
      <c r="I7324" s="14"/>
    </row>
    <row r="7325" ht="20.7" customHeight="1">
      <c r="A7325" s="10">
        <v>45745</v>
      </c>
      <c r="B7325" t="s" s="11">
        <v>8</v>
      </c>
      <c r="C7325" t="s" s="12">
        <v>8</v>
      </c>
      <c r="D7325" s="15" cm="1">
        <f t="array" ref="D7325">SUM(D7323:D7324)</f>
        <v>3200</v>
      </c>
      <c r="E7325" s="15" cm="1">
        <f t="array" ref="E7325">SUM(E7323:E7324)</f>
        <v>3200</v>
      </c>
      <c r="F7325" s="16" cm="1">
        <f t="array" ref="F7325">SUM(F7323:F7324)</f>
        <v>0</v>
      </c>
      <c r="G7325" s="16" cm="1">
        <f t="array" ref="G7325">SUM(G7323:G7324)</f>
        <v>0</v>
      </c>
      <c r="H7325" s="16" cm="1">
        <f t="array" ref="H7325">SUM(H7323:H7324)</f>
        <v>0</v>
      </c>
      <c r="I7325" s="16" cm="1">
        <f t="array" ref="I7325">SUM(I7323:I7324)</f>
        <v>0</v>
      </c>
    </row>
    <row r="7326" ht="20.35" customHeight="1">
      <c r="A7326" s="10">
        <v>45745</v>
      </c>
      <c r="B7326" t="s" s="11">
        <v>5</v>
      </c>
      <c r="C7326" t="s" s="12">
        <v>1036</v>
      </c>
      <c r="D7326" s="17"/>
      <c r="E7326" s="17">
        <v>20000</v>
      </c>
      <c r="F7326" s="18"/>
      <c r="G7326" s="18"/>
      <c r="H7326" s="18"/>
      <c r="I7326" s="18"/>
    </row>
    <row r="7327" ht="20.35" customHeight="1">
      <c r="A7327" s="10">
        <v>45745</v>
      </c>
      <c r="B7327" t="s" s="11">
        <v>10</v>
      </c>
      <c r="C7327" t="s" s="12">
        <v>1036</v>
      </c>
      <c r="D7327" s="13">
        <v>20000</v>
      </c>
      <c r="E7327" s="13"/>
      <c r="F7327" s="14"/>
      <c r="G7327" s="14"/>
      <c r="H7327" s="14"/>
      <c r="I7327" s="14"/>
    </row>
    <row r="7328" ht="20.7" customHeight="1">
      <c r="A7328" s="10">
        <v>45745</v>
      </c>
      <c r="B7328" t="s" s="11">
        <v>8</v>
      </c>
      <c r="C7328" t="s" s="12">
        <v>8</v>
      </c>
      <c r="D7328" s="15" cm="1">
        <f t="array" ref="D7328">SUM(D7326:D7327)</f>
        <v>20000</v>
      </c>
      <c r="E7328" s="15" cm="1">
        <f t="array" ref="E7328">SUM(E7326:E7327)</f>
        <v>20000</v>
      </c>
      <c r="F7328" s="16" cm="1">
        <f t="array" ref="F7328">SUM(F7326:F7327)</f>
        <v>0</v>
      </c>
      <c r="G7328" s="16" cm="1">
        <f t="array" ref="G7328">SUM(G7326:G7327)</f>
        <v>0</v>
      </c>
      <c r="H7328" s="16" cm="1">
        <f t="array" ref="H7328">SUM(H7326:H7327)</f>
        <v>0</v>
      </c>
      <c r="I7328" s="16" cm="1">
        <f t="array" ref="I7328">SUM(I7326:I7327)</f>
        <v>0</v>
      </c>
    </row>
    <row r="7329" ht="20.35" customHeight="1">
      <c r="A7329" s="10">
        <v>45745</v>
      </c>
      <c r="B7329" t="s" s="11">
        <v>814</v>
      </c>
      <c r="C7329" t="s" s="12">
        <v>96</v>
      </c>
      <c r="D7329" s="17"/>
      <c r="E7329" s="17">
        <v>129330</v>
      </c>
      <c r="F7329" s="18"/>
      <c r="G7329" s="18"/>
      <c r="H7329" s="18"/>
      <c r="I7329" s="18"/>
    </row>
    <row r="7330" ht="20.35" customHeight="1">
      <c r="A7330" s="10">
        <v>45745</v>
      </c>
      <c r="B7330" t="s" s="11">
        <v>5</v>
      </c>
      <c r="C7330" t="s" s="12">
        <v>96</v>
      </c>
      <c r="D7330" s="13">
        <v>129330</v>
      </c>
      <c r="E7330" s="13"/>
      <c r="F7330" s="14"/>
      <c r="G7330" s="14"/>
      <c r="H7330" s="14"/>
      <c r="I7330" s="14"/>
    </row>
    <row r="7331" ht="20.7" customHeight="1">
      <c r="A7331" s="10">
        <v>45745</v>
      </c>
      <c r="B7331" t="s" s="11">
        <v>8</v>
      </c>
      <c r="C7331" t="s" s="12">
        <v>8</v>
      </c>
      <c r="D7331" s="15" cm="1">
        <f t="array" ref="D7331">SUM(D7329:D7330)</f>
        <v>129330</v>
      </c>
      <c r="E7331" s="15" cm="1">
        <f t="array" ref="E7331">SUM(E7329:E7330)</f>
        <v>129330</v>
      </c>
      <c r="F7331" s="16" cm="1">
        <f t="array" ref="F7331">SUM(F7329:F7330)</f>
        <v>0</v>
      </c>
      <c r="G7331" s="16" cm="1">
        <f t="array" ref="G7331">SUM(G7329:G7330)</f>
        <v>0</v>
      </c>
      <c r="H7331" s="16" cm="1">
        <f t="array" ref="H7331">SUM(H7329:H7330)</f>
        <v>0</v>
      </c>
      <c r="I7331" s="16" cm="1">
        <f t="array" ref="I7331">SUM(I7329:I7330)</f>
        <v>0</v>
      </c>
    </row>
    <row r="7332" ht="20.35" customHeight="1">
      <c r="A7332" s="10">
        <v>45745</v>
      </c>
      <c r="B7332" t="s" s="11">
        <v>5</v>
      </c>
      <c r="C7332" t="s" s="12">
        <v>992</v>
      </c>
      <c r="D7332" s="17"/>
      <c r="E7332" s="17">
        <v>15866</v>
      </c>
      <c r="F7332" s="18"/>
      <c r="G7332" s="18"/>
      <c r="H7332" s="18"/>
      <c r="I7332" s="18"/>
    </row>
    <row r="7333" ht="20.35" customHeight="1">
      <c r="A7333" s="10">
        <v>45745</v>
      </c>
      <c r="B7333" t="s" s="11">
        <v>89</v>
      </c>
      <c r="C7333" t="s" s="12">
        <v>992</v>
      </c>
      <c r="D7333" s="13">
        <v>15866</v>
      </c>
      <c r="E7333" s="13"/>
      <c r="F7333" s="14"/>
      <c r="G7333" s="14"/>
      <c r="H7333" s="14"/>
      <c r="I7333" s="14"/>
    </row>
    <row r="7334" ht="20.7" customHeight="1">
      <c r="A7334" s="10">
        <v>45745</v>
      </c>
      <c r="B7334" t="s" s="11">
        <v>8</v>
      </c>
      <c r="C7334" t="s" s="12">
        <v>8</v>
      </c>
      <c r="D7334" s="15" cm="1">
        <f t="array" ref="D7334">SUM(D7332:D7333)</f>
        <v>15866</v>
      </c>
      <c r="E7334" s="15" cm="1">
        <f t="array" ref="E7334">SUM(E7332:E7333)</f>
        <v>15866</v>
      </c>
      <c r="F7334" s="16" cm="1">
        <f t="array" ref="F7334">SUM(F7332:F7333)</f>
        <v>0</v>
      </c>
      <c r="G7334" s="16" cm="1">
        <f t="array" ref="G7334">SUM(G7332:G7333)</f>
        <v>0</v>
      </c>
      <c r="H7334" s="16" cm="1">
        <f t="array" ref="H7334">SUM(H7332:H7333)</f>
        <v>0</v>
      </c>
      <c r="I7334" s="16" cm="1">
        <f t="array" ref="I7334">SUM(I7332:I7333)</f>
        <v>0</v>
      </c>
    </row>
    <row r="7335" ht="20.35" customHeight="1">
      <c r="A7335" s="10">
        <v>45745</v>
      </c>
      <c r="B7335" t="s" s="11">
        <v>5</v>
      </c>
      <c r="C7335" t="s" s="12">
        <v>1002</v>
      </c>
      <c r="D7335" s="17"/>
      <c r="E7335" s="17">
        <v>15866</v>
      </c>
      <c r="F7335" s="18"/>
      <c r="G7335" s="18"/>
      <c r="H7335" s="18"/>
      <c r="I7335" s="18"/>
    </row>
    <row r="7336" ht="20.35" customHeight="1">
      <c r="A7336" s="10">
        <v>45745</v>
      </c>
      <c r="B7336" t="s" s="11">
        <v>89</v>
      </c>
      <c r="C7336" t="s" s="12">
        <v>1002</v>
      </c>
      <c r="D7336" s="13">
        <v>15866</v>
      </c>
      <c r="E7336" s="13"/>
      <c r="F7336" s="14"/>
      <c r="G7336" s="14"/>
      <c r="H7336" s="14"/>
      <c r="I7336" s="14"/>
    </row>
    <row r="7337" ht="20.7" customHeight="1">
      <c r="A7337" s="10">
        <v>45745</v>
      </c>
      <c r="B7337" t="s" s="11">
        <v>8</v>
      </c>
      <c r="C7337" t="s" s="12">
        <v>8</v>
      </c>
      <c r="D7337" s="15" cm="1">
        <f t="array" ref="D7337">SUM(D7335:D7336)</f>
        <v>15866</v>
      </c>
      <c r="E7337" s="15" cm="1">
        <f t="array" ref="E7337">SUM(E7335:E7336)</f>
        <v>15866</v>
      </c>
      <c r="F7337" s="16" cm="1">
        <f t="array" ref="F7337">SUM(F7335:F7336)</f>
        <v>0</v>
      </c>
      <c r="G7337" s="16" cm="1">
        <f t="array" ref="G7337">SUM(G7335:G7336)</f>
        <v>0</v>
      </c>
      <c r="H7337" s="16" cm="1">
        <f t="array" ref="H7337">SUM(H7335:H7336)</f>
        <v>0</v>
      </c>
      <c r="I7337" s="16" cm="1">
        <f t="array" ref="I7337">SUM(I7335:I7336)</f>
        <v>0</v>
      </c>
    </row>
    <row r="7338" ht="20.35" customHeight="1">
      <c r="A7338" s="10">
        <v>45745</v>
      </c>
      <c r="B7338" t="s" s="11">
        <v>5</v>
      </c>
      <c r="C7338" t="s" s="12">
        <v>993</v>
      </c>
      <c r="D7338" s="17"/>
      <c r="E7338" s="17">
        <v>15866</v>
      </c>
      <c r="F7338" s="18"/>
      <c r="G7338" s="18"/>
      <c r="H7338" s="18"/>
      <c r="I7338" s="18"/>
    </row>
    <row r="7339" ht="20.35" customHeight="1">
      <c r="A7339" s="10">
        <v>45745</v>
      </c>
      <c r="B7339" t="s" s="11">
        <v>89</v>
      </c>
      <c r="C7339" t="s" s="12">
        <v>993</v>
      </c>
      <c r="D7339" s="13">
        <v>15866</v>
      </c>
      <c r="E7339" s="13"/>
      <c r="F7339" s="14"/>
      <c r="G7339" s="14"/>
      <c r="H7339" s="14"/>
      <c r="I7339" s="14"/>
    </row>
    <row r="7340" ht="20.7" customHeight="1">
      <c r="A7340" s="10">
        <v>45745</v>
      </c>
      <c r="B7340" t="s" s="11">
        <v>8</v>
      </c>
      <c r="C7340" t="s" s="12">
        <v>8</v>
      </c>
      <c r="D7340" s="15" cm="1">
        <f t="array" ref="D7340">SUM(D7338:D7339)</f>
        <v>15866</v>
      </c>
      <c r="E7340" s="15" cm="1">
        <f t="array" ref="E7340">SUM(E7338:E7339)</f>
        <v>15866</v>
      </c>
      <c r="F7340" s="16" cm="1">
        <f t="array" ref="F7340">SUM(F7338:F7339)</f>
        <v>0</v>
      </c>
      <c r="G7340" s="16" cm="1">
        <f t="array" ref="G7340">SUM(G7338:G7339)</f>
        <v>0</v>
      </c>
      <c r="H7340" s="16" cm="1">
        <f t="array" ref="H7340">SUM(H7338:H7339)</f>
        <v>0</v>
      </c>
      <c r="I7340" s="16" cm="1">
        <f t="array" ref="I7340">SUM(I7338:I7339)</f>
        <v>0</v>
      </c>
    </row>
    <row r="7341" ht="20.35" customHeight="1">
      <c r="A7341" s="10">
        <v>45745</v>
      </c>
      <c r="B7341" t="s" s="11">
        <v>5</v>
      </c>
      <c r="C7341" t="s" s="12">
        <v>1020</v>
      </c>
      <c r="D7341" s="17"/>
      <c r="E7341" s="17">
        <v>15866</v>
      </c>
      <c r="F7341" s="18"/>
      <c r="G7341" s="18"/>
      <c r="H7341" s="18"/>
      <c r="I7341" s="18"/>
    </row>
    <row r="7342" ht="20.35" customHeight="1">
      <c r="A7342" s="10">
        <v>45745</v>
      </c>
      <c r="B7342" t="s" s="11">
        <v>21</v>
      </c>
      <c r="C7342" t="s" s="12">
        <v>1020</v>
      </c>
      <c r="D7342" s="13">
        <v>15866</v>
      </c>
      <c r="E7342" s="13"/>
      <c r="F7342" s="14"/>
      <c r="G7342" s="14"/>
      <c r="H7342" s="14"/>
      <c r="I7342" s="14"/>
    </row>
    <row r="7343" ht="20.7" customHeight="1">
      <c r="A7343" s="10">
        <v>45745</v>
      </c>
      <c r="B7343" t="s" s="11">
        <v>8</v>
      </c>
      <c r="C7343" t="s" s="12">
        <v>8</v>
      </c>
      <c r="D7343" s="15" cm="1">
        <f t="array" ref="D7343">SUM(D7341:D7342)</f>
        <v>15866</v>
      </c>
      <c r="E7343" s="15" cm="1">
        <f t="array" ref="E7343">SUM(E7341:E7342)</f>
        <v>15866</v>
      </c>
      <c r="F7343" s="16" cm="1">
        <f t="array" ref="F7343">SUM(F7341:F7342)</f>
        <v>0</v>
      </c>
      <c r="G7343" s="16" cm="1">
        <f t="array" ref="G7343">SUM(G7341:G7342)</f>
        <v>0</v>
      </c>
      <c r="H7343" s="16" cm="1">
        <f t="array" ref="H7343">SUM(H7341:H7342)</f>
        <v>0</v>
      </c>
      <c r="I7343" s="16" cm="1">
        <f t="array" ref="I7343">SUM(I7341:I7342)</f>
        <v>0</v>
      </c>
    </row>
    <row r="7344" ht="20.35" customHeight="1">
      <c r="A7344" s="10">
        <v>45745</v>
      </c>
      <c r="B7344" t="s" s="11">
        <v>5</v>
      </c>
      <c r="C7344" t="s" s="12">
        <v>1021</v>
      </c>
      <c r="D7344" s="17"/>
      <c r="E7344" s="17">
        <v>15866</v>
      </c>
      <c r="F7344" s="18"/>
      <c r="G7344" s="18"/>
      <c r="H7344" s="18"/>
      <c r="I7344" s="18"/>
    </row>
    <row r="7345" ht="20.35" customHeight="1">
      <c r="A7345" s="10">
        <v>45745</v>
      </c>
      <c r="B7345" t="s" s="11">
        <v>21</v>
      </c>
      <c r="C7345" t="s" s="12">
        <v>1021</v>
      </c>
      <c r="D7345" s="13">
        <v>15866</v>
      </c>
      <c r="E7345" s="13"/>
      <c r="F7345" s="14"/>
      <c r="G7345" s="14"/>
      <c r="H7345" s="14"/>
      <c r="I7345" s="14"/>
    </row>
    <row r="7346" ht="20.7" customHeight="1">
      <c r="A7346" s="10">
        <v>45745</v>
      </c>
      <c r="B7346" t="s" s="11">
        <v>8</v>
      </c>
      <c r="C7346" t="s" s="12">
        <v>8</v>
      </c>
      <c r="D7346" s="15" cm="1">
        <f t="array" ref="D7346">SUM(D7344:D7345)</f>
        <v>15866</v>
      </c>
      <c r="E7346" s="15" cm="1">
        <f t="array" ref="E7346">SUM(E7344:E7345)</f>
        <v>15866</v>
      </c>
      <c r="F7346" s="16" cm="1">
        <f t="array" ref="F7346">SUM(F7344:F7345)</f>
        <v>0</v>
      </c>
      <c r="G7346" s="16" cm="1">
        <f t="array" ref="G7346">SUM(G7344:G7345)</f>
        <v>0</v>
      </c>
      <c r="H7346" s="16" cm="1">
        <f t="array" ref="H7346">SUM(H7344:H7345)</f>
        <v>0</v>
      </c>
      <c r="I7346" s="16" cm="1">
        <f t="array" ref="I7346">SUM(I7344:I7345)</f>
        <v>0</v>
      </c>
    </row>
    <row r="7347" ht="21.25" customHeight="1">
      <c r="A7347" s="10">
        <v>45745</v>
      </c>
      <c r="B7347" t="s" s="11">
        <v>5</v>
      </c>
      <c r="C7347" t="s" s="12">
        <v>1037</v>
      </c>
      <c r="D7347" s="17"/>
      <c r="E7347" s="17">
        <v>8400</v>
      </c>
      <c r="F7347" s="18"/>
      <c r="G7347" s="18"/>
      <c r="H7347" s="18"/>
      <c r="I7347" s="18"/>
    </row>
    <row r="7348" ht="21.25" customHeight="1">
      <c r="A7348" s="10">
        <v>45745</v>
      </c>
      <c r="B7348" t="s" s="11">
        <v>12</v>
      </c>
      <c r="C7348" t="s" s="12">
        <v>1037</v>
      </c>
      <c r="D7348" s="13">
        <v>8400</v>
      </c>
      <c r="E7348" s="13"/>
      <c r="F7348" s="14"/>
      <c r="G7348" s="14"/>
      <c r="H7348" s="14"/>
      <c r="I7348" s="14"/>
    </row>
    <row r="7349" ht="20.7" customHeight="1">
      <c r="A7349" s="10">
        <v>45745</v>
      </c>
      <c r="B7349" t="s" s="11">
        <v>8</v>
      </c>
      <c r="C7349" t="s" s="12">
        <v>8</v>
      </c>
      <c r="D7349" s="15" cm="1">
        <f t="array" ref="D7349">SUM(D7347:D7348)</f>
        <v>8400</v>
      </c>
      <c r="E7349" s="15" cm="1">
        <f t="array" ref="E7349">SUM(E7347:E7348)</f>
        <v>8400</v>
      </c>
      <c r="F7349" s="16" cm="1">
        <f t="array" ref="F7349">SUM(F7347:F7348)</f>
        <v>0</v>
      </c>
      <c r="G7349" s="16" cm="1">
        <f t="array" ref="G7349">SUM(G7347:G7348)</f>
        <v>0</v>
      </c>
      <c r="H7349" s="16" cm="1">
        <f t="array" ref="H7349">SUM(H7347:H7348)</f>
        <v>0</v>
      </c>
      <c r="I7349" s="16" cm="1">
        <f t="array" ref="I7349">SUM(I7347:I7348)</f>
        <v>0</v>
      </c>
    </row>
    <row r="7350" ht="21.25" customHeight="1">
      <c r="A7350" s="10">
        <v>45745</v>
      </c>
      <c r="B7350" t="s" s="11">
        <v>5</v>
      </c>
      <c r="C7350" t="s" s="12">
        <v>799</v>
      </c>
      <c r="D7350" s="17">
        <v>1</v>
      </c>
      <c r="E7350" s="17"/>
      <c r="F7350" s="18"/>
      <c r="G7350" s="18"/>
      <c r="H7350" s="18"/>
      <c r="I7350" s="18"/>
    </row>
    <row r="7351" ht="21.25" customHeight="1">
      <c r="A7351" s="10">
        <v>45745</v>
      </c>
      <c r="B7351" t="s" s="11">
        <v>91</v>
      </c>
      <c r="C7351" t="s" s="12">
        <v>799</v>
      </c>
      <c r="D7351" s="13"/>
      <c r="E7351" s="13">
        <v>1</v>
      </c>
      <c r="F7351" s="14"/>
      <c r="G7351" s="14"/>
      <c r="H7351" s="14"/>
      <c r="I7351" s="14"/>
    </row>
    <row r="7352" ht="20.7" customHeight="1">
      <c r="A7352" s="10">
        <v>45745</v>
      </c>
      <c r="B7352" t="s" s="11">
        <v>8</v>
      </c>
      <c r="C7352" t="s" s="12">
        <v>8</v>
      </c>
      <c r="D7352" s="15" cm="1">
        <f t="array" ref="D7352">SUM(D7350:D7351)</f>
        <v>1</v>
      </c>
      <c r="E7352" s="15" cm="1">
        <f t="array" ref="E7352">SUM(E7350:E7351)</f>
        <v>1</v>
      </c>
      <c r="F7352" s="16" cm="1">
        <f t="array" ref="F7352">SUM(F7350:F7351)</f>
        <v>0</v>
      </c>
      <c r="G7352" s="16" cm="1">
        <f t="array" ref="G7352">SUM(G7350:G7351)</f>
        <v>0</v>
      </c>
      <c r="H7352" s="16" cm="1">
        <f t="array" ref="H7352">SUM(H7350:H7351)</f>
        <v>0</v>
      </c>
      <c r="I7352" s="16" cm="1">
        <f t="array" ref="I7352">SUM(I7350:I7351)</f>
        <v>0</v>
      </c>
    </row>
    <row r="7353" ht="21.25" customHeight="1">
      <c r="A7353" s="10">
        <v>45745</v>
      </c>
      <c r="B7353" t="s" s="11">
        <v>5</v>
      </c>
      <c r="C7353" t="s" s="12">
        <v>799</v>
      </c>
      <c r="D7353" s="17">
        <v>1</v>
      </c>
      <c r="E7353" s="17"/>
      <c r="F7353" s="18"/>
      <c r="G7353" s="18"/>
      <c r="H7353" s="18"/>
      <c r="I7353" s="18"/>
    </row>
    <row r="7354" ht="21.25" customHeight="1">
      <c r="A7354" s="10">
        <v>45745</v>
      </c>
      <c r="B7354" t="s" s="11">
        <v>91</v>
      </c>
      <c r="C7354" t="s" s="12">
        <v>799</v>
      </c>
      <c r="D7354" s="13"/>
      <c r="E7354" s="13">
        <v>1</v>
      </c>
      <c r="F7354" s="14"/>
      <c r="G7354" s="14"/>
      <c r="H7354" s="14"/>
      <c r="I7354" s="14"/>
    </row>
    <row r="7355" ht="20.7" customHeight="1">
      <c r="A7355" s="10">
        <v>45745</v>
      </c>
      <c r="B7355" t="s" s="11">
        <v>8</v>
      </c>
      <c r="C7355" t="s" s="12">
        <v>8</v>
      </c>
      <c r="D7355" s="15" cm="1">
        <f t="array" ref="D7355">SUM(D7353:D7354)</f>
        <v>1</v>
      </c>
      <c r="E7355" s="15" cm="1">
        <f t="array" ref="E7355">SUM(E7353:E7354)</f>
        <v>1</v>
      </c>
      <c r="F7355" s="16" cm="1">
        <f t="array" ref="F7355">SUM(F7353:F7354)</f>
        <v>0</v>
      </c>
      <c r="G7355" s="16" cm="1">
        <f t="array" ref="G7355">SUM(G7353:G7354)</f>
        <v>0</v>
      </c>
      <c r="H7355" s="16" cm="1">
        <f t="array" ref="H7355">SUM(H7353:H7354)</f>
        <v>0</v>
      </c>
      <c r="I7355" s="16" cm="1">
        <f t="array" ref="I7355">SUM(I7353:I7354)</f>
        <v>0</v>
      </c>
    </row>
    <row r="7356" ht="21.25" customHeight="1">
      <c r="A7356" s="10">
        <v>45745</v>
      </c>
      <c r="B7356" t="s" s="11">
        <v>5</v>
      </c>
      <c r="C7356" t="s" s="12">
        <v>799</v>
      </c>
      <c r="D7356" s="17">
        <v>1</v>
      </c>
      <c r="E7356" s="17"/>
      <c r="F7356" s="18"/>
      <c r="G7356" s="18"/>
      <c r="H7356" s="18"/>
      <c r="I7356" s="18"/>
    </row>
    <row r="7357" ht="21.25" customHeight="1">
      <c r="A7357" s="10">
        <v>45745</v>
      </c>
      <c r="B7357" t="s" s="11">
        <v>91</v>
      </c>
      <c r="C7357" t="s" s="12">
        <v>799</v>
      </c>
      <c r="D7357" s="13"/>
      <c r="E7357" s="13">
        <v>1</v>
      </c>
      <c r="F7357" s="14"/>
      <c r="G7357" s="14"/>
      <c r="H7357" s="14"/>
      <c r="I7357" s="14"/>
    </row>
    <row r="7358" ht="20.7" customHeight="1">
      <c r="A7358" s="10">
        <v>45745</v>
      </c>
      <c r="B7358" t="s" s="11">
        <v>8</v>
      </c>
      <c r="C7358" t="s" s="12">
        <v>8</v>
      </c>
      <c r="D7358" s="15" cm="1">
        <f t="array" ref="D7358">SUM(D7356:D7357)</f>
        <v>1</v>
      </c>
      <c r="E7358" s="15" cm="1">
        <f t="array" ref="E7358">SUM(E7356:E7357)</f>
        <v>1</v>
      </c>
      <c r="F7358" s="16" cm="1">
        <f t="array" ref="F7358">SUM(F7356:F7357)</f>
        <v>0</v>
      </c>
      <c r="G7358" s="16" cm="1">
        <f t="array" ref="G7358">SUM(G7356:G7357)</f>
        <v>0</v>
      </c>
      <c r="H7358" s="16" cm="1">
        <f t="array" ref="H7358">SUM(H7356:H7357)</f>
        <v>0</v>
      </c>
      <c r="I7358" s="16" cm="1">
        <f t="array" ref="I7358">SUM(I7356:I7357)</f>
        <v>0</v>
      </c>
    </row>
    <row r="7359" ht="21.25" customHeight="1">
      <c r="A7359" s="10">
        <v>45745</v>
      </c>
      <c r="B7359" t="s" s="11">
        <v>5</v>
      </c>
      <c r="C7359" t="s" s="12">
        <v>799</v>
      </c>
      <c r="D7359" s="17">
        <v>2</v>
      </c>
      <c r="E7359" s="17"/>
      <c r="F7359" s="18"/>
      <c r="G7359" s="18"/>
      <c r="H7359" s="18"/>
      <c r="I7359" s="18"/>
    </row>
    <row r="7360" ht="21.25" customHeight="1">
      <c r="A7360" s="10">
        <v>45745</v>
      </c>
      <c r="B7360" t="s" s="11">
        <v>91</v>
      </c>
      <c r="C7360" t="s" s="12">
        <v>799</v>
      </c>
      <c r="D7360" s="13"/>
      <c r="E7360" s="13">
        <v>2</v>
      </c>
      <c r="F7360" s="14"/>
      <c r="G7360" s="14"/>
      <c r="H7360" s="14"/>
      <c r="I7360" s="14"/>
    </row>
    <row r="7361" ht="20.7" customHeight="1">
      <c r="A7361" s="10">
        <v>45745</v>
      </c>
      <c r="B7361" t="s" s="11">
        <v>8</v>
      </c>
      <c r="C7361" t="s" s="12">
        <v>8</v>
      </c>
      <c r="D7361" s="15" cm="1">
        <f t="array" ref="D7361">SUM(D7359:D7360)</f>
        <v>2</v>
      </c>
      <c r="E7361" s="15" cm="1">
        <f t="array" ref="E7361">SUM(E7359:E7360)</f>
        <v>2</v>
      </c>
      <c r="F7361" s="16" cm="1">
        <f t="array" ref="F7361">SUM(F7359:F7360)</f>
        <v>0</v>
      </c>
      <c r="G7361" s="16" cm="1">
        <f t="array" ref="G7361">SUM(G7359:G7360)</f>
        <v>0</v>
      </c>
      <c r="H7361" s="16" cm="1">
        <f t="array" ref="H7361">SUM(H7359:H7360)</f>
        <v>0</v>
      </c>
      <c r="I7361" s="16" cm="1">
        <f t="array" ref="I7361">SUM(I7359:I7360)</f>
        <v>0</v>
      </c>
    </row>
    <row r="7362" ht="21.25" customHeight="1">
      <c r="A7362" s="10">
        <v>45745</v>
      </c>
      <c r="B7362" t="s" s="11">
        <v>5</v>
      </c>
      <c r="C7362" t="s" s="12">
        <v>799</v>
      </c>
      <c r="D7362" s="17">
        <v>2</v>
      </c>
      <c r="E7362" s="17"/>
      <c r="F7362" s="18"/>
      <c r="G7362" s="18"/>
      <c r="H7362" s="18"/>
      <c r="I7362" s="18"/>
    </row>
    <row r="7363" ht="21.25" customHeight="1">
      <c r="A7363" s="10">
        <v>45745</v>
      </c>
      <c r="B7363" t="s" s="11">
        <v>91</v>
      </c>
      <c r="C7363" t="s" s="12">
        <v>799</v>
      </c>
      <c r="D7363" s="13"/>
      <c r="E7363" s="13">
        <v>2</v>
      </c>
      <c r="F7363" s="14"/>
      <c r="G7363" s="14"/>
      <c r="H7363" s="14"/>
      <c r="I7363" s="14"/>
    </row>
    <row r="7364" ht="20.7" customHeight="1">
      <c r="A7364" s="10">
        <v>45745</v>
      </c>
      <c r="B7364" t="s" s="11">
        <v>8</v>
      </c>
      <c r="C7364" t="s" s="12">
        <v>8</v>
      </c>
      <c r="D7364" s="15" cm="1">
        <f t="array" ref="D7364">SUM(D7362:D7363)</f>
        <v>2</v>
      </c>
      <c r="E7364" s="15" cm="1">
        <f t="array" ref="E7364">SUM(E7362:E7363)</f>
        <v>2</v>
      </c>
      <c r="F7364" s="16" cm="1">
        <f t="array" ref="F7364">SUM(F7362:F7363)</f>
        <v>0</v>
      </c>
      <c r="G7364" s="16" cm="1">
        <f t="array" ref="G7364">SUM(G7362:G7363)</f>
        <v>0</v>
      </c>
      <c r="H7364" s="16" cm="1">
        <f t="array" ref="H7364">SUM(H7362:H7363)</f>
        <v>0</v>
      </c>
      <c r="I7364" s="16" cm="1">
        <f t="array" ref="I7364">SUM(I7362:I7363)</f>
        <v>0</v>
      </c>
    </row>
    <row r="7365" ht="20.65" customHeight="1">
      <c r="A7365" s="10">
        <v>45745</v>
      </c>
      <c r="B7365" t="s" s="11">
        <v>5</v>
      </c>
      <c r="C7365" t="s" s="12">
        <v>1038</v>
      </c>
      <c r="D7365" s="17"/>
      <c r="E7365" s="17">
        <v>13000</v>
      </c>
      <c r="F7365" s="18"/>
      <c r="G7365" s="18"/>
      <c r="H7365" s="18"/>
      <c r="I7365" s="18"/>
    </row>
    <row r="7366" ht="20.65" customHeight="1">
      <c r="A7366" s="10">
        <v>45745</v>
      </c>
      <c r="B7366" t="s" s="11">
        <v>10</v>
      </c>
      <c r="C7366" t="s" s="12">
        <v>1038</v>
      </c>
      <c r="D7366" s="13">
        <v>13000</v>
      </c>
      <c r="E7366" s="13"/>
      <c r="F7366" s="14"/>
      <c r="G7366" s="14"/>
      <c r="H7366" s="14"/>
      <c r="I7366" s="14"/>
    </row>
    <row r="7367" ht="20.7" customHeight="1">
      <c r="A7367" s="10">
        <v>45745</v>
      </c>
      <c r="B7367" t="s" s="11">
        <v>8</v>
      </c>
      <c r="C7367" t="s" s="12">
        <v>8</v>
      </c>
      <c r="D7367" s="15" cm="1">
        <f t="array" ref="D7367">SUM(D7365:D7366)</f>
        <v>13000</v>
      </c>
      <c r="E7367" s="15" cm="1">
        <f t="array" ref="E7367">SUM(E7365:E7366)</f>
        <v>13000</v>
      </c>
      <c r="F7367" s="16" cm="1">
        <f t="array" ref="F7367">SUM(F7365:F7366)</f>
        <v>0</v>
      </c>
      <c r="G7367" s="16" cm="1">
        <f t="array" ref="G7367">SUM(G7365:G7366)</f>
        <v>0</v>
      </c>
      <c r="H7367" s="16" cm="1">
        <f t="array" ref="H7367">SUM(H7365:H7366)</f>
        <v>0</v>
      </c>
      <c r="I7367" s="16" cm="1">
        <f t="array" ref="I7367">SUM(I7365:I7366)</f>
        <v>0</v>
      </c>
    </row>
    <row r="7368" ht="20.65" customHeight="1">
      <c r="A7368" s="10">
        <v>45746</v>
      </c>
      <c r="B7368" t="s" s="11">
        <v>843</v>
      </c>
      <c r="C7368" t="s" s="12">
        <v>820</v>
      </c>
      <c r="D7368" s="17">
        <v>8</v>
      </c>
      <c r="E7368" s="17"/>
      <c r="F7368" s="18"/>
      <c r="G7368" s="18"/>
      <c r="H7368" s="18"/>
      <c r="I7368" s="18"/>
    </row>
    <row r="7369" ht="20.65" customHeight="1">
      <c r="A7369" s="10">
        <v>45746</v>
      </c>
      <c r="B7369" t="s" s="11">
        <v>91</v>
      </c>
      <c r="C7369" t="s" s="12">
        <v>820</v>
      </c>
      <c r="D7369" s="13"/>
      <c r="E7369" s="13">
        <v>8</v>
      </c>
      <c r="F7369" s="14"/>
      <c r="G7369" s="14"/>
      <c r="H7369" s="14"/>
      <c r="I7369" s="14"/>
    </row>
    <row r="7370" ht="20.7" customHeight="1">
      <c r="A7370" s="10">
        <v>45746</v>
      </c>
      <c r="B7370" t="s" s="11">
        <v>8</v>
      </c>
      <c r="C7370" t="s" s="12">
        <v>8</v>
      </c>
      <c r="D7370" s="15">
        <v>4</v>
      </c>
      <c r="E7370" s="15">
        <v>4</v>
      </c>
      <c r="F7370" s="16" cm="1">
        <f t="array" ref="F7370">SUM(F7368:F7369)</f>
        <v>0</v>
      </c>
      <c r="G7370" s="16" cm="1">
        <f t="array" ref="G7370">SUM(G7368:G7369)</f>
        <v>0</v>
      </c>
      <c r="H7370" s="16" cm="1">
        <f t="array" ref="H7370">SUM(H7368:H7369)</f>
        <v>0</v>
      </c>
      <c r="I7370" s="16" cm="1">
        <f t="array" ref="I7370">SUM(I7368:I7369)</f>
        <v>0</v>
      </c>
    </row>
    <row r="7371" ht="20.65" customHeight="1">
      <c r="A7371" s="10">
        <v>45746</v>
      </c>
      <c r="B7371" t="s" s="11">
        <v>814</v>
      </c>
      <c r="C7371" t="s" s="12">
        <v>820</v>
      </c>
      <c r="D7371" s="17">
        <v>156</v>
      </c>
      <c r="E7371" s="17"/>
      <c r="F7371" s="18"/>
      <c r="G7371" s="18"/>
      <c r="H7371" s="18"/>
      <c r="I7371" s="18"/>
    </row>
    <row r="7372" ht="20.65" customHeight="1">
      <c r="A7372" s="10">
        <v>45746</v>
      </c>
      <c r="B7372" t="s" s="11">
        <v>91</v>
      </c>
      <c r="C7372" t="s" s="12">
        <v>820</v>
      </c>
      <c r="D7372" s="13"/>
      <c r="E7372" s="13">
        <v>156</v>
      </c>
      <c r="F7372" s="14"/>
      <c r="G7372" s="14"/>
      <c r="H7372" s="14"/>
      <c r="I7372" s="14"/>
    </row>
    <row r="7373" ht="20.7" customHeight="1">
      <c r="A7373" s="10">
        <v>45746</v>
      </c>
      <c r="B7373" t="s" s="11">
        <v>8</v>
      </c>
      <c r="C7373" t="s" s="12">
        <v>8</v>
      </c>
      <c r="D7373" s="15" cm="1">
        <f t="array" ref="D7373">SUM(D7371:D7372)</f>
        <v>156</v>
      </c>
      <c r="E7373" s="15" cm="1">
        <f t="array" ref="E7373">SUM(E7371:E7372)</f>
        <v>156</v>
      </c>
      <c r="F7373" s="16" cm="1">
        <f t="array" ref="F7373">SUM(F7371:F7372)</f>
        <v>0</v>
      </c>
      <c r="G7373" s="16" cm="1">
        <f t="array" ref="G7373">SUM(G7371:G7372)</f>
        <v>0</v>
      </c>
      <c r="H7373" s="16" cm="1">
        <f t="array" ref="H7373">SUM(H7371:H7372)</f>
        <v>0</v>
      </c>
      <c r="I7373" s="16" cm="1">
        <f t="array" ref="I7373">SUM(I7371:I7372)</f>
        <v>0</v>
      </c>
    </row>
    <row r="7374" ht="20.35" customHeight="1">
      <c r="A7374" s="10">
        <v>45746</v>
      </c>
      <c r="B7374" t="s" s="11">
        <v>843</v>
      </c>
      <c r="C7374" t="s" s="12">
        <v>1039</v>
      </c>
      <c r="D7374" s="17"/>
      <c r="E7374" s="17">
        <v>108000</v>
      </c>
      <c r="F7374" s="18"/>
      <c r="G7374" s="18"/>
      <c r="H7374" s="18"/>
      <c r="I7374" s="18"/>
    </row>
    <row r="7375" ht="20.35" customHeight="1">
      <c r="A7375" s="10">
        <v>45746</v>
      </c>
      <c r="B7375" t="s" s="11">
        <v>5</v>
      </c>
      <c r="C7375" t="s" s="12">
        <v>1039</v>
      </c>
      <c r="D7375" s="13">
        <v>108000</v>
      </c>
      <c r="E7375" s="13"/>
      <c r="F7375" s="14"/>
      <c r="G7375" s="14"/>
      <c r="H7375" s="14"/>
      <c r="I7375" s="14"/>
    </row>
    <row r="7376" ht="20.7" customHeight="1">
      <c r="A7376" s="10">
        <v>45746</v>
      </c>
      <c r="B7376" t="s" s="11">
        <v>8</v>
      </c>
      <c r="C7376" t="s" s="12">
        <v>8</v>
      </c>
      <c r="D7376" s="15" cm="1">
        <f t="array" ref="D7376">SUM(D7374:D7375)</f>
        <v>108000</v>
      </c>
      <c r="E7376" s="15" cm="1">
        <f t="array" ref="E7376">SUM(E7374:E7375)</f>
        <v>108000</v>
      </c>
      <c r="F7376" s="16" cm="1">
        <f t="array" ref="F7376">SUM(F7374:F7375)</f>
        <v>0</v>
      </c>
      <c r="G7376" s="16" cm="1">
        <f t="array" ref="G7376">SUM(G7374:G7375)</f>
        <v>0</v>
      </c>
      <c r="H7376" s="16" cm="1">
        <f t="array" ref="H7376">SUM(H7374:H7375)</f>
        <v>0</v>
      </c>
      <c r="I7376" s="16" cm="1">
        <f t="array" ref="I7376">SUM(I7374:I7375)</f>
        <v>0</v>
      </c>
    </row>
    <row r="7377" ht="20.35" customHeight="1">
      <c r="A7377" s="10">
        <v>45746</v>
      </c>
      <c r="B7377" t="s" s="11">
        <v>814</v>
      </c>
      <c r="C7377" t="s" s="12">
        <v>1040</v>
      </c>
      <c r="D7377" s="17"/>
      <c r="E7377" s="17">
        <v>108000</v>
      </c>
      <c r="F7377" s="18"/>
      <c r="G7377" s="18"/>
      <c r="H7377" s="18"/>
      <c r="I7377" s="18"/>
    </row>
    <row r="7378" ht="20.35" customHeight="1">
      <c r="A7378" s="10">
        <v>45746</v>
      </c>
      <c r="B7378" t="s" s="11">
        <v>5</v>
      </c>
      <c r="C7378" t="s" s="12">
        <v>1040</v>
      </c>
      <c r="D7378" s="13">
        <v>108000</v>
      </c>
      <c r="E7378" s="13"/>
      <c r="F7378" s="14"/>
      <c r="G7378" s="14"/>
      <c r="H7378" s="14"/>
      <c r="I7378" s="14"/>
    </row>
    <row r="7379" ht="20.7" customHeight="1">
      <c r="A7379" s="10">
        <v>45746</v>
      </c>
      <c r="B7379" t="s" s="11">
        <v>8</v>
      </c>
      <c r="C7379" t="s" s="12">
        <v>8</v>
      </c>
      <c r="D7379" s="15" cm="1">
        <f t="array" ref="D7379">SUM(D7377:D7378)</f>
        <v>108000</v>
      </c>
      <c r="E7379" s="15" cm="1">
        <f t="array" ref="E7379">SUM(E7377:E7378)</f>
        <v>108000</v>
      </c>
      <c r="F7379" s="16" cm="1">
        <f t="array" ref="F7379">SUM(F7377:F7378)</f>
        <v>0</v>
      </c>
      <c r="G7379" s="16" cm="1">
        <f t="array" ref="G7379">SUM(G7377:G7378)</f>
        <v>0</v>
      </c>
      <c r="H7379" s="16" cm="1">
        <f t="array" ref="H7379">SUM(H7377:H7378)</f>
        <v>0</v>
      </c>
      <c r="I7379" s="16" cm="1">
        <f t="array" ref="I7379">SUM(I7377:I7378)</f>
        <v>0</v>
      </c>
    </row>
    <row r="7380" ht="20.35" customHeight="1">
      <c r="A7380" s="10">
        <v>45746</v>
      </c>
      <c r="B7380" t="s" s="11">
        <v>5</v>
      </c>
      <c r="C7380" t="s" s="12">
        <v>1041</v>
      </c>
      <c r="D7380" s="17"/>
      <c r="E7380" s="17">
        <v>216000</v>
      </c>
      <c r="F7380" s="18"/>
      <c r="G7380" s="18"/>
      <c r="H7380" s="18"/>
      <c r="I7380" s="18"/>
    </row>
    <row r="7381" ht="20.35" customHeight="1">
      <c r="A7381" s="10">
        <v>45746</v>
      </c>
      <c r="B7381" t="s" s="11">
        <v>10</v>
      </c>
      <c r="C7381" t="s" s="12">
        <v>1041</v>
      </c>
      <c r="D7381" s="13">
        <v>216000</v>
      </c>
      <c r="E7381" s="13"/>
      <c r="F7381" s="14"/>
      <c r="G7381" s="14"/>
      <c r="H7381" s="14"/>
      <c r="I7381" s="14"/>
    </row>
    <row r="7382" ht="20.7" customHeight="1">
      <c r="A7382" s="10">
        <v>45746</v>
      </c>
      <c r="B7382" t="s" s="11">
        <v>8</v>
      </c>
      <c r="C7382" t="s" s="12">
        <v>8</v>
      </c>
      <c r="D7382" s="15" cm="1">
        <f t="array" ref="D7382">SUM(D7380:D7381)</f>
        <v>216000</v>
      </c>
      <c r="E7382" s="15" cm="1">
        <f t="array" ref="E7382">SUM(E7380:E7381)</f>
        <v>216000</v>
      </c>
      <c r="F7382" s="16" cm="1">
        <f t="array" ref="F7382">SUM(F7380:F7381)</f>
        <v>0</v>
      </c>
      <c r="G7382" s="16" cm="1">
        <f t="array" ref="G7382">SUM(G7380:G7381)</f>
        <v>0</v>
      </c>
      <c r="H7382" s="16" cm="1">
        <f t="array" ref="H7382">SUM(H7380:H7381)</f>
        <v>0</v>
      </c>
      <c r="I7382" s="16" cm="1">
        <f t="array" ref="I7382">SUM(I7380:I7381)</f>
        <v>0</v>
      </c>
    </row>
    <row r="7383" ht="20.35" customHeight="1">
      <c r="A7383" s="10">
        <v>45746</v>
      </c>
      <c r="B7383" t="s" s="11">
        <v>91</v>
      </c>
      <c r="C7383" t="s" s="12">
        <v>17</v>
      </c>
      <c r="D7383" s="17"/>
      <c r="E7383" s="17">
        <v>500</v>
      </c>
      <c r="F7383" s="18"/>
      <c r="G7383" s="18"/>
      <c r="H7383" s="18"/>
      <c r="I7383" s="18"/>
    </row>
    <row r="7384" ht="20.35" customHeight="1">
      <c r="A7384" s="10">
        <v>45746</v>
      </c>
      <c r="B7384" t="s" s="11">
        <v>5</v>
      </c>
      <c r="C7384" t="s" s="12">
        <v>17</v>
      </c>
      <c r="D7384" s="13">
        <v>500</v>
      </c>
      <c r="E7384" s="13"/>
      <c r="F7384" s="14"/>
      <c r="G7384" s="14"/>
      <c r="H7384" s="14"/>
      <c r="I7384" s="14"/>
    </row>
    <row r="7385" ht="20.7" customHeight="1">
      <c r="A7385" s="10">
        <v>45746</v>
      </c>
      <c r="B7385" t="s" s="11">
        <v>8</v>
      </c>
      <c r="C7385" t="s" s="12">
        <v>8</v>
      </c>
      <c r="D7385" s="15" cm="1">
        <f t="array" ref="D7385">SUM(D7383:D7384)</f>
        <v>500</v>
      </c>
      <c r="E7385" s="15" cm="1">
        <f t="array" ref="E7385">SUM(E7383:E7384)</f>
        <v>500</v>
      </c>
      <c r="F7385" s="16" cm="1">
        <f t="array" ref="F7385">SUM(F7383:F7384)</f>
        <v>0</v>
      </c>
      <c r="G7385" s="16" cm="1">
        <f t="array" ref="G7385">SUM(G7383:G7384)</f>
        <v>0</v>
      </c>
      <c r="H7385" s="16" cm="1">
        <f t="array" ref="H7385">SUM(H7383:H7384)</f>
        <v>0</v>
      </c>
      <c r="I7385" s="16" cm="1">
        <f t="array" ref="I7385">SUM(I7383:I7384)</f>
        <v>0</v>
      </c>
    </row>
    <row r="7386" ht="20.35" customHeight="1">
      <c r="A7386" s="10">
        <v>45746</v>
      </c>
      <c r="B7386" t="s" s="11">
        <v>843</v>
      </c>
      <c r="C7386" t="s" s="12">
        <v>1042</v>
      </c>
      <c r="D7386" s="17"/>
      <c r="E7386" s="17">
        <v>50000</v>
      </c>
      <c r="F7386" s="18"/>
      <c r="G7386" s="18"/>
      <c r="H7386" s="18"/>
      <c r="I7386" s="18"/>
    </row>
    <row r="7387" ht="20.35" customHeight="1">
      <c r="A7387" s="10">
        <v>45746</v>
      </c>
      <c r="B7387" t="s" s="11">
        <v>5</v>
      </c>
      <c r="C7387" t="s" s="12">
        <v>1042</v>
      </c>
      <c r="D7387" s="13">
        <v>50000</v>
      </c>
      <c r="E7387" s="13"/>
      <c r="F7387" s="14"/>
      <c r="G7387" s="14"/>
      <c r="H7387" s="14"/>
      <c r="I7387" s="14"/>
    </row>
    <row r="7388" ht="20.7" customHeight="1">
      <c r="A7388" s="10">
        <v>45746</v>
      </c>
      <c r="B7388" t="s" s="11">
        <v>8</v>
      </c>
      <c r="C7388" t="s" s="12">
        <v>8</v>
      </c>
      <c r="D7388" s="15" cm="1">
        <f t="array" ref="D7388">SUM(D7386:D7387)</f>
        <v>50000</v>
      </c>
      <c r="E7388" s="15" cm="1">
        <f t="array" ref="E7388">SUM(E7386:E7387)</f>
        <v>50000</v>
      </c>
      <c r="F7388" s="16" cm="1">
        <f t="array" ref="F7388">SUM(F7386:F7387)</f>
        <v>0</v>
      </c>
      <c r="G7388" s="16" cm="1">
        <f t="array" ref="G7388">SUM(G7386:G7387)</f>
        <v>0</v>
      </c>
      <c r="H7388" s="16" cm="1">
        <f t="array" ref="H7388">SUM(H7386:H7387)</f>
        <v>0</v>
      </c>
      <c r="I7388" s="16" cm="1">
        <f t="array" ref="I7388">SUM(I7386:I7387)</f>
        <v>0</v>
      </c>
    </row>
    <row r="7389" ht="20.35" customHeight="1">
      <c r="A7389" s="10">
        <v>45746</v>
      </c>
      <c r="B7389" t="s" s="11">
        <v>5</v>
      </c>
      <c r="C7389" t="s" s="12">
        <v>1042</v>
      </c>
      <c r="D7389" s="17"/>
      <c r="E7389" s="17">
        <v>34000</v>
      </c>
      <c r="F7389" s="18"/>
      <c r="G7389" s="18"/>
      <c r="H7389" s="18"/>
      <c r="I7389" s="18"/>
    </row>
    <row r="7390" ht="20.35" customHeight="1">
      <c r="A7390" s="10">
        <v>45746</v>
      </c>
      <c r="B7390" t="s" s="11">
        <v>10</v>
      </c>
      <c r="C7390" t="s" s="12">
        <v>1042</v>
      </c>
      <c r="D7390" s="13">
        <v>34000</v>
      </c>
      <c r="E7390" s="13"/>
      <c r="F7390" s="14"/>
      <c r="G7390" s="14"/>
      <c r="H7390" s="14"/>
      <c r="I7390" s="14"/>
    </row>
    <row r="7391" ht="20.7" customHeight="1">
      <c r="A7391" s="10">
        <v>45746</v>
      </c>
      <c r="B7391" t="s" s="11">
        <v>8</v>
      </c>
      <c r="C7391" t="s" s="12">
        <v>8</v>
      </c>
      <c r="D7391" s="15" cm="1">
        <f t="array" ref="D7391">SUM(D7389:D7390)</f>
        <v>34000</v>
      </c>
      <c r="E7391" s="15" cm="1">
        <f t="array" ref="E7391">SUM(E7389:E7390)</f>
        <v>34000</v>
      </c>
      <c r="F7391" s="16" cm="1">
        <f t="array" ref="F7391">SUM(F7389:F7390)</f>
        <v>0</v>
      </c>
      <c r="G7391" s="16" cm="1">
        <f t="array" ref="G7391">SUM(G7389:G7390)</f>
        <v>0</v>
      </c>
      <c r="H7391" s="16" cm="1">
        <f t="array" ref="H7391">SUM(H7389:H7390)</f>
        <v>0</v>
      </c>
      <c r="I7391" s="16" cm="1">
        <f t="array" ref="I7391">SUM(I7389:I7390)</f>
        <v>0</v>
      </c>
    </row>
    <row r="7392" ht="20.35" customHeight="1">
      <c r="A7392" s="10">
        <v>45746</v>
      </c>
      <c r="B7392" t="s" s="11">
        <v>5</v>
      </c>
      <c r="C7392" t="s" s="12">
        <v>867</v>
      </c>
      <c r="D7392" s="17"/>
      <c r="E7392" s="17">
        <v>16000</v>
      </c>
      <c r="F7392" s="18"/>
      <c r="G7392" s="18"/>
      <c r="H7392" s="18"/>
      <c r="I7392" s="18"/>
    </row>
    <row r="7393" ht="20.35" customHeight="1">
      <c r="A7393" s="10">
        <v>45746</v>
      </c>
      <c r="B7393" t="s" s="11">
        <v>843</v>
      </c>
      <c r="C7393" t="s" s="12">
        <v>867</v>
      </c>
      <c r="D7393" s="13">
        <v>16000</v>
      </c>
      <c r="E7393" s="13"/>
      <c r="F7393" s="14"/>
      <c r="G7393" s="14"/>
      <c r="H7393" s="14"/>
      <c r="I7393" s="14"/>
    </row>
    <row r="7394" ht="20.7" customHeight="1">
      <c r="A7394" s="10">
        <v>45746</v>
      </c>
      <c r="B7394" t="s" s="11">
        <v>8</v>
      </c>
      <c r="C7394" t="s" s="12">
        <v>8</v>
      </c>
      <c r="D7394" s="15" cm="1">
        <f t="array" ref="D7394">SUM(D7392:D7393)</f>
        <v>16000</v>
      </c>
      <c r="E7394" s="15" cm="1">
        <f t="array" ref="E7394">SUM(E7392:E7393)</f>
        <v>16000</v>
      </c>
      <c r="F7394" s="16" cm="1">
        <f t="array" ref="F7394">SUM(F7392:F7393)</f>
        <v>0</v>
      </c>
      <c r="G7394" s="16" cm="1">
        <f t="array" ref="G7394">SUM(G7392:G7393)</f>
        <v>0</v>
      </c>
      <c r="H7394" s="16" cm="1">
        <f t="array" ref="H7394">SUM(H7392:H7393)</f>
        <v>0</v>
      </c>
      <c r="I7394" s="16" cm="1">
        <f t="array" ref="I7394">SUM(I7392:I7393)</f>
        <v>0</v>
      </c>
    </row>
    <row r="7395" ht="21.25" customHeight="1">
      <c r="A7395" s="10">
        <v>45746</v>
      </c>
      <c r="B7395" t="s" s="11">
        <v>968</v>
      </c>
      <c r="C7395" t="s" s="12">
        <v>969</v>
      </c>
      <c r="D7395" s="17"/>
      <c r="E7395" s="17">
        <v>3600</v>
      </c>
      <c r="F7395" s="18"/>
      <c r="G7395" s="18"/>
      <c r="H7395" s="18"/>
      <c r="I7395" s="18"/>
    </row>
    <row r="7396" ht="21.25" customHeight="1">
      <c r="A7396" s="10">
        <v>45746</v>
      </c>
      <c r="B7396" t="s" s="11">
        <v>10</v>
      </c>
      <c r="C7396" t="s" s="12">
        <v>969</v>
      </c>
      <c r="D7396" s="13">
        <v>3600</v>
      </c>
      <c r="E7396" s="13"/>
      <c r="F7396" s="14"/>
      <c r="G7396" s="14"/>
      <c r="H7396" s="14"/>
      <c r="I7396" s="14"/>
    </row>
    <row r="7397" ht="20.7" customHeight="1">
      <c r="A7397" s="10">
        <v>45746</v>
      </c>
      <c r="B7397" t="s" s="11">
        <v>8</v>
      </c>
      <c r="C7397" t="s" s="12">
        <v>8</v>
      </c>
      <c r="D7397" s="15" cm="1">
        <f t="array" ref="D7397">SUM(D7395:D7396)</f>
        <v>3600</v>
      </c>
      <c r="E7397" s="15" cm="1">
        <f t="array" ref="E7397">SUM(E7395:E7396)</f>
        <v>3600</v>
      </c>
      <c r="F7397" s="16" cm="1">
        <f t="array" ref="F7397">SUM(F7395:F7396)</f>
        <v>0</v>
      </c>
      <c r="G7397" s="16" cm="1">
        <f t="array" ref="G7397">SUM(G7395:G7396)</f>
        <v>0</v>
      </c>
      <c r="H7397" s="16" cm="1">
        <f t="array" ref="H7397">SUM(H7395:H7396)</f>
        <v>0</v>
      </c>
      <c r="I7397" s="16" cm="1">
        <f t="array" ref="I7397">SUM(I7395:I7396)</f>
        <v>0</v>
      </c>
    </row>
    <row r="7398" ht="21.25" customHeight="1">
      <c r="A7398" s="10">
        <v>45746</v>
      </c>
      <c r="B7398" t="s" s="11">
        <v>5</v>
      </c>
      <c r="C7398" t="s" s="12">
        <v>799</v>
      </c>
      <c r="D7398" s="17">
        <v>2</v>
      </c>
      <c r="E7398" s="17"/>
      <c r="F7398" s="18"/>
      <c r="G7398" s="18"/>
      <c r="H7398" s="18"/>
      <c r="I7398" s="18"/>
    </row>
    <row r="7399" ht="21.25" customHeight="1">
      <c r="A7399" s="10">
        <v>45746</v>
      </c>
      <c r="B7399" t="s" s="11">
        <v>91</v>
      </c>
      <c r="C7399" t="s" s="12">
        <v>799</v>
      </c>
      <c r="D7399" s="13"/>
      <c r="E7399" s="13">
        <v>2</v>
      </c>
      <c r="F7399" s="14"/>
      <c r="G7399" s="14"/>
      <c r="H7399" s="14"/>
      <c r="I7399" s="14"/>
    </row>
    <row r="7400" ht="20.7" customHeight="1">
      <c r="A7400" s="10">
        <v>45746</v>
      </c>
      <c r="B7400" t="s" s="11">
        <v>8</v>
      </c>
      <c r="C7400" t="s" s="12">
        <v>8</v>
      </c>
      <c r="D7400" s="15" cm="1">
        <f t="array" ref="D7400">SUM(D7398:D7399)</f>
        <v>2</v>
      </c>
      <c r="E7400" s="15" cm="1">
        <f t="array" ref="E7400">SUM(E7398:E7399)</f>
        <v>2</v>
      </c>
      <c r="F7400" s="16" cm="1">
        <f t="array" ref="F7400">SUM(F7398:F7399)</f>
        <v>0</v>
      </c>
      <c r="G7400" s="16" cm="1">
        <f t="array" ref="G7400">SUM(G7398:G7399)</f>
        <v>0</v>
      </c>
      <c r="H7400" s="16" cm="1">
        <f t="array" ref="H7400">SUM(H7398:H7399)</f>
        <v>0</v>
      </c>
      <c r="I7400" s="16" cm="1">
        <f t="array" ref="I7400">SUM(I7398:I7399)</f>
        <v>0</v>
      </c>
    </row>
    <row r="7401" ht="21.25" customHeight="1">
      <c r="A7401" s="10">
        <v>45746</v>
      </c>
      <c r="B7401" t="s" s="11">
        <v>5</v>
      </c>
      <c r="C7401" t="s" s="12">
        <v>799</v>
      </c>
      <c r="D7401" s="17">
        <v>3</v>
      </c>
      <c r="E7401" s="17"/>
      <c r="F7401" s="18"/>
      <c r="G7401" s="18"/>
      <c r="H7401" s="18"/>
      <c r="I7401" s="18"/>
    </row>
    <row r="7402" ht="21.25" customHeight="1">
      <c r="A7402" s="10">
        <v>45746</v>
      </c>
      <c r="B7402" t="s" s="11">
        <v>91</v>
      </c>
      <c r="C7402" t="s" s="12">
        <v>799</v>
      </c>
      <c r="D7402" s="13"/>
      <c r="E7402" s="13">
        <v>3</v>
      </c>
      <c r="F7402" s="14"/>
      <c r="G7402" s="14"/>
      <c r="H7402" s="14"/>
      <c r="I7402" s="14"/>
    </row>
    <row r="7403" ht="20.7" customHeight="1">
      <c r="A7403" s="10">
        <v>45746</v>
      </c>
      <c r="B7403" t="s" s="11">
        <v>8</v>
      </c>
      <c r="C7403" t="s" s="12">
        <v>8</v>
      </c>
      <c r="D7403" s="15" cm="1">
        <f t="array" ref="D7403">SUM(D7401:D7402)</f>
        <v>3</v>
      </c>
      <c r="E7403" s="15" cm="1">
        <f t="array" ref="E7403">SUM(E7401:E7402)</f>
        <v>3</v>
      </c>
      <c r="F7403" s="16" cm="1">
        <f t="array" ref="F7403">SUM(F7401:F7402)</f>
        <v>0</v>
      </c>
      <c r="G7403" s="16" cm="1">
        <f t="array" ref="G7403">SUM(G7401:G7402)</f>
        <v>0</v>
      </c>
      <c r="H7403" s="16" cm="1">
        <f t="array" ref="H7403">SUM(H7401:H7402)</f>
        <v>0</v>
      </c>
      <c r="I7403" s="16" cm="1">
        <f t="array" ref="I7403">SUM(I7401:I7402)</f>
        <v>0</v>
      </c>
    </row>
    <row r="7404" ht="20.35" customHeight="1">
      <c r="A7404" s="10">
        <v>45746</v>
      </c>
      <c r="B7404" t="s" s="11">
        <v>5</v>
      </c>
      <c r="C7404" t="s" s="12">
        <v>1043</v>
      </c>
      <c r="D7404" s="17"/>
      <c r="E7404" s="17">
        <v>120</v>
      </c>
      <c r="F7404" s="18"/>
      <c r="G7404" s="18"/>
      <c r="H7404" s="18"/>
      <c r="I7404" s="18"/>
    </row>
    <row r="7405" ht="20.05" customHeight="1">
      <c r="A7405" s="10">
        <v>45746</v>
      </c>
      <c r="B7405" t="s" s="11">
        <v>12</v>
      </c>
      <c r="C7405" t="s" s="12">
        <v>1043</v>
      </c>
      <c r="D7405" s="19">
        <v>20</v>
      </c>
      <c r="E7405" s="19"/>
      <c r="F7405" s="20"/>
      <c r="G7405" s="20"/>
      <c r="H7405" s="20"/>
      <c r="I7405" s="20"/>
    </row>
    <row r="7406" ht="20.05" customHeight="1">
      <c r="A7406" s="10">
        <v>45746</v>
      </c>
      <c r="B7406" t="s" s="11">
        <v>89</v>
      </c>
      <c r="C7406" t="s" s="12">
        <v>1043</v>
      </c>
      <c r="D7406" s="19">
        <v>60</v>
      </c>
      <c r="E7406" s="19"/>
      <c r="F7406" s="20"/>
      <c r="G7406" s="20"/>
      <c r="H7406" s="20"/>
      <c r="I7406" s="20"/>
    </row>
    <row r="7407" ht="20.35" customHeight="1">
      <c r="A7407" s="10">
        <v>45746</v>
      </c>
      <c r="B7407" t="s" s="11">
        <v>21</v>
      </c>
      <c r="C7407" t="s" s="12">
        <v>1043</v>
      </c>
      <c r="D7407" s="13">
        <v>40</v>
      </c>
      <c r="E7407" s="13"/>
      <c r="F7407" s="14"/>
      <c r="G7407" s="14"/>
      <c r="H7407" s="14"/>
      <c r="I7407" s="14"/>
    </row>
    <row r="7408" ht="20.7" customHeight="1">
      <c r="A7408" s="10">
        <v>45746</v>
      </c>
      <c r="B7408" t="s" s="11">
        <v>8</v>
      </c>
      <c r="C7408" t="s" s="12">
        <v>8</v>
      </c>
      <c r="D7408" s="15" cm="1">
        <f t="array" ref="D7408">SUM(D7404:D7407)</f>
        <v>120</v>
      </c>
      <c r="E7408" s="15" cm="1">
        <f t="array" ref="E7408">SUM(E7404:E7407)</f>
        <v>120</v>
      </c>
      <c r="F7408" s="16" cm="1">
        <f t="array" ref="F7408">SUM(F7404:F7407)</f>
        <v>0</v>
      </c>
      <c r="G7408" s="16" cm="1">
        <f t="array" ref="G7408">SUM(G7404:G7407)</f>
        <v>0</v>
      </c>
      <c r="H7408" s="16" cm="1">
        <f t="array" ref="H7408">SUM(H7404:H7407)</f>
        <v>0</v>
      </c>
      <c r="I7408" s="16" cm="1">
        <f t="array" ref="I7408">SUM(I7404:I7407)</f>
        <v>0</v>
      </c>
    </row>
    <row r="7409" ht="21.25" customHeight="1">
      <c r="A7409" s="10">
        <v>45746</v>
      </c>
      <c r="B7409" t="s" s="11">
        <v>21</v>
      </c>
      <c r="C7409" t="s" s="12">
        <v>1044</v>
      </c>
      <c r="D7409" s="17"/>
      <c r="E7409" s="17">
        <v>3000</v>
      </c>
      <c r="F7409" s="18"/>
      <c r="G7409" s="18"/>
      <c r="H7409" s="18"/>
      <c r="I7409" s="18"/>
    </row>
    <row r="7410" ht="21.25" customHeight="1">
      <c r="A7410" s="10">
        <v>45746</v>
      </c>
      <c r="B7410" t="s" s="11">
        <v>16</v>
      </c>
      <c r="C7410" t="s" s="12">
        <v>1044</v>
      </c>
      <c r="D7410" s="13">
        <v>3000</v>
      </c>
      <c r="E7410" s="13"/>
      <c r="F7410" s="14"/>
      <c r="G7410" s="14"/>
      <c r="H7410" s="14"/>
      <c r="I7410" s="14"/>
    </row>
    <row r="7411" ht="20.7" customHeight="1">
      <c r="A7411" s="10">
        <v>45746</v>
      </c>
      <c r="B7411" t="s" s="11">
        <v>8</v>
      </c>
      <c r="C7411" t="s" s="12">
        <v>8</v>
      </c>
      <c r="D7411" s="15"/>
      <c r="E7411" s="15"/>
      <c r="F7411" s="16"/>
      <c r="G7411" s="16"/>
      <c r="H7411" s="16"/>
      <c r="I7411" s="16"/>
    </row>
    <row r="7412" ht="20.65" customHeight="1">
      <c r="A7412" s="10">
        <v>45747</v>
      </c>
      <c r="B7412" t="s" s="11">
        <v>843</v>
      </c>
      <c r="C7412" t="s" s="12">
        <v>820</v>
      </c>
      <c r="D7412" s="17">
        <v>1</v>
      </c>
      <c r="E7412" s="17"/>
      <c r="F7412" s="18"/>
      <c r="G7412" s="18"/>
      <c r="H7412" s="18"/>
      <c r="I7412" s="18"/>
    </row>
    <row r="7413" ht="20.65" customHeight="1">
      <c r="A7413" s="10">
        <v>45747</v>
      </c>
      <c r="B7413" t="s" s="11">
        <v>91</v>
      </c>
      <c r="C7413" t="s" s="12">
        <v>820</v>
      </c>
      <c r="D7413" s="13"/>
      <c r="E7413" s="13">
        <v>1</v>
      </c>
      <c r="F7413" s="14"/>
      <c r="G7413" s="14"/>
      <c r="H7413" s="14"/>
      <c r="I7413" s="14"/>
    </row>
    <row r="7414" ht="20.7" customHeight="1">
      <c r="A7414" s="10">
        <v>45747</v>
      </c>
      <c r="B7414" t="s" s="11">
        <v>8</v>
      </c>
      <c r="C7414" t="s" s="12">
        <v>8</v>
      </c>
      <c r="D7414" s="15">
        <v>4</v>
      </c>
      <c r="E7414" s="15">
        <v>4</v>
      </c>
      <c r="F7414" s="16" cm="1">
        <f t="array" ref="F7414">SUM(F7412:F7413)</f>
        <v>0</v>
      </c>
      <c r="G7414" s="16" cm="1">
        <f t="array" ref="G7414">SUM(G7412:G7413)</f>
        <v>0</v>
      </c>
      <c r="H7414" s="16" cm="1">
        <f t="array" ref="H7414">SUM(H7412:H7413)</f>
        <v>0</v>
      </c>
      <c r="I7414" s="16" cm="1">
        <f t="array" ref="I7414">SUM(I7412:I7413)</f>
        <v>0</v>
      </c>
    </row>
    <row r="7415" ht="20.65" customHeight="1">
      <c r="A7415" s="10">
        <v>45747</v>
      </c>
      <c r="B7415" t="s" s="11">
        <v>814</v>
      </c>
      <c r="C7415" t="s" s="12">
        <v>820</v>
      </c>
      <c r="D7415" s="17">
        <v>151</v>
      </c>
      <c r="E7415" s="17"/>
      <c r="F7415" s="18"/>
      <c r="G7415" s="18"/>
      <c r="H7415" s="18"/>
      <c r="I7415" s="18"/>
    </row>
    <row r="7416" ht="20.65" customHeight="1">
      <c r="A7416" s="10">
        <v>45747</v>
      </c>
      <c r="B7416" t="s" s="11">
        <v>91</v>
      </c>
      <c r="C7416" t="s" s="12">
        <v>820</v>
      </c>
      <c r="D7416" s="13"/>
      <c r="E7416" s="13">
        <v>151</v>
      </c>
      <c r="F7416" s="14"/>
      <c r="G7416" s="14"/>
      <c r="H7416" s="14"/>
      <c r="I7416" s="14"/>
    </row>
    <row r="7417" ht="20.7" customHeight="1">
      <c r="A7417" s="10">
        <v>45747</v>
      </c>
      <c r="B7417" t="s" s="11">
        <v>8</v>
      </c>
      <c r="C7417" t="s" s="12">
        <v>8</v>
      </c>
      <c r="D7417" s="15" cm="1">
        <f t="array" ref="D7417">SUM(D7415:D7416)</f>
        <v>151</v>
      </c>
      <c r="E7417" s="15" cm="1">
        <f t="array" ref="E7417">SUM(E7415:E7416)</f>
        <v>151</v>
      </c>
      <c r="F7417" s="16" cm="1">
        <f t="array" ref="F7417">SUM(F7415:F7416)</f>
        <v>0</v>
      </c>
      <c r="G7417" s="16" cm="1">
        <f t="array" ref="G7417">SUM(G7415:G7416)</f>
        <v>0</v>
      </c>
      <c r="H7417" s="16" cm="1">
        <f t="array" ref="H7417">SUM(H7415:H7416)</f>
        <v>0</v>
      </c>
      <c r="I7417" s="16" cm="1">
        <f t="array" ref="I7417">SUM(I7415:I7416)</f>
        <v>0</v>
      </c>
    </row>
    <row r="7418" ht="20.35" customHeight="1">
      <c r="A7418" s="10">
        <v>45747</v>
      </c>
      <c r="B7418" t="s" s="11">
        <v>28</v>
      </c>
      <c r="C7418" t="s" s="12">
        <v>1045</v>
      </c>
      <c r="D7418" s="17">
        <v>31900</v>
      </c>
      <c r="E7418" s="17"/>
      <c r="F7418" s="18"/>
      <c r="G7418" s="18"/>
      <c r="H7418" s="18"/>
      <c r="I7418" s="18"/>
    </row>
    <row r="7419" ht="20.05" customHeight="1">
      <c r="A7419" s="10">
        <v>45747</v>
      </c>
      <c r="B7419" t="s" s="11">
        <v>91</v>
      </c>
      <c r="C7419" t="s" s="12">
        <v>1045</v>
      </c>
      <c r="D7419" s="19"/>
      <c r="E7419" s="19">
        <v>128</v>
      </c>
      <c r="F7419" s="20"/>
      <c r="G7419" s="20"/>
      <c r="H7419" s="20"/>
      <c r="I7419" s="20"/>
    </row>
    <row r="7420" ht="20.35" customHeight="1">
      <c r="A7420" s="10">
        <v>45747</v>
      </c>
      <c r="B7420" t="s" s="11">
        <v>89</v>
      </c>
      <c r="C7420" t="s" s="12">
        <v>1045</v>
      </c>
      <c r="D7420" s="13"/>
      <c r="E7420" s="13">
        <v>31772</v>
      </c>
      <c r="F7420" s="14"/>
      <c r="G7420" s="14"/>
      <c r="H7420" s="14"/>
      <c r="I7420" s="14"/>
    </row>
    <row r="7421" ht="20.7" customHeight="1">
      <c r="A7421" s="10">
        <v>45747</v>
      </c>
      <c r="B7421" t="s" s="11">
        <v>8</v>
      </c>
      <c r="C7421" t="s" s="12">
        <v>8</v>
      </c>
      <c r="D7421" s="15" cm="1">
        <f t="array" ref="D7421">SUM(D7418:D7420)</f>
        <v>31900</v>
      </c>
      <c r="E7421" s="15" cm="1">
        <f t="array" ref="E7421">SUM(E7418:E7420)</f>
        <v>31900</v>
      </c>
      <c r="F7421" s="16" cm="1">
        <f t="array" ref="F7421">SUM(F7418:F7420)</f>
        <v>0</v>
      </c>
      <c r="G7421" s="16" cm="1">
        <f t="array" ref="G7421">SUM(G7418:G7420)</f>
        <v>0</v>
      </c>
      <c r="H7421" s="16" cm="1">
        <f t="array" ref="H7421">SUM(H7418:H7420)</f>
        <v>0</v>
      </c>
      <c r="I7421" s="16" cm="1">
        <f t="array" ref="I7421">SUM(I7418:I7420)</f>
        <v>0</v>
      </c>
    </row>
    <row r="7422" ht="21.25" customHeight="1">
      <c r="A7422" s="10">
        <v>45747</v>
      </c>
      <c r="B7422" t="s" s="11">
        <v>91</v>
      </c>
      <c r="C7422" t="s" s="12">
        <v>816</v>
      </c>
      <c r="D7422" s="17"/>
      <c r="E7422" s="17">
        <v>12</v>
      </c>
      <c r="F7422" s="18"/>
      <c r="G7422" s="18"/>
      <c r="H7422" s="18"/>
      <c r="I7422" s="18"/>
    </row>
    <row r="7423" ht="21.25" customHeight="1">
      <c r="A7423" s="10">
        <v>45747</v>
      </c>
      <c r="B7423" t="s" s="11">
        <v>121</v>
      </c>
      <c r="C7423" t="s" s="12">
        <v>816</v>
      </c>
      <c r="D7423" s="13">
        <v>12</v>
      </c>
      <c r="E7423" s="13"/>
      <c r="F7423" s="14"/>
      <c r="G7423" s="14"/>
      <c r="H7423" s="14"/>
      <c r="I7423" s="14"/>
    </row>
    <row r="7424" ht="20.7" customHeight="1">
      <c r="A7424" s="10">
        <v>45747</v>
      </c>
      <c r="B7424" t="s" s="11">
        <v>8</v>
      </c>
      <c r="C7424" t="s" s="12">
        <v>8</v>
      </c>
      <c r="D7424" s="15" cm="1">
        <f t="array" ref="D7424">SUM(D7422:D7423)</f>
        <v>12</v>
      </c>
      <c r="E7424" s="15" cm="1">
        <f t="array" ref="E7424">SUM(E7422:E7423)</f>
        <v>12</v>
      </c>
      <c r="F7424" s="16" cm="1">
        <f t="array" ref="F7424">SUM(F7422:F7423)</f>
        <v>0</v>
      </c>
      <c r="G7424" s="16" cm="1">
        <f t="array" ref="G7424">SUM(G7422:G7423)</f>
        <v>0</v>
      </c>
      <c r="H7424" s="16" cm="1">
        <f t="array" ref="H7424">SUM(H7422:H7423)</f>
        <v>0</v>
      </c>
      <c r="I7424" s="16" cm="1">
        <f t="array" ref="I7424">SUM(I7422:I7423)</f>
        <v>0</v>
      </c>
    </row>
    <row r="7425" ht="21.25" customHeight="1">
      <c r="A7425" s="10">
        <v>45748</v>
      </c>
      <c r="B7425" t="s" s="11">
        <v>97</v>
      </c>
      <c r="C7425" t="s" s="12">
        <v>1046</v>
      </c>
      <c r="D7425" s="17"/>
      <c r="E7425" s="17">
        <v>800000</v>
      </c>
      <c r="F7425" s="18"/>
      <c r="G7425" s="18"/>
      <c r="H7425" s="18"/>
      <c r="I7425" s="18"/>
    </row>
    <row r="7426" ht="21.25" customHeight="1">
      <c r="A7426" s="10">
        <v>45748</v>
      </c>
      <c r="B7426" t="s" s="11">
        <v>99</v>
      </c>
      <c r="C7426" t="s" s="12">
        <v>1046</v>
      </c>
      <c r="D7426" s="13">
        <v>800000</v>
      </c>
      <c r="E7426" s="13"/>
      <c r="F7426" s="14"/>
      <c r="G7426" s="14"/>
      <c r="H7426" s="14"/>
      <c r="I7426" s="14"/>
    </row>
    <row r="7427" ht="20.7" customHeight="1">
      <c r="A7427" s="10">
        <v>45748</v>
      </c>
      <c r="B7427" t="s" s="11">
        <v>8</v>
      </c>
      <c r="C7427" t="s" s="12">
        <v>8</v>
      </c>
      <c r="D7427" s="15" cm="1">
        <f t="array" ref="D7427">SUM(D7425:D7426)</f>
        <v>800000</v>
      </c>
      <c r="E7427" s="15" cm="1">
        <f t="array" ref="E7427">SUM(E7425:E7426)</f>
        <v>800000</v>
      </c>
      <c r="F7427" s="16" cm="1">
        <f t="array" ref="F7427">SUM(F7425:F7426)</f>
        <v>0</v>
      </c>
      <c r="G7427" s="16" cm="1">
        <f t="array" ref="G7427">SUM(G7425:G7426)</f>
        <v>0</v>
      </c>
      <c r="H7427" s="16" cm="1">
        <f t="array" ref="H7427">SUM(H7425:H7426)</f>
        <v>0</v>
      </c>
      <c r="I7427" s="16" cm="1">
        <f t="array" ref="I7427">SUM(I7425:I7426)</f>
        <v>0</v>
      </c>
    </row>
    <row r="7428" ht="21.25" customHeight="1">
      <c r="A7428" s="10">
        <v>45748</v>
      </c>
      <c r="B7428" t="s" s="11">
        <v>106</v>
      </c>
      <c r="C7428" t="s" s="12">
        <v>1047</v>
      </c>
      <c r="D7428" s="17"/>
      <c r="E7428" s="17">
        <v>17500</v>
      </c>
      <c r="F7428" s="18"/>
      <c r="G7428" s="18"/>
      <c r="H7428" s="18"/>
      <c r="I7428" s="18"/>
    </row>
    <row r="7429" ht="21.25" customHeight="1">
      <c r="A7429" s="10">
        <v>45748</v>
      </c>
      <c r="B7429" t="s" s="11">
        <v>10</v>
      </c>
      <c r="C7429" t="s" s="12">
        <v>1047</v>
      </c>
      <c r="D7429" s="13">
        <v>17500</v>
      </c>
      <c r="E7429" s="13"/>
      <c r="F7429" s="14"/>
      <c r="G7429" s="14"/>
      <c r="H7429" s="14"/>
      <c r="I7429" s="14"/>
    </row>
    <row r="7430" ht="20.7" customHeight="1">
      <c r="A7430" s="10">
        <v>45748</v>
      </c>
      <c r="B7430" t="s" s="11">
        <v>8</v>
      </c>
      <c r="C7430" t="s" s="12">
        <v>8</v>
      </c>
      <c r="D7430" s="15" cm="1">
        <f t="array" ref="D7430">SUM(D7428:D7429)</f>
        <v>17500</v>
      </c>
      <c r="E7430" s="15" cm="1">
        <f t="array" ref="E7430">SUM(E7428:E7429)</f>
        <v>17500</v>
      </c>
      <c r="F7430" s="16" cm="1">
        <f t="array" ref="F7430">SUM(F7428:F7429)</f>
        <v>0</v>
      </c>
      <c r="G7430" s="16" cm="1">
        <f t="array" ref="G7430">SUM(G7428:G7429)</f>
        <v>0</v>
      </c>
      <c r="H7430" s="16" cm="1">
        <f t="array" ref="H7430">SUM(H7428:H7429)</f>
        <v>0</v>
      </c>
      <c r="I7430" s="16" cm="1">
        <f t="array" ref="I7430">SUM(I7428:I7429)</f>
        <v>0</v>
      </c>
    </row>
    <row r="7431" ht="20.65" customHeight="1">
      <c r="A7431" s="10">
        <v>45748</v>
      </c>
      <c r="B7431" t="s" s="11">
        <v>843</v>
      </c>
      <c r="C7431" t="s" s="12">
        <v>820</v>
      </c>
      <c r="D7431" s="17">
        <v>1</v>
      </c>
      <c r="E7431" s="17"/>
      <c r="F7431" s="18"/>
      <c r="G7431" s="18"/>
      <c r="H7431" s="18"/>
      <c r="I7431" s="18"/>
    </row>
    <row r="7432" ht="20.65" customHeight="1">
      <c r="A7432" s="10">
        <v>45748</v>
      </c>
      <c r="B7432" t="s" s="11">
        <v>7</v>
      </c>
      <c r="C7432" t="s" s="12">
        <v>820</v>
      </c>
      <c r="D7432" s="13"/>
      <c r="E7432" s="13">
        <v>1</v>
      </c>
      <c r="F7432" s="14"/>
      <c r="G7432" s="14"/>
      <c r="H7432" s="14"/>
      <c r="I7432" s="14"/>
    </row>
    <row r="7433" ht="20.7" customHeight="1">
      <c r="A7433" s="10">
        <v>45748</v>
      </c>
      <c r="B7433" t="s" s="11">
        <v>8</v>
      </c>
      <c r="C7433" t="s" s="12">
        <v>8</v>
      </c>
      <c r="D7433" s="15" cm="1">
        <f t="array" ref="D7433">SUM(D7431:D7432)</f>
        <v>1</v>
      </c>
      <c r="E7433" s="15" cm="1">
        <f t="array" ref="E7433">SUM(E7431:E7432)</f>
        <v>1</v>
      </c>
      <c r="F7433" s="16" cm="1">
        <f t="array" ref="F7433">SUM(F7431:F7432)</f>
        <v>0</v>
      </c>
      <c r="G7433" s="16" cm="1">
        <f t="array" ref="G7433">SUM(G7431:G7432)</f>
        <v>0</v>
      </c>
      <c r="H7433" s="16" cm="1">
        <f t="array" ref="H7433">SUM(H7431:H7432)</f>
        <v>0</v>
      </c>
      <c r="I7433" s="16" cm="1">
        <f t="array" ref="I7433">SUM(I7431:I7432)</f>
        <v>0</v>
      </c>
    </row>
    <row r="7434" ht="20.65" customHeight="1">
      <c r="A7434" s="10">
        <v>45748</v>
      </c>
      <c r="B7434" t="s" s="11">
        <v>121</v>
      </c>
      <c r="C7434" t="s" s="12">
        <v>1048</v>
      </c>
      <c r="D7434" s="17">
        <v>4</v>
      </c>
      <c r="E7434" s="17"/>
      <c r="F7434" s="18"/>
      <c r="G7434" s="18"/>
      <c r="H7434" s="18"/>
      <c r="I7434" s="18"/>
    </row>
    <row r="7435" ht="20.65" customHeight="1">
      <c r="A7435" s="10">
        <v>45748</v>
      </c>
      <c r="B7435" t="s" s="11">
        <v>7</v>
      </c>
      <c r="C7435" t="s" s="12">
        <v>1048</v>
      </c>
      <c r="D7435" s="13"/>
      <c r="E7435" s="13">
        <v>4</v>
      </c>
      <c r="F7435" s="14"/>
      <c r="G7435" s="14"/>
      <c r="H7435" s="14"/>
      <c r="I7435" s="14"/>
    </row>
    <row r="7436" ht="20.7" customHeight="1">
      <c r="A7436" s="10">
        <v>45748</v>
      </c>
      <c r="B7436" t="s" s="11">
        <v>8</v>
      </c>
      <c r="C7436" t="s" s="12">
        <v>8</v>
      </c>
      <c r="D7436" s="15" cm="1">
        <f t="array" ref="D7436">SUM(D7434:D7435)</f>
        <v>4</v>
      </c>
      <c r="E7436" s="15" cm="1">
        <f t="array" ref="E7436">SUM(E7434:E7435)</f>
        <v>4</v>
      </c>
      <c r="F7436" s="16" cm="1">
        <f t="array" ref="F7436">SUM(F7434:F7435)</f>
        <v>0</v>
      </c>
      <c r="G7436" s="16" cm="1">
        <f t="array" ref="G7436">SUM(G7434:G7435)</f>
        <v>0</v>
      </c>
      <c r="H7436" s="16" cm="1">
        <f t="array" ref="H7436">SUM(H7434:H7435)</f>
        <v>0</v>
      </c>
      <c r="I7436" s="16" cm="1">
        <f t="array" ref="I7436">SUM(I7434:I7435)</f>
        <v>0</v>
      </c>
    </row>
    <row r="7437" ht="20.65" customHeight="1">
      <c r="A7437" s="10">
        <v>45748</v>
      </c>
      <c r="B7437" t="s" s="11">
        <v>814</v>
      </c>
      <c r="C7437" t="s" s="12">
        <v>820</v>
      </c>
      <c r="D7437" s="17">
        <v>151</v>
      </c>
      <c r="E7437" s="17"/>
      <c r="F7437" s="18"/>
      <c r="G7437" s="18"/>
      <c r="H7437" s="18"/>
      <c r="I7437" s="18"/>
    </row>
    <row r="7438" ht="20.65" customHeight="1">
      <c r="A7438" s="10">
        <v>45748</v>
      </c>
      <c r="B7438" t="s" s="11">
        <v>7</v>
      </c>
      <c r="C7438" t="s" s="12">
        <v>820</v>
      </c>
      <c r="D7438" s="13"/>
      <c r="E7438" s="13">
        <v>151</v>
      </c>
      <c r="F7438" s="14"/>
      <c r="G7438" s="14"/>
      <c r="H7438" s="14"/>
      <c r="I7438" s="14"/>
    </row>
    <row r="7439" ht="20.7" customHeight="1">
      <c r="A7439" s="10">
        <v>45748</v>
      </c>
      <c r="B7439" t="s" s="11">
        <v>8</v>
      </c>
      <c r="C7439" t="s" s="12">
        <v>8</v>
      </c>
      <c r="D7439" s="15" cm="1">
        <f t="array" ref="D7439">SUM(D7437:D7438)</f>
        <v>151</v>
      </c>
      <c r="E7439" s="15" cm="1">
        <f t="array" ref="E7439">SUM(E7437:E7438)</f>
        <v>151</v>
      </c>
      <c r="F7439" s="16" cm="1">
        <f t="array" ref="F7439">SUM(F7437:F7438)</f>
        <v>0</v>
      </c>
      <c r="G7439" s="16" cm="1">
        <f t="array" ref="G7439">SUM(G7437:G7438)</f>
        <v>0</v>
      </c>
      <c r="H7439" s="16" cm="1">
        <f t="array" ref="H7439">SUM(H7437:H7438)</f>
        <v>0</v>
      </c>
      <c r="I7439" s="16" cm="1">
        <f t="array" ref="I7439">SUM(I7437:I7438)</f>
        <v>0</v>
      </c>
    </row>
    <row r="7440" ht="21.25" customHeight="1">
      <c r="A7440" s="10">
        <v>45748</v>
      </c>
      <c r="B7440" t="s" s="11">
        <v>5</v>
      </c>
      <c r="C7440" t="s" s="12">
        <v>1049</v>
      </c>
      <c r="D7440" s="17">
        <v>33</v>
      </c>
      <c r="E7440" s="17"/>
      <c r="F7440" s="18"/>
      <c r="G7440" s="18"/>
      <c r="H7440" s="18"/>
      <c r="I7440" s="18"/>
    </row>
    <row r="7441" ht="21.25" customHeight="1">
      <c r="A7441" s="10">
        <v>45748</v>
      </c>
      <c r="B7441" t="s" s="11">
        <v>7</v>
      </c>
      <c r="C7441" t="s" s="12">
        <v>1049</v>
      </c>
      <c r="D7441" s="13"/>
      <c r="E7441" s="13">
        <v>33</v>
      </c>
      <c r="F7441" s="14"/>
      <c r="G7441" s="14"/>
      <c r="H7441" s="14"/>
      <c r="I7441" s="14"/>
    </row>
    <row r="7442" ht="20.7" customHeight="1">
      <c r="A7442" s="10">
        <v>45748</v>
      </c>
      <c r="B7442" t="s" s="11">
        <v>8</v>
      </c>
      <c r="C7442" t="s" s="12">
        <v>8</v>
      </c>
      <c r="D7442" s="15" cm="1">
        <f t="array" ref="D7442">SUM(D7440:D7441)</f>
        <v>33</v>
      </c>
      <c r="E7442" s="15" cm="1">
        <f t="array" ref="E7442">SUM(E7440:E7441)</f>
        <v>33</v>
      </c>
      <c r="F7442" s="16" cm="1">
        <f t="array" ref="F7442">SUM(F7440:F7441)</f>
        <v>0</v>
      </c>
      <c r="G7442" s="16" cm="1">
        <f t="array" ref="G7442">SUM(G7440:G7441)</f>
        <v>0</v>
      </c>
      <c r="H7442" s="16" cm="1">
        <f t="array" ref="H7442">SUM(H7440:H7441)</f>
        <v>0</v>
      </c>
      <c r="I7442" s="16" cm="1">
        <f t="array" ref="I7442">SUM(I7440:I7441)</f>
        <v>0</v>
      </c>
    </row>
    <row r="7443" ht="20.35" customHeight="1">
      <c r="A7443" s="10">
        <v>45748</v>
      </c>
      <c r="B7443" t="s" s="11">
        <v>28</v>
      </c>
      <c r="C7443" t="s" s="12">
        <v>96</v>
      </c>
      <c r="D7443" s="17"/>
      <c r="E7443" s="17">
        <v>65000</v>
      </c>
      <c r="F7443" s="18"/>
      <c r="G7443" s="18"/>
      <c r="H7443" s="18"/>
      <c r="I7443" s="18"/>
    </row>
    <row r="7444" ht="20.35" customHeight="1">
      <c r="A7444" s="10">
        <v>45748</v>
      </c>
      <c r="B7444" t="s" s="11">
        <v>5</v>
      </c>
      <c r="C7444" t="s" s="12">
        <v>96</v>
      </c>
      <c r="D7444" s="13">
        <v>65000</v>
      </c>
      <c r="E7444" s="13"/>
      <c r="F7444" s="14"/>
      <c r="G7444" s="14"/>
      <c r="H7444" s="14"/>
      <c r="I7444" s="14"/>
    </row>
    <row r="7445" ht="20.7" customHeight="1">
      <c r="A7445" s="10">
        <v>45748</v>
      </c>
      <c r="B7445" t="s" s="11">
        <v>8</v>
      </c>
      <c r="C7445" t="s" s="12">
        <v>8</v>
      </c>
      <c r="D7445" s="15" cm="1">
        <f t="array" ref="D7445">SUM(D7443:D7444)</f>
        <v>65000</v>
      </c>
      <c r="E7445" s="15" cm="1">
        <f t="array" ref="E7445">SUM(E7443:E7444)</f>
        <v>65000</v>
      </c>
      <c r="F7445" s="16" cm="1">
        <f t="array" ref="F7445">SUM(F7443:F7444)</f>
        <v>0</v>
      </c>
      <c r="G7445" s="16" cm="1">
        <f t="array" ref="G7445">SUM(G7443:G7444)</f>
        <v>0</v>
      </c>
      <c r="H7445" s="16" cm="1">
        <f t="array" ref="H7445">SUM(H7443:H7444)</f>
        <v>0</v>
      </c>
      <c r="I7445" s="16" cm="1">
        <f t="array" ref="I7445">SUM(I7443:I7444)</f>
        <v>0</v>
      </c>
    </row>
    <row r="7446" ht="21.25" customHeight="1">
      <c r="A7446" s="10">
        <v>45748</v>
      </c>
      <c r="B7446" t="s" s="11">
        <v>81</v>
      </c>
      <c r="C7446" t="s" s="12">
        <v>1050</v>
      </c>
      <c r="D7446" s="17"/>
      <c r="E7446" s="17">
        <v>65270</v>
      </c>
      <c r="F7446" s="18"/>
      <c r="G7446" s="18"/>
      <c r="H7446" s="18"/>
      <c r="I7446" s="18"/>
    </row>
    <row r="7447" ht="21.25" customHeight="1">
      <c r="A7447" s="10">
        <v>45748</v>
      </c>
      <c r="B7447" t="s" s="11">
        <v>822</v>
      </c>
      <c r="C7447" t="s" s="12">
        <v>1050</v>
      </c>
      <c r="D7447" s="13">
        <v>65270</v>
      </c>
      <c r="E7447" s="13"/>
      <c r="F7447" s="14"/>
      <c r="G7447" s="14"/>
      <c r="H7447" s="14"/>
      <c r="I7447" s="14"/>
    </row>
    <row r="7448" ht="20.7" customHeight="1">
      <c r="A7448" s="10">
        <v>45748</v>
      </c>
      <c r="B7448" t="s" s="11">
        <v>8</v>
      </c>
      <c r="C7448" t="s" s="12">
        <v>8</v>
      </c>
      <c r="D7448" s="15" cm="1">
        <f t="array" ref="D7448">SUM(D7446:D7447)</f>
        <v>65270</v>
      </c>
      <c r="E7448" s="15" cm="1">
        <f t="array" ref="E7448">SUM(E7446:E7447)</f>
        <v>65270</v>
      </c>
      <c r="F7448" s="16" cm="1">
        <f t="array" ref="F7448">SUM(F7446:F7447)</f>
        <v>0</v>
      </c>
      <c r="G7448" s="16" cm="1">
        <f t="array" ref="G7448">SUM(G7446:G7447)</f>
        <v>0</v>
      </c>
      <c r="H7448" s="16" cm="1">
        <f t="array" ref="H7448">SUM(H7446:H7447)</f>
        <v>0</v>
      </c>
      <c r="I7448" s="16" cm="1">
        <f t="array" ref="I7448">SUM(I7446:I7447)</f>
        <v>0</v>
      </c>
    </row>
    <row r="7449" ht="20.35" customHeight="1">
      <c r="A7449" s="10">
        <v>45748</v>
      </c>
      <c r="B7449" t="s" s="11">
        <v>5</v>
      </c>
      <c r="C7449" t="s" s="12">
        <v>735</v>
      </c>
      <c r="D7449" s="17"/>
      <c r="E7449" s="17">
        <v>10000</v>
      </c>
      <c r="F7449" s="18"/>
      <c r="G7449" s="18"/>
      <c r="H7449" s="18"/>
      <c r="I7449" s="18"/>
    </row>
    <row r="7450" ht="20.35" customHeight="1">
      <c r="A7450" s="10">
        <v>45748</v>
      </c>
      <c r="B7450" t="s" s="11">
        <v>28</v>
      </c>
      <c r="C7450" t="s" s="12">
        <v>735</v>
      </c>
      <c r="D7450" s="13">
        <v>10000</v>
      </c>
      <c r="E7450" s="13"/>
      <c r="F7450" s="14"/>
      <c r="G7450" s="14"/>
      <c r="H7450" s="14"/>
      <c r="I7450" s="14"/>
    </row>
    <row r="7451" ht="20.7" customHeight="1">
      <c r="A7451" s="10">
        <v>45748</v>
      </c>
      <c r="B7451" t="s" s="11">
        <v>8</v>
      </c>
      <c r="C7451" t="s" s="12">
        <v>8</v>
      </c>
      <c r="D7451" s="15" cm="1">
        <f t="array" ref="D7451">SUM(D7449:D7450)</f>
        <v>10000</v>
      </c>
      <c r="E7451" s="15" cm="1">
        <f t="array" ref="E7451">SUM(E7449:E7450)</f>
        <v>10000</v>
      </c>
      <c r="F7451" s="16" cm="1">
        <f t="array" ref="F7451">SUM(F7449:F7450)</f>
        <v>0</v>
      </c>
      <c r="G7451" s="16" cm="1">
        <f t="array" ref="G7451">SUM(G7449:G7450)</f>
        <v>0</v>
      </c>
      <c r="H7451" s="16" cm="1">
        <f t="array" ref="H7451">SUM(H7449:H7450)</f>
        <v>0</v>
      </c>
      <c r="I7451" s="16" cm="1">
        <f t="array" ref="I7451">SUM(I7449:I7450)</f>
        <v>0</v>
      </c>
    </row>
    <row r="7452" ht="20.65" customHeight="1">
      <c r="A7452" s="10">
        <v>45748</v>
      </c>
      <c r="B7452" t="s" s="11">
        <v>28</v>
      </c>
      <c r="C7452" t="s" s="12">
        <v>218</v>
      </c>
      <c r="D7452" s="17"/>
      <c r="E7452" s="17">
        <v>5000</v>
      </c>
      <c r="F7452" s="18"/>
      <c r="G7452" s="18"/>
      <c r="H7452" s="18"/>
      <c r="I7452" s="18"/>
    </row>
    <row r="7453" ht="20.65" customHeight="1">
      <c r="A7453" s="10">
        <v>45748</v>
      </c>
      <c r="B7453" t="s" s="11">
        <v>12</v>
      </c>
      <c r="C7453" t="s" s="12">
        <v>218</v>
      </c>
      <c r="D7453" s="13">
        <v>5000</v>
      </c>
      <c r="E7453" s="13"/>
      <c r="F7453" s="14"/>
      <c r="G7453" s="14"/>
      <c r="H7453" s="14"/>
      <c r="I7453" s="14"/>
    </row>
    <row r="7454" ht="20.7" customHeight="1">
      <c r="A7454" s="10">
        <v>45748</v>
      </c>
      <c r="B7454" t="s" s="11">
        <v>8</v>
      </c>
      <c r="C7454" t="s" s="12">
        <v>8</v>
      </c>
      <c r="D7454" s="15" cm="1">
        <f t="array" ref="D7454">SUM(D7452:D7453)</f>
        <v>5000</v>
      </c>
      <c r="E7454" s="15" cm="1">
        <f t="array" ref="E7454">SUM(E7452:E7453)</f>
        <v>5000</v>
      </c>
      <c r="F7454" s="16" cm="1">
        <f t="array" ref="F7454">SUM(F7452:F7453)</f>
        <v>0</v>
      </c>
      <c r="G7454" s="16" cm="1">
        <f t="array" ref="G7454">SUM(G7452:G7453)</f>
        <v>0</v>
      </c>
      <c r="H7454" s="16" cm="1">
        <f t="array" ref="H7454">SUM(H7452:H7453)</f>
        <v>0</v>
      </c>
      <c r="I7454" s="16" cm="1">
        <f t="array" ref="I7454">SUM(I7452:I7453)</f>
        <v>0</v>
      </c>
    </row>
    <row r="7455" ht="21.25" customHeight="1">
      <c r="A7455" s="10">
        <v>45748</v>
      </c>
      <c r="B7455" t="s" s="11">
        <v>5</v>
      </c>
      <c r="C7455" t="s" s="12">
        <v>1051</v>
      </c>
      <c r="D7455" s="17">
        <v>150000</v>
      </c>
      <c r="E7455" s="17"/>
      <c r="F7455" s="18"/>
      <c r="G7455" s="18"/>
      <c r="H7455" s="18"/>
      <c r="I7455" s="18"/>
    </row>
    <row r="7456" ht="21.25" customHeight="1">
      <c r="A7456" s="10">
        <v>45748</v>
      </c>
      <c r="B7456" t="s" s="11">
        <v>91</v>
      </c>
      <c r="C7456" t="s" s="12">
        <v>1051</v>
      </c>
      <c r="D7456" s="13"/>
      <c r="E7456" s="13">
        <v>150000</v>
      </c>
      <c r="F7456" s="14"/>
      <c r="G7456" s="14"/>
      <c r="H7456" s="14"/>
      <c r="I7456" s="14"/>
    </row>
    <row r="7457" ht="20.7" customHeight="1">
      <c r="A7457" s="10">
        <v>45748</v>
      </c>
      <c r="B7457" t="s" s="11">
        <v>8</v>
      </c>
      <c r="C7457" t="s" s="12">
        <v>8</v>
      </c>
      <c r="D7457" s="15" cm="1">
        <f t="array" ref="D7457">SUM(D7455:D7456)</f>
        <v>150000</v>
      </c>
      <c r="E7457" s="15" cm="1">
        <f t="array" ref="E7457">SUM(E7455:E7456)</f>
        <v>150000</v>
      </c>
      <c r="F7457" s="16" cm="1">
        <f t="array" ref="F7457">SUM(F7455:F7456)</f>
        <v>0</v>
      </c>
      <c r="G7457" s="16" cm="1">
        <f t="array" ref="G7457">SUM(G7455:G7456)</f>
        <v>0</v>
      </c>
      <c r="H7457" s="16" cm="1">
        <f t="array" ref="H7457">SUM(H7455:H7456)</f>
        <v>0</v>
      </c>
      <c r="I7457" s="16" cm="1">
        <f t="array" ref="I7457">SUM(I7455:I7456)</f>
        <v>0</v>
      </c>
    </row>
    <row r="7458" ht="20.35" customHeight="1">
      <c r="A7458" s="10">
        <v>45748</v>
      </c>
      <c r="B7458" t="s" s="11">
        <v>5</v>
      </c>
      <c r="C7458" t="s" s="12">
        <v>1052</v>
      </c>
      <c r="D7458" s="17"/>
      <c r="E7458" s="17">
        <v>42000</v>
      </c>
      <c r="F7458" s="18"/>
      <c r="G7458" s="18"/>
      <c r="H7458" s="18"/>
      <c r="I7458" s="18"/>
    </row>
    <row r="7459" ht="20.05" customHeight="1">
      <c r="A7459" s="10">
        <v>45748</v>
      </c>
      <c r="B7459" t="s" s="11">
        <v>10</v>
      </c>
      <c r="C7459" t="s" s="12">
        <v>1052</v>
      </c>
      <c r="D7459" s="19">
        <v>24000</v>
      </c>
      <c r="E7459" s="19"/>
      <c r="F7459" s="20"/>
      <c r="G7459" s="20"/>
      <c r="H7459" s="20"/>
      <c r="I7459" s="20"/>
    </row>
    <row r="7460" ht="20.35" customHeight="1">
      <c r="A7460" s="10">
        <v>45748</v>
      </c>
      <c r="B7460" t="s" s="11">
        <v>12</v>
      </c>
      <c r="C7460" t="s" s="12">
        <v>1052</v>
      </c>
      <c r="D7460" s="13">
        <v>18000</v>
      </c>
      <c r="E7460" s="13"/>
      <c r="F7460" s="14"/>
      <c r="G7460" s="14"/>
      <c r="H7460" s="14"/>
      <c r="I7460" s="14"/>
    </row>
    <row r="7461" ht="20.7" customHeight="1">
      <c r="A7461" s="10">
        <v>45748</v>
      </c>
      <c r="B7461" t="s" s="11">
        <v>8</v>
      </c>
      <c r="C7461" t="s" s="12">
        <v>8</v>
      </c>
      <c r="D7461" s="15" cm="1">
        <f t="array" ref="D7461">SUM(D7458:D7460)</f>
        <v>42000</v>
      </c>
      <c r="E7461" s="15" cm="1">
        <f t="array" ref="E7461">SUM(E7458:E7460)</f>
        <v>42000</v>
      </c>
      <c r="F7461" s="16" cm="1">
        <f t="array" ref="F7461">SUM(F7458:F7460)</f>
        <v>0</v>
      </c>
      <c r="G7461" s="16" cm="1">
        <f t="array" ref="G7461">SUM(G7458:G7460)</f>
        <v>0</v>
      </c>
      <c r="H7461" s="16" cm="1">
        <f t="array" ref="H7461">SUM(H7458:H7460)</f>
        <v>0</v>
      </c>
      <c r="I7461" s="16" cm="1">
        <f t="array" ref="I7461">SUM(I7458:I7460)</f>
        <v>0</v>
      </c>
    </row>
    <row r="7462" ht="21.25" customHeight="1">
      <c r="A7462" s="10">
        <v>45748</v>
      </c>
      <c r="B7462" t="s" s="11">
        <v>21</v>
      </c>
      <c r="C7462" t="s" s="12">
        <v>1053</v>
      </c>
      <c r="D7462" s="17"/>
      <c r="E7462" s="17">
        <v>2800</v>
      </c>
      <c r="F7462" s="18"/>
      <c r="G7462" s="18"/>
      <c r="H7462" s="18"/>
      <c r="I7462" s="18"/>
    </row>
    <row r="7463" ht="21.25" customHeight="1">
      <c r="A7463" s="10">
        <v>45748</v>
      </c>
      <c r="B7463" t="s" s="11">
        <v>16</v>
      </c>
      <c r="C7463" t="s" s="12">
        <v>1053</v>
      </c>
      <c r="D7463" s="13">
        <v>2800</v>
      </c>
      <c r="E7463" s="13"/>
      <c r="F7463" s="14"/>
      <c r="G7463" s="14"/>
      <c r="H7463" s="14"/>
      <c r="I7463" s="14"/>
    </row>
    <row r="7464" ht="20.7" customHeight="1">
      <c r="A7464" s="10">
        <v>45748</v>
      </c>
      <c r="B7464" t="s" s="11">
        <v>8</v>
      </c>
      <c r="C7464" t="s" s="12">
        <v>8</v>
      </c>
      <c r="D7464" s="15" cm="1">
        <f t="array" ref="D7464">SUM(D7462:D7463)</f>
        <v>2800</v>
      </c>
      <c r="E7464" s="15" cm="1">
        <f t="array" ref="E7464">SUM(E7462:E7463)</f>
        <v>2800</v>
      </c>
      <c r="F7464" s="16" cm="1">
        <f t="array" ref="F7464">SUM(F7462:F7463)</f>
        <v>0</v>
      </c>
      <c r="G7464" s="16" cm="1">
        <f t="array" ref="G7464">SUM(G7462:G7463)</f>
        <v>0</v>
      </c>
      <c r="H7464" s="16" cm="1">
        <f t="array" ref="H7464">SUM(H7462:H7463)</f>
        <v>0</v>
      </c>
      <c r="I7464" s="16" cm="1">
        <f t="array" ref="I7464">SUM(I7462:I7463)</f>
        <v>0</v>
      </c>
    </row>
    <row r="7465" ht="20.65" customHeight="1">
      <c r="A7465" s="10">
        <v>45749</v>
      </c>
      <c r="B7465" t="s" s="11">
        <v>843</v>
      </c>
      <c r="C7465" t="s" s="12">
        <v>820</v>
      </c>
      <c r="D7465" s="17">
        <v>1</v>
      </c>
      <c r="E7465" s="17"/>
      <c r="F7465" s="18"/>
      <c r="G7465" s="18"/>
      <c r="H7465" s="18"/>
      <c r="I7465" s="18"/>
    </row>
    <row r="7466" ht="20.65" customHeight="1">
      <c r="A7466" s="10">
        <v>45749</v>
      </c>
      <c r="B7466" t="s" s="11">
        <v>7</v>
      </c>
      <c r="C7466" t="s" s="12">
        <v>820</v>
      </c>
      <c r="D7466" s="13"/>
      <c r="E7466" s="13">
        <v>1</v>
      </c>
      <c r="F7466" s="14"/>
      <c r="G7466" s="14"/>
      <c r="H7466" s="14"/>
      <c r="I7466" s="14"/>
    </row>
    <row r="7467" ht="20.7" customHeight="1">
      <c r="A7467" s="10">
        <v>45749</v>
      </c>
      <c r="B7467" t="s" s="11">
        <v>8</v>
      </c>
      <c r="C7467" t="s" s="12">
        <v>8</v>
      </c>
      <c r="D7467" s="15" cm="1">
        <f t="array" ref="D7467">SUM(D7465:D7466)</f>
        <v>1</v>
      </c>
      <c r="E7467" s="15" cm="1">
        <f t="array" ref="E7467">SUM(E7465:E7466)</f>
        <v>1</v>
      </c>
      <c r="F7467" s="16" cm="1">
        <f t="array" ref="F7467">SUM(F7465:F7466)</f>
        <v>0</v>
      </c>
      <c r="G7467" s="16" cm="1">
        <f t="array" ref="G7467">SUM(G7465:G7466)</f>
        <v>0</v>
      </c>
      <c r="H7467" s="16" cm="1">
        <f t="array" ref="H7467">SUM(H7465:H7466)</f>
        <v>0</v>
      </c>
      <c r="I7467" s="16" cm="1">
        <f t="array" ref="I7467">SUM(I7465:I7466)</f>
        <v>0</v>
      </c>
    </row>
    <row r="7468" ht="20.65" customHeight="1">
      <c r="A7468" s="10">
        <v>45749</v>
      </c>
      <c r="B7468" t="s" s="11">
        <v>814</v>
      </c>
      <c r="C7468" t="s" s="12">
        <v>820</v>
      </c>
      <c r="D7468" s="17">
        <v>151</v>
      </c>
      <c r="E7468" s="17"/>
      <c r="F7468" s="18"/>
      <c r="G7468" s="18"/>
      <c r="H7468" s="18"/>
      <c r="I7468" s="18"/>
    </row>
    <row r="7469" ht="20.65" customHeight="1">
      <c r="A7469" s="10">
        <v>45749</v>
      </c>
      <c r="B7469" t="s" s="11">
        <v>7</v>
      </c>
      <c r="C7469" t="s" s="12">
        <v>820</v>
      </c>
      <c r="D7469" s="13"/>
      <c r="E7469" s="13">
        <v>151</v>
      </c>
      <c r="F7469" s="14"/>
      <c r="G7469" s="14"/>
      <c r="H7469" s="14"/>
      <c r="I7469" s="14"/>
    </row>
    <row r="7470" ht="20.7" customHeight="1">
      <c r="A7470" s="10">
        <v>45749</v>
      </c>
      <c r="B7470" t="s" s="11">
        <v>8</v>
      </c>
      <c r="C7470" t="s" s="12">
        <v>8</v>
      </c>
      <c r="D7470" s="15" cm="1">
        <f t="array" ref="D7470">SUM(D7468:D7469)</f>
        <v>151</v>
      </c>
      <c r="E7470" s="15" cm="1">
        <f t="array" ref="E7470">SUM(E7468:E7469)</f>
        <v>151</v>
      </c>
      <c r="F7470" s="16" cm="1">
        <f t="array" ref="F7470">SUM(F7468:F7469)</f>
        <v>0</v>
      </c>
      <c r="G7470" s="16" cm="1">
        <f t="array" ref="G7470">SUM(G7468:G7469)</f>
        <v>0</v>
      </c>
      <c r="H7470" s="16" cm="1">
        <f t="array" ref="H7470">SUM(H7468:H7469)</f>
        <v>0</v>
      </c>
      <c r="I7470" s="16" cm="1">
        <f t="array" ref="I7470">SUM(I7468:I7469)</f>
        <v>0</v>
      </c>
    </row>
    <row r="7471" ht="20.35" customHeight="1">
      <c r="A7471" s="10">
        <v>45749</v>
      </c>
      <c r="B7471" t="s" s="11">
        <v>5</v>
      </c>
      <c r="C7471" t="s" s="12">
        <v>439</v>
      </c>
      <c r="D7471" s="17"/>
      <c r="E7471" s="17">
        <v>157429</v>
      </c>
      <c r="F7471" s="18"/>
      <c r="G7471" s="18"/>
      <c r="H7471" s="18"/>
      <c r="I7471" s="18"/>
    </row>
    <row r="7472" ht="20.35" customHeight="1">
      <c r="A7472" s="10">
        <v>45749</v>
      </c>
      <c r="B7472" t="s" s="11">
        <v>121</v>
      </c>
      <c r="C7472" t="s" s="12">
        <v>439</v>
      </c>
      <c r="D7472" s="13">
        <v>157429</v>
      </c>
      <c r="E7472" s="13"/>
      <c r="F7472" s="14"/>
      <c r="G7472" s="14"/>
      <c r="H7472" s="14"/>
      <c r="I7472" s="14"/>
    </row>
    <row r="7473" ht="20.7" customHeight="1">
      <c r="A7473" s="10">
        <v>45749</v>
      </c>
      <c r="B7473" t="s" s="11">
        <v>8</v>
      </c>
      <c r="C7473" t="s" s="12">
        <v>8</v>
      </c>
      <c r="D7473" s="15" cm="1">
        <f t="array" ref="D7473">SUM(D7471:D7472)</f>
        <v>157429</v>
      </c>
      <c r="E7473" s="15" cm="1">
        <f t="array" ref="E7473">SUM(E7471:E7472)</f>
        <v>157429</v>
      </c>
      <c r="F7473" s="16" cm="1">
        <f t="array" ref="F7473">SUM(F7471:F7472)</f>
        <v>0</v>
      </c>
      <c r="G7473" s="16" cm="1">
        <f t="array" ref="G7473">SUM(G7471:G7472)</f>
        <v>0</v>
      </c>
      <c r="H7473" s="16" cm="1">
        <f t="array" ref="H7473">SUM(H7471:H7472)</f>
        <v>0</v>
      </c>
      <c r="I7473" s="16" cm="1">
        <f t="array" ref="I7473">SUM(I7471:I7472)</f>
        <v>0</v>
      </c>
    </row>
    <row r="7474" ht="20.35" customHeight="1">
      <c r="A7474" s="10">
        <v>45749</v>
      </c>
      <c r="B7474" t="s" s="11">
        <v>121</v>
      </c>
      <c r="C7474" t="s" s="12">
        <v>974</v>
      </c>
      <c r="D7474" s="17"/>
      <c r="E7474" s="17">
        <v>5800</v>
      </c>
      <c r="F7474" s="18"/>
      <c r="G7474" s="18"/>
      <c r="H7474" s="18"/>
      <c r="I7474" s="18"/>
    </row>
    <row r="7475" ht="20.35" customHeight="1">
      <c r="A7475" s="10">
        <v>45749</v>
      </c>
      <c r="B7475" t="s" s="11">
        <v>12</v>
      </c>
      <c r="C7475" t="s" s="12">
        <v>974</v>
      </c>
      <c r="D7475" s="13">
        <v>5800</v>
      </c>
      <c r="E7475" s="13"/>
      <c r="F7475" s="14"/>
      <c r="G7475" s="14"/>
      <c r="H7475" s="14"/>
      <c r="I7475" s="14"/>
    </row>
    <row r="7476" ht="20.7" customHeight="1">
      <c r="A7476" s="10">
        <v>45749</v>
      </c>
      <c r="B7476" t="s" s="11">
        <v>8</v>
      </c>
      <c r="C7476" t="s" s="12">
        <v>8</v>
      </c>
      <c r="D7476" s="15" cm="1">
        <f t="array" ref="D7476">SUM(D7474:D7475)</f>
        <v>5800</v>
      </c>
      <c r="E7476" s="15" cm="1">
        <f t="array" ref="E7476">SUM(E7474:E7475)</f>
        <v>5800</v>
      </c>
      <c r="F7476" s="16" cm="1">
        <f t="array" ref="F7476">SUM(F7474:F7475)</f>
        <v>0</v>
      </c>
      <c r="G7476" s="16" cm="1">
        <f t="array" ref="G7476">SUM(G7474:G7475)</f>
        <v>0</v>
      </c>
      <c r="H7476" s="16" cm="1">
        <f t="array" ref="H7476">SUM(H7474:H7475)</f>
        <v>0</v>
      </c>
      <c r="I7476" s="16" cm="1">
        <f t="array" ref="I7476">SUM(I7474:I7475)</f>
        <v>0</v>
      </c>
    </row>
    <row r="7477" ht="21.25" customHeight="1">
      <c r="A7477" s="10">
        <v>45749</v>
      </c>
      <c r="B7477" t="s" s="11">
        <v>121</v>
      </c>
      <c r="C7477" t="s" s="12">
        <v>1054</v>
      </c>
      <c r="D7477" s="17"/>
      <c r="E7477" s="17">
        <v>6900</v>
      </c>
      <c r="F7477" s="18"/>
      <c r="G7477" s="18"/>
      <c r="H7477" s="18"/>
      <c r="I7477" s="18"/>
    </row>
    <row r="7478" ht="21.25" customHeight="1">
      <c r="A7478" s="10">
        <v>45749</v>
      </c>
      <c r="B7478" t="s" s="11">
        <v>10</v>
      </c>
      <c r="C7478" t="s" s="12">
        <v>1054</v>
      </c>
      <c r="D7478" s="13">
        <v>6900</v>
      </c>
      <c r="E7478" s="13"/>
      <c r="F7478" s="14"/>
      <c r="G7478" s="14"/>
      <c r="H7478" s="14"/>
      <c r="I7478" s="14"/>
    </row>
    <row r="7479" ht="20.7" customHeight="1">
      <c r="A7479" s="10">
        <v>45749</v>
      </c>
      <c r="B7479" t="s" s="11">
        <v>8</v>
      </c>
      <c r="C7479" t="s" s="12">
        <v>8</v>
      </c>
      <c r="D7479" s="15" cm="1">
        <f t="array" ref="D7479">SUM(D7477:D7478)</f>
        <v>6900</v>
      </c>
      <c r="E7479" s="15" cm="1">
        <f t="array" ref="E7479">SUM(E7477:E7478)</f>
        <v>6900</v>
      </c>
      <c r="F7479" s="16" cm="1">
        <f t="array" ref="F7479">SUM(F7477:F7478)</f>
        <v>0</v>
      </c>
      <c r="G7479" s="16" cm="1">
        <f t="array" ref="G7479">SUM(G7477:G7478)</f>
        <v>0</v>
      </c>
      <c r="H7479" s="16" cm="1">
        <f t="array" ref="H7479">SUM(H7477:H7478)</f>
        <v>0</v>
      </c>
      <c r="I7479" s="16" cm="1">
        <f t="array" ref="I7479">SUM(I7477:I7478)</f>
        <v>0</v>
      </c>
    </row>
    <row r="7480" ht="21.25" customHeight="1">
      <c r="A7480" s="10">
        <v>45749</v>
      </c>
      <c r="B7480" t="s" s="11">
        <v>5</v>
      </c>
      <c r="C7480" t="s" s="12">
        <v>1055</v>
      </c>
      <c r="D7480" s="17"/>
      <c r="E7480" s="17">
        <v>21900</v>
      </c>
      <c r="F7480" s="18"/>
      <c r="G7480" s="18"/>
      <c r="H7480" s="18"/>
      <c r="I7480" s="18"/>
    </row>
    <row r="7481" ht="20.9" customHeight="1">
      <c r="A7481" s="10">
        <v>45749</v>
      </c>
      <c r="B7481" t="s" s="11">
        <v>12</v>
      </c>
      <c r="C7481" t="s" s="12">
        <v>1055</v>
      </c>
      <c r="D7481" s="19">
        <v>10950</v>
      </c>
      <c r="E7481" s="19"/>
      <c r="F7481" s="20"/>
      <c r="G7481" s="20"/>
      <c r="H7481" s="20"/>
      <c r="I7481" s="20"/>
    </row>
    <row r="7482" ht="21.25" customHeight="1">
      <c r="A7482" s="10">
        <v>45749</v>
      </c>
      <c r="B7482" t="s" s="11">
        <v>89</v>
      </c>
      <c r="C7482" t="s" s="12">
        <v>1055</v>
      </c>
      <c r="D7482" s="13">
        <v>10950</v>
      </c>
      <c r="E7482" s="13"/>
      <c r="F7482" s="14"/>
      <c r="G7482" s="14"/>
      <c r="H7482" s="14"/>
      <c r="I7482" s="14"/>
    </row>
    <row r="7483" ht="20.7" customHeight="1">
      <c r="A7483" s="10">
        <v>45749</v>
      </c>
      <c r="B7483" t="s" s="11">
        <v>8</v>
      </c>
      <c r="C7483" t="s" s="12">
        <v>8</v>
      </c>
      <c r="D7483" s="15" cm="1">
        <f t="array" ref="D7483">SUM(D7480:D7482)</f>
        <v>21900</v>
      </c>
      <c r="E7483" s="15" cm="1">
        <f t="array" ref="E7483">SUM(E7480:E7482)</f>
        <v>21900</v>
      </c>
      <c r="F7483" s="16" cm="1">
        <f t="array" ref="F7483">SUM(F7480:F7482)</f>
        <v>0</v>
      </c>
      <c r="G7483" s="16" cm="1">
        <f t="array" ref="G7483">SUM(G7480:G7482)</f>
        <v>0</v>
      </c>
      <c r="H7483" s="16" cm="1">
        <f t="array" ref="H7483">SUM(H7480:H7482)</f>
        <v>0</v>
      </c>
      <c r="I7483" s="16" cm="1">
        <f t="array" ref="I7483">SUM(I7480:I7482)</f>
        <v>0</v>
      </c>
    </row>
    <row r="7484" ht="20.35" customHeight="1">
      <c r="A7484" s="10">
        <v>45749</v>
      </c>
      <c r="B7484" t="s" s="11">
        <v>5</v>
      </c>
      <c r="C7484" t="s" s="12">
        <v>1056</v>
      </c>
      <c r="D7484" s="17"/>
      <c r="E7484" s="17">
        <v>14980</v>
      </c>
      <c r="F7484" s="18"/>
      <c r="G7484" s="18"/>
      <c r="H7484" s="18"/>
      <c r="I7484" s="18"/>
    </row>
    <row r="7485" ht="20.35" customHeight="1">
      <c r="A7485" s="10">
        <v>45749</v>
      </c>
      <c r="B7485" t="s" s="11">
        <v>10</v>
      </c>
      <c r="C7485" t="s" s="12">
        <v>1056</v>
      </c>
      <c r="D7485" s="13">
        <v>14980</v>
      </c>
      <c r="E7485" s="13"/>
      <c r="F7485" s="14"/>
      <c r="G7485" s="14"/>
      <c r="H7485" s="14"/>
      <c r="I7485" s="14"/>
    </row>
    <row r="7486" ht="20.7" customHeight="1">
      <c r="A7486" s="10">
        <v>45749</v>
      </c>
      <c r="B7486" t="s" s="11">
        <v>8</v>
      </c>
      <c r="C7486" t="s" s="12">
        <v>8</v>
      </c>
      <c r="D7486" s="15" cm="1">
        <f t="array" ref="D7486">SUM(D7484:D7485)</f>
        <v>14980</v>
      </c>
      <c r="E7486" s="15" cm="1">
        <f t="array" ref="E7486">SUM(E7484:E7485)</f>
        <v>14980</v>
      </c>
      <c r="F7486" s="16" cm="1">
        <f t="array" ref="F7486">SUM(F7484:F7485)</f>
        <v>0</v>
      </c>
      <c r="G7486" s="16" cm="1">
        <f t="array" ref="G7486">SUM(G7484:G7485)</f>
        <v>0</v>
      </c>
      <c r="H7486" s="16" cm="1">
        <f t="array" ref="H7486">SUM(H7484:H7485)</f>
        <v>0</v>
      </c>
      <c r="I7486" s="16" cm="1">
        <f t="array" ref="I7486">SUM(I7484:I7485)</f>
        <v>0</v>
      </c>
    </row>
    <row r="7487" ht="20.35" customHeight="1">
      <c r="A7487" s="10">
        <v>45749</v>
      </c>
      <c r="B7487" t="s" s="11">
        <v>18</v>
      </c>
      <c r="C7487" t="s" s="12">
        <v>17</v>
      </c>
      <c r="D7487" s="17"/>
      <c r="E7487" s="17">
        <v>500</v>
      </c>
      <c r="F7487" s="18"/>
      <c r="G7487" s="18"/>
      <c r="H7487" s="18"/>
      <c r="I7487" s="18"/>
    </row>
    <row r="7488" ht="20.35" customHeight="1">
      <c r="A7488" s="10">
        <v>45749</v>
      </c>
      <c r="B7488" t="s" s="11">
        <v>5</v>
      </c>
      <c r="C7488" t="s" s="12">
        <v>17</v>
      </c>
      <c r="D7488" s="13">
        <v>500</v>
      </c>
      <c r="E7488" s="13"/>
      <c r="F7488" s="14"/>
      <c r="G7488" s="14"/>
      <c r="H7488" s="14"/>
      <c r="I7488" s="14"/>
    </row>
    <row r="7489" ht="20.7" customHeight="1">
      <c r="A7489" s="10">
        <v>45749</v>
      </c>
      <c r="B7489" t="s" s="11">
        <v>8</v>
      </c>
      <c r="C7489" t="s" s="12">
        <v>8</v>
      </c>
      <c r="D7489" s="15" cm="1">
        <f t="array" ref="D7489">SUM(D7487:D7488)</f>
        <v>500</v>
      </c>
      <c r="E7489" s="15" cm="1">
        <f t="array" ref="E7489">SUM(E7487:E7488)</f>
        <v>500</v>
      </c>
      <c r="F7489" s="16" cm="1">
        <f t="array" ref="F7489">SUM(F7487:F7488)</f>
        <v>0</v>
      </c>
      <c r="G7489" s="16" cm="1">
        <f t="array" ref="G7489">SUM(G7487:G7488)</f>
        <v>0</v>
      </c>
      <c r="H7489" s="16" cm="1">
        <f t="array" ref="H7489">SUM(H7487:H7488)</f>
        <v>0</v>
      </c>
      <c r="I7489" s="16" cm="1">
        <f t="array" ref="I7489">SUM(I7487:I7488)</f>
        <v>0</v>
      </c>
    </row>
    <row r="7490" ht="21.25" customHeight="1">
      <c r="A7490" s="10">
        <v>45749</v>
      </c>
      <c r="B7490" t="s" s="11">
        <v>5</v>
      </c>
      <c r="C7490" t="s" s="12">
        <v>799</v>
      </c>
      <c r="D7490" s="17">
        <v>2</v>
      </c>
      <c r="E7490" s="17"/>
      <c r="F7490" s="18"/>
      <c r="G7490" s="18"/>
      <c r="H7490" s="18"/>
      <c r="I7490" s="18"/>
    </row>
    <row r="7491" ht="21.25" customHeight="1">
      <c r="A7491" s="10">
        <v>45749</v>
      </c>
      <c r="B7491" t="s" s="11">
        <v>18</v>
      </c>
      <c r="C7491" t="s" s="12">
        <v>799</v>
      </c>
      <c r="D7491" s="13"/>
      <c r="E7491" s="13">
        <v>2</v>
      </c>
      <c r="F7491" s="14"/>
      <c r="G7491" s="14"/>
      <c r="H7491" s="14"/>
      <c r="I7491" s="14"/>
    </row>
    <row r="7492" ht="20.7" customHeight="1">
      <c r="A7492" s="10">
        <v>45749</v>
      </c>
      <c r="B7492" t="s" s="11">
        <v>8</v>
      </c>
      <c r="C7492" t="s" s="12">
        <v>8</v>
      </c>
      <c r="D7492" s="15" cm="1">
        <f t="array" ref="D7492">SUM(D7490:D7491)</f>
        <v>2</v>
      </c>
      <c r="E7492" s="15" cm="1">
        <f t="array" ref="E7492">SUM(E7490:E7491)</f>
        <v>2</v>
      </c>
      <c r="F7492" s="16" cm="1">
        <f t="array" ref="F7492">SUM(F7490:F7491)</f>
        <v>0</v>
      </c>
      <c r="G7492" s="16" cm="1">
        <f t="array" ref="G7492">SUM(G7490:G7491)</f>
        <v>0</v>
      </c>
      <c r="H7492" s="16" cm="1">
        <f t="array" ref="H7492">SUM(H7490:H7491)</f>
        <v>0</v>
      </c>
      <c r="I7492" s="16" cm="1">
        <f t="array" ref="I7492">SUM(I7490:I7491)</f>
        <v>0</v>
      </c>
    </row>
    <row r="7493" ht="21.25" customHeight="1">
      <c r="A7493" s="10">
        <v>45749</v>
      </c>
      <c r="B7493" t="s" s="11">
        <v>5</v>
      </c>
      <c r="C7493" t="s" s="12">
        <v>799</v>
      </c>
      <c r="D7493" s="17">
        <v>3</v>
      </c>
      <c r="E7493" s="17"/>
      <c r="F7493" s="18"/>
      <c r="G7493" s="18"/>
      <c r="H7493" s="18"/>
      <c r="I7493" s="18"/>
    </row>
    <row r="7494" ht="21.25" customHeight="1">
      <c r="A7494" s="10">
        <v>45749</v>
      </c>
      <c r="B7494" t="s" s="11">
        <v>18</v>
      </c>
      <c r="C7494" t="s" s="12">
        <v>799</v>
      </c>
      <c r="D7494" s="13"/>
      <c r="E7494" s="13">
        <v>3</v>
      </c>
      <c r="F7494" s="14"/>
      <c r="G7494" s="14"/>
      <c r="H7494" s="14"/>
      <c r="I7494" s="14"/>
    </row>
    <row r="7495" ht="20.7" customHeight="1">
      <c r="A7495" s="10">
        <v>45749</v>
      </c>
      <c r="B7495" t="s" s="11">
        <v>8</v>
      </c>
      <c r="C7495" t="s" s="12">
        <v>8</v>
      </c>
      <c r="D7495" s="15" cm="1">
        <f t="array" ref="D7495">SUM(D7493:D7494)</f>
        <v>3</v>
      </c>
      <c r="E7495" s="15" cm="1">
        <f t="array" ref="E7495">SUM(E7493:E7494)</f>
        <v>3</v>
      </c>
      <c r="F7495" s="16" cm="1">
        <f t="array" ref="F7495">SUM(F7493:F7494)</f>
        <v>0</v>
      </c>
      <c r="G7495" s="16" cm="1">
        <f t="array" ref="G7495">SUM(G7493:G7494)</f>
        <v>0</v>
      </c>
      <c r="H7495" s="16" cm="1">
        <f t="array" ref="H7495">SUM(H7493:H7494)</f>
        <v>0</v>
      </c>
      <c r="I7495" s="16" cm="1">
        <f t="array" ref="I7495">SUM(I7493:I7494)</f>
        <v>0</v>
      </c>
    </row>
    <row r="7496" ht="21.25" customHeight="1">
      <c r="A7496" s="10">
        <v>45749</v>
      </c>
      <c r="B7496" t="s" s="11">
        <v>89</v>
      </c>
      <c r="C7496" t="s" s="12">
        <v>1055</v>
      </c>
      <c r="D7496" s="17"/>
      <c r="E7496" s="17">
        <v>10950</v>
      </c>
      <c r="F7496" s="18"/>
      <c r="G7496" s="18"/>
      <c r="H7496" s="18"/>
      <c r="I7496" s="18"/>
    </row>
    <row r="7497" ht="21.25" customHeight="1">
      <c r="A7497" s="10">
        <v>45749</v>
      </c>
      <c r="B7497" t="s" s="11">
        <v>93</v>
      </c>
      <c r="C7497" t="s" s="12">
        <v>1055</v>
      </c>
      <c r="D7497" s="13">
        <v>10950</v>
      </c>
      <c r="E7497" s="13"/>
      <c r="F7497" s="14"/>
      <c r="G7497" s="14"/>
      <c r="H7497" s="14"/>
      <c r="I7497" s="14"/>
    </row>
    <row r="7498" ht="20.7" customHeight="1">
      <c r="A7498" s="10">
        <v>45749</v>
      </c>
      <c r="B7498" t="s" s="11">
        <v>8</v>
      </c>
      <c r="C7498" t="s" s="12">
        <v>8</v>
      </c>
      <c r="D7498" s="15" cm="1">
        <f t="array" ref="D7498">SUM(D7496:D7497)</f>
        <v>10950</v>
      </c>
      <c r="E7498" s="15" cm="1">
        <f t="array" ref="E7498">SUM(E7496:E7497)</f>
        <v>10950</v>
      </c>
      <c r="F7498" s="16" cm="1">
        <f t="array" ref="F7498">SUM(F7496:F7497)</f>
        <v>0</v>
      </c>
      <c r="G7498" s="16" cm="1">
        <f t="array" ref="G7498">SUM(G7496:G7497)</f>
        <v>0</v>
      </c>
      <c r="H7498" s="16" cm="1">
        <f t="array" ref="H7498">SUM(H7496:H7497)</f>
        <v>0</v>
      </c>
      <c r="I7498" s="16" cm="1">
        <f t="array" ref="I7498">SUM(I7496:I7497)</f>
        <v>0</v>
      </c>
    </row>
    <row r="7499" ht="20.35" customHeight="1">
      <c r="A7499" s="10">
        <v>45749</v>
      </c>
      <c r="B7499" t="s" s="11">
        <v>121</v>
      </c>
      <c r="C7499" t="s" s="12">
        <v>604</v>
      </c>
      <c r="D7499" s="17"/>
      <c r="E7499" s="17">
        <v>39050</v>
      </c>
      <c r="F7499" s="18"/>
      <c r="G7499" s="18"/>
      <c r="H7499" s="18"/>
      <c r="I7499" s="18"/>
    </row>
    <row r="7500" ht="20.35" customHeight="1">
      <c r="A7500" s="10">
        <v>45749</v>
      </c>
      <c r="B7500" t="s" s="11">
        <v>93</v>
      </c>
      <c r="C7500" t="s" s="12">
        <v>604</v>
      </c>
      <c r="D7500" s="13">
        <v>39050</v>
      </c>
      <c r="E7500" s="13"/>
      <c r="F7500" s="14"/>
      <c r="G7500" s="14"/>
      <c r="H7500" s="14"/>
      <c r="I7500" s="14"/>
    </row>
    <row r="7501" ht="20.7" customHeight="1">
      <c r="A7501" s="10">
        <v>45749</v>
      </c>
      <c r="B7501" t="s" s="11">
        <v>8</v>
      </c>
      <c r="C7501" t="s" s="12">
        <v>8</v>
      </c>
      <c r="D7501" s="15" cm="1">
        <f t="array" ref="D7501">SUM(D7499:D7500)</f>
        <v>39050</v>
      </c>
      <c r="E7501" s="15" cm="1">
        <f t="array" ref="E7501">SUM(E7499:E7500)</f>
        <v>39050</v>
      </c>
      <c r="F7501" s="16" cm="1">
        <f t="array" ref="F7501">SUM(F7499:F7500)</f>
        <v>0</v>
      </c>
      <c r="G7501" s="16" cm="1">
        <f t="array" ref="G7501">SUM(G7499:G7500)</f>
        <v>0</v>
      </c>
      <c r="H7501" s="16" cm="1">
        <f t="array" ref="H7501">SUM(H7499:H7500)</f>
        <v>0</v>
      </c>
      <c r="I7501" s="16" cm="1">
        <f t="array" ref="I7501">SUM(I7499:I7500)</f>
        <v>0</v>
      </c>
    </row>
    <row r="7502" ht="20.65" customHeight="1">
      <c r="A7502" s="10">
        <v>45749</v>
      </c>
      <c r="B7502" t="s" s="11">
        <v>93</v>
      </c>
      <c r="C7502" t="s" s="12">
        <v>70</v>
      </c>
      <c r="D7502" s="17"/>
      <c r="E7502" s="17">
        <v>50000</v>
      </c>
      <c r="F7502" s="18"/>
      <c r="G7502" s="18"/>
      <c r="H7502" s="18"/>
      <c r="I7502" s="18"/>
    </row>
    <row r="7503" ht="20.65" customHeight="1">
      <c r="A7503" s="10">
        <v>45749</v>
      </c>
      <c r="B7503" t="s" s="11">
        <v>21</v>
      </c>
      <c r="C7503" t="s" s="12">
        <v>70</v>
      </c>
      <c r="D7503" s="13">
        <v>50000</v>
      </c>
      <c r="E7503" s="13"/>
      <c r="F7503" s="14"/>
      <c r="G7503" s="14"/>
      <c r="H7503" s="14"/>
      <c r="I7503" s="14"/>
    </row>
    <row r="7504" ht="20.7" customHeight="1">
      <c r="A7504" s="10">
        <v>45749</v>
      </c>
      <c r="B7504" t="s" s="11">
        <v>8</v>
      </c>
      <c r="C7504" t="s" s="12">
        <v>8</v>
      </c>
      <c r="D7504" s="15" cm="1">
        <f t="array" ref="D7504">SUM(D7502:D7503)</f>
        <v>50000</v>
      </c>
      <c r="E7504" s="15" cm="1">
        <f t="array" ref="E7504">SUM(E7502:E7503)</f>
        <v>50000</v>
      </c>
      <c r="F7504" s="16" cm="1">
        <f t="array" ref="F7504">SUM(F7502:F7503)</f>
        <v>0</v>
      </c>
      <c r="G7504" s="16" cm="1">
        <f t="array" ref="G7504">SUM(G7502:G7503)</f>
        <v>0</v>
      </c>
      <c r="H7504" s="16" cm="1">
        <f t="array" ref="H7504">SUM(H7502:H7503)</f>
        <v>0</v>
      </c>
      <c r="I7504" s="16" cm="1">
        <f t="array" ref="I7504">SUM(I7502:I7503)</f>
        <v>0</v>
      </c>
    </row>
    <row r="7505" ht="20.65" customHeight="1">
      <c r="A7505" s="10">
        <v>45750</v>
      </c>
      <c r="B7505" t="s" s="11">
        <v>843</v>
      </c>
      <c r="C7505" t="s" s="12">
        <v>820</v>
      </c>
      <c r="D7505" s="17">
        <v>1</v>
      </c>
      <c r="E7505" s="17"/>
      <c r="F7505" s="18"/>
      <c r="G7505" s="18"/>
      <c r="H7505" s="18"/>
      <c r="I7505" s="18"/>
    </row>
    <row r="7506" ht="20.65" customHeight="1">
      <c r="A7506" s="10">
        <v>45750</v>
      </c>
      <c r="B7506" t="s" s="11">
        <v>7</v>
      </c>
      <c r="C7506" t="s" s="12">
        <v>820</v>
      </c>
      <c r="D7506" s="13"/>
      <c r="E7506" s="13">
        <v>1</v>
      </c>
      <c r="F7506" s="14"/>
      <c r="G7506" s="14"/>
      <c r="H7506" s="14"/>
      <c r="I7506" s="14"/>
    </row>
    <row r="7507" ht="20.7" customHeight="1">
      <c r="A7507" s="10">
        <v>45750</v>
      </c>
      <c r="B7507" t="s" s="11">
        <v>8</v>
      </c>
      <c r="C7507" t="s" s="12">
        <v>8</v>
      </c>
      <c r="D7507" s="15" cm="1">
        <f t="array" ref="D7507">SUM(D7505:D7506)</f>
        <v>1</v>
      </c>
      <c r="E7507" s="15" cm="1">
        <f t="array" ref="E7507">SUM(E7505:E7506)</f>
        <v>1</v>
      </c>
      <c r="F7507" s="16" cm="1">
        <f t="array" ref="F7507">SUM(F7505:F7506)</f>
        <v>0</v>
      </c>
      <c r="G7507" s="16" cm="1">
        <f t="array" ref="G7507">SUM(G7505:G7506)</f>
        <v>0</v>
      </c>
      <c r="H7507" s="16" cm="1">
        <f t="array" ref="H7507">SUM(H7505:H7506)</f>
        <v>0</v>
      </c>
      <c r="I7507" s="16" cm="1">
        <f t="array" ref="I7507">SUM(I7505:I7506)</f>
        <v>0</v>
      </c>
    </row>
    <row r="7508" ht="20.65" customHeight="1">
      <c r="A7508" s="10">
        <v>45750</v>
      </c>
      <c r="B7508" t="s" s="11">
        <v>814</v>
      </c>
      <c r="C7508" t="s" s="12">
        <v>820</v>
      </c>
      <c r="D7508" s="17">
        <v>151</v>
      </c>
      <c r="E7508" s="17"/>
      <c r="F7508" s="18"/>
      <c r="G7508" s="18"/>
      <c r="H7508" s="18"/>
      <c r="I7508" s="18"/>
    </row>
    <row r="7509" ht="20.65" customHeight="1">
      <c r="A7509" s="10">
        <v>45750</v>
      </c>
      <c r="B7509" t="s" s="11">
        <v>7</v>
      </c>
      <c r="C7509" t="s" s="12">
        <v>820</v>
      </c>
      <c r="D7509" s="13"/>
      <c r="E7509" s="13">
        <v>151</v>
      </c>
      <c r="F7509" s="14"/>
      <c r="G7509" s="14"/>
      <c r="H7509" s="14"/>
      <c r="I7509" s="14"/>
    </row>
    <row r="7510" ht="20.7" customHeight="1">
      <c r="A7510" s="10">
        <v>45750</v>
      </c>
      <c r="B7510" t="s" s="11">
        <v>8</v>
      </c>
      <c r="C7510" t="s" s="12">
        <v>8</v>
      </c>
      <c r="D7510" s="15" cm="1">
        <f t="array" ref="D7510">SUM(D7508:D7509)</f>
        <v>151</v>
      </c>
      <c r="E7510" s="15" cm="1">
        <f t="array" ref="E7510">SUM(E7508:E7509)</f>
        <v>151</v>
      </c>
      <c r="F7510" s="16" cm="1">
        <f t="array" ref="F7510">SUM(F7508:F7509)</f>
        <v>0</v>
      </c>
      <c r="G7510" s="16" cm="1">
        <f t="array" ref="G7510">SUM(G7508:G7509)</f>
        <v>0</v>
      </c>
      <c r="H7510" s="16" cm="1">
        <f t="array" ref="H7510">SUM(H7508:H7509)</f>
        <v>0</v>
      </c>
      <c r="I7510" s="16" cm="1">
        <f t="array" ref="I7510">SUM(I7508:I7509)</f>
        <v>0</v>
      </c>
    </row>
    <row r="7511" ht="20.35" customHeight="1">
      <c r="A7511" s="10">
        <v>45750</v>
      </c>
      <c r="B7511" t="s" s="11">
        <v>5</v>
      </c>
      <c r="C7511" t="s" s="12">
        <v>604</v>
      </c>
      <c r="D7511" s="17"/>
      <c r="E7511" s="17">
        <v>10000</v>
      </c>
      <c r="F7511" s="18"/>
      <c r="G7511" s="18"/>
      <c r="H7511" s="18"/>
      <c r="I7511" s="18"/>
    </row>
    <row r="7512" ht="20.35" customHeight="1">
      <c r="A7512" s="10">
        <v>45750</v>
      </c>
      <c r="B7512" t="s" s="11">
        <v>93</v>
      </c>
      <c r="C7512" t="s" s="12">
        <v>604</v>
      </c>
      <c r="D7512" s="13">
        <v>10000</v>
      </c>
      <c r="E7512" s="13"/>
      <c r="F7512" s="14"/>
      <c r="G7512" s="14"/>
      <c r="H7512" s="14"/>
      <c r="I7512" s="14"/>
    </row>
    <row r="7513" ht="20.7" customHeight="1">
      <c r="A7513" s="10">
        <v>45750</v>
      </c>
      <c r="B7513" t="s" s="11">
        <v>8</v>
      </c>
      <c r="C7513" t="s" s="12">
        <v>8</v>
      </c>
      <c r="D7513" s="15" cm="1">
        <f t="array" ref="D7513">SUM(D7511:D7512)</f>
        <v>10000</v>
      </c>
      <c r="E7513" s="15" cm="1">
        <f t="array" ref="E7513">SUM(E7511:E7512)</f>
        <v>10000</v>
      </c>
      <c r="F7513" s="16" cm="1">
        <f t="array" ref="F7513">SUM(F7511:F7512)</f>
        <v>0</v>
      </c>
      <c r="G7513" s="16" cm="1">
        <f t="array" ref="G7513">SUM(G7511:G7512)</f>
        <v>0</v>
      </c>
      <c r="H7513" s="16" cm="1">
        <f t="array" ref="H7513">SUM(H7511:H7512)</f>
        <v>0</v>
      </c>
      <c r="I7513" s="16" cm="1">
        <f t="array" ref="I7513">SUM(I7511:I7512)</f>
        <v>0</v>
      </c>
    </row>
    <row r="7514" ht="20.35" customHeight="1">
      <c r="A7514" s="10">
        <v>45750</v>
      </c>
      <c r="B7514" t="s" s="11">
        <v>93</v>
      </c>
      <c r="C7514" t="s" s="12">
        <v>13</v>
      </c>
      <c r="D7514" s="17"/>
      <c r="E7514" s="17">
        <v>8900</v>
      </c>
      <c r="F7514" s="18"/>
      <c r="G7514" s="18"/>
      <c r="H7514" s="18"/>
      <c r="I7514" s="18"/>
    </row>
    <row r="7515" ht="20.35" customHeight="1">
      <c r="A7515" s="10">
        <v>45750</v>
      </c>
      <c r="B7515" t="s" s="11">
        <v>10</v>
      </c>
      <c r="C7515" t="s" s="12">
        <v>13</v>
      </c>
      <c r="D7515" s="13">
        <v>8900</v>
      </c>
      <c r="E7515" s="13"/>
      <c r="F7515" s="14"/>
      <c r="G7515" s="14"/>
      <c r="H7515" s="14"/>
      <c r="I7515" s="14"/>
    </row>
    <row r="7516" ht="20.7" customHeight="1">
      <c r="A7516" s="10">
        <v>45750</v>
      </c>
      <c r="B7516" t="s" s="11">
        <v>8</v>
      </c>
      <c r="C7516" t="s" s="12">
        <v>8</v>
      </c>
      <c r="D7516" s="15" cm="1">
        <f t="array" ref="D7516">SUM(D7514:D7515)</f>
        <v>8900</v>
      </c>
      <c r="E7516" s="15" cm="1">
        <f t="array" ref="E7516">SUM(E7514:E7515)</f>
        <v>8900</v>
      </c>
      <c r="F7516" s="16" cm="1">
        <f t="array" ref="F7516">SUM(F7514:F7515)</f>
        <v>0</v>
      </c>
      <c r="G7516" s="16" cm="1">
        <f t="array" ref="G7516">SUM(G7514:G7515)</f>
        <v>0</v>
      </c>
      <c r="H7516" s="16" cm="1">
        <f t="array" ref="H7516">SUM(H7514:H7515)</f>
        <v>0</v>
      </c>
      <c r="I7516" s="16" cm="1">
        <f t="array" ref="I7516">SUM(I7514:I7515)</f>
        <v>0</v>
      </c>
    </row>
    <row r="7517" ht="21.25" customHeight="1">
      <c r="A7517" s="10">
        <v>45750</v>
      </c>
      <c r="B7517" t="s" s="11">
        <v>121</v>
      </c>
      <c r="C7517" t="s" s="12">
        <v>1057</v>
      </c>
      <c r="D7517" s="17"/>
      <c r="E7517" s="17">
        <v>9000</v>
      </c>
      <c r="F7517" s="18"/>
      <c r="G7517" s="18"/>
      <c r="H7517" s="18"/>
      <c r="I7517" s="18"/>
    </row>
    <row r="7518" ht="21.25" customHeight="1">
      <c r="A7518" s="10">
        <v>45750</v>
      </c>
      <c r="B7518" t="s" s="11">
        <v>12</v>
      </c>
      <c r="C7518" t="s" s="12">
        <v>1057</v>
      </c>
      <c r="D7518" s="13">
        <v>9000</v>
      </c>
      <c r="E7518" s="13"/>
      <c r="F7518" s="14"/>
      <c r="G7518" s="14"/>
      <c r="H7518" s="14"/>
      <c r="I7518" s="14"/>
    </row>
    <row r="7519" ht="20.7" customHeight="1">
      <c r="A7519" s="10">
        <v>45750</v>
      </c>
      <c r="B7519" t="s" s="11">
        <v>8</v>
      </c>
      <c r="C7519" t="s" s="12">
        <v>8</v>
      </c>
      <c r="D7519" s="15" cm="1">
        <f t="array" ref="D7519">SUM(D7517:D7518)</f>
        <v>9000</v>
      </c>
      <c r="E7519" s="15" cm="1">
        <f t="array" ref="E7519">SUM(E7517:E7518)</f>
        <v>9000</v>
      </c>
      <c r="F7519" s="16" cm="1">
        <f t="array" ref="F7519">SUM(F7517:F7518)</f>
        <v>0</v>
      </c>
      <c r="G7519" s="16" cm="1">
        <f t="array" ref="G7519">SUM(G7517:G7518)</f>
        <v>0</v>
      </c>
      <c r="H7519" s="16" cm="1">
        <f t="array" ref="H7519">SUM(H7517:H7518)</f>
        <v>0</v>
      </c>
      <c r="I7519" s="16" cm="1">
        <f t="array" ref="I7519">SUM(I7517:I7518)</f>
        <v>0</v>
      </c>
    </row>
    <row r="7520" ht="21.25" customHeight="1">
      <c r="A7520" s="10">
        <v>45750</v>
      </c>
      <c r="B7520" t="s" s="11">
        <v>121</v>
      </c>
      <c r="C7520" t="s" s="12">
        <v>973</v>
      </c>
      <c r="D7520" s="17"/>
      <c r="E7520" s="17">
        <v>9000</v>
      </c>
      <c r="F7520" s="18"/>
      <c r="G7520" s="18"/>
      <c r="H7520" s="18"/>
      <c r="I7520" s="18"/>
    </row>
    <row r="7521" ht="21.25" customHeight="1">
      <c r="A7521" s="10">
        <v>45750</v>
      </c>
      <c r="B7521" t="s" s="11">
        <v>21</v>
      </c>
      <c r="C7521" t="s" s="12">
        <v>973</v>
      </c>
      <c r="D7521" s="13">
        <v>9000</v>
      </c>
      <c r="E7521" s="13"/>
      <c r="F7521" s="14"/>
      <c r="G7521" s="14"/>
      <c r="H7521" s="14"/>
      <c r="I7521" s="14"/>
    </row>
    <row r="7522" ht="20.7" customHeight="1">
      <c r="A7522" s="10">
        <v>45750</v>
      </c>
      <c r="B7522" t="s" s="11">
        <v>8</v>
      </c>
      <c r="C7522" t="s" s="12">
        <v>8</v>
      </c>
      <c r="D7522" s="15" cm="1">
        <f t="array" ref="D7522">SUM(D7520:D7521)</f>
        <v>9000</v>
      </c>
      <c r="E7522" s="15" cm="1">
        <f t="array" ref="E7522">SUM(E7520:E7521)</f>
        <v>9000</v>
      </c>
      <c r="F7522" s="16" cm="1">
        <f t="array" ref="F7522">SUM(F7520:F7521)</f>
        <v>0</v>
      </c>
      <c r="G7522" s="16" cm="1">
        <f t="array" ref="G7522">SUM(G7520:G7521)</f>
        <v>0</v>
      </c>
      <c r="H7522" s="16" cm="1">
        <f t="array" ref="H7522">SUM(H7520:H7521)</f>
        <v>0</v>
      </c>
      <c r="I7522" s="16" cm="1">
        <f t="array" ref="I7522">SUM(I7520:I7521)</f>
        <v>0</v>
      </c>
    </row>
    <row r="7523" ht="21.25" customHeight="1">
      <c r="A7523" s="10">
        <v>45750</v>
      </c>
      <c r="B7523" t="s" s="11">
        <v>121</v>
      </c>
      <c r="C7523" t="s" s="12">
        <v>973</v>
      </c>
      <c r="D7523" s="17"/>
      <c r="E7523" s="17">
        <v>4400</v>
      </c>
      <c r="F7523" s="18"/>
      <c r="G7523" s="18"/>
      <c r="H7523" s="18"/>
      <c r="I7523" s="18"/>
    </row>
    <row r="7524" ht="21.25" customHeight="1">
      <c r="A7524" s="10">
        <v>45750</v>
      </c>
      <c r="B7524" t="s" s="11">
        <v>21</v>
      </c>
      <c r="C7524" t="s" s="12">
        <v>973</v>
      </c>
      <c r="D7524" s="13">
        <v>4400</v>
      </c>
      <c r="E7524" s="13"/>
      <c r="F7524" s="14"/>
      <c r="G7524" s="14"/>
      <c r="H7524" s="14"/>
      <c r="I7524" s="14"/>
    </row>
    <row r="7525" ht="20.7" customHeight="1">
      <c r="A7525" s="10">
        <v>45750</v>
      </c>
      <c r="B7525" t="s" s="11">
        <v>8</v>
      </c>
      <c r="C7525" t="s" s="12">
        <v>8</v>
      </c>
      <c r="D7525" s="15" cm="1">
        <f t="array" ref="D7525">SUM(D7523:D7524)</f>
        <v>4400</v>
      </c>
      <c r="E7525" s="15" cm="1">
        <f t="array" ref="E7525">SUM(E7523:E7524)</f>
        <v>4400</v>
      </c>
      <c r="F7525" s="16" cm="1">
        <f t="array" ref="F7525">SUM(F7523:F7524)</f>
        <v>0</v>
      </c>
      <c r="G7525" s="16" cm="1">
        <f t="array" ref="G7525">SUM(G7523:G7524)</f>
        <v>0</v>
      </c>
      <c r="H7525" s="16" cm="1">
        <f t="array" ref="H7525">SUM(H7523:H7524)</f>
        <v>0</v>
      </c>
      <c r="I7525" s="16" cm="1">
        <f t="array" ref="I7525">SUM(I7523:I7524)</f>
        <v>0</v>
      </c>
    </row>
    <row r="7526" ht="21.25" customHeight="1">
      <c r="A7526" s="10">
        <v>45750</v>
      </c>
      <c r="B7526" t="s" s="11">
        <v>121</v>
      </c>
      <c r="C7526" t="s" s="12">
        <v>1058</v>
      </c>
      <c r="D7526" s="17"/>
      <c r="E7526" s="17">
        <v>20000</v>
      </c>
      <c r="F7526" s="18"/>
      <c r="G7526" s="18"/>
      <c r="H7526" s="18"/>
      <c r="I7526" s="18"/>
    </row>
    <row r="7527" ht="20.9" customHeight="1">
      <c r="A7527" s="10">
        <v>45750</v>
      </c>
      <c r="B7527" t="s" s="11">
        <v>89</v>
      </c>
      <c r="C7527" t="s" s="12">
        <v>1058</v>
      </c>
      <c r="D7527" s="19">
        <v>16667</v>
      </c>
      <c r="E7527" s="19"/>
      <c r="F7527" s="20"/>
      <c r="G7527" s="20"/>
      <c r="H7527" s="20"/>
      <c r="I7527" s="20"/>
    </row>
    <row r="7528" ht="21.25" customHeight="1">
      <c r="A7528" s="10">
        <v>45750</v>
      </c>
      <c r="B7528" t="s" s="11">
        <v>10</v>
      </c>
      <c r="C7528" t="s" s="12">
        <v>1058</v>
      </c>
      <c r="D7528" s="13">
        <v>3333</v>
      </c>
      <c r="E7528" s="13"/>
      <c r="F7528" s="14"/>
      <c r="G7528" s="14"/>
      <c r="H7528" s="14"/>
      <c r="I7528" s="14"/>
    </row>
    <row r="7529" ht="20.7" customHeight="1">
      <c r="A7529" s="10">
        <v>45750</v>
      </c>
      <c r="B7529" t="s" s="11">
        <v>8</v>
      </c>
      <c r="C7529" t="s" s="12">
        <v>8</v>
      </c>
      <c r="D7529" s="15" cm="1">
        <f t="array" ref="D7529">SUM(D7526:D7528)</f>
        <v>20000</v>
      </c>
      <c r="E7529" s="15" cm="1">
        <f t="array" ref="E7529">SUM(E7526:E7528)</f>
        <v>20000</v>
      </c>
      <c r="F7529" s="16" cm="1">
        <f t="array" ref="F7529">SUM(F7526:F7528)</f>
        <v>0</v>
      </c>
      <c r="G7529" s="16" cm="1">
        <f t="array" ref="G7529">SUM(G7526:G7528)</f>
        <v>0</v>
      </c>
      <c r="H7529" s="16" cm="1">
        <f t="array" ref="H7529">SUM(H7526:H7528)</f>
        <v>0</v>
      </c>
      <c r="I7529" s="16" cm="1">
        <f t="array" ref="I7529">SUM(I7526:I7528)</f>
        <v>0</v>
      </c>
    </row>
    <row r="7530" ht="20.35" customHeight="1">
      <c r="A7530" s="10">
        <v>45750</v>
      </c>
      <c r="B7530" t="s" s="11">
        <v>28</v>
      </c>
      <c r="C7530" t="s" s="12">
        <v>1059</v>
      </c>
      <c r="D7530" s="17">
        <v>20000</v>
      </c>
      <c r="E7530" s="17"/>
      <c r="F7530" s="18"/>
      <c r="G7530" s="18"/>
      <c r="H7530" s="18"/>
      <c r="I7530" s="18"/>
    </row>
    <row r="7531" ht="20.35" customHeight="1">
      <c r="A7531" s="10">
        <v>45750</v>
      </c>
      <c r="B7531" t="s" s="11">
        <v>21</v>
      </c>
      <c r="C7531" t="s" s="12">
        <v>1059</v>
      </c>
      <c r="D7531" s="13"/>
      <c r="E7531" s="13">
        <v>20000</v>
      </c>
      <c r="F7531" s="14"/>
      <c r="G7531" s="14"/>
      <c r="H7531" s="14"/>
      <c r="I7531" s="14"/>
    </row>
    <row r="7532" ht="20.7" customHeight="1">
      <c r="A7532" s="10">
        <v>45750</v>
      </c>
      <c r="B7532" t="s" s="11">
        <v>8</v>
      </c>
      <c r="C7532" t="s" s="12">
        <v>8</v>
      </c>
      <c r="D7532" s="15" cm="1">
        <f t="array" ref="D7532">SUM(D7530:D7531)</f>
        <v>20000</v>
      </c>
      <c r="E7532" s="15" cm="1">
        <f t="array" ref="E7532">SUM(E7530:E7531)</f>
        <v>20000</v>
      </c>
      <c r="F7532" s="16" cm="1">
        <f t="array" ref="F7532">SUM(F7530:F7531)</f>
        <v>0</v>
      </c>
      <c r="G7532" s="16" cm="1">
        <f t="array" ref="G7532">SUM(G7530:G7531)</f>
        <v>0</v>
      </c>
      <c r="H7532" s="16" cm="1">
        <f t="array" ref="H7532">SUM(H7530:H7531)</f>
        <v>0</v>
      </c>
      <c r="I7532" s="16" cm="1">
        <f t="array" ref="I7532">SUM(I7530:I7531)</f>
        <v>0</v>
      </c>
    </row>
    <row r="7533" ht="20.65" customHeight="1">
      <c r="A7533" s="10">
        <v>45751</v>
      </c>
      <c r="B7533" t="s" s="11">
        <v>843</v>
      </c>
      <c r="C7533" t="s" s="12">
        <v>820</v>
      </c>
      <c r="D7533" s="17">
        <v>1</v>
      </c>
      <c r="E7533" s="17"/>
      <c r="F7533" s="18"/>
      <c r="G7533" s="18"/>
      <c r="H7533" s="18"/>
      <c r="I7533" s="18"/>
    </row>
    <row r="7534" ht="20.65" customHeight="1">
      <c r="A7534" s="10">
        <v>45751</v>
      </c>
      <c r="B7534" t="s" s="11">
        <v>7</v>
      </c>
      <c r="C7534" t="s" s="12">
        <v>820</v>
      </c>
      <c r="D7534" s="13"/>
      <c r="E7534" s="13">
        <v>1</v>
      </c>
      <c r="F7534" s="14"/>
      <c r="G7534" s="14"/>
      <c r="H7534" s="14"/>
      <c r="I7534" s="14"/>
    </row>
    <row r="7535" ht="20.7" customHeight="1">
      <c r="A7535" s="10">
        <v>45751</v>
      </c>
      <c r="B7535" t="s" s="11">
        <v>8</v>
      </c>
      <c r="C7535" t="s" s="12">
        <v>8</v>
      </c>
      <c r="D7535" s="15" cm="1">
        <f t="array" ref="D7535">SUM(D7533:D7534)</f>
        <v>1</v>
      </c>
      <c r="E7535" s="15" cm="1">
        <f t="array" ref="E7535">SUM(E7533:E7534)</f>
        <v>1</v>
      </c>
      <c r="F7535" s="16" cm="1">
        <f t="array" ref="F7535">SUM(F7533:F7534)</f>
        <v>0</v>
      </c>
      <c r="G7535" s="16" cm="1">
        <f t="array" ref="G7535">SUM(G7533:G7534)</f>
        <v>0</v>
      </c>
      <c r="H7535" s="16" cm="1">
        <f t="array" ref="H7535">SUM(H7533:H7534)</f>
        <v>0</v>
      </c>
      <c r="I7535" s="16" cm="1">
        <f t="array" ref="I7535">SUM(I7533:I7534)</f>
        <v>0</v>
      </c>
    </row>
    <row r="7536" ht="20.65" customHeight="1">
      <c r="A7536" s="10">
        <v>45751</v>
      </c>
      <c r="B7536" t="s" s="11">
        <v>814</v>
      </c>
      <c r="C7536" t="s" s="12">
        <v>820</v>
      </c>
      <c r="D7536" s="17">
        <v>151</v>
      </c>
      <c r="E7536" s="17"/>
      <c r="F7536" s="18"/>
      <c r="G7536" s="18"/>
      <c r="H7536" s="18"/>
      <c r="I7536" s="18"/>
    </row>
    <row r="7537" ht="20.65" customHeight="1">
      <c r="A7537" s="10">
        <v>45751</v>
      </c>
      <c r="B7537" t="s" s="11">
        <v>7</v>
      </c>
      <c r="C7537" t="s" s="12">
        <v>820</v>
      </c>
      <c r="D7537" s="13"/>
      <c r="E7537" s="13">
        <v>151</v>
      </c>
      <c r="F7537" s="14"/>
      <c r="G7537" s="14"/>
      <c r="H7537" s="14"/>
      <c r="I7537" s="14"/>
    </row>
    <row r="7538" ht="20.7" customHeight="1">
      <c r="A7538" s="10">
        <v>45751</v>
      </c>
      <c r="B7538" t="s" s="11">
        <v>8</v>
      </c>
      <c r="C7538" t="s" s="12">
        <v>8</v>
      </c>
      <c r="D7538" s="15" cm="1">
        <f t="array" ref="D7538">SUM(D7536:D7537)</f>
        <v>151</v>
      </c>
      <c r="E7538" s="15" cm="1">
        <f t="array" ref="E7538">SUM(E7536:E7537)</f>
        <v>151</v>
      </c>
      <c r="F7538" s="16" cm="1">
        <f t="array" ref="F7538">SUM(F7536:F7537)</f>
        <v>0</v>
      </c>
      <c r="G7538" s="16" cm="1">
        <f t="array" ref="G7538">SUM(G7536:G7537)</f>
        <v>0</v>
      </c>
      <c r="H7538" s="16" cm="1">
        <f t="array" ref="H7538">SUM(H7536:H7537)</f>
        <v>0</v>
      </c>
      <c r="I7538" s="16" cm="1">
        <f t="array" ref="I7538">SUM(I7536:I7537)</f>
        <v>0</v>
      </c>
    </row>
    <row r="7539" ht="20.35" customHeight="1">
      <c r="A7539" s="10">
        <v>45751</v>
      </c>
      <c r="B7539" t="s" s="11">
        <v>121</v>
      </c>
      <c r="C7539" t="s" s="12">
        <v>1060</v>
      </c>
      <c r="D7539" s="17"/>
      <c r="E7539" s="17">
        <v>8300</v>
      </c>
      <c r="F7539" s="18"/>
      <c r="G7539" s="18"/>
      <c r="H7539" s="18"/>
      <c r="I7539" s="18"/>
    </row>
    <row r="7540" ht="20.05" customHeight="1">
      <c r="A7540" s="10">
        <v>45751</v>
      </c>
      <c r="B7540" t="s" s="11">
        <v>12</v>
      </c>
      <c r="C7540" t="s" s="12">
        <v>1060</v>
      </c>
      <c r="D7540" s="19">
        <v>4150</v>
      </c>
      <c r="E7540" s="19"/>
      <c r="F7540" s="20"/>
      <c r="G7540" s="20"/>
      <c r="H7540" s="20"/>
      <c r="I7540" s="20"/>
    </row>
    <row r="7541" ht="20.35" customHeight="1">
      <c r="A7541" s="10">
        <v>45751</v>
      </c>
      <c r="B7541" t="s" s="11">
        <v>10</v>
      </c>
      <c r="C7541" t="s" s="12">
        <v>1060</v>
      </c>
      <c r="D7541" s="13">
        <v>4150</v>
      </c>
      <c r="E7541" s="13"/>
      <c r="F7541" s="14"/>
      <c r="G7541" s="14"/>
      <c r="H7541" s="14"/>
      <c r="I7541" s="14"/>
    </row>
    <row r="7542" ht="20.7" customHeight="1">
      <c r="A7542" s="10">
        <v>45751</v>
      </c>
      <c r="B7542" t="s" s="11">
        <v>8</v>
      </c>
      <c r="C7542" t="s" s="12">
        <v>8</v>
      </c>
      <c r="D7542" s="15" cm="1">
        <f t="array" ref="D7542">SUM(D7539:D7541)</f>
        <v>8300</v>
      </c>
      <c r="E7542" s="15" cm="1">
        <f t="array" ref="E7542">SUM(E7539:E7541)</f>
        <v>8300</v>
      </c>
      <c r="F7542" s="16" cm="1">
        <f t="array" ref="F7542">SUM(F7539:F7541)</f>
        <v>0</v>
      </c>
      <c r="G7542" s="16" cm="1">
        <f t="array" ref="G7542">SUM(G7539:G7541)</f>
        <v>0</v>
      </c>
      <c r="H7542" s="16" cm="1">
        <f t="array" ref="H7542">SUM(H7539:H7541)</f>
        <v>0</v>
      </c>
      <c r="I7542" s="16" cm="1">
        <f t="array" ref="I7542">SUM(I7539:I7541)</f>
        <v>0</v>
      </c>
    </row>
    <row r="7543" ht="20.35" customHeight="1">
      <c r="A7543" s="10">
        <v>45751</v>
      </c>
      <c r="B7543" t="s" s="11">
        <v>121</v>
      </c>
      <c r="C7543" t="s" s="12">
        <v>1061</v>
      </c>
      <c r="D7543" s="17"/>
      <c r="E7543" s="17">
        <v>11900</v>
      </c>
      <c r="F7543" s="18"/>
      <c r="G7543" s="18"/>
      <c r="H7543" s="18"/>
      <c r="I7543" s="18"/>
    </row>
    <row r="7544" ht="20.35" customHeight="1">
      <c r="A7544" s="10">
        <v>45751</v>
      </c>
      <c r="B7544" t="s" s="11">
        <v>10</v>
      </c>
      <c r="C7544" t="s" s="12">
        <v>1061</v>
      </c>
      <c r="D7544" s="13">
        <v>11900</v>
      </c>
      <c r="E7544" s="13"/>
      <c r="F7544" s="14"/>
      <c r="G7544" s="14"/>
      <c r="H7544" s="14"/>
      <c r="I7544" s="14"/>
    </row>
    <row r="7545" ht="20.7" customHeight="1">
      <c r="A7545" s="10">
        <v>45751</v>
      </c>
      <c r="B7545" t="s" s="11">
        <v>8</v>
      </c>
      <c r="C7545" t="s" s="12">
        <v>8</v>
      </c>
      <c r="D7545" s="15" cm="1">
        <f t="array" ref="D7545">SUM(D7543:D7544)</f>
        <v>11900</v>
      </c>
      <c r="E7545" s="15" cm="1">
        <f t="array" ref="E7545">SUM(E7543:E7544)</f>
        <v>11900</v>
      </c>
      <c r="F7545" s="16" cm="1">
        <f t="array" ref="F7545">SUM(F7543:F7544)</f>
        <v>0</v>
      </c>
      <c r="G7545" s="16" cm="1">
        <f t="array" ref="G7545">SUM(G7543:G7544)</f>
        <v>0</v>
      </c>
      <c r="H7545" s="16" cm="1">
        <f t="array" ref="H7545">SUM(H7543:H7544)</f>
        <v>0</v>
      </c>
      <c r="I7545" s="16" cm="1">
        <f t="array" ref="I7545">SUM(I7543:I7544)</f>
        <v>0</v>
      </c>
    </row>
    <row r="7546" ht="20.35" customHeight="1">
      <c r="A7546" s="10">
        <v>45751</v>
      </c>
      <c r="B7546" t="s" s="11">
        <v>121</v>
      </c>
      <c r="C7546" t="s" s="12">
        <v>1062</v>
      </c>
      <c r="D7546" s="17"/>
      <c r="E7546" s="17">
        <v>19900</v>
      </c>
      <c r="F7546" s="18"/>
      <c r="G7546" s="18"/>
      <c r="H7546" s="18"/>
      <c r="I7546" s="18"/>
    </row>
    <row r="7547" ht="20.35" customHeight="1">
      <c r="A7547" s="10">
        <v>45751</v>
      </c>
      <c r="B7547" t="s" s="11">
        <v>10</v>
      </c>
      <c r="C7547" t="s" s="12">
        <v>1062</v>
      </c>
      <c r="D7547" s="13">
        <v>19900</v>
      </c>
      <c r="E7547" s="13"/>
      <c r="F7547" s="14"/>
      <c r="G7547" s="14"/>
      <c r="H7547" s="14"/>
      <c r="I7547" s="14"/>
    </row>
    <row r="7548" ht="20.7" customHeight="1">
      <c r="A7548" s="10">
        <v>45751</v>
      </c>
      <c r="B7548" t="s" s="11">
        <v>8</v>
      </c>
      <c r="C7548" t="s" s="12">
        <v>8</v>
      </c>
      <c r="D7548" s="15" cm="1">
        <f t="array" ref="D7548">SUM(D7546:D7547)</f>
        <v>19900</v>
      </c>
      <c r="E7548" s="15" cm="1">
        <f t="array" ref="E7548">SUM(E7546:E7547)</f>
        <v>19900</v>
      </c>
      <c r="F7548" s="16" cm="1">
        <f t="array" ref="F7548">SUM(F7546:F7547)</f>
        <v>0</v>
      </c>
      <c r="G7548" s="16" cm="1">
        <f t="array" ref="G7548">SUM(G7546:G7547)</f>
        <v>0</v>
      </c>
      <c r="H7548" s="16" cm="1">
        <f t="array" ref="H7548">SUM(H7546:H7547)</f>
        <v>0</v>
      </c>
      <c r="I7548" s="16" cm="1">
        <f t="array" ref="I7548">SUM(I7546:I7547)</f>
        <v>0</v>
      </c>
    </row>
    <row r="7549" ht="21.25" customHeight="1">
      <c r="A7549" s="10">
        <v>45751</v>
      </c>
      <c r="B7549" t="s" s="11">
        <v>93</v>
      </c>
      <c r="C7549" t="s" s="12">
        <v>1058</v>
      </c>
      <c r="D7549" s="17">
        <v>2</v>
      </c>
      <c r="E7549" s="17"/>
      <c r="F7549" s="18"/>
      <c r="G7549" s="18"/>
      <c r="H7549" s="18"/>
      <c r="I7549" s="18"/>
    </row>
    <row r="7550" ht="21.25" customHeight="1">
      <c r="A7550" s="10">
        <v>45751</v>
      </c>
      <c r="B7550" t="s" s="11">
        <v>89</v>
      </c>
      <c r="C7550" t="s" s="12">
        <v>1058</v>
      </c>
      <c r="D7550" s="13"/>
      <c r="E7550" s="13">
        <v>2</v>
      </c>
      <c r="F7550" s="14"/>
      <c r="G7550" s="14"/>
      <c r="H7550" s="14"/>
      <c r="I7550" s="14"/>
    </row>
    <row r="7551" ht="20.7" customHeight="1">
      <c r="A7551" s="10">
        <v>45751</v>
      </c>
      <c r="B7551" t="s" s="11">
        <v>8</v>
      </c>
      <c r="C7551" t="s" s="12">
        <v>8</v>
      </c>
      <c r="D7551" s="15" cm="1">
        <f t="array" ref="D7551">SUM(D7549:D7550)</f>
        <v>2</v>
      </c>
      <c r="E7551" s="15" cm="1">
        <f t="array" ref="E7551">SUM(E7549:E7550)</f>
        <v>2</v>
      </c>
      <c r="F7551" s="16" cm="1">
        <f t="array" ref="F7551">SUM(F7549:F7550)</f>
        <v>0</v>
      </c>
      <c r="G7551" s="16" cm="1">
        <f t="array" ref="G7551">SUM(G7549:G7550)</f>
        <v>0</v>
      </c>
      <c r="H7551" s="16" cm="1">
        <f t="array" ref="H7551">SUM(H7549:H7550)</f>
        <v>0</v>
      </c>
      <c r="I7551" s="16" cm="1">
        <f t="array" ref="I7551">SUM(I7549:I7550)</f>
        <v>0</v>
      </c>
    </row>
    <row r="7552" ht="21.25" customHeight="1">
      <c r="A7552" s="10">
        <v>45751</v>
      </c>
      <c r="B7552" t="s" s="11">
        <v>21</v>
      </c>
      <c r="C7552" t="s" s="12">
        <v>1063</v>
      </c>
      <c r="D7552" s="17"/>
      <c r="E7552" s="17">
        <v>7400</v>
      </c>
      <c r="F7552" s="18"/>
      <c r="G7552" s="18"/>
      <c r="H7552" s="18"/>
      <c r="I7552" s="18"/>
    </row>
    <row r="7553" ht="21.25" customHeight="1">
      <c r="A7553" s="10">
        <v>45751</v>
      </c>
      <c r="B7553" t="s" s="11">
        <v>16</v>
      </c>
      <c r="C7553" t="s" s="12">
        <v>1063</v>
      </c>
      <c r="D7553" s="13">
        <v>7400</v>
      </c>
      <c r="E7553" s="13"/>
      <c r="F7553" s="14"/>
      <c r="G7553" s="14"/>
      <c r="H7553" s="14"/>
      <c r="I7553" s="14"/>
    </row>
    <row r="7554" ht="20.7" customHeight="1">
      <c r="A7554" s="10">
        <v>45751</v>
      </c>
      <c r="B7554" t="s" s="11">
        <v>8</v>
      </c>
      <c r="C7554" t="s" s="12">
        <v>8</v>
      </c>
      <c r="D7554" s="15" cm="1">
        <f t="array" ref="D7554">SUM(D7552:D7553)</f>
        <v>7400</v>
      </c>
      <c r="E7554" s="15" cm="1">
        <f t="array" ref="E7554">SUM(E7552:E7553)</f>
        <v>7400</v>
      </c>
      <c r="F7554" s="16" cm="1">
        <f t="array" ref="F7554">SUM(F7552:F7553)</f>
        <v>0</v>
      </c>
      <c r="G7554" s="16" cm="1">
        <f t="array" ref="G7554">SUM(G7552:G7553)</f>
        <v>0</v>
      </c>
      <c r="H7554" s="16" cm="1">
        <f t="array" ref="H7554">SUM(H7552:H7553)</f>
        <v>0</v>
      </c>
      <c r="I7554" s="16" cm="1">
        <f t="array" ref="I7554">SUM(I7552:I7553)</f>
        <v>0</v>
      </c>
    </row>
    <row r="7555" ht="20.65" customHeight="1">
      <c r="A7555" s="10">
        <v>45752</v>
      </c>
      <c r="B7555" t="s" s="11">
        <v>843</v>
      </c>
      <c r="C7555" t="s" s="12">
        <v>820</v>
      </c>
      <c r="D7555" s="17">
        <v>1</v>
      </c>
      <c r="E7555" s="17"/>
      <c r="F7555" s="18"/>
      <c r="G7555" s="18"/>
      <c r="H7555" s="18"/>
      <c r="I7555" s="18"/>
    </row>
    <row r="7556" ht="20.65" customHeight="1">
      <c r="A7556" s="10">
        <v>45752</v>
      </c>
      <c r="B7556" t="s" s="11">
        <v>7</v>
      </c>
      <c r="C7556" t="s" s="12">
        <v>820</v>
      </c>
      <c r="D7556" s="13"/>
      <c r="E7556" s="13">
        <v>1</v>
      </c>
      <c r="F7556" s="14"/>
      <c r="G7556" s="14"/>
      <c r="H7556" s="14"/>
      <c r="I7556" s="14"/>
    </row>
    <row r="7557" ht="20.7" customHeight="1">
      <c r="A7557" s="10">
        <v>45752</v>
      </c>
      <c r="B7557" t="s" s="11">
        <v>8</v>
      </c>
      <c r="C7557" t="s" s="12">
        <v>8</v>
      </c>
      <c r="D7557" s="15" cm="1">
        <f t="array" ref="D7557">SUM(D7555:D7556)</f>
        <v>1</v>
      </c>
      <c r="E7557" s="15" cm="1">
        <f t="array" ref="E7557">SUM(E7555:E7556)</f>
        <v>1</v>
      </c>
      <c r="F7557" s="16" cm="1">
        <f t="array" ref="F7557">SUM(F7555:F7556)</f>
        <v>0</v>
      </c>
      <c r="G7557" s="16" cm="1">
        <f t="array" ref="G7557">SUM(G7555:G7556)</f>
        <v>0</v>
      </c>
      <c r="H7557" s="16" cm="1">
        <f t="array" ref="H7557">SUM(H7555:H7556)</f>
        <v>0</v>
      </c>
      <c r="I7557" s="16" cm="1">
        <f t="array" ref="I7557">SUM(I7555:I7556)</f>
        <v>0</v>
      </c>
    </row>
    <row r="7558" ht="20.65" customHeight="1">
      <c r="A7558" s="10">
        <v>45752</v>
      </c>
      <c r="B7558" t="s" s="11">
        <v>814</v>
      </c>
      <c r="C7558" t="s" s="12">
        <v>820</v>
      </c>
      <c r="D7558" s="17">
        <v>151</v>
      </c>
      <c r="E7558" s="17"/>
      <c r="F7558" s="18"/>
      <c r="G7558" s="18"/>
      <c r="H7558" s="18"/>
      <c r="I7558" s="18"/>
    </row>
    <row r="7559" ht="20.65" customHeight="1">
      <c r="A7559" s="10">
        <v>45752</v>
      </c>
      <c r="B7559" t="s" s="11">
        <v>7</v>
      </c>
      <c r="C7559" t="s" s="12">
        <v>820</v>
      </c>
      <c r="D7559" s="13"/>
      <c r="E7559" s="13">
        <v>151</v>
      </c>
      <c r="F7559" s="14"/>
      <c r="G7559" s="14"/>
      <c r="H7559" s="14"/>
      <c r="I7559" s="14"/>
    </row>
    <row r="7560" ht="20.7" customHeight="1">
      <c r="A7560" s="10">
        <v>45752</v>
      </c>
      <c r="B7560" t="s" s="11">
        <v>8</v>
      </c>
      <c r="C7560" t="s" s="12">
        <v>8</v>
      </c>
      <c r="D7560" s="15" cm="1">
        <f t="array" ref="D7560">SUM(D7558:D7559)</f>
        <v>151</v>
      </c>
      <c r="E7560" s="15" cm="1">
        <f t="array" ref="E7560">SUM(E7558:E7559)</f>
        <v>151</v>
      </c>
      <c r="F7560" s="16" cm="1">
        <f t="array" ref="F7560">SUM(F7558:F7559)</f>
        <v>0</v>
      </c>
      <c r="G7560" s="16" cm="1">
        <f t="array" ref="G7560">SUM(G7558:G7559)</f>
        <v>0</v>
      </c>
      <c r="H7560" s="16" cm="1">
        <f t="array" ref="H7560">SUM(H7558:H7559)</f>
        <v>0</v>
      </c>
      <c r="I7560" s="16" cm="1">
        <f t="array" ref="I7560">SUM(I7558:I7559)</f>
        <v>0</v>
      </c>
    </row>
    <row r="7561" ht="21.25" customHeight="1">
      <c r="A7561" s="10">
        <v>45752</v>
      </c>
      <c r="B7561" t="s" s="11">
        <v>93</v>
      </c>
      <c r="C7561" t="s" s="12">
        <v>1058</v>
      </c>
      <c r="D7561" s="17">
        <v>3333</v>
      </c>
      <c r="E7561" s="17"/>
      <c r="F7561" s="18"/>
      <c r="G7561" s="18"/>
      <c r="H7561" s="18"/>
      <c r="I7561" s="18"/>
    </row>
    <row r="7562" ht="21.25" customHeight="1">
      <c r="A7562" s="10">
        <v>45752</v>
      </c>
      <c r="B7562" t="s" s="11">
        <v>89</v>
      </c>
      <c r="C7562" t="s" s="12">
        <v>1058</v>
      </c>
      <c r="D7562" s="13"/>
      <c r="E7562" s="13">
        <v>3333</v>
      </c>
      <c r="F7562" s="14"/>
      <c r="G7562" s="14"/>
      <c r="H7562" s="14"/>
      <c r="I7562" s="14"/>
    </row>
    <row r="7563" ht="20.7" customHeight="1">
      <c r="A7563" s="10">
        <v>45752</v>
      </c>
      <c r="B7563" t="s" s="11">
        <v>8</v>
      </c>
      <c r="C7563" t="s" s="12">
        <v>8</v>
      </c>
      <c r="D7563" s="15" cm="1">
        <f t="array" ref="D7563">SUM(D7561:D7562)</f>
        <v>3333</v>
      </c>
      <c r="E7563" s="15" cm="1">
        <f t="array" ref="E7563">SUM(E7561:E7562)</f>
        <v>3333</v>
      </c>
      <c r="F7563" s="16" cm="1">
        <f t="array" ref="F7563">SUM(F7561:F7562)</f>
        <v>0</v>
      </c>
      <c r="G7563" s="16" cm="1">
        <f t="array" ref="G7563">SUM(G7561:G7562)</f>
        <v>0</v>
      </c>
      <c r="H7563" s="16" cm="1">
        <f t="array" ref="H7563">SUM(H7561:H7562)</f>
        <v>0</v>
      </c>
      <c r="I7563" s="16" cm="1">
        <f t="array" ref="I7563">SUM(I7561:I7562)</f>
        <v>0</v>
      </c>
    </row>
    <row r="7564" ht="21.25" customHeight="1">
      <c r="A7564" s="10">
        <v>45752</v>
      </c>
      <c r="B7564" t="s" s="11">
        <v>93</v>
      </c>
      <c r="C7564" t="s" s="12">
        <v>1058</v>
      </c>
      <c r="D7564" s="17">
        <v>3333</v>
      </c>
      <c r="E7564" s="17"/>
      <c r="F7564" s="18"/>
      <c r="G7564" s="18"/>
      <c r="H7564" s="18"/>
      <c r="I7564" s="18"/>
    </row>
    <row r="7565" ht="21.25" customHeight="1">
      <c r="A7565" s="10">
        <v>45752</v>
      </c>
      <c r="B7565" t="s" s="11">
        <v>89</v>
      </c>
      <c r="C7565" t="s" s="12">
        <v>1058</v>
      </c>
      <c r="D7565" s="13"/>
      <c r="E7565" s="13">
        <v>3333</v>
      </c>
      <c r="F7565" s="14"/>
      <c r="G7565" s="14"/>
      <c r="H7565" s="14"/>
      <c r="I7565" s="14"/>
    </row>
    <row r="7566" ht="20.7" customHeight="1">
      <c r="A7566" s="10">
        <v>45752</v>
      </c>
      <c r="B7566" t="s" s="11">
        <v>8</v>
      </c>
      <c r="C7566" t="s" s="12">
        <v>8</v>
      </c>
      <c r="D7566" s="15" cm="1">
        <f t="array" ref="D7566">SUM(D7564:D7565)</f>
        <v>3333</v>
      </c>
      <c r="E7566" s="15" cm="1">
        <f t="array" ref="E7566">SUM(E7564:E7565)</f>
        <v>3333</v>
      </c>
      <c r="F7566" s="16" cm="1">
        <f t="array" ref="F7566">SUM(F7564:F7565)</f>
        <v>0</v>
      </c>
      <c r="G7566" s="16" cm="1">
        <f t="array" ref="G7566">SUM(G7564:G7565)</f>
        <v>0</v>
      </c>
      <c r="H7566" s="16" cm="1">
        <f t="array" ref="H7566">SUM(H7564:H7565)</f>
        <v>0</v>
      </c>
      <c r="I7566" s="16" cm="1">
        <f t="array" ref="I7566">SUM(I7564:I7565)</f>
        <v>0</v>
      </c>
    </row>
    <row r="7567" ht="21.25" customHeight="1">
      <c r="A7567" s="10">
        <v>45752</v>
      </c>
      <c r="B7567" t="s" s="11">
        <v>93</v>
      </c>
      <c r="C7567" t="s" s="12">
        <v>1058</v>
      </c>
      <c r="D7567" s="17">
        <v>3333</v>
      </c>
      <c r="E7567" s="17"/>
      <c r="F7567" s="18"/>
      <c r="G7567" s="18"/>
      <c r="H7567" s="18"/>
      <c r="I7567" s="18"/>
    </row>
    <row r="7568" ht="21.25" customHeight="1">
      <c r="A7568" s="10">
        <v>45752</v>
      </c>
      <c r="B7568" t="s" s="11">
        <v>89</v>
      </c>
      <c r="C7568" t="s" s="12">
        <v>1058</v>
      </c>
      <c r="D7568" s="13"/>
      <c r="E7568" s="13">
        <v>3333</v>
      </c>
      <c r="F7568" s="14"/>
      <c r="G7568" s="14"/>
      <c r="H7568" s="14"/>
      <c r="I7568" s="14"/>
    </row>
    <row r="7569" ht="20.7" customHeight="1">
      <c r="A7569" s="10">
        <v>45752</v>
      </c>
      <c r="B7569" t="s" s="11">
        <v>8</v>
      </c>
      <c r="C7569" t="s" s="12">
        <v>8</v>
      </c>
      <c r="D7569" s="15" cm="1">
        <f t="array" ref="D7569">SUM(D7567:D7568)</f>
        <v>3333</v>
      </c>
      <c r="E7569" s="15" cm="1">
        <f t="array" ref="E7569">SUM(E7567:E7568)</f>
        <v>3333</v>
      </c>
      <c r="F7569" s="16" cm="1">
        <f t="array" ref="F7569">SUM(F7567:F7568)</f>
        <v>0</v>
      </c>
      <c r="G7569" s="16" cm="1">
        <f t="array" ref="G7569">SUM(G7567:G7568)</f>
        <v>0</v>
      </c>
      <c r="H7569" s="16" cm="1">
        <f t="array" ref="H7569">SUM(H7567:H7568)</f>
        <v>0</v>
      </c>
      <c r="I7569" s="16" cm="1">
        <f t="array" ref="I7569">SUM(I7567:I7568)</f>
        <v>0</v>
      </c>
    </row>
    <row r="7570" ht="21.25" customHeight="1">
      <c r="A7570" s="10">
        <v>45752</v>
      </c>
      <c r="B7570" t="s" s="11">
        <v>107</v>
      </c>
      <c r="C7570" t="s" s="12">
        <v>1058</v>
      </c>
      <c r="D7570" s="17">
        <v>3333</v>
      </c>
      <c r="E7570" s="17"/>
      <c r="F7570" s="18"/>
      <c r="G7570" s="18"/>
      <c r="H7570" s="18"/>
      <c r="I7570" s="18"/>
    </row>
    <row r="7571" ht="21.25" customHeight="1">
      <c r="A7571" s="10">
        <v>45752</v>
      </c>
      <c r="B7571" t="s" s="11">
        <v>89</v>
      </c>
      <c r="C7571" t="s" s="12">
        <v>1058</v>
      </c>
      <c r="D7571" s="13"/>
      <c r="E7571" s="13">
        <v>3333</v>
      </c>
      <c r="F7571" s="14"/>
      <c r="G7571" s="14"/>
      <c r="H7571" s="14"/>
      <c r="I7571" s="14"/>
    </row>
    <row r="7572" ht="20.7" customHeight="1">
      <c r="A7572" s="10">
        <v>45752</v>
      </c>
      <c r="B7572" t="s" s="11">
        <v>8</v>
      </c>
      <c r="C7572" t="s" s="12">
        <v>8</v>
      </c>
      <c r="D7572" s="15" cm="1">
        <f t="array" ref="D7572">SUM(D7570:D7571)</f>
        <v>3333</v>
      </c>
      <c r="E7572" s="15" cm="1">
        <f t="array" ref="E7572">SUM(E7570:E7571)</f>
        <v>3333</v>
      </c>
      <c r="F7572" s="16" cm="1">
        <f t="array" ref="F7572">SUM(F7570:F7571)</f>
        <v>0</v>
      </c>
      <c r="G7572" s="16" cm="1">
        <f t="array" ref="G7572">SUM(G7570:G7571)</f>
        <v>0</v>
      </c>
      <c r="H7572" s="16" cm="1">
        <f t="array" ref="H7572">SUM(H7570:H7571)</f>
        <v>0</v>
      </c>
      <c r="I7572" s="16" cm="1">
        <f t="array" ref="I7572">SUM(I7570:I7571)</f>
        <v>0</v>
      </c>
    </row>
    <row r="7573" ht="21.25" customHeight="1">
      <c r="A7573" s="10">
        <v>45752</v>
      </c>
      <c r="B7573" t="s" s="11">
        <v>107</v>
      </c>
      <c r="C7573" t="s" s="12">
        <v>1058</v>
      </c>
      <c r="D7573" s="17">
        <v>3333</v>
      </c>
      <c r="E7573" s="17"/>
      <c r="F7573" s="18"/>
      <c r="G7573" s="18"/>
      <c r="H7573" s="18"/>
      <c r="I7573" s="18"/>
    </row>
    <row r="7574" ht="21.25" customHeight="1">
      <c r="A7574" s="10">
        <v>45752</v>
      </c>
      <c r="B7574" t="s" s="11">
        <v>89</v>
      </c>
      <c r="C7574" t="s" s="12">
        <v>1058</v>
      </c>
      <c r="D7574" s="13"/>
      <c r="E7574" s="13">
        <v>3333</v>
      </c>
      <c r="F7574" s="14"/>
      <c r="G7574" s="14"/>
      <c r="H7574" s="14"/>
      <c r="I7574" s="14"/>
    </row>
    <row r="7575" ht="20.7" customHeight="1">
      <c r="A7575" s="10">
        <v>45752</v>
      </c>
      <c r="B7575" t="s" s="11">
        <v>8</v>
      </c>
      <c r="C7575" t="s" s="12">
        <v>8</v>
      </c>
      <c r="D7575" s="15" cm="1">
        <f t="array" ref="D7575">SUM(D7573:D7574)</f>
        <v>3333</v>
      </c>
      <c r="E7575" s="15" cm="1">
        <f t="array" ref="E7575">SUM(E7573:E7574)</f>
        <v>3333</v>
      </c>
      <c r="F7575" s="16" cm="1">
        <f t="array" ref="F7575">SUM(F7573:F7574)</f>
        <v>0</v>
      </c>
      <c r="G7575" s="16" cm="1">
        <f t="array" ref="G7575">SUM(G7573:G7574)</f>
        <v>0</v>
      </c>
      <c r="H7575" s="16" cm="1">
        <f t="array" ref="H7575">SUM(H7573:H7574)</f>
        <v>0</v>
      </c>
      <c r="I7575" s="16" cm="1">
        <f t="array" ref="I7575">SUM(I7573:I7574)</f>
        <v>0</v>
      </c>
    </row>
    <row r="7576" ht="21.25" customHeight="1">
      <c r="A7576" s="10">
        <v>45752</v>
      </c>
      <c r="B7576" t="s" s="11">
        <v>21</v>
      </c>
      <c r="C7576" t="s" s="12">
        <v>1064</v>
      </c>
      <c r="D7576" s="17"/>
      <c r="E7576" s="17">
        <v>6000</v>
      </c>
      <c r="F7576" s="18"/>
      <c r="G7576" s="18"/>
      <c r="H7576" s="18"/>
      <c r="I7576" s="18"/>
    </row>
    <row r="7577" ht="21.25" customHeight="1">
      <c r="A7577" s="10">
        <v>45752</v>
      </c>
      <c r="B7577" t="s" s="11">
        <v>16</v>
      </c>
      <c r="C7577" t="s" s="12">
        <v>1064</v>
      </c>
      <c r="D7577" s="13">
        <v>6000</v>
      </c>
      <c r="E7577" s="13"/>
      <c r="F7577" s="14"/>
      <c r="G7577" s="14"/>
      <c r="H7577" s="14"/>
      <c r="I7577" s="14"/>
    </row>
    <row r="7578" ht="20.7" customHeight="1">
      <c r="A7578" s="10">
        <v>45752</v>
      </c>
      <c r="B7578" t="s" s="11">
        <v>8</v>
      </c>
      <c r="C7578" t="s" s="12">
        <v>8</v>
      </c>
      <c r="D7578" s="15" cm="1">
        <f t="array" ref="D7578">SUM(D7576:D7577)</f>
        <v>6000</v>
      </c>
      <c r="E7578" s="15" cm="1">
        <f t="array" ref="E7578">SUM(E7576:E7577)</f>
        <v>6000</v>
      </c>
      <c r="F7578" s="16" cm="1">
        <f t="array" ref="F7578">SUM(F7576:F7577)</f>
        <v>0</v>
      </c>
      <c r="G7578" s="16" cm="1">
        <f t="array" ref="G7578">SUM(G7576:G7577)</f>
        <v>0</v>
      </c>
      <c r="H7578" s="16" cm="1">
        <f t="array" ref="H7578">SUM(H7576:H7577)</f>
        <v>0</v>
      </c>
      <c r="I7578" s="16" cm="1">
        <f t="array" ref="I7578">SUM(I7576:I7577)</f>
        <v>0</v>
      </c>
    </row>
    <row r="7579" ht="20.65" customHeight="1">
      <c r="A7579" s="10">
        <v>45753</v>
      </c>
      <c r="B7579" t="s" s="11">
        <v>843</v>
      </c>
      <c r="C7579" t="s" s="12">
        <v>820</v>
      </c>
      <c r="D7579" s="17">
        <v>1</v>
      </c>
      <c r="E7579" s="17"/>
      <c r="F7579" s="18"/>
      <c r="G7579" s="18"/>
      <c r="H7579" s="18"/>
      <c r="I7579" s="18"/>
    </row>
    <row r="7580" ht="20.65" customHeight="1">
      <c r="A7580" s="10">
        <v>45753</v>
      </c>
      <c r="B7580" t="s" s="11">
        <v>7</v>
      </c>
      <c r="C7580" t="s" s="12">
        <v>820</v>
      </c>
      <c r="D7580" s="13"/>
      <c r="E7580" s="13">
        <v>1</v>
      </c>
      <c r="F7580" s="14"/>
      <c r="G7580" s="14"/>
      <c r="H7580" s="14"/>
      <c r="I7580" s="14"/>
    </row>
    <row r="7581" ht="20.7" customHeight="1">
      <c r="A7581" s="10">
        <v>45753</v>
      </c>
      <c r="B7581" t="s" s="11">
        <v>8</v>
      </c>
      <c r="C7581" t="s" s="12">
        <v>8</v>
      </c>
      <c r="D7581" s="15" cm="1">
        <f t="array" ref="D7581">SUM(D7579:D7580)</f>
        <v>1</v>
      </c>
      <c r="E7581" s="15" cm="1">
        <f t="array" ref="E7581">SUM(E7579:E7580)</f>
        <v>1</v>
      </c>
      <c r="F7581" s="16" cm="1">
        <f t="array" ref="F7581">SUM(F7579:F7580)</f>
        <v>0</v>
      </c>
      <c r="G7581" s="16" cm="1">
        <f t="array" ref="G7581">SUM(G7579:G7580)</f>
        <v>0</v>
      </c>
      <c r="H7581" s="16" cm="1">
        <f t="array" ref="H7581">SUM(H7579:H7580)</f>
        <v>0</v>
      </c>
      <c r="I7581" s="16" cm="1">
        <f t="array" ref="I7581">SUM(I7579:I7580)</f>
        <v>0</v>
      </c>
    </row>
    <row r="7582" ht="20.65" customHeight="1">
      <c r="A7582" s="10">
        <v>45753</v>
      </c>
      <c r="B7582" t="s" s="11">
        <v>814</v>
      </c>
      <c r="C7582" t="s" s="12">
        <v>820</v>
      </c>
      <c r="D7582" s="17">
        <v>151</v>
      </c>
      <c r="E7582" s="17"/>
      <c r="F7582" s="18"/>
      <c r="G7582" s="18"/>
      <c r="H7582" s="18"/>
      <c r="I7582" s="18"/>
    </row>
    <row r="7583" ht="20.65" customHeight="1">
      <c r="A7583" s="10">
        <v>45753</v>
      </c>
      <c r="B7583" t="s" s="11">
        <v>7</v>
      </c>
      <c r="C7583" t="s" s="12">
        <v>820</v>
      </c>
      <c r="D7583" s="13"/>
      <c r="E7583" s="13">
        <v>151</v>
      </c>
      <c r="F7583" s="14"/>
      <c r="G7583" s="14"/>
      <c r="H7583" s="14"/>
      <c r="I7583" s="14"/>
    </row>
    <row r="7584" ht="20.7" customHeight="1">
      <c r="A7584" s="10">
        <v>45753</v>
      </c>
      <c r="B7584" t="s" s="11">
        <v>8</v>
      </c>
      <c r="C7584" t="s" s="12">
        <v>8</v>
      </c>
      <c r="D7584" s="15" cm="1">
        <f t="array" ref="D7584">SUM(D7582:D7583)</f>
        <v>151</v>
      </c>
      <c r="E7584" s="15" cm="1">
        <f t="array" ref="E7584">SUM(E7582:E7583)</f>
        <v>151</v>
      </c>
      <c r="F7584" s="16" cm="1">
        <f t="array" ref="F7584">SUM(F7582:F7583)</f>
        <v>0</v>
      </c>
      <c r="G7584" s="16" cm="1">
        <f t="array" ref="G7584">SUM(G7582:G7583)</f>
        <v>0</v>
      </c>
      <c r="H7584" s="16" cm="1">
        <f t="array" ref="H7584">SUM(H7582:H7583)</f>
        <v>0</v>
      </c>
      <c r="I7584" s="16" cm="1">
        <f t="array" ref="I7584">SUM(I7582:I7583)</f>
        <v>0</v>
      </c>
    </row>
    <row r="7585" ht="20.35" customHeight="1">
      <c r="A7585" s="10">
        <v>45753</v>
      </c>
      <c r="B7585" t="s" s="11">
        <v>121</v>
      </c>
      <c r="C7585" t="s" s="12">
        <v>1059</v>
      </c>
      <c r="D7585" s="17"/>
      <c r="E7585" s="17">
        <v>15886</v>
      </c>
      <c r="F7585" s="18"/>
      <c r="G7585" s="18"/>
      <c r="H7585" s="18"/>
      <c r="I7585" s="18"/>
    </row>
    <row r="7586" ht="20.05" customHeight="1">
      <c r="A7586" s="10">
        <v>45753</v>
      </c>
      <c r="B7586" t="s" s="11">
        <v>91</v>
      </c>
      <c r="C7586" t="s" s="12">
        <v>1059</v>
      </c>
      <c r="D7586" s="19"/>
      <c r="E7586" s="19">
        <v>4114</v>
      </c>
      <c r="F7586" s="20"/>
      <c r="G7586" s="20"/>
      <c r="H7586" s="20"/>
      <c r="I7586" s="20"/>
    </row>
    <row r="7587" ht="20.35" customHeight="1">
      <c r="A7587" s="10">
        <v>45753</v>
      </c>
      <c r="B7587" t="s" s="11">
        <v>21</v>
      </c>
      <c r="C7587" t="s" s="12">
        <v>1059</v>
      </c>
      <c r="D7587" s="13">
        <v>20000</v>
      </c>
      <c r="E7587" s="13"/>
      <c r="F7587" s="14"/>
      <c r="G7587" s="14"/>
      <c r="H7587" s="14"/>
      <c r="I7587" s="14"/>
    </row>
    <row r="7588" ht="20.7" customHeight="1">
      <c r="A7588" s="10">
        <v>45753</v>
      </c>
      <c r="B7588" t="s" s="11">
        <v>8</v>
      </c>
      <c r="C7588" t="s" s="12">
        <v>8</v>
      </c>
      <c r="D7588" s="15" cm="1">
        <f t="array" ref="D7588">SUM(D7585:D7587)</f>
        <v>20000</v>
      </c>
      <c r="E7588" s="15" cm="1">
        <f t="array" ref="E7588">SUM(E7585:E7587)</f>
        <v>20000</v>
      </c>
      <c r="F7588" s="16" cm="1">
        <f t="array" ref="F7588">SUM(F7585:F7587)</f>
        <v>0</v>
      </c>
      <c r="G7588" s="16" cm="1">
        <f t="array" ref="G7588">SUM(G7585:G7587)</f>
        <v>0</v>
      </c>
      <c r="H7588" s="16" cm="1">
        <f t="array" ref="H7588">SUM(H7585:H7587)</f>
        <v>0</v>
      </c>
      <c r="I7588" s="16" cm="1">
        <f t="array" ref="I7588">SUM(I7585:I7587)</f>
        <v>0</v>
      </c>
    </row>
    <row r="7589" ht="20.35" customHeight="1">
      <c r="A7589" s="10">
        <v>45753</v>
      </c>
      <c r="B7589" t="s" s="11">
        <v>107</v>
      </c>
      <c r="C7589" t="s" s="12">
        <v>439</v>
      </c>
      <c r="D7589" s="17"/>
      <c r="E7589" s="17">
        <v>6666</v>
      </c>
      <c r="F7589" s="18"/>
      <c r="G7589" s="18"/>
      <c r="H7589" s="18"/>
      <c r="I7589" s="18"/>
    </row>
    <row r="7590" ht="20.35" customHeight="1">
      <c r="A7590" s="10">
        <v>45753</v>
      </c>
      <c r="B7590" t="s" s="11">
        <v>121</v>
      </c>
      <c r="C7590" t="s" s="12">
        <v>439</v>
      </c>
      <c r="D7590" s="13">
        <v>6666</v>
      </c>
      <c r="E7590" s="13"/>
      <c r="F7590" s="14"/>
      <c r="G7590" s="14"/>
      <c r="H7590" s="14"/>
      <c r="I7590" s="14"/>
    </row>
    <row r="7591" ht="20.7" customHeight="1">
      <c r="A7591" s="10">
        <v>45753</v>
      </c>
      <c r="B7591" t="s" s="11">
        <v>8</v>
      </c>
      <c r="C7591" t="s" s="12">
        <v>8</v>
      </c>
      <c r="D7591" s="15" cm="1">
        <f t="array" ref="D7591">SUM(D7589:D7590)</f>
        <v>6666</v>
      </c>
      <c r="E7591" s="15" cm="1">
        <f t="array" ref="E7591">SUM(E7589:E7590)</f>
        <v>6666</v>
      </c>
      <c r="F7591" s="16" cm="1">
        <f t="array" ref="F7591">SUM(F7589:F7590)</f>
        <v>0</v>
      </c>
      <c r="G7591" s="16" cm="1">
        <f t="array" ref="G7591">SUM(G7589:G7590)</f>
        <v>0</v>
      </c>
      <c r="H7591" s="16" cm="1">
        <f t="array" ref="H7591">SUM(H7589:H7590)</f>
        <v>0</v>
      </c>
      <c r="I7591" s="16" cm="1">
        <f t="array" ref="I7591">SUM(I7589:I7590)</f>
        <v>0</v>
      </c>
    </row>
    <row r="7592" ht="20.35" customHeight="1">
      <c r="A7592" s="10">
        <v>45753</v>
      </c>
      <c r="B7592" t="s" s="11">
        <v>93</v>
      </c>
      <c r="C7592" t="s" s="12">
        <v>439</v>
      </c>
      <c r="D7592" s="17"/>
      <c r="E7592" s="17">
        <v>11101</v>
      </c>
      <c r="F7592" s="18"/>
      <c r="G7592" s="18"/>
      <c r="H7592" s="18"/>
      <c r="I7592" s="18"/>
    </row>
    <row r="7593" ht="20.35" customHeight="1">
      <c r="A7593" s="10">
        <v>45753</v>
      </c>
      <c r="B7593" t="s" s="11">
        <v>121</v>
      </c>
      <c r="C7593" t="s" s="12">
        <v>439</v>
      </c>
      <c r="D7593" s="13">
        <v>11101</v>
      </c>
      <c r="E7593" s="13"/>
      <c r="F7593" s="14"/>
      <c r="G7593" s="14"/>
      <c r="H7593" s="14"/>
      <c r="I7593" s="14"/>
    </row>
    <row r="7594" ht="20.7" customHeight="1">
      <c r="A7594" s="10">
        <v>45753</v>
      </c>
      <c r="B7594" t="s" s="11">
        <v>8</v>
      </c>
      <c r="C7594" t="s" s="12">
        <v>8</v>
      </c>
      <c r="D7594" s="15" cm="1">
        <f t="array" ref="D7594">SUM(D7592:D7593)</f>
        <v>11101</v>
      </c>
      <c r="E7594" s="15" cm="1">
        <f t="array" ref="E7594">SUM(E7592:E7593)</f>
        <v>11101</v>
      </c>
      <c r="F7594" s="16" cm="1">
        <f t="array" ref="F7594">SUM(F7592:F7593)</f>
        <v>0</v>
      </c>
      <c r="G7594" s="16" cm="1">
        <f t="array" ref="G7594">SUM(G7592:G7593)</f>
        <v>0</v>
      </c>
      <c r="H7594" s="16" cm="1">
        <f t="array" ref="H7594">SUM(H7592:H7593)</f>
        <v>0</v>
      </c>
      <c r="I7594" s="16" cm="1">
        <f t="array" ref="I7594">SUM(I7592:I7593)</f>
        <v>0</v>
      </c>
    </row>
    <row r="7595" ht="21.25" customHeight="1">
      <c r="A7595" s="10">
        <v>45753</v>
      </c>
      <c r="B7595" t="s" s="11">
        <v>121</v>
      </c>
      <c r="C7595" t="s" s="12">
        <v>1065</v>
      </c>
      <c r="D7595" s="17"/>
      <c r="E7595" s="17">
        <v>21900</v>
      </c>
      <c r="F7595" s="18"/>
      <c r="G7595" s="18"/>
      <c r="H7595" s="18"/>
      <c r="I7595" s="18"/>
    </row>
    <row r="7596" ht="21.25" customHeight="1">
      <c r="A7596" s="10">
        <v>45753</v>
      </c>
      <c r="B7596" t="s" s="11">
        <v>12</v>
      </c>
      <c r="C7596" t="s" s="12">
        <v>1065</v>
      </c>
      <c r="D7596" s="13">
        <v>21900</v>
      </c>
      <c r="E7596" s="13"/>
      <c r="F7596" s="14"/>
      <c r="G7596" s="14"/>
      <c r="H7596" s="14"/>
      <c r="I7596" s="14"/>
    </row>
    <row r="7597" ht="20.7" customHeight="1">
      <c r="A7597" s="10">
        <v>45753</v>
      </c>
      <c r="B7597" t="s" s="11">
        <v>8</v>
      </c>
      <c r="C7597" t="s" s="12">
        <v>8</v>
      </c>
      <c r="D7597" s="15" cm="1">
        <f t="array" ref="D7597">SUM(D7595:D7596)</f>
        <v>21900</v>
      </c>
      <c r="E7597" s="15" cm="1">
        <f t="array" ref="E7597">SUM(E7595:E7596)</f>
        <v>21900</v>
      </c>
      <c r="F7597" s="16" cm="1">
        <f t="array" ref="F7597">SUM(F7595:F7596)</f>
        <v>0</v>
      </c>
      <c r="G7597" s="16" cm="1">
        <f t="array" ref="G7597">SUM(G7595:G7596)</f>
        <v>0</v>
      </c>
      <c r="H7597" s="16" cm="1">
        <f t="array" ref="H7597">SUM(H7595:H7596)</f>
        <v>0</v>
      </c>
      <c r="I7597" s="16" cm="1">
        <f t="array" ref="I7597">SUM(I7595:I7596)</f>
        <v>0</v>
      </c>
    </row>
    <row r="7598" ht="20.35" customHeight="1">
      <c r="A7598" s="10">
        <v>45753</v>
      </c>
      <c r="B7598" t="s" s="11">
        <v>28</v>
      </c>
      <c r="C7598" t="s" s="12">
        <v>96</v>
      </c>
      <c r="D7598" s="17"/>
      <c r="E7598" s="17">
        <v>28000</v>
      </c>
      <c r="F7598" s="18"/>
      <c r="G7598" s="18"/>
      <c r="H7598" s="18"/>
      <c r="I7598" s="18"/>
    </row>
    <row r="7599" ht="20.35" customHeight="1">
      <c r="A7599" s="10">
        <v>45753</v>
      </c>
      <c r="B7599" t="s" s="11">
        <v>5</v>
      </c>
      <c r="C7599" t="s" s="12">
        <v>96</v>
      </c>
      <c r="D7599" s="13">
        <v>28000</v>
      </c>
      <c r="E7599" s="13"/>
      <c r="F7599" s="14"/>
      <c r="G7599" s="14"/>
      <c r="H7599" s="14"/>
      <c r="I7599" s="14"/>
    </row>
    <row r="7600" ht="20.7" customHeight="1">
      <c r="A7600" s="10">
        <v>45753</v>
      </c>
      <c r="B7600" t="s" s="11">
        <v>8</v>
      </c>
      <c r="C7600" t="s" s="12">
        <v>8</v>
      </c>
      <c r="D7600" s="15" cm="1">
        <f t="array" ref="D7600">SUM(D7598:D7599)</f>
        <v>28000</v>
      </c>
      <c r="E7600" s="15" cm="1">
        <f t="array" ref="E7600">SUM(E7598:E7599)</f>
        <v>28000</v>
      </c>
      <c r="F7600" s="16" cm="1">
        <f t="array" ref="F7600">SUM(F7598:F7599)</f>
        <v>0</v>
      </c>
      <c r="G7600" s="16" cm="1">
        <f t="array" ref="G7600">SUM(G7598:G7599)</f>
        <v>0</v>
      </c>
      <c r="H7600" s="16" cm="1">
        <f t="array" ref="H7600">SUM(H7598:H7599)</f>
        <v>0</v>
      </c>
      <c r="I7600" s="16" cm="1">
        <f t="array" ref="I7600">SUM(I7598:I7599)</f>
        <v>0</v>
      </c>
    </row>
    <row r="7601" ht="20.65" customHeight="1">
      <c r="A7601" s="10">
        <v>45754</v>
      </c>
      <c r="B7601" t="s" s="11">
        <v>843</v>
      </c>
      <c r="C7601" t="s" s="12">
        <v>820</v>
      </c>
      <c r="D7601" s="17">
        <v>1</v>
      </c>
      <c r="E7601" s="17"/>
      <c r="F7601" s="18"/>
      <c r="G7601" s="18"/>
      <c r="H7601" s="18"/>
      <c r="I7601" s="18"/>
    </row>
    <row r="7602" ht="20.65" customHeight="1">
      <c r="A7602" s="10">
        <v>45754</v>
      </c>
      <c r="B7602" t="s" s="11">
        <v>7</v>
      </c>
      <c r="C7602" t="s" s="12">
        <v>820</v>
      </c>
      <c r="D7602" s="13"/>
      <c r="E7602" s="13">
        <v>1</v>
      </c>
      <c r="F7602" s="14"/>
      <c r="G7602" s="14"/>
      <c r="H7602" s="14"/>
      <c r="I7602" s="14"/>
    </row>
    <row r="7603" ht="20.7" customHeight="1">
      <c r="A7603" s="10">
        <v>45754</v>
      </c>
      <c r="B7603" t="s" s="11">
        <v>8</v>
      </c>
      <c r="C7603" t="s" s="12">
        <v>8</v>
      </c>
      <c r="D7603" s="15" cm="1">
        <f t="array" ref="D7603">SUM(D7601:D7602)</f>
        <v>1</v>
      </c>
      <c r="E7603" s="15" cm="1">
        <f t="array" ref="E7603">SUM(E7601:E7602)</f>
        <v>1</v>
      </c>
      <c r="F7603" s="16" cm="1">
        <f t="array" ref="F7603">SUM(F7601:F7602)</f>
        <v>0</v>
      </c>
      <c r="G7603" s="16" cm="1">
        <f t="array" ref="G7603">SUM(G7601:G7602)</f>
        <v>0</v>
      </c>
      <c r="H7603" s="16" cm="1">
        <f t="array" ref="H7603">SUM(H7601:H7602)</f>
        <v>0</v>
      </c>
      <c r="I7603" s="16" cm="1">
        <f t="array" ref="I7603">SUM(I7601:I7602)</f>
        <v>0</v>
      </c>
    </row>
    <row r="7604" ht="20.65" customHeight="1">
      <c r="A7604" s="10">
        <v>45754</v>
      </c>
      <c r="B7604" t="s" s="11">
        <v>814</v>
      </c>
      <c r="C7604" t="s" s="12">
        <v>820</v>
      </c>
      <c r="D7604" s="17">
        <v>151</v>
      </c>
      <c r="E7604" s="17"/>
      <c r="F7604" s="18"/>
      <c r="G7604" s="18"/>
      <c r="H7604" s="18"/>
      <c r="I7604" s="18"/>
    </row>
    <row r="7605" ht="20.65" customHeight="1">
      <c r="A7605" s="10">
        <v>45754</v>
      </c>
      <c r="B7605" t="s" s="11">
        <v>7</v>
      </c>
      <c r="C7605" t="s" s="12">
        <v>820</v>
      </c>
      <c r="D7605" s="13"/>
      <c r="E7605" s="13">
        <v>151</v>
      </c>
      <c r="F7605" s="14"/>
      <c r="G7605" s="14"/>
      <c r="H7605" s="14"/>
      <c r="I7605" s="14"/>
    </row>
    <row r="7606" ht="20.7" customHeight="1">
      <c r="A7606" s="10">
        <v>45754</v>
      </c>
      <c r="B7606" t="s" s="11">
        <v>8</v>
      </c>
      <c r="C7606" t="s" s="12">
        <v>8</v>
      </c>
      <c r="D7606" s="15" cm="1">
        <f t="array" ref="D7606">SUM(D7604:D7605)</f>
        <v>151</v>
      </c>
      <c r="E7606" s="15" cm="1">
        <f t="array" ref="E7606">SUM(E7604:E7605)</f>
        <v>151</v>
      </c>
      <c r="F7606" s="16" cm="1">
        <f t="array" ref="F7606">SUM(F7604:F7605)</f>
        <v>0</v>
      </c>
      <c r="G7606" s="16" cm="1">
        <f t="array" ref="G7606">SUM(G7604:G7605)</f>
        <v>0</v>
      </c>
      <c r="H7606" s="16" cm="1">
        <f t="array" ref="H7606">SUM(H7604:H7605)</f>
        <v>0</v>
      </c>
      <c r="I7606" s="16" cm="1">
        <f t="array" ref="I7606">SUM(I7604:I7605)</f>
        <v>0</v>
      </c>
    </row>
    <row r="7607" ht="21.25" customHeight="1">
      <c r="A7607" s="10">
        <v>45754</v>
      </c>
      <c r="B7607" t="s" s="11">
        <v>5</v>
      </c>
      <c r="C7607" t="s" s="12">
        <v>253</v>
      </c>
      <c r="D7607" s="17"/>
      <c r="E7607" s="17">
        <v>7890</v>
      </c>
      <c r="F7607" s="18"/>
      <c r="G7607" s="18"/>
      <c r="H7607" s="18"/>
      <c r="I7607" s="18"/>
    </row>
    <row r="7608" ht="21.25" customHeight="1">
      <c r="A7608" s="10">
        <v>45754</v>
      </c>
      <c r="B7608" t="s" s="11">
        <v>10</v>
      </c>
      <c r="C7608" t="s" s="12">
        <v>253</v>
      </c>
      <c r="D7608" s="13">
        <v>7890</v>
      </c>
      <c r="E7608" s="13"/>
      <c r="F7608" s="14"/>
      <c r="G7608" s="14"/>
      <c r="H7608" s="14"/>
      <c r="I7608" s="14"/>
    </row>
    <row r="7609" ht="20.7" customHeight="1">
      <c r="A7609" s="10">
        <v>45754</v>
      </c>
      <c r="B7609" t="s" s="11">
        <v>8</v>
      </c>
      <c r="C7609" t="s" s="12">
        <v>8</v>
      </c>
      <c r="D7609" s="15" cm="1">
        <f t="array" ref="D7609">SUM(D7607:D7608)</f>
        <v>7890</v>
      </c>
      <c r="E7609" s="15" cm="1">
        <f t="array" ref="E7609">SUM(E7607:E7608)</f>
        <v>7890</v>
      </c>
      <c r="F7609" s="16" cm="1">
        <f t="array" ref="F7609">SUM(F7607:F7608)</f>
        <v>0</v>
      </c>
      <c r="G7609" s="16" cm="1">
        <f t="array" ref="G7609">SUM(G7607:G7608)</f>
        <v>0</v>
      </c>
      <c r="H7609" s="16" cm="1">
        <f t="array" ref="H7609">SUM(H7607:H7608)</f>
        <v>0</v>
      </c>
      <c r="I7609" s="16" cm="1">
        <f t="array" ref="I7609">SUM(I7607:I7608)</f>
        <v>0</v>
      </c>
    </row>
    <row r="7610" ht="20.35" customHeight="1">
      <c r="A7610" s="10">
        <v>45754</v>
      </c>
      <c r="B7610" t="s" s="11">
        <v>28</v>
      </c>
      <c r="C7610" t="s" s="12">
        <v>992</v>
      </c>
      <c r="D7610" s="17">
        <v>11000</v>
      </c>
      <c r="E7610" s="17"/>
      <c r="F7610" s="18"/>
      <c r="G7610" s="18"/>
      <c r="H7610" s="18"/>
      <c r="I7610" s="18"/>
    </row>
    <row r="7611" ht="20.05" customHeight="1">
      <c r="A7611" s="10">
        <v>45754</v>
      </c>
      <c r="B7611" t="s" s="11">
        <v>89</v>
      </c>
      <c r="C7611" t="s" s="12">
        <v>992</v>
      </c>
      <c r="D7611" s="19"/>
      <c r="E7611" s="19">
        <v>15886</v>
      </c>
      <c r="F7611" s="20"/>
      <c r="G7611" s="20"/>
      <c r="H7611" s="20"/>
      <c r="I7611" s="20"/>
    </row>
    <row r="7612" ht="20.05" customHeight="1">
      <c r="A7612" s="10">
        <v>45754</v>
      </c>
      <c r="B7612" t="s" s="11">
        <v>21</v>
      </c>
      <c r="C7612" t="s" s="12">
        <v>992</v>
      </c>
      <c r="D7612" s="19">
        <v>5000</v>
      </c>
      <c r="E7612" s="19"/>
      <c r="F7612" s="20"/>
      <c r="G7612" s="20"/>
      <c r="H7612" s="20"/>
      <c r="I7612" s="20"/>
    </row>
    <row r="7613" ht="20.35" customHeight="1">
      <c r="A7613" s="10">
        <v>45754</v>
      </c>
      <c r="B7613" t="s" s="11">
        <v>91</v>
      </c>
      <c r="C7613" t="s" s="12">
        <v>992</v>
      </c>
      <c r="D7613" s="13"/>
      <c r="E7613" s="13">
        <v>114</v>
      </c>
      <c r="F7613" s="14"/>
      <c r="G7613" s="14"/>
      <c r="H7613" s="14"/>
      <c r="I7613" s="14"/>
    </row>
    <row r="7614" ht="20.7" customHeight="1">
      <c r="A7614" s="10">
        <v>45754</v>
      </c>
      <c r="B7614" t="s" s="11">
        <v>8</v>
      </c>
      <c r="C7614" t="s" s="12">
        <v>8</v>
      </c>
      <c r="D7614" s="15" cm="1">
        <f t="array" ref="D7614">SUM(D7610:D7613)</f>
        <v>16000</v>
      </c>
      <c r="E7614" s="15" cm="1">
        <f t="array" ref="E7614">SUM(E7610:E7613)</f>
        <v>16000</v>
      </c>
      <c r="F7614" s="16" cm="1">
        <f t="array" ref="F7614">SUM(F7610:F7613)</f>
        <v>0</v>
      </c>
      <c r="G7614" s="16" cm="1">
        <f t="array" ref="G7614">SUM(G7610:G7613)</f>
        <v>0</v>
      </c>
      <c r="H7614" s="16" cm="1">
        <f t="array" ref="H7614">SUM(H7610:H7613)</f>
        <v>0</v>
      </c>
      <c r="I7614" s="16" cm="1">
        <f t="array" ref="I7614">SUM(I7610:I7613)</f>
        <v>0</v>
      </c>
    </row>
    <row r="7615" ht="20.35" customHeight="1">
      <c r="A7615" s="10">
        <v>45754</v>
      </c>
      <c r="B7615" t="s" s="11">
        <v>814</v>
      </c>
      <c r="C7615" t="s" s="12">
        <v>96</v>
      </c>
      <c r="D7615" s="17"/>
      <c r="E7615" s="17">
        <v>57440</v>
      </c>
      <c r="F7615" s="18"/>
      <c r="G7615" s="18"/>
      <c r="H7615" s="18"/>
      <c r="I7615" s="18"/>
    </row>
    <row r="7616" ht="20.35" customHeight="1">
      <c r="A7616" s="10">
        <v>45754</v>
      </c>
      <c r="B7616" t="s" s="11">
        <v>5</v>
      </c>
      <c r="C7616" t="s" s="12">
        <v>96</v>
      </c>
      <c r="D7616" s="13">
        <v>57440</v>
      </c>
      <c r="E7616" s="13"/>
      <c r="F7616" s="14"/>
      <c r="G7616" s="14"/>
      <c r="H7616" s="14"/>
      <c r="I7616" s="14"/>
    </row>
    <row r="7617" ht="20.7" customHeight="1">
      <c r="A7617" s="10">
        <v>45754</v>
      </c>
      <c r="B7617" t="s" s="11">
        <v>8</v>
      </c>
      <c r="C7617" t="s" s="12">
        <v>8</v>
      </c>
      <c r="D7617" s="15" cm="1">
        <f t="array" ref="D7617">SUM(D7615:D7616)</f>
        <v>57440</v>
      </c>
      <c r="E7617" s="15" cm="1">
        <f t="array" ref="E7617">SUM(E7615:E7616)</f>
        <v>57440</v>
      </c>
      <c r="F7617" s="16" cm="1">
        <f t="array" ref="F7617">SUM(F7615:F7616)</f>
        <v>0</v>
      </c>
      <c r="G7617" s="16" cm="1">
        <f t="array" ref="G7617">SUM(G7615:G7616)</f>
        <v>0</v>
      </c>
      <c r="H7617" s="16" cm="1">
        <f t="array" ref="H7617">SUM(H7615:H7616)</f>
        <v>0</v>
      </c>
      <c r="I7617" s="16" cm="1">
        <f t="array" ref="I7617">SUM(I7615:I7616)</f>
        <v>0</v>
      </c>
    </row>
    <row r="7618" ht="20.35" customHeight="1">
      <c r="A7618" s="10">
        <v>45754</v>
      </c>
      <c r="B7618" t="s" s="11">
        <v>5</v>
      </c>
      <c r="C7618" t="s" s="12">
        <v>1066</v>
      </c>
      <c r="D7618" s="17"/>
      <c r="E7618" s="17">
        <v>57440</v>
      </c>
      <c r="F7618" s="18"/>
      <c r="G7618" s="18"/>
      <c r="H7618" s="18"/>
      <c r="I7618" s="18"/>
    </row>
    <row r="7619" ht="20.35" customHeight="1">
      <c r="A7619" s="10">
        <v>45754</v>
      </c>
      <c r="B7619" t="s" s="11">
        <v>10</v>
      </c>
      <c r="C7619" t="s" s="12">
        <v>1066</v>
      </c>
      <c r="D7619" s="13">
        <v>57440</v>
      </c>
      <c r="E7619" s="13"/>
      <c r="F7619" s="14"/>
      <c r="G7619" s="14"/>
      <c r="H7619" s="14"/>
      <c r="I7619" s="14"/>
    </row>
    <row r="7620" ht="20.7" customHeight="1">
      <c r="A7620" s="10">
        <v>45754</v>
      </c>
      <c r="B7620" t="s" s="11">
        <v>8</v>
      </c>
      <c r="C7620" t="s" s="12">
        <v>8</v>
      </c>
      <c r="D7620" s="15" cm="1">
        <f t="array" ref="D7620">SUM(D7618:D7619)</f>
        <v>57440</v>
      </c>
      <c r="E7620" s="15" cm="1">
        <f t="array" ref="E7620">SUM(E7618:E7619)</f>
        <v>57440</v>
      </c>
      <c r="F7620" s="16" cm="1">
        <f t="array" ref="F7620">SUM(F7618:F7619)</f>
        <v>0</v>
      </c>
      <c r="G7620" s="16" cm="1">
        <f t="array" ref="G7620">SUM(G7618:G7619)</f>
        <v>0</v>
      </c>
      <c r="H7620" s="16" cm="1">
        <f t="array" ref="H7620">SUM(H7618:H7619)</f>
        <v>0</v>
      </c>
      <c r="I7620" s="16" cm="1">
        <f t="array" ref="I7620">SUM(I7618:I7619)</f>
        <v>0</v>
      </c>
    </row>
    <row r="7621" ht="21.25" customHeight="1">
      <c r="A7621" s="10">
        <v>45754</v>
      </c>
      <c r="B7621" t="s" s="11">
        <v>5</v>
      </c>
      <c r="C7621" t="s" s="12">
        <v>799</v>
      </c>
      <c r="D7621" s="17">
        <v>4</v>
      </c>
      <c r="E7621" s="17"/>
      <c r="F7621" s="18"/>
      <c r="G7621" s="18"/>
      <c r="H7621" s="18"/>
      <c r="I7621" s="18"/>
    </row>
    <row r="7622" ht="21.25" customHeight="1">
      <c r="A7622" s="10">
        <v>45754</v>
      </c>
      <c r="B7622" t="s" s="11">
        <v>18</v>
      </c>
      <c r="C7622" t="s" s="12">
        <v>799</v>
      </c>
      <c r="D7622" s="13"/>
      <c r="E7622" s="13">
        <v>4</v>
      </c>
      <c r="F7622" s="14"/>
      <c r="G7622" s="14"/>
      <c r="H7622" s="14"/>
      <c r="I7622" s="14"/>
    </row>
    <row r="7623" ht="20.7" customHeight="1">
      <c r="A7623" s="10">
        <v>45754</v>
      </c>
      <c r="B7623" t="s" s="11">
        <v>8</v>
      </c>
      <c r="C7623" t="s" s="12">
        <v>8</v>
      </c>
      <c r="D7623" s="15" cm="1">
        <f t="array" ref="D7623">SUM(D7621:D7622)</f>
        <v>4</v>
      </c>
      <c r="E7623" s="15" cm="1">
        <f t="array" ref="E7623">SUM(E7621:E7622)</f>
        <v>4</v>
      </c>
      <c r="F7623" s="16" cm="1">
        <f t="array" ref="F7623">SUM(F7621:F7622)</f>
        <v>0</v>
      </c>
      <c r="G7623" s="16" cm="1">
        <f t="array" ref="G7623">SUM(G7621:G7622)</f>
        <v>0</v>
      </c>
      <c r="H7623" s="16" cm="1">
        <f t="array" ref="H7623">SUM(H7621:H7622)</f>
        <v>0</v>
      </c>
      <c r="I7623" s="16" cm="1">
        <f t="array" ref="I7623">SUM(I7621:I7622)</f>
        <v>0</v>
      </c>
    </row>
    <row r="7624" ht="20.35" customHeight="1">
      <c r="A7624" s="10">
        <v>45754</v>
      </c>
      <c r="B7624" t="s" s="11">
        <v>814</v>
      </c>
      <c r="C7624" t="s" s="12">
        <v>96</v>
      </c>
      <c r="D7624" s="17"/>
      <c r="E7624" s="17">
        <v>200000</v>
      </c>
      <c r="F7624" s="18"/>
      <c r="G7624" s="18"/>
      <c r="H7624" s="18"/>
      <c r="I7624" s="18"/>
    </row>
    <row r="7625" ht="20.35" customHeight="1">
      <c r="A7625" s="10">
        <v>45754</v>
      </c>
      <c r="B7625" t="s" s="11">
        <v>5</v>
      </c>
      <c r="C7625" t="s" s="12">
        <v>96</v>
      </c>
      <c r="D7625" s="13">
        <v>200000</v>
      </c>
      <c r="E7625" s="13"/>
      <c r="F7625" s="14"/>
      <c r="G7625" s="14"/>
      <c r="H7625" s="14"/>
      <c r="I7625" s="14"/>
    </row>
    <row r="7626" ht="20.7" customHeight="1">
      <c r="A7626" s="10">
        <v>45754</v>
      </c>
      <c r="B7626" t="s" s="11">
        <v>8</v>
      </c>
      <c r="C7626" t="s" s="12">
        <v>8</v>
      </c>
      <c r="D7626" s="15" cm="1">
        <f t="array" ref="D7626">SUM(D7624:D7625)</f>
        <v>200000</v>
      </c>
      <c r="E7626" s="15" cm="1">
        <f t="array" ref="E7626">SUM(E7624:E7625)</f>
        <v>200000</v>
      </c>
      <c r="F7626" s="16" cm="1">
        <f t="array" ref="F7626">SUM(F7624:F7625)</f>
        <v>0</v>
      </c>
      <c r="G7626" s="16" cm="1">
        <f t="array" ref="G7626">SUM(G7624:G7625)</f>
        <v>0</v>
      </c>
      <c r="H7626" s="16" cm="1">
        <f t="array" ref="H7626">SUM(H7624:H7625)</f>
        <v>0</v>
      </c>
      <c r="I7626" s="16" cm="1">
        <f t="array" ref="I7626">SUM(I7624:I7625)</f>
        <v>0</v>
      </c>
    </row>
    <row r="7627" ht="20.35" customHeight="1">
      <c r="A7627" s="10">
        <v>45754</v>
      </c>
      <c r="B7627" t="s" s="11">
        <v>5</v>
      </c>
      <c r="C7627" t="s" s="12">
        <v>1067</v>
      </c>
      <c r="D7627" s="17"/>
      <c r="E7627" s="17">
        <v>42420</v>
      </c>
      <c r="F7627" s="18"/>
      <c r="G7627" s="18"/>
      <c r="H7627" s="18"/>
      <c r="I7627" s="18"/>
    </row>
    <row r="7628" ht="20.05" customHeight="1">
      <c r="A7628" s="10">
        <v>45754</v>
      </c>
      <c r="B7628" t="s" s="11">
        <v>89</v>
      </c>
      <c r="C7628" t="s" s="12">
        <v>1067</v>
      </c>
      <c r="D7628" s="19">
        <v>21210</v>
      </c>
      <c r="E7628" s="19"/>
      <c r="F7628" s="20"/>
      <c r="G7628" s="20"/>
      <c r="H7628" s="20"/>
      <c r="I7628" s="20"/>
    </row>
    <row r="7629" ht="20.35" customHeight="1">
      <c r="A7629" s="10">
        <v>45754</v>
      </c>
      <c r="B7629" t="s" s="11">
        <v>12</v>
      </c>
      <c r="C7629" t="s" s="12">
        <v>1067</v>
      </c>
      <c r="D7629" s="13">
        <v>21210</v>
      </c>
      <c r="E7629" s="13"/>
      <c r="F7629" s="14"/>
      <c r="G7629" s="14"/>
      <c r="H7629" s="14"/>
      <c r="I7629" s="14"/>
    </row>
    <row r="7630" ht="20.7" customHeight="1">
      <c r="A7630" s="10">
        <v>45754</v>
      </c>
      <c r="B7630" t="s" s="11">
        <v>8</v>
      </c>
      <c r="C7630" t="s" s="12">
        <v>8</v>
      </c>
      <c r="D7630" s="15" cm="1">
        <f t="array" ref="D7630">SUM(D7627:D7629)</f>
        <v>42420</v>
      </c>
      <c r="E7630" s="15" cm="1">
        <f t="array" ref="E7630">SUM(E7627:E7629)</f>
        <v>42420</v>
      </c>
      <c r="F7630" s="16" cm="1">
        <f t="array" ref="F7630">SUM(F7627:F7629)</f>
        <v>0</v>
      </c>
      <c r="G7630" s="16" cm="1">
        <f t="array" ref="G7630">SUM(G7627:G7629)</f>
        <v>0</v>
      </c>
      <c r="H7630" s="16" cm="1">
        <f t="array" ref="H7630">SUM(H7627:H7629)</f>
        <v>0</v>
      </c>
      <c r="I7630" s="16" cm="1">
        <f t="array" ref="I7630">SUM(I7627:I7629)</f>
        <v>0</v>
      </c>
    </row>
    <row r="7631" ht="20.35" customHeight="1">
      <c r="A7631" s="10">
        <v>45754</v>
      </c>
      <c r="B7631" t="s" s="11">
        <v>18</v>
      </c>
      <c r="C7631" t="s" s="12">
        <v>17</v>
      </c>
      <c r="D7631" s="17"/>
      <c r="E7631" s="17">
        <v>500</v>
      </c>
      <c r="F7631" s="18"/>
      <c r="G7631" s="18"/>
      <c r="H7631" s="18"/>
      <c r="I7631" s="18"/>
    </row>
    <row r="7632" ht="20.35" customHeight="1">
      <c r="A7632" s="10">
        <v>45754</v>
      </c>
      <c r="B7632" t="s" s="11">
        <v>5</v>
      </c>
      <c r="C7632" t="s" s="12">
        <v>17</v>
      </c>
      <c r="D7632" s="13">
        <v>500</v>
      </c>
      <c r="E7632" s="13"/>
      <c r="F7632" s="14"/>
      <c r="G7632" s="14"/>
      <c r="H7632" s="14"/>
      <c r="I7632" s="14"/>
    </row>
    <row r="7633" ht="20.7" customHeight="1">
      <c r="A7633" s="10">
        <v>45754</v>
      </c>
      <c r="B7633" t="s" s="11">
        <v>8</v>
      </c>
      <c r="C7633" t="s" s="12">
        <v>8</v>
      </c>
      <c r="D7633" s="15" cm="1">
        <f t="array" ref="D7633">SUM(D7631:D7632)</f>
        <v>500</v>
      </c>
      <c r="E7633" s="15" cm="1">
        <f t="array" ref="E7633">SUM(E7631:E7632)</f>
        <v>500</v>
      </c>
      <c r="F7633" s="16" cm="1">
        <f t="array" ref="F7633">SUM(F7631:F7632)</f>
        <v>0</v>
      </c>
      <c r="G7633" s="16" cm="1">
        <f t="array" ref="G7633">SUM(G7631:G7632)</f>
        <v>0</v>
      </c>
      <c r="H7633" s="16" cm="1">
        <f t="array" ref="H7633">SUM(H7631:H7632)</f>
        <v>0</v>
      </c>
      <c r="I7633" s="16" cm="1">
        <f t="array" ref="I7633">SUM(I7631:I7632)</f>
        <v>0</v>
      </c>
    </row>
    <row r="7634" ht="20.35" customHeight="1">
      <c r="A7634" s="10">
        <v>45754</v>
      </c>
      <c r="B7634" t="s" s="11">
        <v>5</v>
      </c>
      <c r="C7634" t="s" s="12">
        <v>1068</v>
      </c>
      <c r="D7634" s="17"/>
      <c r="E7634" s="17">
        <v>140</v>
      </c>
      <c r="F7634" s="18"/>
      <c r="G7634" s="18"/>
      <c r="H7634" s="18"/>
      <c r="I7634" s="18"/>
    </row>
    <row r="7635" ht="20.35" customHeight="1">
      <c r="A7635" s="10">
        <v>45754</v>
      </c>
      <c r="B7635" t="s" s="11">
        <v>89</v>
      </c>
      <c r="C7635" t="s" s="12">
        <v>1068</v>
      </c>
      <c r="D7635" s="13">
        <v>140</v>
      </c>
      <c r="E7635" s="13"/>
      <c r="F7635" s="14"/>
      <c r="G7635" s="14"/>
      <c r="H7635" s="14"/>
      <c r="I7635" s="14"/>
    </row>
    <row r="7636" ht="20.7" customHeight="1">
      <c r="A7636" s="10">
        <v>45754</v>
      </c>
      <c r="B7636" t="s" s="11">
        <v>8</v>
      </c>
      <c r="C7636" t="s" s="12">
        <v>8</v>
      </c>
      <c r="D7636" s="15" cm="1">
        <f t="array" ref="D7636">SUM(D7634:D7635)</f>
        <v>140</v>
      </c>
      <c r="E7636" s="15" cm="1">
        <f t="array" ref="E7636">SUM(E7634:E7635)</f>
        <v>140</v>
      </c>
      <c r="F7636" s="16" cm="1">
        <f t="array" ref="F7636">SUM(F7634:F7635)</f>
        <v>0</v>
      </c>
      <c r="G7636" s="16" cm="1">
        <f t="array" ref="G7636">SUM(G7634:G7635)</f>
        <v>0</v>
      </c>
      <c r="H7636" s="16" cm="1">
        <f t="array" ref="H7636">SUM(H7634:H7635)</f>
        <v>0</v>
      </c>
      <c r="I7636" s="16" cm="1">
        <f t="array" ref="I7636">SUM(I7634:I7635)</f>
        <v>0</v>
      </c>
    </row>
    <row r="7637" ht="20.35" customHeight="1">
      <c r="A7637" s="10">
        <v>45754</v>
      </c>
      <c r="B7637" t="s" s="11">
        <v>39</v>
      </c>
      <c r="C7637" t="s" s="12">
        <v>40</v>
      </c>
      <c r="D7637" s="17"/>
      <c r="E7637" s="17"/>
      <c r="F7637" s="18">
        <v>1300</v>
      </c>
      <c r="G7637" s="18"/>
      <c r="H7637" s="18"/>
      <c r="I7637" s="18"/>
    </row>
    <row r="7638" ht="20.35" customHeight="1">
      <c r="A7638" s="10">
        <v>45754</v>
      </c>
      <c r="B7638" t="s" s="11">
        <v>63</v>
      </c>
      <c r="C7638" t="s" s="12">
        <v>40</v>
      </c>
      <c r="D7638" s="13"/>
      <c r="E7638" s="13"/>
      <c r="F7638" s="14"/>
      <c r="G7638" s="14">
        <v>1300</v>
      </c>
      <c r="H7638" s="14"/>
      <c r="I7638" s="14"/>
    </row>
    <row r="7639" ht="20.7" customHeight="1">
      <c r="A7639" s="10">
        <v>45754</v>
      </c>
      <c r="B7639" t="s" s="11">
        <v>8</v>
      </c>
      <c r="C7639" t="s" s="12">
        <v>8</v>
      </c>
      <c r="D7639" s="15" cm="1">
        <f t="array" ref="D7639">SUM(D7637:D7638)</f>
        <v>0</v>
      </c>
      <c r="E7639" s="15" cm="1">
        <f t="array" ref="E7639">SUM(E7637:E7638)</f>
        <v>0</v>
      </c>
      <c r="F7639" s="16" cm="1">
        <f t="array" ref="F7639">SUM(F7637:F7638)</f>
        <v>1300</v>
      </c>
      <c r="G7639" s="16" cm="1">
        <f t="array" ref="G7639">SUM(G7637:G7638)</f>
        <v>1300</v>
      </c>
      <c r="H7639" s="16" cm="1">
        <f t="array" ref="H7639">SUM(H7637:H7638)</f>
        <v>0</v>
      </c>
      <c r="I7639" s="16" cm="1">
        <f t="array" ref="I7639">SUM(I7637:I7638)</f>
        <v>0</v>
      </c>
    </row>
    <row r="7640" ht="20.35" customHeight="1">
      <c r="A7640" s="10">
        <v>45754</v>
      </c>
      <c r="B7640" t="s" s="11">
        <v>39</v>
      </c>
      <c r="C7640" t="s" s="12">
        <v>1069</v>
      </c>
      <c r="D7640" s="17"/>
      <c r="E7640" s="17"/>
      <c r="F7640" s="18">
        <v>280.34</v>
      </c>
      <c r="G7640" s="18"/>
      <c r="H7640" s="18"/>
      <c r="I7640" s="18"/>
    </row>
    <row r="7641" ht="20.35" customHeight="1">
      <c r="A7641" s="10">
        <v>45754</v>
      </c>
      <c r="B7641" t="s" s="11">
        <v>63</v>
      </c>
      <c r="C7641" t="s" s="12">
        <v>1069</v>
      </c>
      <c r="D7641" s="13"/>
      <c r="E7641" s="13"/>
      <c r="F7641" s="14"/>
      <c r="G7641" s="14">
        <v>280.34</v>
      </c>
      <c r="H7641" s="14"/>
      <c r="I7641" s="14"/>
    </row>
    <row r="7642" ht="20.7" customHeight="1">
      <c r="A7642" s="10">
        <v>45754</v>
      </c>
      <c r="B7642" t="s" s="11">
        <v>8</v>
      </c>
      <c r="C7642" t="s" s="12">
        <v>8</v>
      </c>
      <c r="D7642" s="15" cm="1">
        <f t="array" ref="D7642">SUM(D7640:D7641)</f>
        <v>0</v>
      </c>
      <c r="E7642" s="15" cm="1">
        <f t="array" ref="E7642">SUM(E7640:E7641)</f>
        <v>0</v>
      </c>
      <c r="F7642" s="16" cm="1">
        <f t="array" ref="F7642">SUM(F7640:F7641)</f>
        <v>280.34</v>
      </c>
      <c r="G7642" s="16" cm="1">
        <f t="array" ref="G7642">SUM(G7640:G7641)</f>
        <v>280.34</v>
      </c>
      <c r="H7642" s="16" cm="1">
        <f t="array" ref="H7642">SUM(H7640:H7641)</f>
        <v>0</v>
      </c>
      <c r="I7642" s="16" cm="1">
        <f t="array" ref="I7642">SUM(I7640:I7641)</f>
        <v>0</v>
      </c>
    </row>
    <row r="7643" ht="20.35" customHeight="1">
      <c r="A7643" s="10">
        <v>45754</v>
      </c>
      <c r="B7643" t="s" s="11">
        <v>39</v>
      </c>
      <c r="C7643" t="s" s="12">
        <v>1069</v>
      </c>
      <c r="D7643" s="17"/>
      <c r="E7643" s="17"/>
      <c r="F7643" s="18">
        <v>1210.49</v>
      </c>
      <c r="G7643" s="18"/>
      <c r="H7643" s="18"/>
      <c r="I7643" s="18"/>
    </row>
    <row r="7644" ht="20.35" customHeight="1">
      <c r="A7644" s="10">
        <v>45754</v>
      </c>
      <c r="B7644" t="s" s="11">
        <v>63</v>
      </c>
      <c r="C7644" t="s" s="12">
        <v>1069</v>
      </c>
      <c r="D7644" s="13"/>
      <c r="E7644" s="13"/>
      <c r="F7644" s="14"/>
      <c r="G7644" s="14">
        <v>1210.49</v>
      </c>
      <c r="H7644" s="14"/>
      <c r="I7644" s="14"/>
    </row>
    <row r="7645" ht="20.7" customHeight="1">
      <c r="A7645" s="10">
        <v>45754</v>
      </c>
      <c r="B7645" t="s" s="11">
        <v>8</v>
      </c>
      <c r="C7645" t="s" s="12">
        <v>8</v>
      </c>
      <c r="D7645" s="15" cm="1">
        <f t="array" ref="D7645">SUM(D7643:D7644)</f>
        <v>0</v>
      </c>
      <c r="E7645" s="15" cm="1">
        <f t="array" ref="E7645">SUM(E7643:E7644)</f>
        <v>0</v>
      </c>
      <c r="F7645" s="16" cm="1">
        <f t="array" ref="F7645">SUM(F7643:F7644)</f>
        <v>1210.49</v>
      </c>
      <c r="G7645" s="16" cm="1">
        <f t="array" ref="G7645">SUM(G7643:G7644)</f>
        <v>1210.49</v>
      </c>
      <c r="H7645" s="16" cm="1">
        <f t="array" ref="H7645">SUM(H7643:H7644)</f>
        <v>0</v>
      </c>
      <c r="I7645" s="16" cm="1">
        <f t="array" ref="I7645">SUM(I7643:I7644)</f>
        <v>0</v>
      </c>
    </row>
    <row r="7646" ht="21.25" customHeight="1">
      <c r="A7646" s="10">
        <v>45754</v>
      </c>
      <c r="B7646" t="s" s="11">
        <v>5</v>
      </c>
      <c r="C7646" t="s" s="12">
        <v>1070</v>
      </c>
      <c r="D7646" s="17"/>
      <c r="E7646" s="17">
        <v>23400</v>
      </c>
      <c r="F7646" s="18"/>
      <c r="G7646" s="18"/>
      <c r="H7646" s="18"/>
      <c r="I7646" s="18"/>
    </row>
    <row r="7647" ht="20.9" customHeight="1">
      <c r="A7647" s="10">
        <v>45754</v>
      </c>
      <c r="B7647" t="s" s="11">
        <v>89</v>
      </c>
      <c r="C7647" t="s" s="12">
        <v>1070</v>
      </c>
      <c r="D7647" s="19">
        <v>11700</v>
      </c>
      <c r="E7647" s="19"/>
      <c r="F7647" s="20"/>
      <c r="G7647" s="20"/>
      <c r="H7647" s="20"/>
      <c r="I7647" s="20"/>
    </row>
    <row r="7648" ht="21.25" customHeight="1">
      <c r="A7648" s="10">
        <v>45754</v>
      </c>
      <c r="B7648" t="s" s="11">
        <v>12</v>
      </c>
      <c r="C7648" t="s" s="12">
        <v>1070</v>
      </c>
      <c r="D7648" s="13">
        <v>11700</v>
      </c>
      <c r="E7648" s="13"/>
      <c r="F7648" s="14"/>
      <c r="G7648" s="14"/>
      <c r="H7648" s="14"/>
      <c r="I7648" s="14"/>
    </row>
    <row r="7649" ht="20.7" customHeight="1">
      <c r="A7649" s="10">
        <v>45754</v>
      </c>
      <c r="B7649" t="s" s="11">
        <v>8</v>
      </c>
      <c r="C7649" t="s" s="12">
        <v>8</v>
      </c>
      <c r="D7649" s="15" cm="1">
        <f t="array" ref="D7649">SUM(D7646:D7648)</f>
        <v>23400</v>
      </c>
      <c r="E7649" s="15" cm="1">
        <f t="array" ref="E7649">SUM(E7646:E7648)</f>
        <v>23400</v>
      </c>
      <c r="F7649" s="16" cm="1">
        <f t="array" ref="F7649">SUM(F7646:F7648)</f>
        <v>0</v>
      </c>
      <c r="G7649" s="16" cm="1">
        <f t="array" ref="G7649">SUM(G7646:G7648)</f>
        <v>0</v>
      </c>
      <c r="H7649" s="16" cm="1">
        <f t="array" ref="H7649">SUM(H7646:H7648)</f>
        <v>0</v>
      </c>
      <c r="I7649" s="16" cm="1">
        <f t="array" ref="I7649">SUM(I7646:I7648)</f>
        <v>0</v>
      </c>
    </row>
    <row r="7650" ht="21.25" customHeight="1">
      <c r="A7650" s="10">
        <v>45754</v>
      </c>
      <c r="B7650" t="s" s="11">
        <v>5</v>
      </c>
      <c r="C7650" t="s" s="12">
        <v>1070</v>
      </c>
      <c r="D7650" s="17"/>
      <c r="E7650" s="17">
        <v>19900</v>
      </c>
      <c r="F7650" s="18"/>
      <c r="G7650" s="18"/>
      <c r="H7650" s="18"/>
      <c r="I7650" s="18"/>
    </row>
    <row r="7651" ht="20.9" customHeight="1">
      <c r="A7651" s="10">
        <v>45754</v>
      </c>
      <c r="B7651" t="s" s="11">
        <v>89</v>
      </c>
      <c r="C7651" t="s" s="12">
        <v>1070</v>
      </c>
      <c r="D7651" s="19">
        <v>9950</v>
      </c>
      <c r="E7651" s="19"/>
      <c r="F7651" s="20"/>
      <c r="G7651" s="20"/>
      <c r="H7651" s="20"/>
      <c r="I7651" s="20"/>
    </row>
    <row r="7652" ht="21.25" customHeight="1">
      <c r="A7652" s="10">
        <v>45754</v>
      </c>
      <c r="B7652" t="s" s="11">
        <v>12</v>
      </c>
      <c r="C7652" t="s" s="12">
        <v>1070</v>
      </c>
      <c r="D7652" s="13">
        <v>9950</v>
      </c>
      <c r="E7652" s="13"/>
      <c r="F7652" s="14"/>
      <c r="G7652" s="14"/>
      <c r="H7652" s="14"/>
      <c r="I7652" s="14"/>
    </row>
    <row r="7653" ht="20.7" customHeight="1">
      <c r="A7653" s="10">
        <v>45754</v>
      </c>
      <c r="B7653" t="s" s="11">
        <v>8</v>
      </c>
      <c r="C7653" t="s" s="12">
        <v>8</v>
      </c>
      <c r="D7653" s="15" cm="1">
        <f t="array" ref="D7653">SUM(D7650:D7652)</f>
        <v>19900</v>
      </c>
      <c r="E7653" s="15" cm="1">
        <f t="array" ref="E7653">SUM(E7650:E7652)</f>
        <v>19900</v>
      </c>
      <c r="F7653" s="16" cm="1">
        <f t="array" ref="F7653">SUM(F7650:F7652)</f>
        <v>0</v>
      </c>
      <c r="G7653" s="16" cm="1">
        <f t="array" ref="G7653">SUM(G7650:G7652)</f>
        <v>0</v>
      </c>
      <c r="H7653" s="16" cm="1">
        <f t="array" ref="H7653">SUM(H7650:H7652)</f>
        <v>0</v>
      </c>
      <c r="I7653" s="16" cm="1">
        <f t="array" ref="I7653">SUM(I7650:I7652)</f>
        <v>0</v>
      </c>
    </row>
    <row r="7654" ht="20.35" customHeight="1">
      <c r="A7654" s="10">
        <v>45754</v>
      </c>
      <c r="B7654" t="s" s="11">
        <v>814</v>
      </c>
      <c r="C7654" t="s" s="12">
        <v>96</v>
      </c>
      <c r="D7654" s="17"/>
      <c r="E7654" s="17">
        <v>50000</v>
      </c>
      <c r="F7654" s="18"/>
      <c r="G7654" s="18"/>
      <c r="H7654" s="18"/>
      <c r="I7654" s="18"/>
    </row>
    <row r="7655" ht="20.35" customHeight="1">
      <c r="A7655" s="10">
        <v>45754</v>
      </c>
      <c r="B7655" t="s" s="11">
        <v>5</v>
      </c>
      <c r="C7655" t="s" s="12">
        <v>96</v>
      </c>
      <c r="D7655" s="13">
        <v>50000</v>
      </c>
      <c r="E7655" s="13"/>
      <c r="F7655" s="14"/>
      <c r="G7655" s="14"/>
      <c r="H7655" s="14"/>
      <c r="I7655" s="14"/>
    </row>
    <row r="7656" ht="20.7" customHeight="1">
      <c r="A7656" s="10">
        <v>45754</v>
      </c>
      <c r="B7656" t="s" s="11">
        <v>8</v>
      </c>
      <c r="C7656" t="s" s="12">
        <v>8</v>
      </c>
      <c r="D7656" s="15" cm="1">
        <f t="array" ref="D7656">SUM(D7654:D7655)</f>
        <v>50000</v>
      </c>
      <c r="E7656" s="15" cm="1">
        <f t="array" ref="E7656">SUM(E7654:E7655)</f>
        <v>50000</v>
      </c>
      <c r="F7656" s="16" cm="1">
        <f t="array" ref="F7656">SUM(F7654:F7655)</f>
        <v>0</v>
      </c>
      <c r="G7656" s="16" cm="1">
        <f t="array" ref="G7656">SUM(G7654:G7655)</f>
        <v>0</v>
      </c>
      <c r="H7656" s="16" cm="1">
        <f t="array" ref="H7656">SUM(H7654:H7655)</f>
        <v>0</v>
      </c>
      <c r="I7656" s="16" cm="1">
        <f t="array" ref="I7656">SUM(I7654:I7655)</f>
        <v>0</v>
      </c>
    </row>
    <row r="7657" ht="21.25" customHeight="1">
      <c r="A7657" s="10">
        <v>45754</v>
      </c>
      <c r="B7657" t="s" s="11">
        <v>21</v>
      </c>
      <c r="C7657" t="s" s="12">
        <v>1064</v>
      </c>
      <c r="D7657" s="17"/>
      <c r="E7657" s="17">
        <v>4500</v>
      </c>
      <c r="F7657" s="18"/>
      <c r="G7657" s="18"/>
      <c r="H7657" s="18"/>
      <c r="I7657" s="18"/>
    </row>
    <row r="7658" ht="21.25" customHeight="1">
      <c r="A7658" s="10">
        <v>45754</v>
      </c>
      <c r="B7658" t="s" s="11">
        <v>16</v>
      </c>
      <c r="C7658" t="s" s="12">
        <v>1064</v>
      </c>
      <c r="D7658" s="13">
        <v>4500</v>
      </c>
      <c r="E7658" s="13"/>
      <c r="F7658" s="14"/>
      <c r="G7658" s="14"/>
      <c r="H7658" s="14"/>
      <c r="I7658" s="14"/>
    </row>
    <row r="7659" ht="20.7" customHeight="1">
      <c r="A7659" s="10">
        <v>45754</v>
      </c>
      <c r="B7659" t="s" s="11">
        <v>8</v>
      </c>
      <c r="C7659" t="s" s="12">
        <v>8</v>
      </c>
      <c r="D7659" s="15" cm="1">
        <f t="array" ref="D7659">SUM(D7657:D7658)</f>
        <v>4500</v>
      </c>
      <c r="E7659" s="15" cm="1">
        <f t="array" ref="E7659">SUM(E7657:E7658)</f>
        <v>4500</v>
      </c>
      <c r="F7659" s="16" cm="1">
        <f t="array" ref="F7659">SUM(F7657:F7658)</f>
        <v>0</v>
      </c>
      <c r="G7659" s="16" cm="1">
        <f t="array" ref="G7659">SUM(G7657:G7658)</f>
        <v>0</v>
      </c>
      <c r="H7659" s="16" cm="1">
        <f t="array" ref="H7659">SUM(H7657:H7658)</f>
        <v>0</v>
      </c>
      <c r="I7659" s="16" cm="1">
        <f t="array" ref="I7659">SUM(I7657:I7658)</f>
        <v>0</v>
      </c>
    </row>
    <row r="7660" ht="20.35" customHeight="1">
      <c r="A7660" s="10">
        <v>45754</v>
      </c>
      <c r="B7660" t="s" s="11">
        <v>5</v>
      </c>
      <c r="C7660" t="s" s="12">
        <v>1071</v>
      </c>
      <c r="D7660" s="17"/>
      <c r="E7660" s="17">
        <v>142110</v>
      </c>
      <c r="F7660" s="18"/>
      <c r="G7660" s="18"/>
      <c r="H7660" s="18"/>
      <c r="I7660" s="18"/>
    </row>
    <row r="7661" ht="20.05" customHeight="1">
      <c r="A7661" s="10">
        <v>45754</v>
      </c>
      <c r="B7661" t="s" s="11">
        <v>89</v>
      </c>
      <c r="C7661" t="s" s="12">
        <v>1071</v>
      </c>
      <c r="D7661" s="19">
        <v>71055</v>
      </c>
      <c r="E7661" s="19"/>
      <c r="F7661" s="20"/>
      <c r="G7661" s="20"/>
      <c r="H7661" s="20"/>
      <c r="I7661" s="20"/>
    </row>
    <row r="7662" ht="20.35" customHeight="1">
      <c r="A7662" s="10">
        <v>45754</v>
      </c>
      <c r="B7662" t="s" s="11">
        <v>74</v>
      </c>
      <c r="C7662" t="s" s="12">
        <v>1071</v>
      </c>
      <c r="D7662" s="13">
        <v>71055</v>
      </c>
      <c r="E7662" s="13"/>
      <c r="F7662" s="14"/>
      <c r="G7662" s="14"/>
      <c r="H7662" s="14"/>
      <c r="I7662" s="14"/>
    </row>
    <row r="7663" ht="20.7" customHeight="1">
      <c r="A7663" s="10">
        <v>45754</v>
      </c>
      <c r="B7663" t="s" s="11">
        <v>8</v>
      </c>
      <c r="C7663" t="s" s="12">
        <v>8</v>
      </c>
      <c r="D7663" s="15" cm="1">
        <f t="array" ref="D7663">SUM(D7660:D7662)</f>
        <v>142110</v>
      </c>
      <c r="E7663" s="15" cm="1">
        <f t="array" ref="E7663">SUM(E7660:E7662)</f>
        <v>142110</v>
      </c>
      <c r="F7663" s="16" cm="1">
        <f t="array" ref="F7663">SUM(F7660:F7662)</f>
        <v>0</v>
      </c>
      <c r="G7663" s="16" cm="1">
        <f t="array" ref="G7663">SUM(G7660:G7662)</f>
        <v>0</v>
      </c>
      <c r="H7663" s="16" cm="1">
        <f t="array" ref="H7663">SUM(H7660:H7662)</f>
        <v>0</v>
      </c>
      <c r="I7663" s="16" cm="1">
        <f t="array" ref="I7663">SUM(I7660:I7662)</f>
        <v>0</v>
      </c>
    </row>
    <row r="7664" ht="20.35" customHeight="1">
      <c r="A7664" s="10">
        <v>45754</v>
      </c>
      <c r="B7664" t="s" s="11">
        <v>5</v>
      </c>
      <c r="C7664" t="s" s="12">
        <v>1072</v>
      </c>
      <c r="D7664" s="17"/>
      <c r="E7664" s="17">
        <v>22110</v>
      </c>
      <c r="F7664" s="18"/>
      <c r="G7664" s="18"/>
      <c r="H7664" s="18"/>
      <c r="I7664" s="18"/>
    </row>
    <row r="7665" ht="20.05" customHeight="1">
      <c r="A7665" s="10">
        <v>45754</v>
      </c>
      <c r="B7665" t="s" s="11">
        <v>89</v>
      </c>
      <c r="C7665" t="s" s="12">
        <v>1072</v>
      </c>
      <c r="D7665" s="19">
        <v>11055</v>
      </c>
      <c r="E7665" s="19"/>
      <c r="F7665" s="20"/>
      <c r="G7665" s="20"/>
      <c r="H7665" s="20"/>
      <c r="I7665" s="20"/>
    </row>
    <row r="7666" ht="20.35" customHeight="1">
      <c r="A7666" s="10">
        <v>45754</v>
      </c>
      <c r="B7666" t="s" s="11">
        <v>74</v>
      </c>
      <c r="C7666" t="s" s="12">
        <v>1072</v>
      </c>
      <c r="D7666" s="13">
        <v>11055</v>
      </c>
      <c r="E7666" s="13"/>
      <c r="F7666" s="14"/>
      <c r="G7666" s="14"/>
      <c r="H7666" s="14"/>
      <c r="I7666" s="14"/>
    </row>
    <row r="7667" ht="20.7" customHeight="1">
      <c r="A7667" s="10">
        <v>45754</v>
      </c>
      <c r="B7667" t="s" s="11">
        <v>8</v>
      </c>
      <c r="C7667" t="s" s="12">
        <v>8</v>
      </c>
      <c r="D7667" s="15" cm="1">
        <f t="array" ref="D7667">SUM(D7664:D7666)</f>
        <v>22110</v>
      </c>
      <c r="E7667" s="15" cm="1">
        <f t="array" ref="E7667">SUM(E7664:E7666)</f>
        <v>22110</v>
      </c>
      <c r="F7667" s="16" cm="1">
        <f t="array" ref="F7667">SUM(F7664:F7666)</f>
        <v>0</v>
      </c>
      <c r="G7667" s="16" cm="1">
        <f t="array" ref="G7667">SUM(G7664:G7666)</f>
        <v>0</v>
      </c>
      <c r="H7667" s="16" cm="1">
        <f t="array" ref="H7667">SUM(H7664:H7666)</f>
        <v>0</v>
      </c>
      <c r="I7667" s="16" cm="1">
        <f t="array" ref="I7667">SUM(I7664:I7666)</f>
        <v>0</v>
      </c>
    </row>
    <row r="7668" ht="20.65" customHeight="1">
      <c r="A7668" s="10">
        <v>45755</v>
      </c>
      <c r="B7668" t="s" s="11">
        <v>843</v>
      </c>
      <c r="C7668" t="s" s="12">
        <v>820</v>
      </c>
      <c r="D7668" s="17">
        <v>1</v>
      </c>
      <c r="E7668" s="17"/>
      <c r="F7668" s="18"/>
      <c r="G7668" s="18"/>
      <c r="H7668" s="18"/>
      <c r="I7668" s="18"/>
    </row>
    <row r="7669" ht="20.65" customHeight="1">
      <c r="A7669" s="10">
        <v>45755</v>
      </c>
      <c r="B7669" t="s" s="11">
        <v>7</v>
      </c>
      <c r="C7669" t="s" s="12">
        <v>820</v>
      </c>
      <c r="D7669" s="13"/>
      <c r="E7669" s="13">
        <v>1</v>
      </c>
      <c r="F7669" s="14"/>
      <c r="G7669" s="14"/>
      <c r="H7669" s="14"/>
      <c r="I7669" s="14"/>
    </row>
    <row r="7670" ht="20.7" customHeight="1">
      <c r="A7670" s="10">
        <v>45755</v>
      </c>
      <c r="B7670" t="s" s="11">
        <v>8</v>
      </c>
      <c r="C7670" t="s" s="12">
        <v>8</v>
      </c>
      <c r="D7670" s="15" cm="1">
        <f t="array" ref="D7670">SUM(D7668:D7669)</f>
        <v>1</v>
      </c>
      <c r="E7670" s="15" cm="1">
        <f t="array" ref="E7670">SUM(E7668:E7669)</f>
        <v>1</v>
      </c>
      <c r="F7670" s="16" cm="1">
        <f t="array" ref="F7670">SUM(F7668:F7669)</f>
        <v>0</v>
      </c>
      <c r="G7670" s="16" cm="1">
        <f t="array" ref="G7670">SUM(G7668:G7669)</f>
        <v>0</v>
      </c>
      <c r="H7670" s="16" cm="1">
        <f t="array" ref="H7670">SUM(H7668:H7669)</f>
        <v>0</v>
      </c>
      <c r="I7670" s="16" cm="1">
        <f t="array" ref="I7670">SUM(I7668:I7669)</f>
        <v>0</v>
      </c>
    </row>
    <row r="7671" ht="20.65" customHeight="1">
      <c r="A7671" s="10">
        <v>45755</v>
      </c>
      <c r="B7671" t="s" s="11">
        <v>814</v>
      </c>
      <c r="C7671" t="s" s="12">
        <v>820</v>
      </c>
      <c r="D7671" s="17">
        <v>136</v>
      </c>
      <c r="E7671" s="17"/>
      <c r="F7671" s="18"/>
      <c r="G7671" s="18"/>
      <c r="H7671" s="18"/>
      <c r="I7671" s="18"/>
    </row>
    <row r="7672" ht="20.65" customHeight="1">
      <c r="A7672" s="10">
        <v>45755</v>
      </c>
      <c r="B7672" t="s" s="11">
        <v>7</v>
      </c>
      <c r="C7672" t="s" s="12">
        <v>820</v>
      </c>
      <c r="D7672" s="13"/>
      <c r="E7672" s="13">
        <v>136</v>
      </c>
      <c r="F7672" s="14"/>
      <c r="G7672" s="14"/>
      <c r="H7672" s="14"/>
      <c r="I7672" s="14"/>
    </row>
    <row r="7673" ht="20.7" customHeight="1">
      <c r="A7673" s="10">
        <v>45755</v>
      </c>
      <c r="B7673" t="s" s="11">
        <v>8</v>
      </c>
      <c r="C7673" t="s" s="12">
        <v>8</v>
      </c>
      <c r="D7673" s="15" cm="1">
        <f t="array" ref="D7673">SUM(D7671:D7672)</f>
        <v>136</v>
      </c>
      <c r="E7673" s="15" cm="1">
        <f t="array" ref="E7673">SUM(E7671:E7672)</f>
        <v>136</v>
      </c>
      <c r="F7673" s="16" cm="1">
        <f t="array" ref="F7673">SUM(F7671:F7672)</f>
        <v>0</v>
      </c>
      <c r="G7673" s="16" cm="1">
        <f t="array" ref="G7673">SUM(G7671:G7672)</f>
        <v>0</v>
      </c>
      <c r="H7673" s="16" cm="1">
        <f t="array" ref="H7673">SUM(H7671:H7672)</f>
        <v>0</v>
      </c>
      <c r="I7673" s="16" cm="1">
        <f t="array" ref="I7673">SUM(I7671:I7672)</f>
        <v>0</v>
      </c>
    </row>
    <row r="7674" ht="21.25" customHeight="1">
      <c r="A7674" s="10">
        <v>45755</v>
      </c>
      <c r="B7674" t="s" s="11">
        <v>5</v>
      </c>
      <c r="C7674" t="s" s="12">
        <v>1057</v>
      </c>
      <c r="D7674" s="17"/>
      <c r="E7674" s="17">
        <v>18000</v>
      </c>
      <c r="F7674" s="18"/>
      <c r="G7674" s="18"/>
      <c r="H7674" s="18"/>
      <c r="I7674" s="18"/>
    </row>
    <row r="7675" ht="20.9" customHeight="1">
      <c r="A7675" s="10">
        <v>45755</v>
      </c>
      <c r="B7675" t="s" s="11">
        <v>89</v>
      </c>
      <c r="C7675" t="s" s="12">
        <v>1057</v>
      </c>
      <c r="D7675" s="19">
        <v>8500</v>
      </c>
      <c r="E7675" s="19"/>
      <c r="F7675" s="20"/>
      <c r="G7675" s="20"/>
      <c r="H7675" s="20"/>
      <c r="I7675" s="20"/>
    </row>
    <row r="7676" ht="21.25" customHeight="1">
      <c r="A7676" s="10">
        <v>45755</v>
      </c>
      <c r="B7676" t="s" s="11">
        <v>12</v>
      </c>
      <c r="C7676" t="s" s="12">
        <v>1057</v>
      </c>
      <c r="D7676" s="13">
        <v>9500</v>
      </c>
      <c r="E7676" s="13"/>
      <c r="F7676" s="14"/>
      <c r="G7676" s="14"/>
      <c r="H7676" s="14"/>
      <c r="I7676" s="14"/>
    </row>
    <row r="7677" ht="20.7" customHeight="1">
      <c r="A7677" s="10">
        <v>45755</v>
      </c>
      <c r="B7677" t="s" s="11">
        <v>8</v>
      </c>
      <c r="C7677" t="s" s="12">
        <v>8</v>
      </c>
      <c r="D7677" s="15" cm="1">
        <f t="array" ref="D7677">SUM(D7674:D7676)</f>
        <v>18000</v>
      </c>
      <c r="E7677" s="15" cm="1">
        <f t="array" ref="E7677">SUM(E7674:E7676)</f>
        <v>18000</v>
      </c>
      <c r="F7677" s="16" cm="1">
        <f t="array" ref="F7677">SUM(F7674:F7676)</f>
        <v>0</v>
      </c>
      <c r="G7677" s="16" cm="1">
        <f t="array" ref="G7677">SUM(G7674:G7676)</f>
        <v>0</v>
      </c>
      <c r="H7677" s="16" cm="1">
        <f t="array" ref="H7677">SUM(H7674:H7676)</f>
        <v>0</v>
      </c>
      <c r="I7677" s="16" cm="1">
        <f t="array" ref="I7677">SUM(I7674:I7676)</f>
        <v>0</v>
      </c>
    </row>
    <row r="7678" ht="21.25" customHeight="1">
      <c r="A7678" s="10">
        <v>45755</v>
      </c>
      <c r="B7678" t="s" s="11">
        <v>5</v>
      </c>
      <c r="C7678" t="s" s="12">
        <v>799</v>
      </c>
      <c r="D7678" s="17">
        <v>1</v>
      </c>
      <c r="E7678" s="17"/>
      <c r="F7678" s="18"/>
      <c r="G7678" s="18"/>
      <c r="H7678" s="18"/>
      <c r="I7678" s="18"/>
    </row>
    <row r="7679" ht="21.25" customHeight="1">
      <c r="A7679" s="10">
        <v>45755</v>
      </c>
      <c r="B7679" t="s" s="11">
        <v>18</v>
      </c>
      <c r="C7679" t="s" s="12">
        <v>799</v>
      </c>
      <c r="D7679" s="13"/>
      <c r="E7679" s="13">
        <v>1</v>
      </c>
      <c r="F7679" s="14"/>
      <c r="G7679" s="14"/>
      <c r="H7679" s="14"/>
      <c r="I7679" s="14"/>
    </row>
    <row r="7680" ht="20.7" customHeight="1">
      <c r="A7680" s="10">
        <v>45755</v>
      </c>
      <c r="B7680" t="s" s="11">
        <v>8</v>
      </c>
      <c r="C7680" t="s" s="12">
        <v>8</v>
      </c>
      <c r="D7680" s="15" cm="1">
        <f t="array" ref="D7680">SUM(D7678:D7679)</f>
        <v>1</v>
      </c>
      <c r="E7680" s="15" cm="1">
        <f t="array" ref="E7680">SUM(E7678:E7679)</f>
        <v>1</v>
      </c>
      <c r="F7680" s="16" cm="1">
        <f t="array" ref="F7680">SUM(F7678:F7679)</f>
        <v>0</v>
      </c>
      <c r="G7680" s="16" cm="1">
        <f t="array" ref="G7680">SUM(G7678:G7679)</f>
        <v>0</v>
      </c>
      <c r="H7680" s="16" cm="1">
        <f t="array" ref="H7680">SUM(H7678:H7679)</f>
        <v>0</v>
      </c>
      <c r="I7680" s="16" cm="1">
        <f t="array" ref="I7680">SUM(I7678:I7679)</f>
        <v>0</v>
      </c>
    </row>
    <row r="7681" ht="20.35" customHeight="1">
      <c r="A7681" s="10">
        <v>45755</v>
      </c>
      <c r="B7681" t="s" s="11">
        <v>39</v>
      </c>
      <c r="C7681" t="s" s="12">
        <v>1073</v>
      </c>
      <c r="D7681" s="17"/>
      <c r="E7681" s="17"/>
      <c r="F7681" s="24"/>
      <c r="G7681" s="18">
        <v>836</v>
      </c>
      <c r="H7681" s="18"/>
      <c r="I7681" s="18"/>
    </row>
    <row r="7682" ht="20.35" customHeight="1">
      <c r="A7682" s="10">
        <v>45755</v>
      </c>
      <c r="B7682" t="s" s="11">
        <v>1074</v>
      </c>
      <c r="C7682" t="s" s="12">
        <v>1073</v>
      </c>
      <c r="D7682" s="13"/>
      <c r="E7682" s="13"/>
      <c r="F7682" s="14">
        <v>836</v>
      </c>
      <c r="G7682" s="14"/>
      <c r="H7682" s="14"/>
      <c r="I7682" s="14"/>
    </row>
    <row r="7683" ht="20.7" customHeight="1">
      <c r="A7683" s="10">
        <v>45755</v>
      </c>
      <c r="B7683" t="s" s="11">
        <v>8</v>
      </c>
      <c r="C7683" t="s" s="12">
        <v>8</v>
      </c>
      <c r="D7683" s="15" cm="1">
        <f t="array" ref="D7683">SUM(D7681:D7682)</f>
        <v>0</v>
      </c>
      <c r="E7683" s="15" cm="1">
        <f t="array" ref="E7683">SUM(E7681:E7682)</f>
        <v>0</v>
      </c>
      <c r="F7683" s="16" cm="1">
        <f t="array" ref="F7683">SUM(F7681:F7682)</f>
        <v>836</v>
      </c>
      <c r="G7683" s="16" cm="1">
        <f t="array" ref="G7683">SUM(G7681:G7682)</f>
        <v>836</v>
      </c>
      <c r="H7683" s="16" cm="1">
        <f t="array" ref="H7683">SUM(H7681:H7682)</f>
        <v>0</v>
      </c>
      <c r="I7683" s="16" cm="1">
        <f t="array" ref="I7683">SUM(I7681:I7682)</f>
        <v>0</v>
      </c>
    </row>
    <row r="7684" ht="21.25" customHeight="1">
      <c r="A7684" s="10">
        <v>45755</v>
      </c>
      <c r="B7684" t="s" s="11">
        <v>5</v>
      </c>
      <c r="C7684" t="s" s="12">
        <v>799</v>
      </c>
      <c r="D7684" s="17">
        <v>2</v>
      </c>
      <c r="E7684" s="17"/>
      <c r="F7684" s="18"/>
      <c r="G7684" s="18"/>
      <c r="H7684" s="18"/>
      <c r="I7684" s="18"/>
    </row>
    <row r="7685" ht="21.25" customHeight="1">
      <c r="A7685" s="10">
        <v>45755</v>
      </c>
      <c r="B7685" t="s" s="11">
        <v>18</v>
      </c>
      <c r="C7685" t="s" s="12">
        <v>799</v>
      </c>
      <c r="D7685" s="13"/>
      <c r="E7685" s="13">
        <v>2</v>
      </c>
      <c r="F7685" s="14"/>
      <c r="G7685" s="14"/>
      <c r="H7685" s="14"/>
      <c r="I7685" s="14"/>
    </row>
    <row r="7686" ht="20.7" customHeight="1">
      <c r="A7686" s="10">
        <v>45755</v>
      </c>
      <c r="B7686" t="s" s="11">
        <v>8</v>
      </c>
      <c r="C7686" t="s" s="12">
        <v>8</v>
      </c>
      <c r="D7686" s="15" cm="1">
        <f t="array" ref="D7686">SUM(D7684:D7685)</f>
        <v>2</v>
      </c>
      <c r="E7686" s="15" cm="1">
        <f t="array" ref="E7686">SUM(E7684:E7685)</f>
        <v>2</v>
      </c>
      <c r="F7686" s="16" cm="1">
        <f t="array" ref="F7686">SUM(F7684:F7685)</f>
        <v>0</v>
      </c>
      <c r="G7686" s="16" cm="1">
        <f t="array" ref="G7686">SUM(G7684:G7685)</f>
        <v>0</v>
      </c>
      <c r="H7686" s="16" cm="1">
        <f t="array" ref="H7686">SUM(H7684:H7685)</f>
        <v>0</v>
      </c>
      <c r="I7686" s="16" cm="1">
        <f t="array" ref="I7686">SUM(I7684:I7685)</f>
        <v>0</v>
      </c>
    </row>
    <row r="7687" ht="21.25" customHeight="1">
      <c r="A7687" s="10">
        <v>45755</v>
      </c>
      <c r="B7687" t="s" s="11">
        <v>5</v>
      </c>
      <c r="C7687" t="s" s="12">
        <v>799</v>
      </c>
      <c r="D7687" s="17">
        <v>3</v>
      </c>
      <c r="E7687" s="17"/>
      <c r="F7687" s="18"/>
      <c r="G7687" s="18"/>
      <c r="H7687" s="18"/>
      <c r="I7687" s="18"/>
    </row>
    <row r="7688" ht="21.25" customHeight="1">
      <c r="A7688" s="10">
        <v>45755</v>
      </c>
      <c r="B7688" t="s" s="11">
        <v>18</v>
      </c>
      <c r="C7688" t="s" s="12">
        <v>799</v>
      </c>
      <c r="D7688" s="13"/>
      <c r="E7688" s="13">
        <v>3</v>
      </c>
      <c r="F7688" s="14"/>
      <c r="G7688" s="14"/>
      <c r="H7688" s="14"/>
      <c r="I7688" s="14"/>
    </row>
    <row r="7689" ht="20.7" customHeight="1">
      <c r="A7689" s="10">
        <v>45755</v>
      </c>
      <c r="B7689" t="s" s="11">
        <v>8</v>
      </c>
      <c r="C7689" t="s" s="12">
        <v>8</v>
      </c>
      <c r="D7689" s="15" cm="1">
        <f t="array" ref="D7689">SUM(D7687:D7688)</f>
        <v>3</v>
      </c>
      <c r="E7689" s="15" cm="1">
        <f t="array" ref="E7689">SUM(E7687:E7688)</f>
        <v>3</v>
      </c>
      <c r="F7689" s="16" cm="1">
        <f t="array" ref="F7689">SUM(F7687:F7688)</f>
        <v>0</v>
      </c>
      <c r="G7689" s="16" cm="1">
        <f t="array" ref="G7689">SUM(G7687:G7688)</f>
        <v>0</v>
      </c>
      <c r="H7689" s="16" cm="1">
        <f t="array" ref="H7689">SUM(H7687:H7688)</f>
        <v>0</v>
      </c>
      <c r="I7689" s="16" cm="1">
        <f t="array" ref="I7689">SUM(I7687:I7688)</f>
        <v>0</v>
      </c>
    </row>
    <row r="7690" ht="21.25" customHeight="1">
      <c r="A7690" s="10">
        <v>45755</v>
      </c>
      <c r="B7690" t="s" s="11">
        <v>5</v>
      </c>
      <c r="C7690" t="s" s="12">
        <v>799</v>
      </c>
      <c r="D7690" s="17">
        <v>1</v>
      </c>
      <c r="E7690" s="17"/>
      <c r="F7690" s="18"/>
      <c r="G7690" s="18"/>
      <c r="H7690" s="18"/>
      <c r="I7690" s="18"/>
    </row>
    <row r="7691" ht="21.25" customHeight="1">
      <c r="A7691" s="10">
        <v>45755</v>
      </c>
      <c r="B7691" t="s" s="11">
        <v>18</v>
      </c>
      <c r="C7691" t="s" s="12">
        <v>799</v>
      </c>
      <c r="D7691" s="13"/>
      <c r="E7691" s="13">
        <v>1</v>
      </c>
      <c r="F7691" s="14"/>
      <c r="G7691" s="14"/>
      <c r="H7691" s="14"/>
      <c r="I7691" s="14"/>
    </row>
    <row r="7692" ht="20.7" customHeight="1">
      <c r="A7692" s="10">
        <v>45755</v>
      </c>
      <c r="B7692" t="s" s="11">
        <v>8</v>
      </c>
      <c r="C7692" t="s" s="12">
        <v>8</v>
      </c>
      <c r="D7692" s="15" cm="1">
        <f t="array" ref="D7692">SUM(D7690:D7691)</f>
        <v>1</v>
      </c>
      <c r="E7692" s="15" cm="1">
        <f t="array" ref="E7692">SUM(E7690:E7691)</f>
        <v>1</v>
      </c>
      <c r="F7692" s="16" cm="1">
        <f t="array" ref="F7692">SUM(F7690:F7691)</f>
        <v>0</v>
      </c>
      <c r="G7692" s="16" cm="1">
        <f t="array" ref="G7692">SUM(G7690:G7691)</f>
        <v>0</v>
      </c>
      <c r="H7692" s="16" cm="1">
        <f t="array" ref="H7692">SUM(H7690:H7691)</f>
        <v>0</v>
      </c>
      <c r="I7692" s="16" cm="1">
        <f t="array" ref="I7692">SUM(I7690:I7691)</f>
        <v>0</v>
      </c>
    </row>
    <row r="7693" ht="20.65" customHeight="1">
      <c r="A7693" s="10">
        <v>45755</v>
      </c>
      <c r="B7693" t="s" s="11">
        <v>5</v>
      </c>
      <c r="C7693" t="s" s="12">
        <v>1075</v>
      </c>
      <c r="D7693" s="17"/>
      <c r="E7693" s="17">
        <v>3000</v>
      </c>
      <c r="F7693" s="18"/>
      <c r="G7693" s="18"/>
      <c r="H7693" s="18"/>
      <c r="I7693" s="18"/>
    </row>
    <row r="7694" ht="20.65" customHeight="1">
      <c r="A7694" s="10">
        <v>45755</v>
      </c>
      <c r="B7694" t="s" s="11">
        <v>12</v>
      </c>
      <c r="C7694" t="s" s="12">
        <v>1075</v>
      </c>
      <c r="D7694" s="13">
        <v>3000</v>
      </c>
      <c r="E7694" s="13"/>
      <c r="F7694" s="14"/>
      <c r="G7694" s="14"/>
      <c r="H7694" s="14"/>
      <c r="I7694" s="14"/>
    </row>
    <row r="7695" ht="20.7" customHeight="1">
      <c r="A7695" s="10">
        <v>45755</v>
      </c>
      <c r="B7695" t="s" s="11">
        <v>8</v>
      </c>
      <c r="C7695" t="s" s="12">
        <v>8</v>
      </c>
      <c r="D7695" s="15" cm="1">
        <f t="array" ref="D7695">SUM(D7693:D7694)</f>
        <v>3000</v>
      </c>
      <c r="E7695" s="15" cm="1">
        <f t="array" ref="E7695">SUM(E7693:E7694)</f>
        <v>3000</v>
      </c>
      <c r="F7695" s="16" cm="1">
        <f t="array" ref="F7695">SUM(F7693:F7694)</f>
        <v>0</v>
      </c>
      <c r="G7695" s="16" cm="1">
        <f t="array" ref="G7695">SUM(G7693:G7694)</f>
        <v>0</v>
      </c>
      <c r="H7695" s="16" cm="1">
        <f t="array" ref="H7695">SUM(H7693:H7694)</f>
        <v>0</v>
      </c>
      <c r="I7695" s="16" cm="1">
        <f t="array" ref="I7695">SUM(I7693:I7694)</f>
        <v>0</v>
      </c>
    </row>
    <row r="7696" ht="20.65" customHeight="1">
      <c r="A7696" s="10">
        <v>45755</v>
      </c>
      <c r="B7696" t="s" s="11">
        <v>5</v>
      </c>
      <c r="C7696" t="s" s="12">
        <v>1076</v>
      </c>
      <c r="D7696" s="17">
        <v>20000</v>
      </c>
      <c r="E7696" s="17"/>
      <c r="F7696" s="18"/>
      <c r="G7696" s="18"/>
      <c r="H7696" s="18"/>
      <c r="I7696" s="18"/>
    </row>
    <row r="7697" ht="20.65" customHeight="1">
      <c r="A7697" s="10">
        <v>45755</v>
      </c>
      <c r="B7697" t="s" s="11">
        <v>91</v>
      </c>
      <c r="C7697" t="s" s="12">
        <v>1076</v>
      </c>
      <c r="D7697" s="13"/>
      <c r="E7697" s="13">
        <v>20000</v>
      </c>
      <c r="F7697" s="14"/>
      <c r="G7697" s="14"/>
      <c r="H7697" s="14"/>
      <c r="I7697" s="14"/>
    </row>
    <row r="7698" ht="20.7" customHeight="1">
      <c r="A7698" s="10">
        <v>45755</v>
      </c>
      <c r="B7698" t="s" s="11">
        <v>8</v>
      </c>
      <c r="C7698" t="s" s="12">
        <v>8</v>
      </c>
      <c r="D7698" s="15" cm="1">
        <f t="array" ref="D7698">SUM(D7696:D7697)</f>
        <v>20000</v>
      </c>
      <c r="E7698" s="15" cm="1">
        <f t="array" ref="E7698">SUM(E7696:E7697)</f>
        <v>20000</v>
      </c>
      <c r="F7698" s="16" cm="1">
        <f t="array" ref="F7698">SUM(F7696:F7697)</f>
        <v>0</v>
      </c>
      <c r="G7698" s="16" cm="1">
        <f t="array" ref="G7698">SUM(G7696:G7697)</f>
        <v>0</v>
      </c>
      <c r="H7698" s="16" cm="1">
        <f t="array" ref="H7698">SUM(H7696:H7697)</f>
        <v>0</v>
      </c>
      <c r="I7698" s="16" cm="1">
        <f t="array" ref="I7698">SUM(I7696:I7697)</f>
        <v>0</v>
      </c>
    </row>
    <row r="7699" ht="20.35" customHeight="1">
      <c r="A7699" s="10">
        <v>45755</v>
      </c>
      <c r="B7699" t="s" s="11">
        <v>5</v>
      </c>
      <c r="C7699" t="s" s="12">
        <v>1077</v>
      </c>
      <c r="D7699" s="17"/>
      <c r="E7699" s="17">
        <v>15500</v>
      </c>
      <c r="F7699" s="18"/>
      <c r="G7699" s="18"/>
      <c r="H7699" s="18"/>
      <c r="I7699" s="18"/>
    </row>
    <row r="7700" ht="20.35" customHeight="1">
      <c r="A7700" s="10">
        <v>45755</v>
      </c>
      <c r="B7700" t="s" s="11">
        <v>12</v>
      </c>
      <c r="C7700" t="s" s="12">
        <v>1077</v>
      </c>
      <c r="D7700" s="13">
        <v>15500</v>
      </c>
      <c r="E7700" s="13"/>
      <c r="F7700" s="14"/>
      <c r="G7700" s="14"/>
      <c r="H7700" s="14"/>
      <c r="I7700" s="14"/>
    </row>
    <row r="7701" ht="20.7" customHeight="1">
      <c r="A7701" s="10">
        <v>45755</v>
      </c>
      <c r="B7701" t="s" s="11">
        <v>8</v>
      </c>
      <c r="C7701" t="s" s="12">
        <v>8</v>
      </c>
      <c r="D7701" s="15" cm="1">
        <f t="array" ref="D7701">SUM(D7699:D7700)</f>
        <v>15500</v>
      </c>
      <c r="E7701" s="15" cm="1">
        <f t="array" ref="E7701">SUM(E7699:E7700)</f>
        <v>15500</v>
      </c>
      <c r="F7701" s="16" cm="1">
        <f t="array" ref="F7701">SUM(F7699:F7700)</f>
        <v>0</v>
      </c>
      <c r="G7701" s="16" cm="1">
        <f t="array" ref="G7701">SUM(G7699:G7700)</f>
        <v>0</v>
      </c>
      <c r="H7701" s="16" cm="1">
        <f t="array" ref="H7701">SUM(H7699:H7700)</f>
        <v>0</v>
      </c>
      <c r="I7701" s="16" cm="1">
        <f t="array" ref="I7701">SUM(I7699:I7700)</f>
        <v>0</v>
      </c>
    </row>
    <row r="7702" ht="20.65" customHeight="1">
      <c r="A7702" s="10">
        <v>45756</v>
      </c>
      <c r="B7702" t="s" s="11">
        <v>843</v>
      </c>
      <c r="C7702" t="s" s="12">
        <v>820</v>
      </c>
      <c r="D7702" s="17">
        <v>1</v>
      </c>
      <c r="E7702" s="17"/>
      <c r="F7702" s="18"/>
      <c r="G7702" s="18"/>
      <c r="H7702" s="18"/>
      <c r="I7702" s="18"/>
    </row>
    <row r="7703" ht="20.65" customHeight="1">
      <c r="A7703" s="10">
        <v>45756</v>
      </c>
      <c r="B7703" t="s" s="11">
        <v>7</v>
      </c>
      <c r="C7703" t="s" s="12">
        <v>820</v>
      </c>
      <c r="D7703" s="13"/>
      <c r="E7703" s="13">
        <v>1</v>
      </c>
      <c r="F7703" s="14"/>
      <c r="G7703" s="14"/>
      <c r="H7703" s="14"/>
      <c r="I7703" s="14"/>
    </row>
    <row r="7704" ht="20.7" customHeight="1">
      <c r="A7704" s="10">
        <v>45756</v>
      </c>
      <c r="B7704" t="s" s="11">
        <v>8</v>
      </c>
      <c r="C7704" t="s" s="12">
        <v>8</v>
      </c>
      <c r="D7704" s="15" cm="1">
        <f t="array" ref="D7704">SUM(D7702:D7703)</f>
        <v>1</v>
      </c>
      <c r="E7704" s="15" cm="1">
        <f t="array" ref="E7704">SUM(E7702:E7703)</f>
        <v>1</v>
      </c>
      <c r="F7704" s="16" cm="1">
        <f t="array" ref="F7704">SUM(F7702:F7703)</f>
        <v>0</v>
      </c>
      <c r="G7704" s="16" cm="1">
        <f t="array" ref="G7704">SUM(G7702:G7703)</f>
        <v>0</v>
      </c>
      <c r="H7704" s="16" cm="1">
        <f t="array" ref="H7704">SUM(H7702:H7703)</f>
        <v>0</v>
      </c>
      <c r="I7704" s="16" cm="1">
        <f t="array" ref="I7704">SUM(I7702:I7703)</f>
        <v>0</v>
      </c>
    </row>
    <row r="7705" ht="20.65" customHeight="1">
      <c r="A7705" s="10">
        <v>45756</v>
      </c>
      <c r="B7705" t="s" s="11">
        <v>814</v>
      </c>
      <c r="C7705" t="s" s="12">
        <v>820</v>
      </c>
      <c r="D7705" s="17">
        <v>136</v>
      </c>
      <c r="E7705" s="17"/>
      <c r="F7705" s="18"/>
      <c r="G7705" s="18"/>
      <c r="H7705" s="18"/>
      <c r="I7705" s="18"/>
    </row>
    <row r="7706" ht="20.65" customHeight="1">
      <c r="A7706" s="10">
        <v>45756</v>
      </c>
      <c r="B7706" t="s" s="11">
        <v>7</v>
      </c>
      <c r="C7706" t="s" s="12">
        <v>820</v>
      </c>
      <c r="D7706" s="13"/>
      <c r="E7706" s="13">
        <v>136</v>
      </c>
      <c r="F7706" s="14"/>
      <c r="G7706" s="14"/>
      <c r="H7706" s="14"/>
      <c r="I7706" s="14"/>
    </row>
    <row r="7707" ht="20.7" customHeight="1">
      <c r="A7707" s="10">
        <v>45756</v>
      </c>
      <c r="B7707" t="s" s="11">
        <v>8</v>
      </c>
      <c r="C7707" t="s" s="12">
        <v>8</v>
      </c>
      <c r="D7707" s="15" cm="1">
        <f t="array" ref="D7707">SUM(D7705:D7706)</f>
        <v>136</v>
      </c>
      <c r="E7707" s="15" cm="1">
        <f t="array" ref="E7707">SUM(E7705:E7706)</f>
        <v>136</v>
      </c>
      <c r="F7707" s="16" cm="1">
        <f t="array" ref="F7707">SUM(F7705:F7706)</f>
        <v>0</v>
      </c>
      <c r="G7707" s="16" cm="1">
        <f t="array" ref="G7707">SUM(G7705:G7706)</f>
        <v>0</v>
      </c>
      <c r="H7707" s="16" cm="1">
        <f t="array" ref="H7707">SUM(H7705:H7706)</f>
        <v>0</v>
      </c>
      <c r="I7707" s="16" cm="1">
        <f t="array" ref="I7707">SUM(I7705:I7706)</f>
        <v>0</v>
      </c>
    </row>
    <row r="7708" ht="20.35" customHeight="1">
      <c r="A7708" s="10">
        <v>45756</v>
      </c>
      <c r="B7708" t="s" s="11">
        <v>39</v>
      </c>
      <c r="C7708" t="s" s="12">
        <v>1069</v>
      </c>
      <c r="D7708" s="17"/>
      <c r="E7708" s="17"/>
      <c r="F7708" s="18"/>
      <c r="G7708" s="18">
        <v>1490.83</v>
      </c>
      <c r="H7708" s="18"/>
      <c r="I7708" s="18"/>
    </row>
    <row r="7709" ht="20.35" customHeight="1">
      <c r="A7709" s="10">
        <v>45756</v>
      </c>
      <c r="B7709" t="s" s="11">
        <v>63</v>
      </c>
      <c r="C7709" t="s" s="12">
        <v>1069</v>
      </c>
      <c r="D7709" s="13"/>
      <c r="E7709" s="13"/>
      <c r="F7709" s="14">
        <v>1490.83</v>
      </c>
      <c r="G7709" s="14"/>
      <c r="H7709" s="14"/>
      <c r="I7709" s="14"/>
    </row>
    <row r="7710" ht="20.7" customHeight="1">
      <c r="A7710" s="10">
        <v>45756</v>
      </c>
      <c r="B7710" t="s" s="11">
        <v>8</v>
      </c>
      <c r="C7710" t="s" s="12">
        <v>8</v>
      </c>
      <c r="D7710" s="15" cm="1">
        <f t="array" ref="D7710">SUM(D7708:D7709)</f>
        <v>0</v>
      </c>
      <c r="E7710" s="15" cm="1">
        <f t="array" ref="E7710">SUM(E7708:E7709)</f>
        <v>0</v>
      </c>
      <c r="F7710" s="16" cm="1">
        <f t="array" ref="F7710">SUM(F7708:F7709)</f>
        <v>1490.83</v>
      </c>
      <c r="G7710" s="16" cm="1">
        <f t="array" ref="G7710">SUM(G7708:G7709)</f>
        <v>1490.83</v>
      </c>
      <c r="H7710" s="16" cm="1">
        <f t="array" ref="H7710">SUM(H7708:H7709)</f>
        <v>0</v>
      </c>
      <c r="I7710" s="16" cm="1">
        <f t="array" ref="I7710">SUM(I7708:I7709)</f>
        <v>0</v>
      </c>
    </row>
    <row r="7711" ht="20.35" customHeight="1">
      <c r="A7711" s="10">
        <v>45756</v>
      </c>
      <c r="B7711" t="s" s="11">
        <v>39</v>
      </c>
      <c r="C7711" t="s" s="12">
        <v>977</v>
      </c>
      <c r="D7711" s="17"/>
      <c r="E7711" s="17"/>
      <c r="F7711" s="18"/>
      <c r="G7711" s="18">
        <v>464</v>
      </c>
      <c r="H7711" s="18"/>
      <c r="I7711" s="18"/>
    </row>
    <row r="7712" ht="20.05" customHeight="1">
      <c r="A7712" s="10">
        <v>45756</v>
      </c>
      <c r="B7712" t="s" s="11">
        <v>44</v>
      </c>
      <c r="C7712" t="s" s="12">
        <v>977</v>
      </c>
      <c r="D7712" s="19"/>
      <c r="E7712" s="19"/>
      <c r="F7712" s="20">
        <v>452.68</v>
      </c>
      <c r="G7712" s="20"/>
      <c r="H7712" s="20"/>
      <c r="I7712" s="20"/>
    </row>
    <row r="7713" ht="20.05" customHeight="1">
      <c r="A7713" s="10">
        <v>45756</v>
      </c>
      <c r="B7713" t="s" s="11">
        <v>898</v>
      </c>
      <c r="C7713" t="s" s="12">
        <v>977</v>
      </c>
      <c r="D7713" s="19"/>
      <c r="E7713" s="19"/>
      <c r="F7713" s="20">
        <v>11.32</v>
      </c>
      <c r="G7713" s="20"/>
      <c r="H7713" s="20"/>
      <c r="I7713" s="20"/>
    </row>
    <row r="7714" ht="20.05" customHeight="1">
      <c r="A7714" s="10">
        <v>45756</v>
      </c>
      <c r="B7714" t="s" s="11">
        <v>5</v>
      </c>
      <c r="C7714" t="s" s="12">
        <v>977</v>
      </c>
      <c r="D7714" s="19">
        <v>149345</v>
      </c>
      <c r="E7714" s="19"/>
      <c r="F7714" s="20"/>
      <c r="G7714" s="20"/>
      <c r="H7714" s="20"/>
      <c r="I7714" s="20"/>
    </row>
    <row r="7715" ht="20.35" customHeight="1">
      <c r="A7715" s="10">
        <v>45756</v>
      </c>
      <c r="B7715" t="s" s="11">
        <v>46</v>
      </c>
      <c r="C7715" t="s" s="12">
        <v>977</v>
      </c>
      <c r="D7715" s="13"/>
      <c r="E7715" s="13">
        <v>149345</v>
      </c>
      <c r="F7715" s="14"/>
      <c r="G7715" s="14"/>
      <c r="H7715" s="14"/>
      <c r="I7715" s="14"/>
    </row>
    <row r="7716" ht="20.7" customHeight="1">
      <c r="A7716" s="10">
        <v>45756</v>
      </c>
      <c r="B7716" t="s" s="11">
        <v>8</v>
      </c>
      <c r="C7716" t="s" s="12">
        <v>8</v>
      </c>
      <c r="D7716" s="15" cm="1">
        <f t="array" ref="D7716">SUM(D7711:D7715)</f>
        <v>149345</v>
      </c>
      <c r="E7716" s="15" cm="1">
        <f t="array" ref="E7716">SUM(E7711:E7715)</f>
        <v>149345</v>
      </c>
      <c r="F7716" s="16" cm="1">
        <f t="array" ref="F7716">SUM(F7711:F7715)</f>
        <v>464</v>
      </c>
      <c r="G7716" s="16" cm="1">
        <f t="array" ref="G7716">SUM(G7711:G7715)</f>
        <v>464</v>
      </c>
      <c r="H7716" s="16" cm="1">
        <f t="array" ref="H7716">SUM(H7711:H7715)</f>
        <v>0</v>
      </c>
      <c r="I7716" s="16" cm="1">
        <f t="array" ref="I7716">SUM(I7711:I7715)</f>
        <v>0</v>
      </c>
    </row>
    <row r="7717" ht="20.35" customHeight="1">
      <c r="A7717" s="10">
        <v>45756</v>
      </c>
      <c r="B7717" t="s" s="11">
        <v>5</v>
      </c>
      <c r="C7717" t="s" s="12">
        <v>1078</v>
      </c>
      <c r="D7717" s="17"/>
      <c r="E7717" s="17">
        <v>4700</v>
      </c>
      <c r="F7717" s="18"/>
      <c r="G7717" s="18"/>
      <c r="H7717" s="18"/>
      <c r="I7717" s="18"/>
    </row>
    <row r="7718" ht="20.35" customHeight="1">
      <c r="A7718" s="10">
        <v>45756</v>
      </c>
      <c r="B7718" t="s" s="11">
        <v>12</v>
      </c>
      <c r="C7718" t="s" s="12">
        <v>1078</v>
      </c>
      <c r="D7718" s="13">
        <v>4700</v>
      </c>
      <c r="E7718" s="13"/>
      <c r="F7718" s="14"/>
      <c r="G7718" s="14"/>
      <c r="H7718" s="14"/>
      <c r="I7718" s="14"/>
    </row>
    <row r="7719" ht="20.7" customHeight="1">
      <c r="A7719" s="10">
        <v>45756</v>
      </c>
      <c r="B7719" t="s" s="11">
        <v>8</v>
      </c>
      <c r="C7719" t="s" s="12">
        <v>8</v>
      </c>
      <c r="D7719" s="15" cm="1">
        <f t="array" ref="D7719">SUM(D7717:D7718)</f>
        <v>4700</v>
      </c>
      <c r="E7719" s="15" cm="1">
        <f t="array" ref="E7719">SUM(E7717:E7718)</f>
        <v>4700</v>
      </c>
      <c r="F7719" s="16" cm="1">
        <f t="array" ref="F7719">SUM(F7717:F7718)</f>
        <v>0</v>
      </c>
      <c r="G7719" s="16" cm="1">
        <f t="array" ref="G7719">SUM(G7717:G7718)</f>
        <v>0</v>
      </c>
      <c r="H7719" s="16" cm="1">
        <f t="array" ref="H7719">SUM(H7717:H7718)</f>
        <v>0</v>
      </c>
      <c r="I7719" s="16" cm="1">
        <f t="array" ref="I7719">SUM(I7717:I7718)</f>
        <v>0</v>
      </c>
    </row>
    <row r="7720" ht="20.35" customHeight="1">
      <c r="A7720" s="10">
        <v>45756</v>
      </c>
      <c r="B7720" t="s" s="11">
        <v>18</v>
      </c>
      <c r="C7720" t="s" s="12">
        <v>17</v>
      </c>
      <c r="D7720" s="17"/>
      <c r="E7720" s="17">
        <v>100</v>
      </c>
      <c r="F7720" s="18"/>
      <c r="G7720" s="18"/>
      <c r="H7720" s="18"/>
      <c r="I7720" s="18"/>
    </row>
    <row r="7721" ht="20.35" customHeight="1">
      <c r="A7721" s="10">
        <v>45756</v>
      </c>
      <c r="B7721" t="s" s="11">
        <v>5</v>
      </c>
      <c r="C7721" t="s" s="12">
        <v>17</v>
      </c>
      <c r="D7721" s="13">
        <v>100</v>
      </c>
      <c r="E7721" s="13"/>
      <c r="F7721" s="14"/>
      <c r="G7721" s="14"/>
      <c r="H7721" s="14"/>
      <c r="I7721" s="14"/>
    </row>
    <row r="7722" ht="20.7" customHeight="1">
      <c r="A7722" s="10">
        <v>45756</v>
      </c>
      <c r="B7722" t="s" s="11">
        <v>8</v>
      </c>
      <c r="C7722" t="s" s="12">
        <v>8</v>
      </c>
      <c r="D7722" s="15" cm="1">
        <f t="array" ref="D7722">SUM(D7720:D7721)</f>
        <v>100</v>
      </c>
      <c r="E7722" s="15" cm="1">
        <f t="array" ref="E7722">SUM(E7720:E7721)</f>
        <v>100</v>
      </c>
      <c r="F7722" s="16" cm="1">
        <f t="array" ref="F7722">SUM(F7720:F7721)</f>
        <v>0</v>
      </c>
      <c r="G7722" s="16" cm="1">
        <f t="array" ref="G7722">SUM(G7720:G7721)</f>
        <v>0</v>
      </c>
      <c r="H7722" s="16" cm="1">
        <f t="array" ref="H7722">SUM(H7720:H7721)</f>
        <v>0</v>
      </c>
      <c r="I7722" s="16" cm="1">
        <f t="array" ref="I7722">SUM(I7720:I7721)</f>
        <v>0</v>
      </c>
    </row>
    <row r="7723" ht="20.35" customHeight="1">
      <c r="A7723" s="10">
        <v>45756</v>
      </c>
      <c r="B7723" t="s" s="11">
        <v>5</v>
      </c>
      <c r="C7723" t="s" s="12">
        <v>1079</v>
      </c>
      <c r="D7723" s="17"/>
      <c r="E7723" s="17">
        <v>13200</v>
      </c>
      <c r="F7723" s="18"/>
      <c r="G7723" s="18"/>
      <c r="H7723" s="18"/>
      <c r="I7723" s="18"/>
    </row>
    <row r="7724" ht="20.35" customHeight="1">
      <c r="A7724" s="10">
        <v>45756</v>
      </c>
      <c r="B7724" t="s" s="11">
        <v>12</v>
      </c>
      <c r="C7724" t="s" s="12">
        <v>1079</v>
      </c>
      <c r="D7724" s="13">
        <v>13200</v>
      </c>
      <c r="E7724" s="13"/>
      <c r="F7724" s="14"/>
      <c r="G7724" s="14"/>
      <c r="H7724" s="14"/>
      <c r="I7724" s="14"/>
    </row>
    <row r="7725" ht="20.7" customHeight="1">
      <c r="A7725" s="10">
        <v>45756</v>
      </c>
      <c r="B7725" t="s" s="11">
        <v>8</v>
      </c>
      <c r="C7725" t="s" s="12">
        <v>8</v>
      </c>
      <c r="D7725" s="15" cm="1">
        <f t="array" ref="D7725">SUM(D7723:D7724)</f>
        <v>13200</v>
      </c>
      <c r="E7725" s="15" cm="1">
        <f t="array" ref="E7725">SUM(E7723:E7724)</f>
        <v>13200</v>
      </c>
      <c r="F7725" s="16" cm="1">
        <f t="array" ref="F7725">SUM(F7723:F7724)</f>
        <v>0</v>
      </c>
      <c r="G7725" s="16" cm="1">
        <f t="array" ref="G7725">SUM(G7723:G7724)</f>
        <v>0</v>
      </c>
      <c r="H7725" s="16" cm="1">
        <f t="array" ref="H7725">SUM(H7723:H7724)</f>
        <v>0</v>
      </c>
      <c r="I7725" s="16" cm="1">
        <f t="array" ref="I7725">SUM(I7723:I7724)</f>
        <v>0</v>
      </c>
    </row>
    <row r="7726" ht="20.35" customHeight="1">
      <c r="A7726" s="10">
        <v>45756</v>
      </c>
      <c r="B7726" t="s" s="11">
        <v>5</v>
      </c>
      <c r="C7726" t="s" s="12">
        <v>1079</v>
      </c>
      <c r="D7726" s="17"/>
      <c r="E7726" s="17">
        <v>12300</v>
      </c>
      <c r="F7726" s="18"/>
      <c r="G7726" s="18"/>
      <c r="H7726" s="18"/>
      <c r="I7726" s="18"/>
    </row>
    <row r="7727" ht="20.35" customHeight="1">
      <c r="A7727" s="10">
        <v>45756</v>
      </c>
      <c r="B7727" t="s" s="11">
        <v>89</v>
      </c>
      <c r="C7727" t="s" s="12">
        <v>1079</v>
      </c>
      <c r="D7727" s="13">
        <v>12300</v>
      </c>
      <c r="E7727" s="13"/>
      <c r="F7727" s="14"/>
      <c r="G7727" s="14"/>
      <c r="H7727" s="14"/>
      <c r="I7727" s="14"/>
    </row>
    <row r="7728" ht="20.7" customHeight="1">
      <c r="A7728" s="10">
        <v>45756</v>
      </c>
      <c r="B7728" t="s" s="11">
        <v>8</v>
      </c>
      <c r="C7728" t="s" s="12">
        <v>8</v>
      </c>
      <c r="D7728" s="15" cm="1">
        <f t="array" ref="D7728">SUM(D7726:D7727)</f>
        <v>12300</v>
      </c>
      <c r="E7728" s="15" cm="1">
        <f t="array" ref="E7728">SUM(E7726:E7727)</f>
        <v>12300</v>
      </c>
      <c r="F7728" s="16" cm="1">
        <f t="array" ref="F7728">SUM(F7726:F7727)</f>
        <v>0</v>
      </c>
      <c r="G7728" s="16" cm="1">
        <f t="array" ref="G7728">SUM(G7726:G7727)</f>
        <v>0</v>
      </c>
      <c r="H7728" s="16" cm="1">
        <f t="array" ref="H7728">SUM(H7726:H7727)</f>
        <v>0</v>
      </c>
      <c r="I7728" s="16" cm="1">
        <f t="array" ref="I7728">SUM(I7726:I7727)</f>
        <v>0</v>
      </c>
    </row>
    <row r="7729" ht="20.35" customHeight="1">
      <c r="A7729" s="10">
        <v>45756</v>
      </c>
      <c r="B7729" t="s" s="11">
        <v>814</v>
      </c>
      <c r="C7729" t="s" s="12">
        <v>96</v>
      </c>
      <c r="D7729" s="17"/>
      <c r="E7729" s="17">
        <v>200000</v>
      </c>
      <c r="F7729" s="18"/>
      <c r="G7729" s="18"/>
      <c r="H7729" s="18"/>
      <c r="I7729" s="18"/>
    </row>
    <row r="7730" ht="20.35" customHeight="1">
      <c r="A7730" s="10">
        <v>45756</v>
      </c>
      <c r="B7730" t="s" s="11">
        <v>5</v>
      </c>
      <c r="C7730" t="s" s="12">
        <v>96</v>
      </c>
      <c r="D7730" s="13">
        <v>200000</v>
      </c>
      <c r="E7730" s="13"/>
      <c r="F7730" s="14"/>
      <c r="G7730" s="14"/>
      <c r="H7730" s="14"/>
      <c r="I7730" s="14"/>
    </row>
    <row r="7731" ht="20.7" customHeight="1">
      <c r="A7731" s="10">
        <v>45756</v>
      </c>
      <c r="B7731" t="s" s="11">
        <v>8</v>
      </c>
      <c r="C7731" t="s" s="12">
        <v>8</v>
      </c>
      <c r="D7731" s="15" cm="1">
        <f t="array" ref="D7731">SUM(D7729:D7730)</f>
        <v>200000</v>
      </c>
      <c r="E7731" s="15" cm="1">
        <f t="array" ref="E7731">SUM(E7729:E7730)</f>
        <v>200000</v>
      </c>
      <c r="F7731" s="16" cm="1">
        <f t="array" ref="F7731">SUM(F7729:F7730)</f>
        <v>0</v>
      </c>
      <c r="G7731" s="16" cm="1">
        <f t="array" ref="G7731">SUM(G7729:G7730)</f>
        <v>0</v>
      </c>
      <c r="H7731" s="16" cm="1">
        <f t="array" ref="H7731">SUM(H7729:H7730)</f>
        <v>0</v>
      </c>
      <c r="I7731" s="16" cm="1">
        <f t="array" ref="I7731">SUM(I7729:I7730)</f>
        <v>0</v>
      </c>
    </row>
    <row r="7732" ht="20.35" customHeight="1">
      <c r="A7732" s="10">
        <v>45756</v>
      </c>
      <c r="B7732" t="s" s="11">
        <v>5</v>
      </c>
      <c r="C7732" t="s" s="12">
        <v>1080</v>
      </c>
      <c r="D7732" s="17"/>
      <c r="E7732" s="17">
        <v>115000</v>
      </c>
      <c r="F7732" s="18"/>
      <c r="G7732" s="18"/>
      <c r="H7732" s="18"/>
      <c r="I7732" s="18"/>
    </row>
    <row r="7733" ht="20.35" customHeight="1">
      <c r="A7733" s="10">
        <v>45756</v>
      </c>
      <c r="B7733" t="s" s="11">
        <v>10</v>
      </c>
      <c r="C7733" t="s" s="12">
        <v>1080</v>
      </c>
      <c r="D7733" s="13">
        <v>115000</v>
      </c>
      <c r="E7733" s="13"/>
      <c r="F7733" s="14"/>
      <c r="G7733" s="14"/>
      <c r="H7733" s="14"/>
      <c r="I7733" s="14"/>
    </row>
    <row r="7734" ht="20.7" customHeight="1">
      <c r="A7734" s="10">
        <v>45756</v>
      </c>
      <c r="B7734" t="s" s="11">
        <v>8</v>
      </c>
      <c r="C7734" t="s" s="12">
        <v>8</v>
      </c>
      <c r="D7734" s="15" cm="1">
        <f t="array" ref="D7734">SUM(D7732:D7733)</f>
        <v>115000</v>
      </c>
      <c r="E7734" s="15" cm="1">
        <f t="array" ref="E7734">SUM(E7732:E7733)</f>
        <v>115000</v>
      </c>
      <c r="F7734" s="16" cm="1">
        <f t="array" ref="F7734">SUM(F7732:F7733)</f>
        <v>0</v>
      </c>
      <c r="G7734" s="16" cm="1">
        <f t="array" ref="G7734">SUM(G7732:G7733)</f>
        <v>0</v>
      </c>
      <c r="H7734" s="16" cm="1">
        <f t="array" ref="H7734">SUM(H7732:H7733)</f>
        <v>0</v>
      </c>
      <c r="I7734" s="16" cm="1">
        <f t="array" ref="I7734">SUM(I7732:I7733)</f>
        <v>0</v>
      </c>
    </row>
    <row r="7735" ht="20.35" customHeight="1">
      <c r="A7735" s="10">
        <v>45756</v>
      </c>
      <c r="B7735" t="s" s="11">
        <v>18</v>
      </c>
      <c r="C7735" t="s" s="12">
        <v>17</v>
      </c>
      <c r="D7735" s="17"/>
      <c r="E7735" s="17">
        <v>500</v>
      </c>
      <c r="F7735" s="18"/>
      <c r="G7735" s="18"/>
      <c r="H7735" s="18"/>
      <c r="I7735" s="18"/>
    </row>
    <row r="7736" ht="20.35" customHeight="1">
      <c r="A7736" s="10">
        <v>45756</v>
      </c>
      <c r="B7736" t="s" s="11">
        <v>5</v>
      </c>
      <c r="C7736" t="s" s="12">
        <v>17</v>
      </c>
      <c r="D7736" s="13">
        <v>500</v>
      </c>
      <c r="E7736" s="13"/>
      <c r="F7736" s="14"/>
      <c r="G7736" s="14"/>
      <c r="H7736" s="14"/>
      <c r="I7736" s="14"/>
    </row>
    <row r="7737" ht="20.7" customHeight="1">
      <c r="A7737" s="10">
        <v>45756</v>
      </c>
      <c r="B7737" t="s" s="11">
        <v>8</v>
      </c>
      <c r="C7737" t="s" s="12">
        <v>8</v>
      </c>
      <c r="D7737" s="15" cm="1">
        <f t="array" ref="D7737">SUM(D7735:D7736)</f>
        <v>500</v>
      </c>
      <c r="E7737" s="15" cm="1">
        <f t="array" ref="E7737">SUM(E7735:E7736)</f>
        <v>500</v>
      </c>
      <c r="F7737" s="16" cm="1">
        <f t="array" ref="F7737">SUM(F7735:F7736)</f>
        <v>0</v>
      </c>
      <c r="G7737" s="16" cm="1">
        <f t="array" ref="G7737">SUM(G7735:G7736)</f>
        <v>0</v>
      </c>
      <c r="H7737" s="16" cm="1">
        <f t="array" ref="H7737">SUM(H7735:H7736)</f>
        <v>0</v>
      </c>
      <c r="I7737" s="16" cm="1">
        <f t="array" ref="I7737">SUM(I7735:I7736)</f>
        <v>0</v>
      </c>
    </row>
    <row r="7738" ht="20.35" customHeight="1">
      <c r="A7738" s="10">
        <v>45756</v>
      </c>
      <c r="B7738" t="s" s="11">
        <v>5</v>
      </c>
      <c r="C7738" t="s" s="12">
        <v>1081</v>
      </c>
      <c r="D7738" s="17"/>
      <c r="E7738" s="17">
        <v>3000</v>
      </c>
      <c r="F7738" s="18"/>
      <c r="G7738" s="18"/>
      <c r="H7738" s="18"/>
      <c r="I7738" s="18"/>
    </row>
    <row r="7739" ht="20.35" customHeight="1">
      <c r="A7739" s="10">
        <v>45756</v>
      </c>
      <c r="B7739" t="s" s="11">
        <v>10</v>
      </c>
      <c r="C7739" t="s" s="12">
        <v>1081</v>
      </c>
      <c r="D7739" s="13">
        <v>3000</v>
      </c>
      <c r="E7739" s="13"/>
      <c r="F7739" s="14"/>
      <c r="G7739" s="14"/>
      <c r="H7739" s="14"/>
      <c r="I7739" s="14"/>
    </row>
    <row r="7740" ht="20.7" customHeight="1">
      <c r="A7740" s="10">
        <v>45756</v>
      </c>
      <c r="B7740" t="s" s="11">
        <v>8</v>
      </c>
      <c r="C7740" t="s" s="12">
        <v>8</v>
      </c>
      <c r="D7740" s="15" cm="1">
        <f t="array" ref="D7740">SUM(D7738:D7739)</f>
        <v>3000</v>
      </c>
      <c r="E7740" s="15" cm="1">
        <f t="array" ref="E7740">SUM(E7738:E7739)</f>
        <v>3000</v>
      </c>
      <c r="F7740" s="16" cm="1">
        <f t="array" ref="F7740">SUM(F7738:F7739)</f>
        <v>0</v>
      </c>
      <c r="G7740" s="16" cm="1">
        <f t="array" ref="G7740">SUM(G7738:G7739)</f>
        <v>0</v>
      </c>
      <c r="H7740" s="16" cm="1">
        <f t="array" ref="H7740">SUM(H7738:H7739)</f>
        <v>0</v>
      </c>
      <c r="I7740" s="16" cm="1">
        <f t="array" ref="I7740">SUM(I7738:I7739)</f>
        <v>0</v>
      </c>
    </row>
    <row r="7741" ht="20.65" customHeight="1">
      <c r="A7741" s="10">
        <v>45756</v>
      </c>
      <c r="B7741" t="s" s="11">
        <v>5</v>
      </c>
      <c r="C7741" t="s" s="12">
        <v>1082</v>
      </c>
      <c r="D7741" s="17"/>
      <c r="E7741" s="17">
        <v>42000</v>
      </c>
      <c r="F7741" s="18"/>
      <c r="G7741" s="18"/>
      <c r="H7741" s="18"/>
      <c r="I7741" s="18"/>
    </row>
    <row r="7742" ht="20.65" customHeight="1">
      <c r="A7742" s="10">
        <v>45756</v>
      </c>
      <c r="B7742" t="s" s="11">
        <v>10</v>
      </c>
      <c r="C7742" t="s" s="12">
        <v>1082</v>
      </c>
      <c r="D7742" s="13">
        <v>42000</v>
      </c>
      <c r="E7742" s="13"/>
      <c r="F7742" s="14"/>
      <c r="G7742" s="14"/>
      <c r="H7742" s="14"/>
      <c r="I7742" s="14"/>
    </row>
    <row r="7743" ht="20.7" customHeight="1">
      <c r="A7743" s="10">
        <v>45756</v>
      </c>
      <c r="B7743" t="s" s="11">
        <v>8</v>
      </c>
      <c r="C7743" t="s" s="12">
        <v>8</v>
      </c>
      <c r="D7743" s="15" cm="1">
        <f t="array" ref="D7743">SUM(D7741:D7742)</f>
        <v>42000</v>
      </c>
      <c r="E7743" s="15" cm="1">
        <f t="array" ref="E7743">SUM(E7741:E7742)</f>
        <v>42000</v>
      </c>
      <c r="F7743" s="16" cm="1">
        <f t="array" ref="F7743">SUM(F7741:F7742)</f>
        <v>0</v>
      </c>
      <c r="G7743" s="16" cm="1">
        <f t="array" ref="G7743">SUM(G7741:G7742)</f>
        <v>0</v>
      </c>
      <c r="H7743" s="16" cm="1">
        <f t="array" ref="H7743">SUM(H7741:H7742)</f>
        <v>0</v>
      </c>
      <c r="I7743" s="16" cm="1">
        <f t="array" ref="I7743">SUM(I7741:I7742)</f>
        <v>0</v>
      </c>
    </row>
    <row r="7744" ht="21.25" customHeight="1">
      <c r="A7744" s="10">
        <v>45756</v>
      </c>
      <c r="B7744" t="s" s="11">
        <v>21</v>
      </c>
      <c r="C7744" t="s" s="12">
        <v>1064</v>
      </c>
      <c r="D7744" s="17"/>
      <c r="E7744" s="17">
        <v>3000</v>
      </c>
      <c r="F7744" s="18"/>
      <c r="G7744" s="18"/>
      <c r="H7744" s="18"/>
      <c r="I7744" s="18"/>
    </row>
    <row r="7745" ht="21.25" customHeight="1">
      <c r="A7745" s="10">
        <v>45756</v>
      </c>
      <c r="B7745" t="s" s="11">
        <v>16</v>
      </c>
      <c r="C7745" t="s" s="12">
        <v>1064</v>
      </c>
      <c r="D7745" s="13">
        <v>3000</v>
      </c>
      <c r="E7745" s="13"/>
      <c r="F7745" s="14"/>
      <c r="G7745" s="14"/>
      <c r="H7745" s="14"/>
      <c r="I7745" s="14"/>
    </row>
    <row r="7746" ht="20.7" customHeight="1">
      <c r="A7746" s="10">
        <v>45756</v>
      </c>
      <c r="B7746" t="s" s="11">
        <v>8</v>
      </c>
      <c r="C7746" t="s" s="12">
        <v>8</v>
      </c>
      <c r="D7746" s="15" cm="1">
        <f t="array" ref="D7746">SUM(D7744:D7745)</f>
        <v>3000</v>
      </c>
      <c r="E7746" s="15" cm="1">
        <f t="array" ref="E7746">SUM(E7744:E7745)</f>
        <v>3000</v>
      </c>
      <c r="F7746" s="16" cm="1">
        <f t="array" ref="F7746">SUM(F7744:F7745)</f>
        <v>0</v>
      </c>
      <c r="G7746" s="16" cm="1">
        <f t="array" ref="G7746">SUM(G7744:G7745)</f>
        <v>0</v>
      </c>
      <c r="H7746" s="16" cm="1">
        <f t="array" ref="H7746">SUM(H7744:H7745)</f>
        <v>0</v>
      </c>
      <c r="I7746" s="16" cm="1">
        <f t="array" ref="I7746">SUM(I7744:I7745)</f>
        <v>0</v>
      </c>
    </row>
    <row r="7747" ht="20.35" customHeight="1">
      <c r="A7747" s="10">
        <v>45756</v>
      </c>
      <c r="B7747" t="s" s="11">
        <v>107</v>
      </c>
      <c r="C7747" t="s" s="12">
        <v>1083</v>
      </c>
      <c r="D7747" s="17">
        <v>135233</v>
      </c>
      <c r="E7747" s="24"/>
      <c r="F7747" s="18"/>
      <c r="G7747" s="18"/>
      <c r="H7747" s="18"/>
      <c r="I7747" s="18"/>
    </row>
    <row r="7748" ht="20.05" customHeight="1">
      <c r="A7748" s="10">
        <v>45756</v>
      </c>
      <c r="B7748" t="s" s="11">
        <v>89</v>
      </c>
      <c r="C7748" t="s" s="12">
        <v>1083</v>
      </c>
      <c r="D7748" s="23"/>
      <c r="E7748" s="19">
        <v>131510</v>
      </c>
      <c r="F7748" s="20"/>
      <c r="G7748" s="20"/>
      <c r="H7748" s="20"/>
      <c r="I7748" s="20"/>
    </row>
    <row r="7749" ht="20.35" customHeight="1">
      <c r="A7749" s="10">
        <v>45756</v>
      </c>
      <c r="B7749" t="s" s="11">
        <v>91</v>
      </c>
      <c r="C7749" t="s" s="12">
        <v>1083</v>
      </c>
      <c r="D7749" s="13"/>
      <c r="E7749" s="13">
        <v>3723</v>
      </c>
      <c r="F7749" s="14"/>
      <c r="G7749" s="14"/>
      <c r="H7749" s="14"/>
      <c r="I7749" s="14"/>
    </row>
    <row r="7750" ht="20.7" customHeight="1">
      <c r="A7750" s="10">
        <v>45756</v>
      </c>
      <c r="B7750" t="s" s="11">
        <v>8</v>
      </c>
      <c r="C7750" t="s" s="12">
        <v>8</v>
      </c>
      <c r="D7750" s="15" cm="1">
        <f t="array" ref="D7750">SUM(D7747:D7749)</f>
        <v>135233</v>
      </c>
      <c r="E7750" s="15" cm="1">
        <f t="array" ref="E7750">SUM(E7747:E7749)</f>
        <v>135233</v>
      </c>
      <c r="F7750" s="16" cm="1">
        <f t="array" ref="F7750">SUM(F7747:F7749)</f>
        <v>0</v>
      </c>
      <c r="G7750" s="16" cm="1">
        <f t="array" ref="G7750">SUM(G7747:G7749)</f>
        <v>0</v>
      </c>
      <c r="H7750" s="16" cm="1">
        <f t="array" ref="H7750">SUM(H7747:H7749)</f>
        <v>0</v>
      </c>
      <c r="I7750" s="16" cm="1">
        <f t="array" ref="I7750">SUM(I7747:I7749)</f>
        <v>0</v>
      </c>
    </row>
    <row r="7751" ht="20.65" customHeight="1">
      <c r="A7751" s="10">
        <v>45757</v>
      </c>
      <c r="B7751" t="s" s="11">
        <v>843</v>
      </c>
      <c r="C7751" t="s" s="12">
        <v>820</v>
      </c>
      <c r="D7751" s="17">
        <v>1</v>
      </c>
      <c r="E7751" s="17"/>
      <c r="F7751" s="18"/>
      <c r="G7751" s="18"/>
      <c r="H7751" s="18"/>
      <c r="I7751" s="18"/>
    </row>
    <row r="7752" ht="20.65" customHeight="1">
      <c r="A7752" s="10">
        <v>45757</v>
      </c>
      <c r="B7752" t="s" s="11">
        <v>7</v>
      </c>
      <c r="C7752" t="s" s="12">
        <v>820</v>
      </c>
      <c r="D7752" s="13"/>
      <c r="E7752" s="13">
        <v>1</v>
      </c>
      <c r="F7752" s="14"/>
      <c r="G7752" s="14"/>
      <c r="H7752" s="14"/>
      <c r="I7752" s="14"/>
    </row>
    <row r="7753" ht="20.7" customHeight="1">
      <c r="A7753" s="10">
        <v>45757</v>
      </c>
      <c r="B7753" t="s" s="11">
        <v>8</v>
      </c>
      <c r="C7753" t="s" s="12">
        <v>8</v>
      </c>
      <c r="D7753" s="15" cm="1">
        <f t="array" ref="D7753">SUM(D7751:D7752)</f>
        <v>1</v>
      </c>
      <c r="E7753" s="15" cm="1">
        <f t="array" ref="E7753">SUM(E7751:E7752)</f>
        <v>1</v>
      </c>
      <c r="F7753" s="16" cm="1">
        <f t="array" ref="F7753">SUM(F7751:F7752)</f>
        <v>0</v>
      </c>
      <c r="G7753" s="16" cm="1">
        <f t="array" ref="G7753">SUM(G7751:G7752)</f>
        <v>0</v>
      </c>
      <c r="H7753" s="16" cm="1">
        <f t="array" ref="H7753">SUM(H7751:H7752)</f>
        <v>0</v>
      </c>
      <c r="I7753" s="16" cm="1">
        <f t="array" ref="I7753">SUM(I7751:I7752)</f>
        <v>0</v>
      </c>
    </row>
    <row r="7754" ht="20.65" customHeight="1">
      <c r="A7754" s="10">
        <v>45757</v>
      </c>
      <c r="B7754" t="s" s="11">
        <v>814</v>
      </c>
      <c r="C7754" t="s" s="12">
        <v>820</v>
      </c>
      <c r="D7754" s="17">
        <v>126</v>
      </c>
      <c r="E7754" s="17"/>
      <c r="F7754" s="18"/>
      <c r="G7754" s="18"/>
      <c r="H7754" s="18"/>
      <c r="I7754" s="18"/>
    </row>
    <row r="7755" ht="20.65" customHeight="1">
      <c r="A7755" s="10">
        <v>45757</v>
      </c>
      <c r="B7755" t="s" s="11">
        <v>7</v>
      </c>
      <c r="C7755" t="s" s="12">
        <v>820</v>
      </c>
      <c r="D7755" s="13"/>
      <c r="E7755" s="13">
        <v>126</v>
      </c>
      <c r="F7755" s="14"/>
      <c r="G7755" s="14"/>
      <c r="H7755" s="14"/>
      <c r="I7755" s="14"/>
    </row>
    <row r="7756" ht="20.7" customHeight="1">
      <c r="A7756" s="10">
        <v>45757</v>
      </c>
      <c r="B7756" t="s" s="11">
        <v>8</v>
      </c>
      <c r="C7756" t="s" s="12">
        <v>8</v>
      </c>
      <c r="D7756" s="15" cm="1">
        <f t="array" ref="D7756">SUM(D7754:D7755)</f>
        <v>126</v>
      </c>
      <c r="E7756" s="15" cm="1">
        <f t="array" ref="E7756">SUM(E7754:E7755)</f>
        <v>126</v>
      </c>
      <c r="F7756" s="16" cm="1">
        <f t="array" ref="F7756">SUM(F7754:F7755)</f>
        <v>0</v>
      </c>
      <c r="G7756" s="16" cm="1">
        <f t="array" ref="G7756">SUM(G7754:G7755)</f>
        <v>0</v>
      </c>
      <c r="H7756" s="16" cm="1">
        <f t="array" ref="H7756">SUM(H7754:H7755)</f>
        <v>0</v>
      </c>
      <c r="I7756" s="16" cm="1">
        <f t="array" ref="I7756">SUM(I7754:I7755)</f>
        <v>0</v>
      </c>
    </row>
    <row r="7757" ht="20.35" customHeight="1">
      <c r="A7757" s="10">
        <v>45757</v>
      </c>
      <c r="B7757" t="s" s="11">
        <v>121</v>
      </c>
      <c r="C7757" t="s" s="12">
        <v>439</v>
      </c>
      <c r="D7757" s="17">
        <v>25000</v>
      </c>
      <c r="E7757" s="17"/>
      <c r="F7757" s="18"/>
      <c r="G7757" s="18"/>
      <c r="H7757" s="18"/>
      <c r="I7757" s="18"/>
    </row>
    <row r="7758" ht="20.35" customHeight="1">
      <c r="A7758" s="10">
        <v>45757</v>
      </c>
      <c r="B7758" t="s" s="11">
        <v>107</v>
      </c>
      <c r="C7758" t="s" s="12">
        <v>439</v>
      </c>
      <c r="D7758" s="13"/>
      <c r="E7758" s="13">
        <v>25000</v>
      </c>
      <c r="F7758" s="14"/>
      <c r="G7758" s="14"/>
      <c r="H7758" s="14"/>
      <c r="I7758" s="14"/>
    </row>
    <row r="7759" ht="20.7" customHeight="1">
      <c r="A7759" s="10">
        <v>45757</v>
      </c>
      <c r="B7759" t="s" s="11">
        <v>8</v>
      </c>
      <c r="C7759" t="s" s="12">
        <v>8</v>
      </c>
      <c r="D7759" s="15" cm="1">
        <f t="array" ref="D7759">SUM(D7757:D7758)</f>
        <v>25000</v>
      </c>
      <c r="E7759" s="15" cm="1">
        <f t="array" ref="E7759">SUM(E7757:E7758)</f>
        <v>25000</v>
      </c>
      <c r="F7759" s="16" cm="1">
        <f t="array" ref="F7759">SUM(F7757:F7758)</f>
        <v>0</v>
      </c>
      <c r="G7759" s="16" cm="1">
        <f t="array" ref="G7759">SUM(G7757:G7758)</f>
        <v>0</v>
      </c>
      <c r="H7759" s="16" cm="1">
        <f t="array" ref="H7759">SUM(H7757:H7758)</f>
        <v>0</v>
      </c>
      <c r="I7759" s="16" cm="1">
        <f t="array" ref="I7759">SUM(I7757:I7758)</f>
        <v>0</v>
      </c>
    </row>
    <row r="7760" ht="20.65" customHeight="1">
      <c r="A7760" s="10">
        <v>45757</v>
      </c>
      <c r="B7760" t="s" s="11">
        <v>5</v>
      </c>
      <c r="C7760" t="s" s="12">
        <v>1084</v>
      </c>
      <c r="D7760" s="17"/>
      <c r="E7760" s="17">
        <v>10000</v>
      </c>
      <c r="F7760" s="18"/>
      <c r="G7760" s="18"/>
      <c r="H7760" s="18"/>
      <c r="I7760" s="18"/>
    </row>
    <row r="7761" ht="20.65" customHeight="1">
      <c r="A7761" s="10">
        <v>45757</v>
      </c>
      <c r="B7761" t="s" s="11">
        <v>12</v>
      </c>
      <c r="C7761" t="s" s="12">
        <v>1084</v>
      </c>
      <c r="D7761" s="13">
        <v>10000</v>
      </c>
      <c r="E7761" s="13"/>
      <c r="F7761" s="14"/>
      <c r="G7761" s="14"/>
      <c r="H7761" s="14"/>
      <c r="I7761" s="14"/>
    </row>
    <row r="7762" ht="20.7" customHeight="1">
      <c r="A7762" s="10">
        <v>45757</v>
      </c>
      <c r="B7762" t="s" s="11">
        <v>8</v>
      </c>
      <c r="C7762" t="s" s="12">
        <v>8</v>
      </c>
      <c r="D7762" s="15" cm="1">
        <f t="array" ref="D7762">SUM(D7760:D7761)</f>
        <v>10000</v>
      </c>
      <c r="E7762" s="15" cm="1">
        <f t="array" ref="E7762">SUM(E7760:E7761)</f>
        <v>10000</v>
      </c>
      <c r="F7762" s="16" cm="1">
        <f t="array" ref="F7762">SUM(F7760:F7761)</f>
        <v>0</v>
      </c>
      <c r="G7762" s="16" cm="1">
        <f t="array" ref="G7762">SUM(G7760:G7761)</f>
        <v>0</v>
      </c>
      <c r="H7762" s="16" cm="1">
        <f t="array" ref="H7762">SUM(H7760:H7761)</f>
        <v>0</v>
      </c>
      <c r="I7762" s="16" cm="1">
        <f t="array" ref="I7762">SUM(I7760:I7761)</f>
        <v>0</v>
      </c>
    </row>
    <row r="7763" ht="21.25" customHeight="1">
      <c r="A7763" s="10">
        <v>45757</v>
      </c>
      <c r="B7763" t="s" s="11">
        <v>5</v>
      </c>
      <c r="C7763" t="s" s="12">
        <v>799</v>
      </c>
      <c r="D7763" s="17">
        <v>1</v>
      </c>
      <c r="E7763" s="17"/>
      <c r="F7763" s="18"/>
      <c r="G7763" s="18"/>
      <c r="H7763" s="18"/>
      <c r="I7763" s="18"/>
    </row>
    <row r="7764" ht="21.25" customHeight="1">
      <c r="A7764" s="10">
        <v>45757</v>
      </c>
      <c r="B7764" t="s" s="11">
        <v>18</v>
      </c>
      <c r="C7764" t="s" s="12">
        <v>799</v>
      </c>
      <c r="D7764" s="13"/>
      <c r="E7764" s="13">
        <v>1</v>
      </c>
      <c r="F7764" s="14"/>
      <c r="G7764" s="14"/>
      <c r="H7764" s="14"/>
      <c r="I7764" s="14"/>
    </row>
    <row r="7765" ht="20.7" customHeight="1">
      <c r="A7765" s="10">
        <v>45757</v>
      </c>
      <c r="B7765" t="s" s="11">
        <v>8</v>
      </c>
      <c r="C7765" t="s" s="12">
        <v>8</v>
      </c>
      <c r="D7765" s="15" cm="1">
        <f t="array" ref="D7765">SUM(D7763:D7764)</f>
        <v>1</v>
      </c>
      <c r="E7765" s="15" cm="1">
        <f t="array" ref="E7765">SUM(E7763:E7764)</f>
        <v>1</v>
      </c>
      <c r="F7765" s="16" cm="1">
        <f t="array" ref="F7765">SUM(F7763:F7764)</f>
        <v>0</v>
      </c>
      <c r="G7765" s="16" cm="1">
        <f t="array" ref="G7765">SUM(G7763:G7764)</f>
        <v>0</v>
      </c>
      <c r="H7765" s="16" cm="1">
        <f t="array" ref="H7765">SUM(H7763:H7764)</f>
        <v>0</v>
      </c>
      <c r="I7765" s="16" cm="1">
        <f t="array" ref="I7765">SUM(I7763:I7764)</f>
        <v>0</v>
      </c>
    </row>
    <row r="7766" ht="21.25" customHeight="1">
      <c r="A7766" s="10">
        <v>45757</v>
      </c>
      <c r="B7766" t="s" s="11">
        <v>5</v>
      </c>
      <c r="C7766" t="s" s="12">
        <v>799</v>
      </c>
      <c r="D7766" s="17">
        <v>2</v>
      </c>
      <c r="E7766" s="17"/>
      <c r="F7766" s="18"/>
      <c r="G7766" s="18"/>
      <c r="H7766" s="18"/>
      <c r="I7766" s="18"/>
    </row>
    <row r="7767" ht="21.25" customHeight="1">
      <c r="A7767" s="10">
        <v>45757</v>
      </c>
      <c r="B7767" t="s" s="11">
        <v>18</v>
      </c>
      <c r="C7767" t="s" s="12">
        <v>799</v>
      </c>
      <c r="D7767" s="13"/>
      <c r="E7767" s="13">
        <v>2</v>
      </c>
      <c r="F7767" s="14"/>
      <c r="G7767" s="14"/>
      <c r="H7767" s="14"/>
      <c r="I7767" s="14"/>
    </row>
    <row r="7768" ht="20.7" customHeight="1">
      <c r="A7768" s="10">
        <v>45757</v>
      </c>
      <c r="B7768" t="s" s="11">
        <v>8</v>
      </c>
      <c r="C7768" t="s" s="12">
        <v>8</v>
      </c>
      <c r="D7768" s="15" cm="1">
        <f t="array" ref="D7768">SUM(D7766:D7767)</f>
        <v>2</v>
      </c>
      <c r="E7768" s="15" cm="1">
        <f t="array" ref="E7768">SUM(E7766:E7767)</f>
        <v>2</v>
      </c>
      <c r="F7768" s="16" cm="1">
        <f t="array" ref="F7768">SUM(F7766:F7767)</f>
        <v>0</v>
      </c>
      <c r="G7768" s="16" cm="1">
        <f t="array" ref="G7768">SUM(G7766:G7767)</f>
        <v>0</v>
      </c>
      <c r="H7768" s="16" cm="1">
        <f t="array" ref="H7768">SUM(H7766:H7767)</f>
        <v>0</v>
      </c>
      <c r="I7768" s="16" cm="1">
        <f t="array" ref="I7768">SUM(I7766:I7767)</f>
        <v>0</v>
      </c>
    </row>
    <row r="7769" ht="21.25" customHeight="1">
      <c r="A7769" s="10">
        <v>45757</v>
      </c>
      <c r="B7769" t="s" s="11">
        <v>5</v>
      </c>
      <c r="C7769" t="s" s="12">
        <v>799</v>
      </c>
      <c r="D7769" s="17">
        <v>2</v>
      </c>
      <c r="E7769" s="17"/>
      <c r="F7769" s="18"/>
      <c r="G7769" s="18"/>
      <c r="H7769" s="18"/>
      <c r="I7769" s="18"/>
    </row>
    <row r="7770" ht="21.25" customHeight="1">
      <c r="A7770" s="10">
        <v>45757</v>
      </c>
      <c r="B7770" t="s" s="11">
        <v>18</v>
      </c>
      <c r="C7770" t="s" s="12">
        <v>799</v>
      </c>
      <c r="D7770" s="13"/>
      <c r="E7770" s="13">
        <v>2</v>
      </c>
      <c r="F7770" s="14"/>
      <c r="G7770" s="14"/>
      <c r="H7770" s="14"/>
      <c r="I7770" s="14"/>
    </row>
    <row r="7771" ht="20.7" customHeight="1">
      <c r="A7771" s="10">
        <v>45757</v>
      </c>
      <c r="B7771" t="s" s="11">
        <v>8</v>
      </c>
      <c r="C7771" t="s" s="12">
        <v>8</v>
      </c>
      <c r="D7771" s="15" cm="1">
        <f t="array" ref="D7771">SUM(D7769:D7770)</f>
        <v>2</v>
      </c>
      <c r="E7771" s="15" cm="1">
        <f t="array" ref="E7771">SUM(E7769:E7770)</f>
        <v>2</v>
      </c>
      <c r="F7771" s="16" cm="1">
        <f t="array" ref="F7771">SUM(F7769:F7770)</f>
        <v>0</v>
      </c>
      <c r="G7771" s="16" cm="1">
        <f t="array" ref="G7771">SUM(G7769:G7770)</f>
        <v>0</v>
      </c>
      <c r="H7771" s="16" cm="1">
        <f t="array" ref="H7771">SUM(H7769:H7770)</f>
        <v>0</v>
      </c>
      <c r="I7771" s="16" cm="1">
        <f t="array" ref="I7771">SUM(I7769:I7770)</f>
        <v>0</v>
      </c>
    </row>
    <row r="7772" ht="21.25" customHeight="1">
      <c r="A7772" s="10">
        <v>45757</v>
      </c>
      <c r="B7772" t="s" s="11">
        <v>5</v>
      </c>
      <c r="C7772" t="s" s="12">
        <v>799</v>
      </c>
      <c r="D7772" s="17">
        <v>2</v>
      </c>
      <c r="E7772" s="17"/>
      <c r="F7772" s="18"/>
      <c r="G7772" s="18"/>
      <c r="H7772" s="18"/>
      <c r="I7772" s="18"/>
    </row>
    <row r="7773" ht="21.25" customHeight="1">
      <c r="A7773" s="10">
        <v>45757</v>
      </c>
      <c r="B7773" t="s" s="11">
        <v>18</v>
      </c>
      <c r="C7773" t="s" s="12">
        <v>799</v>
      </c>
      <c r="D7773" s="13"/>
      <c r="E7773" s="13">
        <v>2</v>
      </c>
      <c r="F7773" s="14"/>
      <c r="G7773" s="14"/>
      <c r="H7773" s="14"/>
      <c r="I7773" s="14"/>
    </row>
    <row r="7774" ht="20.7" customHeight="1">
      <c r="A7774" s="10">
        <v>45757</v>
      </c>
      <c r="B7774" t="s" s="11">
        <v>8</v>
      </c>
      <c r="C7774" t="s" s="12">
        <v>8</v>
      </c>
      <c r="D7774" s="15" cm="1">
        <f t="array" ref="D7774">SUM(D7772:D7773)</f>
        <v>2</v>
      </c>
      <c r="E7774" s="15" cm="1">
        <f t="array" ref="E7774">SUM(E7772:E7773)</f>
        <v>2</v>
      </c>
      <c r="F7774" s="16" cm="1">
        <f t="array" ref="F7774">SUM(F7772:F7773)</f>
        <v>0</v>
      </c>
      <c r="G7774" s="16" cm="1">
        <f t="array" ref="G7774">SUM(G7772:G7773)</f>
        <v>0</v>
      </c>
      <c r="H7774" s="16" cm="1">
        <f t="array" ref="H7774">SUM(H7772:H7773)</f>
        <v>0</v>
      </c>
      <c r="I7774" s="16" cm="1">
        <f t="array" ref="I7774">SUM(I7772:I7773)</f>
        <v>0</v>
      </c>
    </row>
    <row r="7775" ht="21.25" customHeight="1">
      <c r="A7775" s="10">
        <v>45757</v>
      </c>
      <c r="B7775" t="s" s="11">
        <v>5</v>
      </c>
      <c r="C7775" t="s" s="12">
        <v>973</v>
      </c>
      <c r="D7775" s="17"/>
      <c r="E7775" s="17">
        <v>16200</v>
      </c>
      <c r="F7775" s="18"/>
      <c r="G7775" s="18"/>
      <c r="H7775" s="18"/>
      <c r="I7775" s="18"/>
    </row>
    <row r="7776" ht="21.25" customHeight="1">
      <c r="A7776" s="10">
        <v>45757</v>
      </c>
      <c r="B7776" t="s" s="11">
        <v>21</v>
      </c>
      <c r="C7776" t="s" s="12">
        <v>973</v>
      </c>
      <c r="D7776" s="13">
        <v>16200</v>
      </c>
      <c r="E7776" s="13"/>
      <c r="F7776" s="14"/>
      <c r="G7776" s="14"/>
      <c r="H7776" s="14"/>
      <c r="I7776" s="14"/>
    </row>
    <row r="7777" ht="20.7" customHeight="1">
      <c r="A7777" s="10">
        <v>45757</v>
      </c>
      <c r="B7777" t="s" s="11">
        <v>8</v>
      </c>
      <c r="C7777" t="s" s="12">
        <v>8</v>
      </c>
      <c r="D7777" s="15" cm="1">
        <f t="array" ref="D7777">SUM(D7775:D7776)</f>
        <v>16200</v>
      </c>
      <c r="E7777" s="15" cm="1">
        <f t="array" ref="E7777">SUM(E7775:E7776)</f>
        <v>16200</v>
      </c>
      <c r="F7777" s="16" cm="1">
        <f t="array" ref="F7777">SUM(F7775:F7776)</f>
        <v>0</v>
      </c>
      <c r="G7777" s="16" cm="1">
        <f t="array" ref="G7777">SUM(G7775:G7776)</f>
        <v>0</v>
      </c>
      <c r="H7777" s="16" cm="1">
        <f t="array" ref="H7777">SUM(H7775:H7776)</f>
        <v>0</v>
      </c>
      <c r="I7777" s="16" cm="1">
        <f t="array" ref="I7777">SUM(I7775:I7776)</f>
        <v>0</v>
      </c>
    </row>
    <row r="7778" ht="21.25" customHeight="1">
      <c r="A7778" s="10">
        <v>45757</v>
      </c>
      <c r="B7778" t="s" s="11">
        <v>121</v>
      </c>
      <c r="C7778" t="s" s="12">
        <v>1085</v>
      </c>
      <c r="D7778" s="17"/>
      <c r="E7778" s="17">
        <v>13600</v>
      </c>
      <c r="F7778" s="18"/>
      <c r="G7778" s="18"/>
      <c r="H7778" s="18"/>
      <c r="I7778" s="18"/>
    </row>
    <row r="7779" ht="21.25" customHeight="1">
      <c r="A7779" s="10">
        <v>45757</v>
      </c>
      <c r="B7779" t="s" s="11">
        <v>21</v>
      </c>
      <c r="C7779" t="s" s="12">
        <v>1085</v>
      </c>
      <c r="D7779" s="13">
        <v>13600</v>
      </c>
      <c r="E7779" s="13"/>
      <c r="F7779" s="14"/>
      <c r="G7779" s="14"/>
      <c r="H7779" s="14"/>
      <c r="I7779" s="14"/>
    </row>
    <row r="7780" ht="20.7" customHeight="1">
      <c r="A7780" s="10">
        <v>45757</v>
      </c>
      <c r="B7780" t="s" s="11">
        <v>8</v>
      </c>
      <c r="C7780" t="s" s="12">
        <v>8</v>
      </c>
      <c r="D7780" s="15" cm="1">
        <f t="array" ref="D7780">SUM(D7778:D7779)</f>
        <v>13600</v>
      </c>
      <c r="E7780" s="15" cm="1">
        <f t="array" ref="E7780">SUM(E7778:E7779)</f>
        <v>13600</v>
      </c>
      <c r="F7780" s="16" cm="1">
        <f t="array" ref="F7780">SUM(F7778:F7779)</f>
        <v>0</v>
      </c>
      <c r="G7780" s="16" cm="1">
        <f t="array" ref="G7780">SUM(G7778:G7779)</f>
        <v>0</v>
      </c>
      <c r="H7780" s="16" cm="1">
        <f t="array" ref="H7780">SUM(H7778:H7779)</f>
        <v>0</v>
      </c>
      <c r="I7780" s="16" cm="1">
        <f t="array" ref="I7780">SUM(I7778:I7779)</f>
        <v>0</v>
      </c>
    </row>
    <row r="7781" ht="21.25" customHeight="1">
      <c r="A7781" s="10">
        <v>45757</v>
      </c>
      <c r="B7781" t="s" s="11">
        <v>121</v>
      </c>
      <c r="C7781" t="s" s="12">
        <v>1085</v>
      </c>
      <c r="D7781" s="17"/>
      <c r="E7781" s="17">
        <v>7100</v>
      </c>
      <c r="F7781" s="18"/>
      <c r="G7781" s="18"/>
      <c r="H7781" s="18"/>
      <c r="I7781" s="18"/>
    </row>
    <row r="7782" ht="21.25" customHeight="1">
      <c r="A7782" s="10">
        <v>45757</v>
      </c>
      <c r="B7782" t="s" s="11">
        <v>21</v>
      </c>
      <c r="C7782" t="s" s="12">
        <v>1085</v>
      </c>
      <c r="D7782" s="13">
        <v>7100</v>
      </c>
      <c r="E7782" s="13"/>
      <c r="F7782" s="14"/>
      <c r="G7782" s="14"/>
      <c r="H7782" s="14"/>
      <c r="I7782" s="14"/>
    </row>
    <row r="7783" ht="20.7" customHeight="1">
      <c r="A7783" s="10">
        <v>45757</v>
      </c>
      <c r="B7783" t="s" s="11">
        <v>8</v>
      </c>
      <c r="C7783" t="s" s="12">
        <v>8</v>
      </c>
      <c r="D7783" s="15" cm="1">
        <f t="array" ref="D7783">SUM(D7781:D7782)</f>
        <v>7100</v>
      </c>
      <c r="E7783" s="15" cm="1">
        <f t="array" ref="E7783">SUM(E7781:E7782)</f>
        <v>7100</v>
      </c>
      <c r="F7783" s="16" cm="1">
        <f t="array" ref="F7783">SUM(F7781:F7782)</f>
        <v>0</v>
      </c>
      <c r="G7783" s="16" cm="1">
        <f t="array" ref="G7783">SUM(G7781:G7782)</f>
        <v>0</v>
      </c>
      <c r="H7783" s="16" cm="1">
        <f t="array" ref="H7783">SUM(H7781:H7782)</f>
        <v>0</v>
      </c>
      <c r="I7783" s="16" cm="1">
        <f t="array" ref="I7783">SUM(I7781:I7782)</f>
        <v>0</v>
      </c>
    </row>
    <row r="7784" ht="20.35" customHeight="1">
      <c r="A7784" s="10">
        <v>45757</v>
      </c>
      <c r="B7784" t="s" s="11">
        <v>107</v>
      </c>
      <c r="C7784" t="s" s="12">
        <v>96</v>
      </c>
      <c r="D7784" s="17"/>
      <c r="E7784" s="17">
        <v>110233</v>
      </c>
      <c r="F7784" s="18"/>
      <c r="G7784" s="18"/>
      <c r="H7784" s="18"/>
      <c r="I7784" s="18"/>
    </row>
    <row r="7785" ht="20.35" customHeight="1">
      <c r="A7785" s="10">
        <v>45757</v>
      </c>
      <c r="B7785" t="s" s="11">
        <v>5</v>
      </c>
      <c r="C7785" t="s" s="12">
        <v>96</v>
      </c>
      <c r="D7785" s="13">
        <v>110233</v>
      </c>
      <c r="E7785" s="13"/>
      <c r="F7785" s="14"/>
      <c r="G7785" s="14"/>
      <c r="H7785" s="14"/>
      <c r="I7785" s="14"/>
    </row>
    <row r="7786" ht="20.7" customHeight="1">
      <c r="A7786" s="10">
        <v>45757</v>
      </c>
      <c r="B7786" t="s" s="11">
        <v>8</v>
      </c>
      <c r="C7786" t="s" s="12">
        <v>8</v>
      </c>
      <c r="D7786" s="15" cm="1">
        <f t="array" ref="D7786">SUM(D7784:D7785)</f>
        <v>110233</v>
      </c>
      <c r="E7786" s="15" cm="1">
        <f t="array" ref="E7786">SUM(E7784:E7785)</f>
        <v>110233</v>
      </c>
      <c r="F7786" s="16" cm="1">
        <f t="array" ref="F7786">SUM(F7784:F7785)</f>
        <v>0</v>
      </c>
      <c r="G7786" s="16" cm="1">
        <f t="array" ref="G7786">SUM(G7784:G7785)</f>
        <v>0</v>
      </c>
      <c r="H7786" s="16" cm="1">
        <f t="array" ref="H7786">SUM(H7784:H7785)</f>
        <v>0</v>
      </c>
      <c r="I7786" s="16" cm="1">
        <f t="array" ref="I7786">SUM(I7784:I7785)</f>
        <v>0</v>
      </c>
    </row>
    <row r="7787" ht="20.35" customHeight="1">
      <c r="A7787" s="10">
        <v>45757</v>
      </c>
      <c r="B7787" t="s" s="11">
        <v>5</v>
      </c>
      <c r="C7787" t="s" s="12">
        <v>1086</v>
      </c>
      <c r="D7787" s="17"/>
      <c r="E7787" s="17">
        <v>150000</v>
      </c>
      <c r="F7787" s="18"/>
      <c r="G7787" s="18"/>
      <c r="H7787" s="18"/>
      <c r="I7787" s="18"/>
    </row>
    <row r="7788" ht="20.35" customHeight="1">
      <c r="A7788" s="10">
        <v>45757</v>
      </c>
      <c r="B7788" t="s" s="11">
        <v>10</v>
      </c>
      <c r="C7788" t="s" s="12">
        <v>1086</v>
      </c>
      <c r="D7788" s="13">
        <v>150000</v>
      </c>
      <c r="E7788" s="13"/>
      <c r="F7788" s="14"/>
      <c r="G7788" s="14"/>
      <c r="H7788" s="14"/>
      <c r="I7788" s="14"/>
    </row>
    <row r="7789" ht="20.7" customHeight="1">
      <c r="A7789" s="10">
        <v>45757</v>
      </c>
      <c r="B7789" t="s" s="11">
        <v>8</v>
      </c>
      <c r="C7789" t="s" s="12">
        <v>8</v>
      </c>
      <c r="D7789" s="15" cm="1">
        <f t="array" ref="D7789">SUM(D7787:D7788)</f>
        <v>150000</v>
      </c>
      <c r="E7789" s="15" cm="1">
        <f t="array" ref="E7789">SUM(E7787:E7788)</f>
        <v>150000</v>
      </c>
      <c r="F7789" s="16" cm="1">
        <f t="array" ref="F7789">SUM(F7787:F7788)</f>
        <v>0</v>
      </c>
      <c r="G7789" s="16" cm="1">
        <f t="array" ref="G7789">SUM(G7787:G7788)</f>
        <v>0</v>
      </c>
      <c r="H7789" s="16" cm="1">
        <f t="array" ref="H7789">SUM(H7787:H7788)</f>
        <v>0</v>
      </c>
      <c r="I7789" s="16" cm="1">
        <f t="array" ref="I7789">SUM(I7787:I7788)</f>
        <v>0</v>
      </c>
    </row>
    <row r="7790" ht="21.25" customHeight="1">
      <c r="A7790" s="10">
        <v>45757</v>
      </c>
      <c r="B7790" t="s" s="11">
        <v>5</v>
      </c>
      <c r="C7790" t="s" s="12">
        <v>799</v>
      </c>
      <c r="D7790" s="17">
        <v>2</v>
      </c>
      <c r="E7790" s="17"/>
      <c r="F7790" s="18"/>
      <c r="G7790" s="18"/>
      <c r="H7790" s="18"/>
      <c r="I7790" s="18"/>
    </row>
    <row r="7791" ht="21.25" customHeight="1">
      <c r="A7791" s="10">
        <v>45757</v>
      </c>
      <c r="B7791" t="s" s="11">
        <v>91</v>
      </c>
      <c r="C7791" t="s" s="12">
        <v>799</v>
      </c>
      <c r="D7791" s="13"/>
      <c r="E7791" s="13">
        <v>2</v>
      </c>
      <c r="F7791" s="14"/>
      <c r="G7791" s="14"/>
      <c r="H7791" s="14"/>
      <c r="I7791" s="14"/>
    </row>
    <row r="7792" ht="20.7" customHeight="1">
      <c r="A7792" s="10">
        <v>45757</v>
      </c>
      <c r="B7792" t="s" s="11">
        <v>8</v>
      </c>
      <c r="C7792" t="s" s="12">
        <v>8</v>
      </c>
      <c r="D7792" s="15" cm="1">
        <f t="array" ref="D7792">SUM(D7790:D7791)</f>
        <v>2</v>
      </c>
      <c r="E7792" s="15" cm="1">
        <f t="array" ref="E7792">SUM(E7790:E7791)</f>
        <v>2</v>
      </c>
      <c r="F7792" s="16" cm="1">
        <f t="array" ref="F7792">SUM(F7790:F7791)</f>
        <v>0</v>
      </c>
      <c r="G7792" s="16" cm="1">
        <f t="array" ref="G7792">SUM(G7790:G7791)</f>
        <v>0</v>
      </c>
      <c r="H7792" s="16" cm="1">
        <f t="array" ref="H7792">SUM(H7790:H7791)</f>
        <v>0</v>
      </c>
      <c r="I7792" s="16" cm="1">
        <f t="array" ref="I7792">SUM(I7790:I7791)</f>
        <v>0</v>
      </c>
    </row>
    <row r="7793" ht="20.35" customHeight="1">
      <c r="A7793" s="10">
        <v>45757</v>
      </c>
      <c r="B7793" t="s" s="11">
        <v>5</v>
      </c>
      <c r="C7793" t="s" s="12">
        <v>1087</v>
      </c>
      <c r="D7793" s="17"/>
      <c r="E7793" s="17">
        <v>15100</v>
      </c>
      <c r="F7793" s="18"/>
      <c r="G7793" s="18"/>
      <c r="H7793" s="18"/>
      <c r="I7793" s="18"/>
    </row>
    <row r="7794" ht="20.35" customHeight="1">
      <c r="A7794" s="10">
        <v>45757</v>
      </c>
      <c r="B7794" t="s" s="11">
        <v>10</v>
      </c>
      <c r="C7794" t="s" s="12">
        <v>1087</v>
      </c>
      <c r="D7794" s="13">
        <v>15100</v>
      </c>
      <c r="E7794" s="13"/>
      <c r="F7794" s="14"/>
      <c r="G7794" s="14"/>
      <c r="H7794" s="14"/>
      <c r="I7794" s="14"/>
    </row>
    <row r="7795" ht="20.7" customHeight="1">
      <c r="A7795" s="10">
        <v>45757</v>
      </c>
      <c r="B7795" t="s" s="11">
        <v>8</v>
      </c>
      <c r="C7795" t="s" s="12">
        <v>8</v>
      </c>
      <c r="D7795" s="15" cm="1">
        <f t="array" ref="D7795">SUM(D7793:D7794)</f>
        <v>15100</v>
      </c>
      <c r="E7795" s="15" cm="1">
        <f t="array" ref="E7795">SUM(E7793:E7794)</f>
        <v>15100</v>
      </c>
      <c r="F7795" s="16" cm="1">
        <f t="array" ref="F7795">SUM(F7793:F7794)</f>
        <v>0</v>
      </c>
      <c r="G7795" s="16" cm="1">
        <f t="array" ref="G7795">SUM(G7793:G7794)</f>
        <v>0</v>
      </c>
      <c r="H7795" s="16" cm="1">
        <f t="array" ref="H7795">SUM(H7793:H7794)</f>
        <v>0</v>
      </c>
      <c r="I7795" s="16" cm="1">
        <f t="array" ref="I7795">SUM(I7793:I7794)</f>
        <v>0</v>
      </c>
    </row>
    <row r="7796" ht="21.25" customHeight="1">
      <c r="A7796" s="10">
        <v>45757</v>
      </c>
      <c r="B7796" t="s" s="11">
        <v>21</v>
      </c>
      <c r="C7796" t="s" s="12">
        <v>1088</v>
      </c>
      <c r="D7796" s="17"/>
      <c r="E7796" s="17">
        <v>2800</v>
      </c>
      <c r="F7796" s="18"/>
      <c r="G7796" s="18"/>
      <c r="H7796" s="18"/>
      <c r="I7796" s="18"/>
    </row>
    <row r="7797" ht="21.25" customHeight="1">
      <c r="A7797" s="10">
        <v>45757</v>
      </c>
      <c r="B7797" t="s" s="11">
        <v>16</v>
      </c>
      <c r="C7797" t="s" s="12">
        <v>1088</v>
      </c>
      <c r="D7797" s="13">
        <v>2800</v>
      </c>
      <c r="E7797" s="13"/>
      <c r="F7797" s="14"/>
      <c r="G7797" s="14"/>
      <c r="H7797" s="14"/>
      <c r="I7797" s="14"/>
    </row>
    <row r="7798" ht="20.7" customHeight="1">
      <c r="A7798" s="10">
        <v>45757</v>
      </c>
      <c r="B7798" t="s" s="11">
        <v>8</v>
      </c>
      <c r="C7798" t="s" s="12">
        <v>8</v>
      </c>
      <c r="D7798" s="15" cm="1">
        <f t="array" ref="D7798">SUM(D7796:D7797)</f>
        <v>2800</v>
      </c>
      <c r="E7798" s="15" cm="1">
        <f t="array" ref="E7798">SUM(E7796:E7797)</f>
        <v>2800</v>
      </c>
      <c r="F7798" s="16" cm="1">
        <f t="array" ref="F7798">SUM(F7796:F7797)</f>
        <v>0</v>
      </c>
      <c r="G7798" s="16" cm="1">
        <f t="array" ref="G7798">SUM(G7796:G7797)</f>
        <v>0</v>
      </c>
      <c r="H7798" s="16" cm="1">
        <f t="array" ref="H7798">SUM(H7796:H7797)</f>
        <v>0</v>
      </c>
      <c r="I7798" s="16" cm="1">
        <f t="array" ref="I7798">SUM(I7796:I7797)</f>
        <v>0</v>
      </c>
    </row>
    <row r="7799" ht="20.65" customHeight="1">
      <c r="A7799" s="10">
        <v>45758</v>
      </c>
      <c r="B7799" t="s" s="11">
        <v>843</v>
      </c>
      <c r="C7799" t="s" s="12">
        <v>820</v>
      </c>
      <c r="D7799" s="17">
        <v>1</v>
      </c>
      <c r="E7799" s="17"/>
      <c r="F7799" s="18"/>
      <c r="G7799" s="18"/>
      <c r="H7799" s="18"/>
      <c r="I7799" s="18"/>
    </row>
    <row r="7800" ht="20.65" customHeight="1">
      <c r="A7800" s="10">
        <v>45758</v>
      </c>
      <c r="B7800" t="s" s="11">
        <v>7</v>
      </c>
      <c r="C7800" t="s" s="12">
        <v>820</v>
      </c>
      <c r="D7800" s="13"/>
      <c r="E7800" s="13">
        <v>1</v>
      </c>
      <c r="F7800" s="14"/>
      <c r="G7800" s="14"/>
      <c r="H7800" s="14"/>
      <c r="I7800" s="14"/>
    </row>
    <row r="7801" ht="20.7" customHeight="1">
      <c r="A7801" s="10">
        <v>45758</v>
      </c>
      <c r="B7801" t="s" s="11">
        <v>8</v>
      </c>
      <c r="C7801" t="s" s="12">
        <v>8</v>
      </c>
      <c r="D7801" s="15" cm="1">
        <f t="array" ref="D7801">SUM(D7799:D7800)</f>
        <v>1</v>
      </c>
      <c r="E7801" s="15" cm="1">
        <f t="array" ref="E7801">SUM(E7799:E7800)</f>
        <v>1</v>
      </c>
      <c r="F7801" s="16" cm="1">
        <f t="array" ref="F7801">SUM(F7799:F7800)</f>
        <v>0</v>
      </c>
      <c r="G7801" s="16" cm="1">
        <f t="array" ref="G7801">SUM(G7799:G7800)</f>
        <v>0</v>
      </c>
      <c r="H7801" s="16" cm="1">
        <f t="array" ref="H7801">SUM(H7799:H7800)</f>
        <v>0</v>
      </c>
      <c r="I7801" s="16" cm="1">
        <f t="array" ref="I7801">SUM(I7799:I7800)</f>
        <v>0</v>
      </c>
    </row>
    <row r="7802" ht="20.65" customHeight="1">
      <c r="A7802" s="10">
        <v>45758</v>
      </c>
      <c r="B7802" t="s" s="11">
        <v>814</v>
      </c>
      <c r="C7802" t="s" s="12">
        <v>820</v>
      </c>
      <c r="D7802" s="17">
        <v>126</v>
      </c>
      <c r="E7802" s="17"/>
      <c r="F7802" s="18"/>
      <c r="G7802" s="18"/>
      <c r="H7802" s="18"/>
      <c r="I7802" s="18"/>
    </row>
    <row r="7803" ht="20.65" customHeight="1">
      <c r="A7803" s="10">
        <v>45758</v>
      </c>
      <c r="B7803" t="s" s="11">
        <v>7</v>
      </c>
      <c r="C7803" t="s" s="12">
        <v>820</v>
      </c>
      <c r="D7803" s="13"/>
      <c r="E7803" s="13">
        <v>126</v>
      </c>
      <c r="F7803" s="14"/>
      <c r="G7803" s="14"/>
      <c r="H7803" s="14"/>
      <c r="I7803" s="14"/>
    </row>
    <row r="7804" ht="20.7" customHeight="1">
      <c r="A7804" s="10">
        <v>45758</v>
      </c>
      <c r="B7804" t="s" s="11">
        <v>8</v>
      </c>
      <c r="C7804" t="s" s="12">
        <v>8</v>
      </c>
      <c r="D7804" s="15" cm="1">
        <f t="array" ref="D7804">SUM(D7802:D7803)</f>
        <v>126</v>
      </c>
      <c r="E7804" s="15" cm="1">
        <f t="array" ref="E7804">SUM(E7802:E7803)</f>
        <v>126</v>
      </c>
      <c r="F7804" s="16" cm="1">
        <f t="array" ref="F7804">SUM(F7802:F7803)</f>
        <v>0</v>
      </c>
      <c r="G7804" s="16" cm="1">
        <f t="array" ref="G7804">SUM(G7802:G7803)</f>
        <v>0</v>
      </c>
      <c r="H7804" s="16" cm="1">
        <f t="array" ref="H7804">SUM(H7802:H7803)</f>
        <v>0</v>
      </c>
      <c r="I7804" s="16" cm="1">
        <f t="array" ref="I7804">SUM(I7802:I7803)</f>
        <v>0</v>
      </c>
    </row>
    <row r="7805" ht="20.35" customHeight="1">
      <c r="A7805" s="10">
        <v>45759</v>
      </c>
      <c r="B7805" t="s" s="11">
        <v>5</v>
      </c>
      <c r="C7805" t="s" s="12">
        <v>1089</v>
      </c>
      <c r="D7805" s="17"/>
      <c r="E7805" s="17">
        <v>15000</v>
      </c>
      <c r="F7805" s="18"/>
      <c r="G7805" s="18"/>
      <c r="H7805" s="18"/>
      <c r="I7805" s="18"/>
    </row>
    <row r="7806" ht="20.35" customHeight="1">
      <c r="A7806" s="10">
        <v>45759</v>
      </c>
      <c r="B7806" t="s" s="11">
        <v>10</v>
      </c>
      <c r="C7806" t="s" s="12">
        <v>1089</v>
      </c>
      <c r="D7806" s="13">
        <v>15000</v>
      </c>
      <c r="E7806" s="13"/>
      <c r="F7806" s="14"/>
      <c r="G7806" s="14"/>
      <c r="H7806" s="14"/>
      <c r="I7806" s="14"/>
    </row>
    <row r="7807" ht="20.7" customHeight="1">
      <c r="A7807" s="10">
        <v>45759</v>
      </c>
      <c r="B7807" t="s" s="11">
        <v>8</v>
      </c>
      <c r="C7807" t="s" s="12">
        <v>8</v>
      </c>
      <c r="D7807" s="15" cm="1">
        <f t="array" ref="D7807">SUM(D7805:D7806)</f>
        <v>15000</v>
      </c>
      <c r="E7807" s="15" cm="1">
        <f t="array" ref="E7807">SUM(E7805:E7806)</f>
        <v>15000</v>
      </c>
      <c r="F7807" s="16" cm="1">
        <f t="array" ref="F7807">SUM(F7805:F7806)</f>
        <v>0</v>
      </c>
      <c r="G7807" s="16" cm="1">
        <f t="array" ref="G7807">SUM(G7805:G7806)</f>
        <v>0</v>
      </c>
      <c r="H7807" s="16" cm="1">
        <f t="array" ref="H7807">SUM(H7805:H7806)</f>
        <v>0</v>
      </c>
      <c r="I7807" s="16" cm="1">
        <f t="array" ref="I7807">SUM(I7805:I7806)</f>
        <v>0</v>
      </c>
    </row>
    <row r="7808" ht="20.65" customHeight="1">
      <c r="A7808" s="10">
        <v>45759</v>
      </c>
      <c r="B7808" t="s" s="11">
        <v>843</v>
      </c>
      <c r="C7808" t="s" s="12">
        <v>820</v>
      </c>
      <c r="D7808" s="17">
        <v>1</v>
      </c>
      <c r="E7808" s="17"/>
      <c r="F7808" s="18"/>
      <c r="G7808" s="18"/>
      <c r="H7808" s="18"/>
      <c r="I7808" s="18"/>
    </row>
    <row r="7809" ht="20.65" customHeight="1">
      <c r="A7809" s="10">
        <v>45759</v>
      </c>
      <c r="B7809" t="s" s="11">
        <v>7</v>
      </c>
      <c r="C7809" t="s" s="12">
        <v>820</v>
      </c>
      <c r="D7809" s="13"/>
      <c r="E7809" s="13">
        <v>1</v>
      </c>
      <c r="F7809" s="14"/>
      <c r="G7809" s="14"/>
      <c r="H7809" s="14"/>
      <c r="I7809" s="14"/>
    </row>
    <row r="7810" ht="20.7" customHeight="1">
      <c r="A7810" s="10">
        <v>45759</v>
      </c>
      <c r="B7810" t="s" s="11">
        <v>8</v>
      </c>
      <c r="C7810" t="s" s="12">
        <v>8</v>
      </c>
      <c r="D7810" s="15" cm="1">
        <f t="array" ref="D7810">SUM(D7808:D7809)</f>
        <v>1</v>
      </c>
      <c r="E7810" s="15" cm="1">
        <f t="array" ref="E7810">SUM(E7808:E7809)</f>
        <v>1</v>
      </c>
      <c r="F7810" s="16" cm="1">
        <f t="array" ref="F7810">SUM(F7808:F7809)</f>
        <v>0</v>
      </c>
      <c r="G7810" s="16" cm="1">
        <f t="array" ref="G7810">SUM(G7808:G7809)</f>
        <v>0</v>
      </c>
      <c r="H7810" s="16" cm="1">
        <f t="array" ref="H7810">SUM(H7808:H7809)</f>
        <v>0</v>
      </c>
      <c r="I7810" s="16" cm="1">
        <f t="array" ref="I7810">SUM(I7808:I7809)</f>
        <v>0</v>
      </c>
    </row>
    <row r="7811" ht="20.65" customHeight="1">
      <c r="A7811" s="10">
        <v>45759</v>
      </c>
      <c r="B7811" t="s" s="11">
        <v>814</v>
      </c>
      <c r="C7811" t="s" s="12">
        <v>820</v>
      </c>
      <c r="D7811" s="17">
        <v>126</v>
      </c>
      <c r="E7811" s="17"/>
      <c r="F7811" s="18"/>
      <c r="G7811" s="18"/>
      <c r="H7811" s="18"/>
      <c r="I7811" s="18"/>
    </row>
    <row r="7812" ht="20.65" customHeight="1">
      <c r="A7812" s="10">
        <v>45759</v>
      </c>
      <c r="B7812" t="s" s="11">
        <v>7</v>
      </c>
      <c r="C7812" t="s" s="12">
        <v>820</v>
      </c>
      <c r="D7812" s="13"/>
      <c r="E7812" s="13">
        <v>126</v>
      </c>
      <c r="F7812" s="14"/>
      <c r="G7812" s="14"/>
      <c r="H7812" s="14"/>
      <c r="I7812" s="14"/>
    </row>
    <row r="7813" ht="20.7" customHeight="1">
      <c r="A7813" s="10">
        <v>45759</v>
      </c>
      <c r="B7813" t="s" s="11">
        <v>8</v>
      </c>
      <c r="C7813" t="s" s="12">
        <v>8</v>
      </c>
      <c r="D7813" s="15" cm="1">
        <f t="array" ref="D7813">SUM(D7811:D7812)</f>
        <v>126</v>
      </c>
      <c r="E7813" s="15" cm="1">
        <f t="array" ref="E7813">SUM(E7811:E7812)</f>
        <v>126</v>
      </c>
      <c r="F7813" s="16" cm="1">
        <f t="array" ref="F7813">SUM(F7811:F7812)</f>
        <v>0</v>
      </c>
      <c r="G7813" s="16" cm="1">
        <f t="array" ref="G7813">SUM(G7811:G7812)</f>
        <v>0</v>
      </c>
      <c r="H7813" s="16" cm="1">
        <f t="array" ref="H7813">SUM(H7811:H7812)</f>
        <v>0</v>
      </c>
      <c r="I7813" s="16" cm="1">
        <f t="array" ref="I7813">SUM(I7811:I7812)</f>
        <v>0</v>
      </c>
    </row>
    <row r="7814" ht="20.35" customHeight="1">
      <c r="A7814" s="10">
        <v>45759</v>
      </c>
      <c r="B7814" t="s" s="11">
        <v>814</v>
      </c>
      <c r="C7814" t="s" s="12">
        <v>96</v>
      </c>
      <c r="D7814" s="17"/>
      <c r="E7814" s="17">
        <v>100000</v>
      </c>
      <c r="F7814" s="18"/>
      <c r="G7814" s="18"/>
      <c r="H7814" s="18"/>
      <c r="I7814" s="18"/>
    </row>
    <row r="7815" ht="20.35" customHeight="1">
      <c r="A7815" s="10">
        <v>45759</v>
      </c>
      <c r="B7815" t="s" s="11">
        <v>5</v>
      </c>
      <c r="C7815" t="s" s="12">
        <v>96</v>
      </c>
      <c r="D7815" s="13">
        <v>100000</v>
      </c>
      <c r="E7815" s="13"/>
      <c r="F7815" s="14"/>
      <c r="G7815" s="14"/>
      <c r="H7815" s="14"/>
      <c r="I7815" s="14"/>
    </row>
    <row r="7816" ht="20.7" customHeight="1">
      <c r="A7816" s="10">
        <v>45759</v>
      </c>
      <c r="B7816" t="s" s="11">
        <v>8</v>
      </c>
      <c r="C7816" t="s" s="12">
        <v>8</v>
      </c>
      <c r="D7816" s="15" cm="1">
        <f t="array" ref="D7816">SUM(D7814:D7815)</f>
        <v>100000</v>
      </c>
      <c r="E7816" s="15" cm="1">
        <f t="array" ref="E7816">SUM(E7814:E7815)</f>
        <v>100000</v>
      </c>
      <c r="F7816" s="16" cm="1">
        <f t="array" ref="F7816">SUM(F7814:F7815)</f>
        <v>0</v>
      </c>
      <c r="G7816" s="16" cm="1">
        <f t="array" ref="G7816">SUM(G7814:G7815)</f>
        <v>0</v>
      </c>
      <c r="H7816" s="16" cm="1">
        <f t="array" ref="H7816">SUM(H7814:H7815)</f>
        <v>0</v>
      </c>
      <c r="I7816" s="16" cm="1">
        <f t="array" ref="I7816">SUM(I7814:I7815)</f>
        <v>0</v>
      </c>
    </row>
    <row r="7817" ht="20.35" customHeight="1">
      <c r="A7817" s="10">
        <v>45759</v>
      </c>
      <c r="B7817" t="s" s="11">
        <v>5</v>
      </c>
      <c r="C7817" t="s" s="12">
        <v>1090</v>
      </c>
      <c r="D7817" s="17"/>
      <c r="E7817" s="17">
        <v>119220</v>
      </c>
      <c r="F7817" s="18"/>
      <c r="G7817" s="18"/>
      <c r="H7817" s="18"/>
      <c r="I7817" s="18"/>
    </row>
    <row r="7818" ht="20.05" customHeight="1">
      <c r="A7818" s="10">
        <v>45759</v>
      </c>
      <c r="B7818" t="s" s="11">
        <v>12</v>
      </c>
      <c r="C7818" t="s" s="12">
        <v>1090</v>
      </c>
      <c r="D7818" s="19">
        <v>75910</v>
      </c>
      <c r="E7818" s="19"/>
      <c r="F7818" s="20"/>
      <c r="G7818" s="20"/>
      <c r="H7818" s="20"/>
      <c r="I7818" s="20"/>
    </row>
    <row r="7819" ht="20.35" customHeight="1">
      <c r="A7819" s="10">
        <v>45759</v>
      </c>
      <c r="B7819" t="s" s="11">
        <v>89</v>
      </c>
      <c r="C7819" t="s" s="12">
        <v>1090</v>
      </c>
      <c r="D7819" s="13">
        <v>43310</v>
      </c>
      <c r="E7819" s="13"/>
      <c r="F7819" s="14"/>
      <c r="G7819" s="14"/>
      <c r="H7819" s="14"/>
      <c r="I7819" s="14"/>
    </row>
    <row r="7820" ht="20.7" customHeight="1">
      <c r="A7820" s="10">
        <v>45759</v>
      </c>
      <c r="B7820" t="s" s="11">
        <v>8</v>
      </c>
      <c r="C7820" t="s" s="12">
        <v>8</v>
      </c>
      <c r="D7820" s="15" cm="1">
        <f t="array" ref="D7820">SUM(D7817:D7819)</f>
        <v>119220</v>
      </c>
      <c r="E7820" s="15" cm="1">
        <f t="array" ref="E7820">SUM(E7817:E7819)</f>
        <v>119220</v>
      </c>
      <c r="F7820" s="16" cm="1">
        <f t="array" ref="F7820">SUM(F7817:F7819)</f>
        <v>0</v>
      </c>
      <c r="G7820" s="16" cm="1">
        <f t="array" ref="G7820">SUM(G7817:G7819)</f>
        <v>0</v>
      </c>
      <c r="H7820" s="16" cm="1">
        <f t="array" ref="H7820">SUM(H7817:H7819)</f>
        <v>0</v>
      </c>
      <c r="I7820" s="16" cm="1">
        <f t="array" ref="I7820">SUM(I7817:I7819)</f>
        <v>0</v>
      </c>
    </row>
    <row r="7821" ht="20.35" customHeight="1">
      <c r="A7821" s="10">
        <v>45759</v>
      </c>
      <c r="B7821" t="s" s="11">
        <v>91</v>
      </c>
      <c r="C7821" t="s" s="12">
        <v>17</v>
      </c>
      <c r="D7821" s="17"/>
      <c r="E7821" s="17">
        <v>500</v>
      </c>
      <c r="F7821" s="18"/>
      <c r="G7821" s="18"/>
      <c r="H7821" s="18"/>
      <c r="I7821" s="18"/>
    </row>
    <row r="7822" ht="20.35" customHeight="1">
      <c r="A7822" s="10">
        <v>45759</v>
      </c>
      <c r="B7822" t="s" s="11">
        <v>5</v>
      </c>
      <c r="C7822" t="s" s="12">
        <v>17</v>
      </c>
      <c r="D7822" s="13">
        <v>500</v>
      </c>
      <c r="E7822" s="13"/>
      <c r="F7822" s="14"/>
      <c r="G7822" s="14"/>
      <c r="H7822" s="14"/>
      <c r="I7822" s="14"/>
    </row>
    <row r="7823" ht="20.7" customHeight="1">
      <c r="A7823" s="10">
        <v>45759</v>
      </c>
      <c r="B7823" t="s" s="11">
        <v>8</v>
      </c>
      <c r="C7823" t="s" s="12">
        <v>8</v>
      </c>
      <c r="D7823" s="15" cm="1">
        <f t="array" ref="D7823">SUM(D7821:D7822)</f>
        <v>500</v>
      </c>
      <c r="E7823" s="15" cm="1">
        <f t="array" ref="E7823">SUM(E7821:E7822)</f>
        <v>500</v>
      </c>
      <c r="F7823" s="16" cm="1">
        <f t="array" ref="F7823">SUM(F7821:F7822)</f>
        <v>0</v>
      </c>
      <c r="G7823" s="16" cm="1">
        <f t="array" ref="G7823">SUM(G7821:G7822)</f>
        <v>0</v>
      </c>
      <c r="H7823" s="16" cm="1">
        <f t="array" ref="H7823">SUM(H7821:H7822)</f>
        <v>0</v>
      </c>
      <c r="I7823" s="16" cm="1">
        <f t="array" ref="I7823">SUM(I7821:I7822)</f>
        <v>0</v>
      </c>
    </row>
    <row r="7824" ht="20.35" customHeight="1">
      <c r="A7824" s="10">
        <v>45759</v>
      </c>
      <c r="B7824" t="s" s="11">
        <v>5</v>
      </c>
      <c r="C7824" t="s" s="12">
        <v>169</v>
      </c>
      <c r="D7824" s="17"/>
      <c r="E7824" s="17">
        <v>7500</v>
      </c>
      <c r="F7824" s="18"/>
      <c r="G7824" s="18"/>
      <c r="H7824" s="18"/>
      <c r="I7824" s="18"/>
    </row>
    <row r="7825" ht="20.35" customHeight="1">
      <c r="A7825" s="10">
        <v>45759</v>
      </c>
      <c r="B7825" t="s" s="11">
        <v>12</v>
      </c>
      <c r="C7825" t="s" s="12">
        <v>169</v>
      </c>
      <c r="D7825" s="13">
        <v>7500</v>
      </c>
      <c r="E7825" s="13"/>
      <c r="F7825" s="14"/>
      <c r="G7825" s="14"/>
      <c r="H7825" s="14"/>
      <c r="I7825" s="14"/>
    </row>
    <row r="7826" ht="20.7" customHeight="1">
      <c r="A7826" s="10">
        <v>45759</v>
      </c>
      <c r="B7826" t="s" s="11">
        <v>8</v>
      </c>
      <c r="C7826" t="s" s="12">
        <v>8</v>
      </c>
      <c r="D7826" s="15" cm="1">
        <f t="array" ref="D7826">SUM(D7824:D7825)</f>
        <v>7500</v>
      </c>
      <c r="E7826" s="15" cm="1">
        <f t="array" ref="E7826">SUM(E7824:E7825)</f>
        <v>7500</v>
      </c>
      <c r="F7826" s="16" cm="1">
        <f t="array" ref="F7826">SUM(F7824:F7825)</f>
        <v>0</v>
      </c>
      <c r="G7826" s="16" cm="1">
        <f t="array" ref="G7826">SUM(G7824:G7825)</f>
        <v>0</v>
      </c>
      <c r="H7826" s="16" cm="1">
        <f t="array" ref="H7826">SUM(H7824:H7825)</f>
        <v>0</v>
      </c>
      <c r="I7826" s="16" cm="1">
        <f t="array" ref="I7826">SUM(I7824:I7825)</f>
        <v>0</v>
      </c>
    </row>
    <row r="7827" ht="20.65" customHeight="1">
      <c r="A7827" s="10">
        <v>45760</v>
      </c>
      <c r="B7827" t="s" s="11">
        <v>843</v>
      </c>
      <c r="C7827" t="s" s="12">
        <v>820</v>
      </c>
      <c r="D7827" s="17">
        <v>1</v>
      </c>
      <c r="E7827" s="17"/>
      <c r="F7827" s="18"/>
      <c r="G7827" s="18"/>
      <c r="H7827" s="18"/>
      <c r="I7827" s="18"/>
    </row>
    <row r="7828" ht="20.65" customHeight="1">
      <c r="A7828" s="10">
        <v>45760</v>
      </c>
      <c r="B7828" t="s" s="11">
        <v>7</v>
      </c>
      <c r="C7828" t="s" s="12">
        <v>820</v>
      </c>
      <c r="D7828" s="13"/>
      <c r="E7828" s="13">
        <v>1</v>
      </c>
      <c r="F7828" s="14"/>
      <c r="G7828" s="14"/>
      <c r="H7828" s="14"/>
      <c r="I7828" s="14"/>
    </row>
    <row r="7829" ht="20.7" customHeight="1">
      <c r="A7829" s="10">
        <v>45760</v>
      </c>
      <c r="B7829" t="s" s="11">
        <v>8</v>
      </c>
      <c r="C7829" t="s" s="12">
        <v>8</v>
      </c>
      <c r="D7829" s="15" cm="1">
        <f t="array" ref="D7829">SUM(D7827:D7828)</f>
        <v>1</v>
      </c>
      <c r="E7829" s="15" cm="1">
        <f t="array" ref="E7829">SUM(E7827:E7828)</f>
        <v>1</v>
      </c>
      <c r="F7829" s="16" cm="1">
        <f t="array" ref="F7829">SUM(F7827:F7828)</f>
        <v>0</v>
      </c>
      <c r="G7829" s="16" cm="1">
        <f t="array" ref="G7829">SUM(G7827:G7828)</f>
        <v>0</v>
      </c>
      <c r="H7829" s="16" cm="1">
        <f t="array" ref="H7829">SUM(H7827:H7828)</f>
        <v>0</v>
      </c>
      <c r="I7829" s="16" cm="1">
        <f t="array" ref="I7829">SUM(I7827:I7828)</f>
        <v>0</v>
      </c>
    </row>
    <row r="7830" ht="20.65" customHeight="1">
      <c r="A7830" s="10">
        <v>45760</v>
      </c>
      <c r="B7830" t="s" s="11">
        <v>814</v>
      </c>
      <c r="C7830" t="s" s="12">
        <v>820</v>
      </c>
      <c r="D7830" s="17">
        <v>131</v>
      </c>
      <c r="E7830" s="17"/>
      <c r="F7830" s="18"/>
      <c r="G7830" s="18"/>
      <c r="H7830" s="18"/>
      <c r="I7830" s="18"/>
    </row>
    <row r="7831" ht="20.65" customHeight="1">
      <c r="A7831" s="10">
        <v>45760</v>
      </c>
      <c r="B7831" t="s" s="11">
        <v>7</v>
      </c>
      <c r="C7831" t="s" s="12">
        <v>820</v>
      </c>
      <c r="D7831" s="13"/>
      <c r="E7831" s="13">
        <v>131</v>
      </c>
      <c r="F7831" s="14"/>
      <c r="G7831" s="14"/>
      <c r="H7831" s="14"/>
      <c r="I7831" s="14"/>
    </row>
    <row r="7832" ht="20.7" customHeight="1">
      <c r="A7832" s="10">
        <v>45760</v>
      </c>
      <c r="B7832" t="s" s="11">
        <v>8</v>
      </c>
      <c r="C7832" t="s" s="12">
        <v>8</v>
      </c>
      <c r="D7832" s="15" cm="1">
        <f t="array" ref="D7832">SUM(D7830:D7831)</f>
        <v>131</v>
      </c>
      <c r="E7832" s="15" cm="1">
        <f t="array" ref="E7832">SUM(E7830:E7831)</f>
        <v>131</v>
      </c>
      <c r="F7832" s="16" cm="1">
        <f t="array" ref="F7832">SUM(F7830:F7831)</f>
        <v>0</v>
      </c>
      <c r="G7832" s="16" cm="1">
        <f t="array" ref="G7832">SUM(G7830:G7831)</f>
        <v>0</v>
      </c>
      <c r="H7832" s="16" cm="1">
        <f t="array" ref="H7832">SUM(H7830:H7831)</f>
        <v>0</v>
      </c>
      <c r="I7832" s="16" cm="1">
        <f t="array" ref="I7832">SUM(I7830:I7831)</f>
        <v>0</v>
      </c>
    </row>
    <row r="7833" ht="20.35" customHeight="1">
      <c r="A7833" s="10">
        <v>45760</v>
      </c>
      <c r="B7833" t="s" s="11">
        <v>5</v>
      </c>
      <c r="C7833" t="s" s="12">
        <v>1091</v>
      </c>
      <c r="D7833" s="17"/>
      <c r="E7833" s="17">
        <v>5300</v>
      </c>
      <c r="F7833" s="18"/>
      <c r="G7833" s="18"/>
      <c r="H7833" s="18"/>
      <c r="I7833" s="18"/>
    </row>
    <row r="7834" ht="20.35" customHeight="1">
      <c r="A7834" s="10">
        <v>45760</v>
      </c>
      <c r="B7834" t="s" s="11">
        <v>12</v>
      </c>
      <c r="C7834" t="s" s="12">
        <v>1091</v>
      </c>
      <c r="D7834" s="13">
        <v>5300</v>
      </c>
      <c r="E7834" s="13"/>
      <c r="F7834" s="14"/>
      <c r="G7834" s="14"/>
      <c r="H7834" s="14"/>
      <c r="I7834" s="14"/>
    </row>
    <row r="7835" ht="20.7" customHeight="1">
      <c r="A7835" s="10">
        <v>45760</v>
      </c>
      <c r="B7835" t="s" s="11">
        <v>8</v>
      </c>
      <c r="C7835" t="s" s="12">
        <v>8</v>
      </c>
      <c r="D7835" s="15" cm="1">
        <f t="array" ref="D7835">SUM(D7833:D7834)</f>
        <v>5300</v>
      </c>
      <c r="E7835" s="15" cm="1">
        <f t="array" ref="E7835">SUM(E7833:E7834)</f>
        <v>5300</v>
      </c>
      <c r="F7835" s="16" cm="1">
        <f t="array" ref="F7835">SUM(F7833:F7834)</f>
        <v>0</v>
      </c>
      <c r="G7835" s="16" cm="1">
        <f t="array" ref="G7835">SUM(G7833:G7834)</f>
        <v>0</v>
      </c>
      <c r="H7835" s="16" cm="1">
        <f t="array" ref="H7835">SUM(H7833:H7834)</f>
        <v>0</v>
      </c>
      <c r="I7835" s="16" cm="1">
        <f t="array" ref="I7835">SUM(I7833:I7834)</f>
        <v>0</v>
      </c>
    </row>
    <row r="7836" ht="20.35" customHeight="1">
      <c r="A7836" s="10">
        <v>45760</v>
      </c>
      <c r="B7836" t="s" s="11">
        <v>18</v>
      </c>
      <c r="C7836" t="s" s="12">
        <v>17</v>
      </c>
      <c r="D7836" s="17"/>
      <c r="E7836" s="17">
        <v>100</v>
      </c>
      <c r="F7836" s="18"/>
      <c r="G7836" s="18"/>
      <c r="H7836" s="18"/>
      <c r="I7836" s="18"/>
    </row>
    <row r="7837" ht="20.35" customHeight="1">
      <c r="A7837" s="10">
        <v>45760</v>
      </c>
      <c r="B7837" t="s" s="11">
        <v>5</v>
      </c>
      <c r="C7837" t="s" s="12">
        <v>17</v>
      </c>
      <c r="D7837" s="13">
        <v>100</v>
      </c>
      <c r="E7837" s="13"/>
      <c r="F7837" s="14"/>
      <c r="G7837" s="14"/>
      <c r="H7837" s="14"/>
      <c r="I7837" s="14"/>
    </row>
    <row r="7838" ht="20.7" customHeight="1">
      <c r="A7838" s="10">
        <v>45760</v>
      </c>
      <c r="B7838" t="s" s="11">
        <v>8</v>
      </c>
      <c r="C7838" t="s" s="12">
        <v>8</v>
      </c>
      <c r="D7838" s="15" cm="1">
        <f t="array" ref="D7838">SUM(D7836:D7837)</f>
        <v>100</v>
      </c>
      <c r="E7838" s="15" cm="1">
        <f t="array" ref="E7838">SUM(E7836:E7837)</f>
        <v>100</v>
      </c>
      <c r="F7838" s="16" cm="1">
        <f t="array" ref="F7838">SUM(F7836:F7837)</f>
        <v>0</v>
      </c>
      <c r="G7838" s="16" cm="1">
        <f t="array" ref="G7838">SUM(G7836:G7837)</f>
        <v>0</v>
      </c>
      <c r="H7838" s="16" cm="1">
        <f t="array" ref="H7838">SUM(H7836:H7837)</f>
        <v>0</v>
      </c>
      <c r="I7838" s="16" cm="1">
        <f t="array" ref="I7838">SUM(I7836:I7837)</f>
        <v>0</v>
      </c>
    </row>
    <row r="7839" ht="20.35" customHeight="1">
      <c r="A7839" s="10">
        <v>45760</v>
      </c>
      <c r="B7839" t="s" s="11">
        <v>89</v>
      </c>
      <c r="C7839" t="s" s="12">
        <v>1090</v>
      </c>
      <c r="D7839" s="17"/>
      <c r="E7839" s="17">
        <v>31310</v>
      </c>
      <c r="F7839" s="18"/>
      <c r="G7839" s="18"/>
      <c r="H7839" s="18"/>
      <c r="I7839" s="18"/>
    </row>
    <row r="7840" ht="20.35" customHeight="1">
      <c r="A7840" s="10">
        <v>45760</v>
      </c>
      <c r="B7840" t="s" s="11">
        <v>93</v>
      </c>
      <c r="C7840" t="s" s="12">
        <v>1090</v>
      </c>
      <c r="D7840" s="13">
        <v>31310</v>
      </c>
      <c r="E7840" s="13"/>
      <c r="F7840" s="14"/>
      <c r="G7840" s="14"/>
      <c r="H7840" s="14"/>
      <c r="I7840" s="14"/>
    </row>
    <row r="7841" ht="20.7" customHeight="1">
      <c r="A7841" s="10">
        <v>45760</v>
      </c>
      <c r="B7841" t="s" s="11">
        <v>8</v>
      </c>
      <c r="C7841" t="s" s="12">
        <v>8</v>
      </c>
      <c r="D7841" s="15" cm="1">
        <f t="array" ref="D7841">SUM(D7839:D7840)</f>
        <v>31310</v>
      </c>
      <c r="E7841" s="15" cm="1">
        <f t="array" ref="E7841">SUM(E7839:E7840)</f>
        <v>31310</v>
      </c>
      <c r="F7841" s="16" cm="1">
        <f t="array" ref="F7841">SUM(F7839:F7840)</f>
        <v>0</v>
      </c>
      <c r="G7841" s="16" cm="1">
        <f t="array" ref="G7841">SUM(G7839:G7840)</f>
        <v>0</v>
      </c>
      <c r="H7841" s="16" cm="1">
        <f t="array" ref="H7841">SUM(H7839:H7840)</f>
        <v>0</v>
      </c>
      <c r="I7841" s="16" cm="1">
        <f t="array" ref="I7841">SUM(I7839:I7840)</f>
        <v>0</v>
      </c>
    </row>
    <row r="7842" ht="20.35" customHeight="1">
      <c r="A7842" s="10">
        <v>45760</v>
      </c>
      <c r="B7842" t="s" s="11">
        <v>107</v>
      </c>
      <c r="C7842" t="s" s="12">
        <v>1092</v>
      </c>
      <c r="D7842" s="17">
        <v>10000</v>
      </c>
      <c r="E7842" s="24"/>
      <c r="F7842" s="18"/>
      <c r="G7842" s="18"/>
      <c r="H7842" s="18"/>
      <c r="I7842" s="18"/>
    </row>
    <row r="7843" ht="20.35" customHeight="1">
      <c r="A7843" s="10">
        <v>45760</v>
      </c>
      <c r="B7843" t="s" s="11">
        <v>21</v>
      </c>
      <c r="C7843" t="s" s="12">
        <v>1092</v>
      </c>
      <c r="D7843" s="21"/>
      <c r="E7843" s="13">
        <v>10000</v>
      </c>
      <c r="F7843" s="14"/>
      <c r="G7843" s="14"/>
      <c r="H7843" s="14"/>
      <c r="I7843" s="14"/>
    </row>
    <row r="7844" ht="20.7" customHeight="1">
      <c r="A7844" s="10">
        <v>45760</v>
      </c>
      <c r="B7844" t="s" s="11">
        <v>8</v>
      </c>
      <c r="C7844" t="s" s="12">
        <v>8</v>
      </c>
      <c r="D7844" s="15" cm="1">
        <f t="array" ref="D7844">SUM(D7842:D7843)</f>
        <v>10000</v>
      </c>
      <c r="E7844" s="15" cm="1">
        <f t="array" ref="E7844">SUM(E7842:E7843)</f>
        <v>10000</v>
      </c>
      <c r="F7844" s="16" cm="1">
        <f t="array" ref="F7844">SUM(F7842:F7843)</f>
        <v>0</v>
      </c>
      <c r="G7844" s="16" cm="1">
        <f t="array" ref="G7844">SUM(G7842:G7843)</f>
        <v>0</v>
      </c>
      <c r="H7844" s="16" cm="1">
        <f t="array" ref="H7844">SUM(H7842:H7843)</f>
        <v>0</v>
      </c>
      <c r="I7844" s="16" cm="1">
        <f t="array" ref="I7844">SUM(I7842:I7843)</f>
        <v>0</v>
      </c>
    </row>
    <row r="7845" ht="20.35" customHeight="1">
      <c r="A7845" s="10">
        <v>45760</v>
      </c>
      <c r="B7845" t="s" s="11">
        <v>107</v>
      </c>
      <c r="C7845" t="s" s="12">
        <v>1092</v>
      </c>
      <c r="D7845" s="17"/>
      <c r="E7845" s="17">
        <v>9985</v>
      </c>
      <c r="F7845" s="18"/>
      <c r="G7845" s="18"/>
      <c r="H7845" s="18"/>
      <c r="I7845" s="18"/>
    </row>
    <row r="7846" ht="20.05" customHeight="1">
      <c r="A7846" s="10">
        <v>45760</v>
      </c>
      <c r="B7846" t="s" s="11">
        <v>21</v>
      </c>
      <c r="C7846" t="s" s="12">
        <v>1092</v>
      </c>
      <c r="D7846" s="19">
        <v>10000</v>
      </c>
      <c r="E7846" s="19"/>
      <c r="F7846" s="20"/>
      <c r="G7846" s="20"/>
      <c r="H7846" s="20"/>
      <c r="I7846" s="20"/>
    </row>
    <row r="7847" ht="20.35" customHeight="1">
      <c r="A7847" s="10">
        <v>45760</v>
      </c>
      <c r="B7847" t="s" s="11">
        <v>91</v>
      </c>
      <c r="C7847" t="s" s="12">
        <v>1092</v>
      </c>
      <c r="D7847" s="13"/>
      <c r="E7847" s="13">
        <v>15</v>
      </c>
      <c r="F7847" s="14"/>
      <c r="G7847" s="14"/>
      <c r="H7847" s="14"/>
      <c r="I7847" s="14"/>
    </row>
    <row r="7848" ht="20.7" customHeight="1">
      <c r="A7848" s="10">
        <v>45760</v>
      </c>
      <c r="B7848" t="s" s="11">
        <v>8</v>
      </c>
      <c r="C7848" t="s" s="12">
        <v>8</v>
      </c>
      <c r="D7848" s="15" cm="1">
        <f t="array" ref="D7848">SUM(D7845:D7847)</f>
        <v>10000</v>
      </c>
      <c r="E7848" s="15" cm="1">
        <f t="array" ref="E7848">SUM(E7845:E7847)</f>
        <v>10000</v>
      </c>
      <c r="F7848" s="16" cm="1">
        <f t="array" ref="F7848">SUM(F7845:F7847)</f>
        <v>0</v>
      </c>
      <c r="G7848" s="16" cm="1">
        <f t="array" ref="G7848">SUM(G7845:G7847)</f>
        <v>0</v>
      </c>
      <c r="H7848" s="16" cm="1">
        <f t="array" ref="H7848">SUM(H7845:H7847)</f>
        <v>0</v>
      </c>
      <c r="I7848" s="16" cm="1">
        <f t="array" ref="I7848">SUM(I7845:I7847)</f>
        <v>0</v>
      </c>
    </row>
    <row r="7849" ht="21.25" customHeight="1">
      <c r="A7849" s="10">
        <v>45760</v>
      </c>
      <c r="B7849" t="s" s="11">
        <v>5</v>
      </c>
      <c r="C7849" t="s" s="12">
        <v>799</v>
      </c>
      <c r="D7849" s="17">
        <v>3</v>
      </c>
      <c r="E7849" s="17"/>
      <c r="F7849" s="18"/>
      <c r="G7849" s="18"/>
      <c r="H7849" s="18"/>
      <c r="I7849" s="18"/>
    </row>
    <row r="7850" ht="21.25" customHeight="1">
      <c r="A7850" s="10">
        <v>45760</v>
      </c>
      <c r="B7850" t="s" s="11">
        <v>18</v>
      </c>
      <c r="C7850" t="s" s="12">
        <v>799</v>
      </c>
      <c r="D7850" s="13"/>
      <c r="E7850" s="13">
        <v>3</v>
      </c>
      <c r="F7850" s="14"/>
      <c r="G7850" s="14"/>
      <c r="H7850" s="14"/>
      <c r="I7850" s="14"/>
    </row>
    <row r="7851" ht="20.7" customHeight="1">
      <c r="A7851" s="10">
        <v>45760</v>
      </c>
      <c r="B7851" t="s" s="11">
        <v>8</v>
      </c>
      <c r="C7851" t="s" s="12">
        <v>8</v>
      </c>
      <c r="D7851" s="15" cm="1">
        <f t="array" ref="D7851">SUM(D7849:D7850)</f>
        <v>3</v>
      </c>
      <c r="E7851" s="15" cm="1">
        <f t="array" ref="E7851">SUM(E7849:E7850)</f>
        <v>3</v>
      </c>
      <c r="F7851" s="16" cm="1">
        <f t="array" ref="F7851">SUM(F7849:F7850)</f>
        <v>0</v>
      </c>
      <c r="G7851" s="16" cm="1">
        <f t="array" ref="G7851">SUM(G7849:G7850)</f>
        <v>0</v>
      </c>
      <c r="H7851" s="16" cm="1">
        <f t="array" ref="H7851">SUM(H7849:H7850)</f>
        <v>0</v>
      </c>
      <c r="I7851" s="16" cm="1">
        <f t="array" ref="I7851">SUM(I7849:I7850)</f>
        <v>0</v>
      </c>
    </row>
    <row r="7852" ht="21.25" customHeight="1">
      <c r="A7852" s="10">
        <v>45760</v>
      </c>
      <c r="B7852" t="s" s="11">
        <v>5</v>
      </c>
      <c r="C7852" t="s" s="12">
        <v>799</v>
      </c>
      <c r="D7852" s="17">
        <v>2</v>
      </c>
      <c r="E7852" s="17"/>
      <c r="F7852" s="18"/>
      <c r="G7852" s="18"/>
      <c r="H7852" s="18"/>
      <c r="I7852" s="18"/>
    </row>
    <row r="7853" ht="21.25" customHeight="1">
      <c r="A7853" s="10">
        <v>45760</v>
      </c>
      <c r="B7853" t="s" s="11">
        <v>18</v>
      </c>
      <c r="C7853" t="s" s="12">
        <v>799</v>
      </c>
      <c r="D7853" s="13"/>
      <c r="E7853" s="13">
        <v>2</v>
      </c>
      <c r="F7853" s="14"/>
      <c r="G7853" s="14"/>
      <c r="H7853" s="14"/>
      <c r="I7853" s="14"/>
    </row>
    <row r="7854" ht="20.7" customHeight="1">
      <c r="A7854" s="10">
        <v>45760</v>
      </c>
      <c r="B7854" t="s" s="11">
        <v>8</v>
      </c>
      <c r="C7854" t="s" s="12">
        <v>8</v>
      </c>
      <c r="D7854" s="15" cm="1">
        <f t="array" ref="D7854">SUM(D7852:D7853)</f>
        <v>2</v>
      </c>
      <c r="E7854" s="15" cm="1">
        <f t="array" ref="E7854">SUM(E7852:E7853)</f>
        <v>2</v>
      </c>
      <c r="F7854" s="16" cm="1">
        <f t="array" ref="F7854">SUM(F7852:F7853)</f>
        <v>0</v>
      </c>
      <c r="G7854" s="16" cm="1">
        <f t="array" ref="G7854">SUM(G7852:G7853)</f>
        <v>0</v>
      </c>
      <c r="H7854" s="16" cm="1">
        <f t="array" ref="H7854">SUM(H7852:H7853)</f>
        <v>0</v>
      </c>
      <c r="I7854" s="16" cm="1">
        <f t="array" ref="I7854">SUM(I7852:I7853)</f>
        <v>0</v>
      </c>
    </row>
    <row r="7855" ht="20.35" customHeight="1">
      <c r="A7855" s="10">
        <v>45760</v>
      </c>
      <c r="B7855" t="s" s="11">
        <v>93</v>
      </c>
      <c r="C7855" t="s" s="12">
        <v>96</v>
      </c>
      <c r="D7855" s="17"/>
      <c r="E7855" s="17">
        <v>31310</v>
      </c>
      <c r="F7855" s="18"/>
      <c r="G7855" s="18"/>
      <c r="H7855" s="18"/>
      <c r="I7855" s="18"/>
    </row>
    <row r="7856" ht="20.35" customHeight="1">
      <c r="A7856" s="10">
        <v>45760</v>
      </c>
      <c r="B7856" t="s" s="11">
        <v>5</v>
      </c>
      <c r="C7856" t="s" s="12">
        <v>96</v>
      </c>
      <c r="D7856" s="13">
        <v>31310</v>
      </c>
      <c r="E7856" s="13"/>
      <c r="F7856" s="14"/>
      <c r="G7856" s="14"/>
      <c r="H7856" s="14"/>
      <c r="I7856" s="14"/>
    </row>
    <row r="7857" ht="20.7" customHeight="1">
      <c r="A7857" s="10">
        <v>45760</v>
      </c>
      <c r="B7857" t="s" s="11">
        <v>8</v>
      </c>
      <c r="C7857" t="s" s="12">
        <v>8</v>
      </c>
      <c r="D7857" s="15" cm="1">
        <f t="array" ref="D7857">SUM(D7855:D7856)</f>
        <v>31310</v>
      </c>
      <c r="E7857" s="15" cm="1">
        <f t="array" ref="E7857">SUM(E7855:E7856)</f>
        <v>31310</v>
      </c>
      <c r="F7857" s="16" cm="1">
        <f t="array" ref="F7857">SUM(F7855:F7856)</f>
        <v>0</v>
      </c>
      <c r="G7857" s="16" cm="1">
        <f t="array" ref="G7857">SUM(G7855:G7856)</f>
        <v>0</v>
      </c>
      <c r="H7857" s="16" cm="1">
        <f t="array" ref="H7857">SUM(H7855:H7856)</f>
        <v>0</v>
      </c>
      <c r="I7857" s="16" cm="1">
        <f t="array" ref="I7857">SUM(I7855:I7856)</f>
        <v>0</v>
      </c>
    </row>
    <row r="7858" ht="20.35" customHeight="1">
      <c r="A7858" s="10">
        <v>45760</v>
      </c>
      <c r="B7858" t="s" s="11">
        <v>5</v>
      </c>
      <c r="C7858" t="s" s="12">
        <v>1093</v>
      </c>
      <c r="D7858" s="17"/>
      <c r="E7858" s="17">
        <v>14200</v>
      </c>
      <c r="F7858" s="18"/>
      <c r="G7858" s="18"/>
      <c r="H7858" s="18"/>
      <c r="I7858" s="18"/>
    </row>
    <row r="7859" ht="20.35" customHeight="1">
      <c r="A7859" s="10">
        <v>45760</v>
      </c>
      <c r="B7859" t="s" s="11">
        <v>10</v>
      </c>
      <c r="C7859" t="s" s="12">
        <v>1093</v>
      </c>
      <c r="D7859" s="13">
        <v>14200</v>
      </c>
      <c r="E7859" s="13"/>
      <c r="F7859" s="14"/>
      <c r="G7859" s="14"/>
      <c r="H7859" s="14"/>
      <c r="I7859" s="14"/>
    </row>
    <row r="7860" ht="20.7" customHeight="1">
      <c r="A7860" s="10">
        <v>45760</v>
      </c>
      <c r="B7860" t="s" s="11">
        <v>8</v>
      </c>
      <c r="C7860" t="s" s="12">
        <v>8</v>
      </c>
      <c r="D7860" s="15" cm="1">
        <f t="array" ref="D7860">SUM(D7858:D7859)</f>
        <v>14200</v>
      </c>
      <c r="E7860" s="15" cm="1">
        <f t="array" ref="E7860">SUM(E7858:E7859)</f>
        <v>14200</v>
      </c>
      <c r="F7860" s="16" cm="1">
        <f t="array" ref="F7860">SUM(F7858:F7859)</f>
        <v>0</v>
      </c>
      <c r="G7860" s="16" cm="1">
        <f t="array" ref="G7860">SUM(G7858:G7859)</f>
        <v>0</v>
      </c>
      <c r="H7860" s="16" cm="1">
        <f t="array" ref="H7860">SUM(H7858:H7859)</f>
        <v>0</v>
      </c>
      <c r="I7860" s="16" cm="1">
        <f t="array" ref="I7860">SUM(I7858:I7859)</f>
        <v>0</v>
      </c>
    </row>
    <row r="7861" ht="20.35" customHeight="1">
      <c r="A7861" s="10">
        <v>45760</v>
      </c>
      <c r="B7861" t="s" s="11">
        <v>121</v>
      </c>
      <c r="C7861" t="s" s="12">
        <v>96</v>
      </c>
      <c r="D7861" s="17"/>
      <c r="E7861" s="17">
        <v>7745</v>
      </c>
      <c r="F7861" s="18"/>
      <c r="G7861" s="18"/>
      <c r="H7861" s="18"/>
      <c r="I7861" s="18"/>
    </row>
    <row r="7862" ht="20.35" customHeight="1">
      <c r="A7862" s="10">
        <v>45760</v>
      </c>
      <c r="B7862" t="s" s="11">
        <v>5</v>
      </c>
      <c r="C7862" t="s" s="12">
        <v>96</v>
      </c>
      <c r="D7862" s="13">
        <v>7745</v>
      </c>
      <c r="E7862" s="13"/>
      <c r="F7862" s="14"/>
      <c r="G7862" s="14"/>
      <c r="H7862" s="14"/>
      <c r="I7862" s="14"/>
    </row>
    <row r="7863" ht="20.7" customHeight="1">
      <c r="A7863" s="10">
        <v>45760</v>
      </c>
      <c r="B7863" t="s" s="11">
        <v>8</v>
      </c>
      <c r="C7863" t="s" s="12">
        <v>8</v>
      </c>
      <c r="D7863" s="15" cm="1">
        <f t="array" ref="D7863">SUM(D7861:D7862)</f>
        <v>7745</v>
      </c>
      <c r="E7863" s="15" cm="1">
        <f t="array" ref="E7863">SUM(E7861:E7862)</f>
        <v>7745</v>
      </c>
      <c r="F7863" s="16" cm="1">
        <f t="array" ref="F7863">SUM(F7861:F7862)</f>
        <v>0</v>
      </c>
      <c r="G7863" s="16" cm="1">
        <f t="array" ref="G7863">SUM(G7861:G7862)</f>
        <v>0</v>
      </c>
      <c r="H7863" s="16" cm="1">
        <f t="array" ref="H7863">SUM(H7861:H7862)</f>
        <v>0</v>
      </c>
      <c r="I7863" s="16" cm="1">
        <f t="array" ref="I7863">SUM(I7861:I7862)</f>
        <v>0</v>
      </c>
    </row>
    <row r="7864" ht="20.35" customHeight="1">
      <c r="A7864" s="10">
        <v>45760</v>
      </c>
      <c r="B7864" t="s" s="11">
        <v>5</v>
      </c>
      <c r="C7864" t="s" s="12">
        <v>1093</v>
      </c>
      <c r="D7864" s="17"/>
      <c r="E7864" s="17">
        <v>63400</v>
      </c>
      <c r="F7864" s="18"/>
      <c r="G7864" s="18"/>
      <c r="H7864" s="18"/>
      <c r="I7864" s="18"/>
    </row>
    <row r="7865" ht="20.35" customHeight="1">
      <c r="A7865" s="10">
        <v>45760</v>
      </c>
      <c r="B7865" t="s" s="11">
        <v>10</v>
      </c>
      <c r="C7865" t="s" s="12">
        <v>1093</v>
      </c>
      <c r="D7865" s="13">
        <v>63400</v>
      </c>
      <c r="E7865" s="13"/>
      <c r="F7865" s="14"/>
      <c r="G7865" s="14"/>
      <c r="H7865" s="14"/>
      <c r="I7865" s="14"/>
    </row>
    <row r="7866" ht="20.7" customHeight="1">
      <c r="A7866" s="10">
        <v>45760</v>
      </c>
      <c r="B7866" t="s" s="11">
        <v>8</v>
      </c>
      <c r="C7866" t="s" s="12">
        <v>8</v>
      </c>
      <c r="D7866" s="15" cm="1">
        <f t="array" ref="D7866">SUM(D7864:D7865)</f>
        <v>63400</v>
      </c>
      <c r="E7866" s="15" cm="1">
        <f t="array" ref="E7866">SUM(E7864:E7865)</f>
        <v>63400</v>
      </c>
      <c r="F7866" s="16" cm="1">
        <f t="array" ref="F7866">SUM(F7864:F7865)</f>
        <v>0</v>
      </c>
      <c r="G7866" s="16" cm="1">
        <f t="array" ref="G7866">SUM(G7864:G7865)</f>
        <v>0</v>
      </c>
      <c r="H7866" s="16" cm="1">
        <f t="array" ref="H7866">SUM(H7864:H7865)</f>
        <v>0</v>
      </c>
      <c r="I7866" s="16" cm="1">
        <f t="array" ref="I7866">SUM(I7864:I7865)</f>
        <v>0</v>
      </c>
    </row>
    <row r="7867" ht="21.25" customHeight="1">
      <c r="A7867" s="10">
        <v>45760</v>
      </c>
      <c r="B7867" t="s" s="11">
        <v>5</v>
      </c>
      <c r="C7867" t="s" s="12">
        <v>799</v>
      </c>
      <c r="D7867" s="17">
        <v>1</v>
      </c>
      <c r="E7867" s="17"/>
      <c r="F7867" s="18"/>
      <c r="G7867" s="18"/>
      <c r="H7867" s="18"/>
      <c r="I7867" s="18"/>
    </row>
    <row r="7868" ht="21.25" customHeight="1">
      <c r="A7868" s="10">
        <v>45760</v>
      </c>
      <c r="B7868" t="s" s="11">
        <v>18</v>
      </c>
      <c r="C7868" t="s" s="12">
        <v>799</v>
      </c>
      <c r="D7868" s="13"/>
      <c r="E7868" s="13">
        <v>1</v>
      </c>
      <c r="F7868" s="14"/>
      <c r="G7868" s="14"/>
      <c r="H7868" s="14"/>
      <c r="I7868" s="14"/>
    </row>
    <row r="7869" ht="20.7" customHeight="1">
      <c r="A7869" s="10">
        <v>45760</v>
      </c>
      <c r="B7869" t="s" s="11">
        <v>8</v>
      </c>
      <c r="C7869" t="s" s="12">
        <v>8</v>
      </c>
      <c r="D7869" s="15" cm="1">
        <f t="array" ref="D7869">SUM(D7867:D7868)</f>
        <v>1</v>
      </c>
      <c r="E7869" s="15" cm="1">
        <f t="array" ref="E7869">SUM(E7867:E7868)</f>
        <v>1</v>
      </c>
      <c r="F7869" s="16" cm="1">
        <f t="array" ref="F7869">SUM(F7867:F7868)</f>
        <v>0</v>
      </c>
      <c r="G7869" s="16" cm="1">
        <f t="array" ref="G7869">SUM(G7867:G7868)</f>
        <v>0</v>
      </c>
      <c r="H7869" s="16" cm="1">
        <f t="array" ref="H7869">SUM(H7867:H7868)</f>
        <v>0</v>
      </c>
      <c r="I7869" s="16" cm="1">
        <f t="array" ref="I7869">SUM(I7867:I7868)</f>
        <v>0</v>
      </c>
    </row>
    <row r="7870" ht="21.25" customHeight="1">
      <c r="A7870" s="10">
        <v>45760</v>
      </c>
      <c r="B7870" t="s" s="11">
        <v>5</v>
      </c>
      <c r="C7870" t="s" s="12">
        <v>799</v>
      </c>
      <c r="D7870" s="17">
        <v>3</v>
      </c>
      <c r="E7870" s="17"/>
      <c r="F7870" s="18"/>
      <c r="G7870" s="18"/>
      <c r="H7870" s="18"/>
      <c r="I7870" s="18"/>
    </row>
    <row r="7871" ht="21.25" customHeight="1">
      <c r="A7871" s="10">
        <v>45760</v>
      </c>
      <c r="B7871" t="s" s="11">
        <v>18</v>
      </c>
      <c r="C7871" t="s" s="12">
        <v>799</v>
      </c>
      <c r="D7871" s="13"/>
      <c r="E7871" s="13">
        <v>3</v>
      </c>
      <c r="F7871" s="14"/>
      <c r="G7871" s="14"/>
      <c r="H7871" s="14"/>
      <c r="I7871" s="14"/>
    </row>
    <row r="7872" ht="20.7" customHeight="1">
      <c r="A7872" s="10">
        <v>45760</v>
      </c>
      <c r="B7872" t="s" s="11">
        <v>8</v>
      </c>
      <c r="C7872" t="s" s="12">
        <v>8</v>
      </c>
      <c r="D7872" s="15" cm="1">
        <f t="array" ref="D7872">SUM(D7870:D7871)</f>
        <v>3</v>
      </c>
      <c r="E7872" s="15" cm="1">
        <f t="array" ref="E7872">SUM(E7870:E7871)</f>
        <v>3</v>
      </c>
      <c r="F7872" s="16" cm="1">
        <f t="array" ref="F7872">SUM(F7870:F7871)</f>
        <v>0</v>
      </c>
      <c r="G7872" s="16" cm="1">
        <f t="array" ref="G7872">SUM(G7870:G7871)</f>
        <v>0</v>
      </c>
      <c r="H7872" s="16" cm="1">
        <f t="array" ref="H7872">SUM(H7870:H7871)</f>
        <v>0</v>
      </c>
      <c r="I7872" s="16" cm="1">
        <f t="array" ref="I7872">SUM(I7870:I7871)</f>
        <v>0</v>
      </c>
    </row>
    <row r="7873" ht="21.25" customHeight="1">
      <c r="A7873" s="10">
        <v>45760</v>
      </c>
      <c r="B7873" t="s" s="11">
        <v>21</v>
      </c>
      <c r="C7873" t="s" s="12">
        <v>1094</v>
      </c>
      <c r="D7873" s="17"/>
      <c r="E7873" s="17">
        <v>2900</v>
      </c>
      <c r="F7873" s="18"/>
      <c r="G7873" s="18"/>
      <c r="H7873" s="18"/>
      <c r="I7873" s="18"/>
    </row>
    <row r="7874" ht="21.25" customHeight="1">
      <c r="A7874" s="10">
        <v>45760</v>
      </c>
      <c r="B7874" t="s" s="11">
        <v>16</v>
      </c>
      <c r="C7874" t="s" s="12">
        <v>1094</v>
      </c>
      <c r="D7874" s="13">
        <v>2900</v>
      </c>
      <c r="E7874" s="13"/>
      <c r="F7874" s="14"/>
      <c r="G7874" s="14"/>
      <c r="H7874" s="14"/>
      <c r="I7874" s="14"/>
    </row>
    <row r="7875" ht="20.7" customHeight="1">
      <c r="A7875" s="10">
        <v>45760</v>
      </c>
      <c r="B7875" t="s" s="11">
        <v>8</v>
      </c>
      <c r="C7875" t="s" s="12">
        <v>8</v>
      </c>
      <c r="D7875" s="15" cm="1">
        <f t="array" ref="D7875">SUM(D7873:D7874)</f>
        <v>2900</v>
      </c>
      <c r="E7875" s="15" cm="1">
        <f t="array" ref="E7875">SUM(E7873:E7874)</f>
        <v>2900</v>
      </c>
      <c r="F7875" s="16" cm="1">
        <f t="array" ref="F7875">SUM(F7873:F7874)</f>
        <v>0</v>
      </c>
      <c r="G7875" s="16" cm="1">
        <f t="array" ref="G7875">SUM(G7873:G7874)</f>
        <v>0</v>
      </c>
      <c r="H7875" s="16" cm="1">
        <f t="array" ref="H7875">SUM(H7873:H7874)</f>
        <v>0</v>
      </c>
      <c r="I7875" s="16" cm="1">
        <f t="array" ref="I7875">SUM(I7873:I7874)</f>
        <v>0</v>
      </c>
    </row>
    <row r="7876" ht="20.65" customHeight="1">
      <c r="A7876" s="10">
        <v>45761</v>
      </c>
      <c r="B7876" t="s" s="11">
        <v>843</v>
      </c>
      <c r="C7876" t="s" s="12">
        <v>820</v>
      </c>
      <c r="D7876" s="17">
        <v>1</v>
      </c>
      <c r="E7876" s="17"/>
      <c r="F7876" s="18"/>
      <c r="G7876" s="18"/>
      <c r="H7876" s="18"/>
      <c r="I7876" s="18"/>
    </row>
    <row r="7877" ht="20.65" customHeight="1">
      <c r="A7877" s="10">
        <v>45761</v>
      </c>
      <c r="B7877" t="s" s="11">
        <v>7</v>
      </c>
      <c r="C7877" t="s" s="12">
        <v>820</v>
      </c>
      <c r="D7877" s="13"/>
      <c r="E7877" s="13">
        <v>1</v>
      </c>
      <c r="F7877" s="14"/>
      <c r="G7877" s="14"/>
      <c r="H7877" s="14"/>
      <c r="I7877" s="14"/>
    </row>
    <row r="7878" ht="20.7" customHeight="1">
      <c r="A7878" s="10">
        <v>45761</v>
      </c>
      <c r="B7878" t="s" s="11">
        <v>8</v>
      </c>
      <c r="C7878" t="s" s="12">
        <v>8</v>
      </c>
      <c r="D7878" s="15" cm="1">
        <f t="array" ref="D7878">SUM(D7876:D7877)</f>
        <v>1</v>
      </c>
      <c r="E7878" s="15" cm="1">
        <f t="array" ref="E7878">SUM(E7876:E7877)</f>
        <v>1</v>
      </c>
      <c r="F7878" s="16" cm="1">
        <f t="array" ref="F7878">SUM(F7876:F7877)</f>
        <v>0</v>
      </c>
      <c r="G7878" s="16" cm="1">
        <f t="array" ref="G7878">SUM(G7876:G7877)</f>
        <v>0</v>
      </c>
      <c r="H7878" s="16" cm="1">
        <f t="array" ref="H7878">SUM(H7876:H7877)</f>
        <v>0</v>
      </c>
      <c r="I7878" s="16" cm="1">
        <f t="array" ref="I7878">SUM(I7876:I7877)</f>
        <v>0</v>
      </c>
    </row>
    <row r="7879" ht="20.65" customHeight="1">
      <c r="A7879" s="10">
        <v>45761</v>
      </c>
      <c r="B7879" t="s" s="11">
        <v>814</v>
      </c>
      <c r="C7879" t="s" s="12">
        <v>820</v>
      </c>
      <c r="D7879" s="17">
        <v>131</v>
      </c>
      <c r="E7879" s="17"/>
      <c r="F7879" s="18"/>
      <c r="G7879" s="18"/>
      <c r="H7879" s="18"/>
      <c r="I7879" s="18"/>
    </row>
    <row r="7880" ht="20.65" customHeight="1">
      <c r="A7880" s="10">
        <v>45761</v>
      </c>
      <c r="B7880" t="s" s="11">
        <v>7</v>
      </c>
      <c r="C7880" t="s" s="12">
        <v>820</v>
      </c>
      <c r="D7880" s="13"/>
      <c r="E7880" s="13">
        <v>131</v>
      </c>
      <c r="F7880" s="14"/>
      <c r="G7880" s="14"/>
      <c r="H7880" s="14"/>
      <c r="I7880" s="14"/>
    </row>
    <row r="7881" ht="20.7" customHeight="1">
      <c r="A7881" s="10">
        <v>45761</v>
      </c>
      <c r="B7881" t="s" s="11">
        <v>8</v>
      </c>
      <c r="C7881" t="s" s="12">
        <v>8</v>
      </c>
      <c r="D7881" s="15" cm="1">
        <f t="array" ref="D7881">SUM(D7879:D7880)</f>
        <v>131</v>
      </c>
      <c r="E7881" s="15" cm="1">
        <f t="array" ref="E7881">SUM(E7879:E7880)</f>
        <v>131</v>
      </c>
      <c r="F7881" s="16" cm="1">
        <f t="array" ref="F7881">SUM(F7879:F7880)</f>
        <v>0</v>
      </c>
      <c r="G7881" s="16" cm="1">
        <f t="array" ref="G7881">SUM(G7879:G7880)</f>
        <v>0</v>
      </c>
      <c r="H7881" s="16" cm="1">
        <f t="array" ref="H7881">SUM(H7879:H7880)</f>
        <v>0</v>
      </c>
      <c r="I7881" s="16" cm="1">
        <f t="array" ref="I7881">SUM(I7879:I7880)</f>
        <v>0</v>
      </c>
    </row>
    <row r="7882" ht="20.35" customHeight="1">
      <c r="A7882" s="10">
        <v>45761</v>
      </c>
      <c r="B7882" t="s" s="11">
        <v>814</v>
      </c>
      <c r="C7882" t="s" s="12">
        <v>96</v>
      </c>
      <c r="D7882" s="17"/>
      <c r="E7882" s="17">
        <v>10000</v>
      </c>
      <c r="F7882" s="18"/>
      <c r="G7882" s="18"/>
      <c r="H7882" s="18"/>
      <c r="I7882" s="18"/>
    </row>
    <row r="7883" ht="20.35" customHeight="1">
      <c r="A7883" s="10">
        <v>45761</v>
      </c>
      <c r="B7883" t="s" s="11">
        <v>5</v>
      </c>
      <c r="C7883" t="s" s="12">
        <v>96</v>
      </c>
      <c r="D7883" s="13">
        <v>10000</v>
      </c>
      <c r="E7883" s="13"/>
      <c r="F7883" s="14"/>
      <c r="G7883" s="14"/>
      <c r="H7883" s="14"/>
      <c r="I7883" s="14"/>
    </row>
    <row r="7884" ht="20.7" customHeight="1">
      <c r="A7884" s="10">
        <v>45761</v>
      </c>
      <c r="B7884" t="s" s="11">
        <v>8</v>
      </c>
      <c r="C7884" t="s" s="12">
        <v>8</v>
      </c>
      <c r="D7884" s="15" cm="1">
        <f t="array" ref="D7884">SUM(D7882:D7883)</f>
        <v>10000</v>
      </c>
      <c r="E7884" s="15" cm="1">
        <f t="array" ref="E7884">SUM(E7882:E7883)</f>
        <v>10000</v>
      </c>
      <c r="F7884" s="16" cm="1">
        <f t="array" ref="F7884">SUM(F7882:F7883)</f>
        <v>0</v>
      </c>
      <c r="G7884" s="16" cm="1">
        <f t="array" ref="G7884">SUM(G7882:G7883)</f>
        <v>0</v>
      </c>
      <c r="H7884" s="16" cm="1">
        <f t="array" ref="H7884">SUM(H7882:H7883)</f>
        <v>0</v>
      </c>
      <c r="I7884" s="16" cm="1">
        <f t="array" ref="I7884">SUM(I7882:I7883)</f>
        <v>0</v>
      </c>
    </row>
    <row r="7885" ht="20.35" customHeight="1">
      <c r="A7885" s="10">
        <v>45761</v>
      </c>
      <c r="B7885" t="s" s="11">
        <v>5</v>
      </c>
      <c r="C7885" t="s" s="12">
        <v>695</v>
      </c>
      <c r="D7885" s="17"/>
      <c r="E7885" s="17">
        <v>6000</v>
      </c>
      <c r="F7885" s="18"/>
      <c r="G7885" s="18"/>
      <c r="H7885" s="18"/>
      <c r="I7885" s="18"/>
    </row>
    <row r="7886" ht="20.35" customHeight="1">
      <c r="A7886" s="10">
        <v>45761</v>
      </c>
      <c r="B7886" t="s" s="11">
        <v>16</v>
      </c>
      <c r="C7886" t="s" s="12">
        <v>695</v>
      </c>
      <c r="D7886" s="13">
        <v>6000</v>
      </c>
      <c r="E7886" s="13"/>
      <c r="F7886" s="14"/>
      <c r="G7886" s="14"/>
      <c r="H7886" s="14"/>
      <c r="I7886" s="14"/>
    </row>
    <row r="7887" ht="20.7" customHeight="1">
      <c r="A7887" s="10">
        <v>45761</v>
      </c>
      <c r="B7887" t="s" s="11">
        <v>8</v>
      </c>
      <c r="C7887" t="s" s="12">
        <v>8</v>
      </c>
      <c r="D7887" s="15" cm="1">
        <f t="array" ref="D7887">SUM(D7885:D7886)</f>
        <v>6000</v>
      </c>
      <c r="E7887" s="15" cm="1">
        <f t="array" ref="E7887">SUM(E7885:E7886)</f>
        <v>6000</v>
      </c>
      <c r="F7887" s="16" cm="1">
        <f t="array" ref="F7887">SUM(F7885:F7886)</f>
        <v>0</v>
      </c>
      <c r="G7887" s="16" cm="1">
        <f t="array" ref="G7887">SUM(G7885:G7886)</f>
        <v>0</v>
      </c>
      <c r="H7887" s="16" cm="1">
        <f t="array" ref="H7887">SUM(H7885:H7886)</f>
        <v>0</v>
      </c>
      <c r="I7887" s="16" cm="1">
        <f t="array" ref="I7887">SUM(I7885:I7886)</f>
        <v>0</v>
      </c>
    </row>
    <row r="7888" ht="20.35" customHeight="1">
      <c r="A7888" s="10">
        <v>45761</v>
      </c>
      <c r="B7888" t="s" s="11">
        <v>89</v>
      </c>
      <c r="C7888" t="s" s="12">
        <v>1090</v>
      </c>
      <c r="D7888" s="17"/>
      <c r="E7888" s="17">
        <v>12000</v>
      </c>
      <c r="F7888" s="18"/>
      <c r="G7888" s="18"/>
      <c r="H7888" s="18"/>
      <c r="I7888" s="18"/>
    </row>
    <row r="7889" ht="20.35" customHeight="1">
      <c r="A7889" s="10">
        <v>45761</v>
      </c>
      <c r="B7889" t="s" s="11">
        <v>93</v>
      </c>
      <c r="C7889" t="s" s="12">
        <v>1090</v>
      </c>
      <c r="D7889" s="13">
        <v>12000</v>
      </c>
      <c r="E7889" s="13"/>
      <c r="F7889" s="14"/>
      <c r="G7889" s="14"/>
      <c r="H7889" s="14"/>
      <c r="I7889" s="14"/>
    </row>
    <row r="7890" ht="20.7" customHeight="1">
      <c r="A7890" s="10">
        <v>45761</v>
      </c>
      <c r="B7890" t="s" s="11">
        <v>8</v>
      </c>
      <c r="C7890" t="s" s="12">
        <v>8</v>
      </c>
      <c r="D7890" s="15" cm="1">
        <f t="array" ref="D7890">SUM(D7888:D7889)</f>
        <v>12000</v>
      </c>
      <c r="E7890" s="15" cm="1">
        <f t="array" ref="E7890">SUM(E7888:E7889)</f>
        <v>12000</v>
      </c>
      <c r="F7890" s="16" cm="1">
        <f t="array" ref="F7890">SUM(F7888:F7889)</f>
        <v>0</v>
      </c>
      <c r="G7890" s="16" cm="1">
        <f t="array" ref="G7890">SUM(G7888:G7889)</f>
        <v>0</v>
      </c>
      <c r="H7890" s="16" cm="1">
        <f t="array" ref="H7890">SUM(H7888:H7889)</f>
        <v>0</v>
      </c>
      <c r="I7890" s="16" cm="1">
        <f t="array" ref="I7890">SUM(I7888:I7889)</f>
        <v>0</v>
      </c>
    </row>
    <row r="7891" ht="20.35" customHeight="1">
      <c r="A7891" s="10">
        <v>45761</v>
      </c>
      <c r="B7891" t="s" s="11">
        <v>814</v>
      </c>
      <c r="C7891" t="s" s="12">
        <v>96</v>
      </c>
      <c r="D7891" s="17"/>
      <c r="E7891" s="17">
        <v>30000</v>
      </c>
      <c r="F7891" s="18"/>
      <c r="G7891" s="18"/>
      <c r="H7891" s="18"/>
      <c r="I7891" s="18"/>
    </row>
    <row r="7892" ht="20.35" customHeight="1">
      <c r="A7892" s="10">
        <v>45761</v>
      </c>
      <c r="B7892" t="s" s="11">
        <v>5</v>
      </c>
      <c r="C7892" t="s" s="12">
        <v>96</v>
      </c>
      <c r="D7892" s="13">
        <v>30000</v>
      </c>
      <c r="E7892" s="13"/>
      <c r="F7892" s="14"/>
      <c r="G7892" s="14"/>
      <c r="H7892" s="14"/>
      <c r="I7892" s="14"/>
    </row>
    <row r="7893" ht="20.7" customHeight="1">
      <c r="A7893" s="10">
        <v>45761</v>
      </c>
      <c r="B7893" t="s" s="11">
        <v>8</v>
      </c>
      <c r="C7893" t="s" s="12">
        <v>8</v>
      </c>
      <c r="D7893" s="15" cm="1">
        <f t="array" ref="D7893">SUM(D7891:D7892)</f>
        <v>30000</v>
      </c>
      <c r="E7893" s="15" cm="1">
        <f t="array" ref="E7893">SUM(E7891:E7892)</f>
        <v>30000</v>
      </c>
      <c r="F7893" s="16" cm="1">
        <f t="array" ref="F7893">SUM(F7891:F7892)</f>
        <v>0</v>
      </c>
      <c r="G7893" s="16" cm="1">
        <f t="array" ref="G7893">SUM(G7891:G7892)</f>
        <v>0</v>
      </c>
      <c r="H7893" s="16" cm="1">
        <f t="array" ref="H7893">SUM(H7891:H7892)</f>
        <v>0</v>
      </c>
      <c r="I7893" s="16" cm="1">
        <f t="array" ref="I7893">SUM(I7891:I7892)</f>
        <v>0</v>
      </c>
    </row>
    <row r="7894" ht="21.25" customHeight="1">
      <c r="A7894" s="10">
        <v>45761</v>
      </c>
      <c r="B7894" t="s" s="11">
        <v>5</v>
      </c>
      <c r="C7894" t="s" s="12">
        <v>1095</v>
      </c>
      <c r="D7894" s="17"/>
      <c r="E7894" s="17">
        <v>27000</v>
      </c>
      <c r="F7894" s="18"/>
      <c r="G7894" s="18"/>
      <c r="H7894" s="18"/>
      <c r="I7894" s="18"/>
    </row>
    <row r="7895" ht="20.9" customHeight="1">
      <c r="A7895" s="10">
        <v>45761</v>
      </c>
      <c r="B7895" t="s" s="11">
        <v>10</v>
      </c>
      <c r="C7895" t="s" s="12">
        <v>1095</v>
      </c>
      <c r="D7895" s="19">
        <v>11000</v>
      </c>
      <c r="E7895" s="19"/>
      <c r="F7895" s="20"/>
      <c r="G7895" s="20"/>
      <c r="H7895" s="20"/>
      <c r="I7895" s="20"/>
    </row>
    <row r="7896" ht="21.25" customHeight="1">
      <c r="A7896" s="10">
        <v>45761</v>
      </c>
      <c r="B7896" t="s" s="11">
        <v>12</v>
      </c>
      <c r="C7896" t="s" s="12">
        <v>1095</v>
      </c>
      <c r="D7896" s="13">
        <v>16000</v>
      </c>
      <c r="E7896" s="13"/>
      <c r="F7896" s="14"/>
      <c r="G7896" s="14"/>
      <c r="H7896" s="14"/>
      <c r="I7896" s="14"/>
    </row>
    <row r="7897" ht="20.7" customHeight="1">
      <c r="A7897" s="10">
        <v>45761</v>
      </c>
      <c r="B7897" t="s" s="11">
        <v>8</v>
      </c>
      <c r="C7897" t="s" s="12">
        <v>8</v>
      </c>
      <c r="D7897" s="15" cm="1">
        <f t="array" ref="D7897">SUM(D7894:D7896)</f>
        <v>27000</v>
      </c>
      <c r="E7897" s="15" cm="1">
        <f t="array" ref="E7897">SUM(E7894:E7896)</f>
        <v>27000</v>
      </c>
      <c r="F7897" s="16" cm="1">
        <f t="array" ref="F7897">SUM(F7894:F7896)</f>
        <v>0</v>
      </c>
      <c r="G7897" s="16" cm="1">
        <f t="array" ref="G7897">SUM(G7894:G7896)</f>
        <v>0</v>
      </c>
      <c r="H7897" s="16" cm="1">
        <f t="array" ref="H7897">SUM(H7894:H7896)</f>
        <v>0</v>
      </c>
      <c r="I7897" s="16" cm="1">
        <f t="array" ref="I7897">SUM(I7894:I7896)</f>
        <v>0</v>
      </c>
    </row>
    <row r="7898" ht="20.65" customHeight="1">
      <c r="A7898" s="10">
        <v>45762</v>
      </c>
      <c r="B7898" t="s" s="11">
        <v>843</v>
      </c>
      <c r="C7898" t="s" s="12">
        <v>820</v>
      </c>
      <c r="D7898" s="17">
        <v>1</v>
      </c>
      <c r="E7898" s="17"/>
      <c r="F7898" s="18"/>
      <c r="G7898" s="18"/>
      <c r="H7898" s="18"/>
      <c r="I7898" s="18"/>
    </row>
    <row r="7899" ht="20.65" customHeight="1">
      <c r="A7899" s="10">
        <v>45762</v>
      </c>
      <c r="B7899" t="s" s="11">
        <v>7</v>
      </c>
      <c r="C7899" t="s" s="12">
        <v>820</v>
      </c>
      <c r="D7899" s="13"/>
      <c r="E7899" s="13">
        <v>1</v>
      </c>
      <c r="F7899" s="14"/>
      <c r="G7899" s="14"/>
      <c r="H7899" s="14"/>
      <c r="I7899" s="14"/>
    </row>
    <row r="7900" ht="20.7" customHeight="1">
      <c r="A7900" s="10">
        <v>45762</v>
      </c>
      <c r="B7900" t="s" s="11">
        <v>8</v>
      </c>
      <c r="C7900" t="s" s="12">
        <v>8</v>
      </c>
      <c r="D7900" s="15" cm="1">
        <f t="array" ref="D7900">SUM(D7898:D7899)</f>
        <v>1</v>
      </c>
      <c r="E7900" s="15" cm="1">
        <f t="array" ref="E7900">SUM(E7898:E7899)</f>
        <v>1</v>
      </c>
      <c r="F7900" s="16" cm="1">
        <f t="array" ref="F7900">SUM(F7898:F7899)</f>
        <v>0</v>
      </c>
      <c r="G7900" s="16" cm="1">
        <f t="array" ref="G7900">SUM(G7898:G7899)</f>
        <v>0</v>
      </c>
      <c r="H7900" s="16" cm="1">
        <f t="array" ref="H7900">SUM(H7898:H7899)</f>
        <v>0</v>
      </c>
      <c r="I7900" s="16" cm="1">
        <f t="array" ref="I7900">SUM(I7898:I7899)</f>
        <v>0</v>
      </c>
    </row>
    <row r="7901" ht="20.65" customHeight="1">
      <c r="A7901" s="10">
        <v>45762</v>
      </c>
      <c r="B7901" t="s" s="11">
        <v>814</v>
      </c>
      <c r="C7901" t="s" s="12">
        <v>820</v>
      </c>
      <c r="D7901" s="17">
        <v>129</v>
      </c>
      <c r="E7901" s="17"/>
      <c r="F7901" s="18"/>
      <c r="G7901" s="18"/>
      <c r="H7901" s="18"/>
      <c r="I7901" s="18"/>
    </row>
    <row r="7902" ht="20.65" customHeight="1">
      <c r="A7902" s="10">
        <v>45762</v>
      </c>
      <c r="B7902" t="s" s="11">
        <v>7</v>
      </c>
      <c r="C7902" t="s" s="12">
        <v>820</v>
      </c>
      <c r="D7902" s="13"/>
      <c r="E7902" s="13">
        <v>129</v>
      </c>
      <c r="F7902" s="14"/>
      <c r="G7902" s="14"/>
      <c r="H7902" s="14"/>
      <c r="I7902" s="14"/>
    </row>
    <row r="7903" ht="20.7" customHeight="1">
      <c r="A7903" s="10">
        <v>45762</v>
      </c>
      <c r="B7903" t="s" s="11">
        <v>8</v>
      </c>
      <c r="C7903" t="s" s="12">
        <v>8</v>
      </c>
      <c r="D7903" s="15" cm="1">
        <f t="array" ref="D7903">SUM(D7901:D7902)</f>
        <v>129</v>
      </c>
      <c r="E7903" s="15" cm="1">
        <f t="array" ref="E7903">SUM(E7901:E7902)</f>
        <v>129</v>
      </c>
      <c r="F7903" s="16" cm="1">
        <f t="array" ref="F7903">SUM(F7901:F7902)</f>
        <v>0</v>
      </c>
      <c r="G7903" s="16" cm="1">
        <f t="array" ref="G7903">SUM(G7901:G7902)</f>
        <v>0</v>
      </c>
      <c r="H7903" s="16" cm="1">
        <f t="array" ref="H7903">SUM(H7901:H7902)</f>
        <v>0</v>
      </c>
      <c r="I7903" s="16" cm="1">
        <f t="array" ref="I7903">SUM(I7901:I7902)</f>
        <v>0</v>
      </c>
    </row>
    <row r="7904" ht="20.65" customHeight="1">
      <c r="A7904" s="10">
        <v>45762</v>
      </c>
      <c r="B7904" t="s" s="11">
        <v>5</v>
      </c>
      <c r="C7904" t="s" s="12">
        <v>1096</v>
      </c>
      <c r="D7904" s="17"/>
      <c r="E7904" s="17">
        <v>6000</v>
      </c>
      <c r="F7904" s="18"/>
      <c r="G7904" s="18"/>
      <c r="H7904" s="18"/>
      <c r="I7904" s="18"/>
    </row>
    <row r="7905" ht="20.65" customHeight="1">
      <c r="A7905" s="10">
        <v>45762</v>
      </c>
      <c r="B7905" t="s" s="11">
        <v>12</v>
      </c>
      <c r="C7905" t="s" s="12">
        <v>1096</v>
      </c>
      <c r="D7905" s="13">
        <v>6000</v>
      </c>
      <c r="E7905" s="13"/>
      <c r="F7905" s="14"/>
      <c r="G7905" s="14"/>
      <c r="H7905" s="14"/>
      <c r="I7905" s="14"/>
    </row>
    <row r="7906" ht="20.7" customHeight="1">
      <c r="A7906" s="10">
        <v>45762</v>
      </c>
      <c r="B7906" t="s" s="11">
        <v>8</v>
      </c>
      <c r="C7906" t="s" s="12">
        <v>8</v>
      </c>
      <c r="D7906" s="15" cm="1">
        <f t="array" ref="D7906">SUM(D7904:D7905)</f>
        <v>6000</v>
      </c>
      <c r="E7906" s="15" cm="1">
        <f t="array" ref="E7906">SUM(E7904:E7905)</f>
        <v>6000</v>
      </c>
      <c r="F7906" s="16" cm="1">
        <f t="array" ref="F7906">SUM(F7904:F7905)</f>
        <v>0</v>
      </c>
      <c r="G7906" s="16" cm="1">
        <f t="array" ref="G7906">SUM(G7904:G7905)</f>
        <v>0</v>
      </c>
      <c r="H7906" s="16" cm="1">
        <f t="array" ref="H7906">SUM(H7904:H7905)</f>
        <v>0</v>
      </c>
      <c r="I7906" s="16" cm="1">
        <f t="array" ref="I7906">SUM(I7904:I7905)</f>
        <v>0</v>
      </c>
    </row>
    <row r="7907" ht="20.35" customHeight="1">
      <c r="A7907" s="10">
        <v>45762</v>
      </c>
      <c r="B7907" t="s" s="11">
        <v>814</v>
      </c>
      <c r="C7907" t="s" s="12">
        <v>96</v>
      </c>
      <c r="D7907" s="17"/>
      <c r="E7907" s="17">
        <v>30000</v>
      </c>
      <c r="F7907" s="18"/>
      <c r="G7907" s="18"/>
      <c r="H7907" s="18"/>
      <c r="I7907" s="18"/>
    </row>
    <row r="7908" ht="20.35" customHeight="1">
      <c r="A7908" s="10">
        <v>45762</v>
      </c>
      <c r="B7908" t="s" s="11">
        <v>5</v>
      </c>
      <c r="C7908" t="s" s="12">
        <v>96</v>
      </c>
      <c r="D7908" s="13">
        <v>30000</v>
      </c>
      <c r="E7908" s="13"/>
      <c r="F7908" s="14"/>
      <c r="G7908" s="14"/>
      <c r="H7908" s="14"/>
      <c r="I7908" s="14"/>
    </row>
    <row r="7909" ht="20.7" customHeight="1">
      <c r="A7909" s="10">
        <v>45762</v>
      </c>
      <c r="B7909" t="s" s="11">
        <v>8</v>
      </c>
      <c r="C7909" t="s" s="12">
        <v>8</v>
      </c>
      <c r="D7909" s="15" cm="1">
        <f t="array" ref="D7909">SUM(D7907:D7908)</f>
        <v>30000</v>
      </c>
      <c r="E7909" s="15" cm="1">
        <f t="array" ref="E7909">SUM(E7907:E7908)</f>
        <v>30000</v>
      </c>
      <c r="F7909" s="16" cm="1">
        <f t="array" ref="F7909">SUM(F7907:F7908)</f>
        <v>0</v>
      </c>
      <c r="G7909" s="16" cm="1">
        <f t="array" ref="G7909">SUM(G7907:G7908)</f>
        <v>0</v>
      </c>
      <c r="H7909" s="16" cm="1">
        <f t="array" ref="H7909">SUM(H7907:H7908)</f>
        <v>0</v>
      </c>
      <c r="I7909" s="16" cm="1">
        <f t="array" ref="I7909">SUM(I7907:I7908)</f>
        <v>0</v>
      </c>
    </row>
    <row r="7910" ht="21.25" customHeight="1">
      <c r="A7910" s="10">
        <v>45762</v>
      </c>
      <c r="B7910" t="s" s="11">
        <v>5</v>
      </c>
      <c r="C7910" t="s" s="12">
        <v>1097</v>
      </c>
      <c r="D7910" s="17"/>
      <c r="E7910" s="17">
        <v>12500</v>
      </c>
      <c r="F7910" s="18"/>
      <c r="G7910" s="18"/>
      <c r="H7910" s="18"/>
      <c r="I7910" s="18"/>
    </row>
    <row r="7911" ht="21.25" customHeight="1">
      <c r="A7911" s="10">
        <v>45762</v>
      </c>
      <c r="B7911" t="s" s="11">
        <v>12</v>
      </c>
      <c r="C7911" t="s" s="12">
        <v>1097</v>
      </c>
      <c r="D7911" s="13">
        <v>12500</v>
      </c>
      <c r="E7911" s="13"/>
      <c r="F7911" s="14"/>
      <c r="G7911" s="14"/>
      <c r="H7911" s="14"/>
      <c r="I7911" s="14"/>
    </row>
    <row r="7912" ht="20.7" customHeight="1">
      <c r="A7912" s="10">
        <v>45762</v>
      </c>
      <c r="B7912" t="s" s="11">
        <v>8</v>
      </c>
      <c r="C7912" t="s" s="12">
        <v>8</v>
      </c>
      <c r="D7912" s="15" cm="1">
        <f t="array" ref="D7912">SUM(D7910:D7911)</f>
        <v>12500</v>
      </c>
      <c r="E7912" s="15" cm="1">
        <f t="array" ref="E7912">SUM(E7910:E7911)</f>
        <v>12500</v>
      </c>
      <c r="F7912" s="16" cm="1">
        <f t="array" ref="F7912">SUM(F7910:F7911)</f>
        <v>0</v>
      </c>
      <c r="G7912" s="16" cm="1">
        <f t="array" ref="G7912">SUM(G7910:G7911)</f>
        <v>0</v>
      </c>
      <c r="H7912" s="16" cm="1">
        <f t="array" ref="H7912">SUM(H7910:H7911)</f>
        <v>0</v>
      </c>
      <c r="I7912" s="16" cm="1">
        <f t="array" ref="I7912">SUM(I7910:I7911)</f>
        <v>0</v>
      </c>
    </row>
    <row r="7913" ht="20.35" customHeight="1">
      <c r="A7913" s="10">
        <v>45762</v>
      </c>
      <c r="B7913" t="s" s="11">
        <v>814</v>
      </c>
      <c r="C7913" t="s" s="12">
        <v>96</v>
      </c>
      <c r="D7913" s="17"/>
      <c r="E7913" s="17">
        <v>30000</v>
      </c>
      <c r="F7913" s="18"/>
      <c r="G7913" s="18"/>
      <c r="H7913" s="18"/>
      <c r="I7913" s="18"/>
    </row>
    <row r="7914" ht="20.35" customHeight="1">
      <c r="A7914" s="10">
        <v>45762</v>
      </c>
      <c r="B7914" t="s" s="11">
        <v>5</v>
      </c>
      <c r="C7914" t="s" s="12">
        <v>96</v>
      </c>
      <c r="D7914" s="13">
        <v>30000</v>
      </c>
      <c r="E7914" s="13"/>
      <c r="F7914" s="14"/>
      <c r="G7914" s="14"/>
      <c r="H7914" s="14"/>
      <c r="I7914" s="14"/>
    </row>
    <row r="7915" ht="20.7" customHeight="1">
      <c r="A7915" s="10">
        <v>45762</v>
      </c>
      <c r="B7915" t="s" s="11">
        <v>8</v>
      </c>
      <c r="C7915" t="s" s="12">
        <v>8</v>
      </c>
      <c r="D7915" s="15" cm="1">
        <f t="array" ref="D7915">SUM(D7913:D7914)</f>
        <v>30000</v>
      </c>
      <c r="E7915" s="15" cm="1">
        <f t="array" ref="E7915">SUM(E7913:E7914)</f>
        <v>30000</v>
      </c>
      <c r="F7915" s="16" cm="1">
        <f t="array" ref="F7915">SUM(F7913:F7914)</f>
        <v>0</v>
      </c>
      <c r="G7915" s="16" cm="1">
        <f t="array" ref="G7915">SUM(G7913:G7914)</f>
        <v>0</v>
      </c>
      <c r="H7915" s="16" cm="1">
        <f t="array" ref="H7915">SUM(H7913:H7914)</f>
        <v>0</v>
      </c>
      <c r="I7915" s="16" cm="1">
        <f t="array" ref="I7915">SUM(I7913:I7914)</f>
        <v>0</v>
      </c>
    </row>
    <row r="7916" ht="20.35" customHeight="1">
      <c r="A7916" s="10">
        <v>45762</v>
      </c>
      <c r="B7916" t="s" s="11">
        <v>5</v>
      </c>
      <c r="C7916" t="s" s="12">
        <v>1098</v>
      </c>
      <c r="D7916" s="17"/>
      <c r="E7916" s="17">
        <v>38350</v>
      </c>
      <c r="F7916" s="18"/>
      <c r="G7916" s="18"/>
      <c r="H7916" s="18"/>
      <c r="I7916" s="18"/>
    </row>
    <row r="7917" ht="20.35" customHeight="1">
      <c r="A7917" s="10">
        <v>45762</v>
      </c>
      <c r="B7917" t="s" s="11">
        <v>10</v>
      </c>
      <c r="C7917" t="s" s="12">
        <v>1098</v>
      </c>
      <c r="D7917" s="13">
        <v>38350</v>
      </c>
      <c r="E7917" s="13"/>
      <c r="F7917" s="14"/>
      <c r="G7917" s="14"/>
      <c r="H7917" s="14"/>
      <c r="I7917" s="14"/>
    </row>
    <row r="7918" ht="20.7" customHeight="1">
      <c r="A7918" s="10">
        <v>45762</v>
      </c>
      <c r="B7918" t="s" s="11">
        <v>8</v>
      </c>
      <c r="C7918" t="s" s="12">
        <v>8</v>
      </c>
      <c r="D7918" s="15" cm="1">
        <f t="array" ref="D7918">SUM(D7916:D7917)</f>
        <v>38350</v>
      </c>
      <c r="E7918" s="15" cm="1">
        <f t="array" ref="E7918">SUM(E7916:E7917)</f>
        <v>38350</v>
      </c>
      <c r="F7918" s="16" cm="1">
        <f t="array" ref="F7918">SUM(F7916:F7917)</f>
        <v>0</v>
      </c>
      <c r="G7918" s="16" cm="1">
        <f t="array" ref="G7918">SUM(G7916:G7917)</f>
        <v>0</v>
      </c>
      <c r="H7918" s="16" cm="1">
        <f t="array" ref="H7918">SUM(H7916:H7917)</f>
        <v>0</v>
      </c>
      <c r="I7918" s="16" cm="1">
        <f t="array" ref="I7918">SUM(I7916:I7917)</f>
        <v>0</v>
      </c>
    </row>
    <row r="7919" ht="20.35" customHeight="1">
      <c r="A7919" s="10">
        <v>45762</v>
      </c>
      <c r="B7919" t="s" s="11">
        <v>18</v>
      </c>
      <c r="C7919" t="s" s="12">
        <v>17</v>
      </c>
      <c r="D7919" s="17"/>
      <c r="E7919" s="17">
        <v>500</v>
      </c>
      <c r="F7919" s="18"/>
      <c r="G7919" s="18"/>
      <c r="H7919" s="18"/>
      <c r="I7919" s="18"/>
    </row>
    <row r="7920" ht="20.35" customHeight="1">
      <c r="A7920" s="10">
        <v>45762</v>
      </c>
      <c r="B7920" t="s" s="11">
        <v>5</v>
      </c>
      <c r="C7920" t="s" s="12">
        <v>17</v>
      </c>
      <c r="D7920" s="13">
        <v>500</v>
      </c>
      <c r="E7920" s="13"/>
      <c r="F7920" s="14"/>
      <c r="G7920" s="14"/>
      <c r="H7920" s="14"/>
      <c r="I7920" s="14"/>
    </row>
    <row r="7921" ht="20.7" customHeight="1">
      <c r="A7921" s="10">
        <v>45762</v>
      </c>
      <c r="B7921" t="s" s="11">
        <v>8</v>
      </c>
      <c r="C7921" t="s" s="12">
        <v>8</v>
      </c>
      <c r="D7921" s="15" cm="1">
        <f t="array" ref="D7921">SUM(D7919:D7920)</f>
        <v>500</v>
      </c>
      <c r="E7921" s="15" cm="1">
        <f t="array" ref="E7921">SUM(E7919:E7920)</f>
        <v>500</v>
      </c>
      <c r="F7921" s="16" cm="1">
        <f t="array" ref="F7921">SUM(F7919:F7920)</f>
        <v>0</v>
      </c>
      <c r="G7921" s="16" cm="1">
        <f t="array" ref="G7921">SUM(G7919:G7920)</f>
        <v>0</v>
      </c>
      <c r="H7921" s="16" cm="1">
        <f t="array" ref="H7921">SUM(H7919:H7920)</f>
        <v>0</v>
      </c>
      <c r="I7921" s="16" cm="1">
        <f t="array" ref="I7921">SUM(I7919:I7920)</f>
        <v>0</v>
      </c>
    </row>
    <row r="7922" ht="20.35" customHeight="1">
      <c r="A7922" s="10">
        <v>45762</v>
      </c>
      <c r="B7922" t="s" s="11">
        <v>5</v>
      </c>
      <c r="C7922" t="s" s="12">
        <v>1098</v>
      </c>
      <c r="D7922" s="17"/>
      <c r="E7922" s="17">
        <v>2900</v>
      </c>
      <c r="F7922" s="18"/>
      <c r="G7922" s="18"/>
      <c r="H7922" s="18"/>
      <c r="I7922" s="18"/>
    </row>
    <row r="7923" ht="20.35" customHeight="1">
      <c r="A7923" s="10">
        <v>45762</v>
      </c>
      <c r="B7923" t="s" s="11">
        <v>10</v>
      </c>
      <c r="C7923" t="s" s="12">
        <v>1098</v>
      </c>
      <c r="D7923" s="13">
        <v>2900</v>
      </c>
      <c r="E7923" s="13"/>
      <c r="F7923" s="14"/>
      <c r="G7923" s="14"/>
      <c r="H7923" s="14"/>
      <c r="I7923" s="14"/>
    </row>
    <row r="7924" ht="20.7" customHeight="1">
      <c r="A7924" s="10">
        <v>45762</v>
      </c>
      <c r="B7924" t="s" s="11">
        <v>8</v>
      </c>
      <c r="C7924" t="s" s="12">
        <v>8</v>
      </c>
      <c r="D7924" s="15" cm="1">
        <f t="array" ref="D7924">SUM(D7922:D7923)</f>
        <v>2900</v>
      </c>
      <c r="E7924" s="15" cm="1">
        <f t="array" ref="E7924">SUM(E7922:E7923)</f>
        <v>2900</v>
      </c>
      <c r="F7924" s="16" cm="1">
        <f t="array" ref="F7924">SUM(F7922:F7923)</f>
        <v>0</v>
      </c>
      <c r="G7924" s="16" cm="1">
        <f t="array" ref="G7924">SUM(G7922:G7923)</f>
        <v>0</v>
      </c>
      <c r="H7924" s="16" cm="1">
        <f t="array" ref="H7924">SUM(H7922:H7923)</f>
        <v>0</v>
      </c>
      <c r="I7924" s="16" cm="1">
        <f t="array" ref="I7924">SUM(I7922:I7923)</f>
        <v>0</v>
      </c>
    </row>
    <row r="7925" ht="20.35" customHeight="1">
      <c r="A7925" s="10">
        <v>45762</v>
      </c>
      <c r="B7925" t="s" s="11">
        <v>814</v>
      </c>
      <c r="C7925" t="s" s="12">
        <v>96</v>
      </c>
      <c r="D7925" s="17"/>
      <c r="E7925" s="17">
        <v>25000</v>
      </c>
      <c r="F7925" s="18"/>
      <c r="G7925" s="18"/>
      <c r="H7925" s="18"/>
      <c r="I7925" s="18"/>
    </row>
    <row r="7926" ht="20.35" customHeight="1">
      <c r="A7926" s="10">
        <v>45762</v>
      </c>
      <c r="B7926" t="s" s="11">
        <v>5</v>
      </c>
      <c r="C7926" t="s" s="12">
        <v>96</v>
      </c>
      <c r="D7926" s="13">
        <v>25000</v>
      </c>
      <c r="E7926" s="13"/>
      <c r="F7926" s="14"/>
      <c r="G7926" s="14"/>
      <c r="H7926" s="14"/>
      <c r="I7926" s="14"/>
    </row>
    <row r="7927" ht="20.7" customHeight="1">
      <c r="A7927" s="10">
        <v>45762</v>
      </c>
      <c r="B7927" t="s" s="11">
        <v>8</v>
      </c>
      <c r="C7927" t="s" s="12">
        <v>8</v>
      </c>
      <c r="D7927" s="15" cm="1">
        <f t="array" ref="D7927">SUM(D7925:D7926)</f>
        <v>25000</v>
      </c>
      <c r="E7927" s="15" cm="1">
        <f t="array" ref="E7927">SUM(E7925:E7926)</f>
        <v>25000</v>
      </c>
      <c r="F7927" s="16" cm="1">
        <f t="array" ref="F7927">SUM(F7925:F7926)</f>
        <v>0</v>
      </c>
      <c r="G7927" s="16" cm="1">
        <f t="array" ref="G7927">SUM(G7925:G7926)</f>
        <v>0</v>
      </c>
      <c r="H7927" s="16" cm="1">
        <f t="array" ref="H7927">SUM(H7925:H7926)</f>
        <v>0</v>
      </c>
      <c r="I7927" s="16" cm="1">
        <f t="array" ref="I7927">SUM(I7925:I7926)</f>
        <v>0</v>
      </c>
    </row>
    <row r="7928" ht="21.25" customHeight="1">
      <c r="A7928" s="10">
        <v>45762</v>
      </c>
      <c r="B7928" t="s" s="11">
        <v>5</v>
      </c>
      <c r="C7928" t="s" s="12">
        <v>1099</v>
      </c>
      <c r="D7928" s="17"/>
      <c r="E7928" s="17">
        <v>25000</v>
      </c>
      <c r="F7928" s="18"/>
      <c r="G7928" s="18"/>
      <c r="H7928" s="18"/>
      <c r="I7928" s="18"/>
    </row>
    <row r="7929" ht="20.9" customHeight="1">
      <c r="A7929" s="10">
        <v>45762</v>
      </c>
      <c r="B7929" t="s" s="11">
        <v>12</v>
      </c>
      <c r="C7929" t="s" s="12">
        <v>1099</v>
      </c>
      <c r="D7929" s="19">
        <v>12000</v>
      </c>
      <c r="E7929" s="19"/>
      <c r="F7929" s="20"/>
      <c r="G7929" s="20"/>
      <c r="H7929" s="20"/>
      <c r="I7929" s="20"/>
    </row>
    <row r="7930" ht="21.25" customHeight="1">
      <c r="A7930" s="10">
        <v>45762</v>
      </c>
      <c r="B7930" t="s" s="11">
        <v>89</v>
      </c>
      <c r="C7930" t="s" s="12">
        <v>1099</v>
      </c>
      <c r="D7930" s="13">
        <v>13000</v>
      </c>
      <c r="E7930" s="13"/>
      <c r="F7930" s="14"/>
      <c r="G7930" s="14"/>
      <c r="H7930" s="14"/>
      <c r="I7930" s="14"/>
    </row>
    <row r="7931" ht="20.7" customHeight="1">
      <c r="A7931" s="10">
        <v>45762</v>
      </c>
      <c r="B7931" t="s" s="11">
        <v>8</v>
      </c>
      <c r="C7931" t="s" s="12">
        <v>8</v>
      </c>
      <c r="D7931" s="15" cm="1">
        <f t="array" ref="D7931">SUM(D7928:D7930)</f>
        <v>25000</v>
      </c>
      <c r="E7931" s="15" cm="1">
        <f t="array" ref="E7931">SUM(E7928:E7930)</f>
        <v>25000</v>
      </c>
      <c r="F7931" s="16" cm="1">
        <f t="array" ref="F7931">SUM(F7928:F7930)</f>
        <v>0</v>
      </c>
      <c r="G7931" s="16" cm="1">
        <f t="array" ref="G7931">SUM(G7928:G7930)</f>
        <v>0</v>
      </c>
      <c r="H7931" s="16" cm="1">
        <f t="array" ref="H7931">SUM(H7928:H7930)</f>
        <v>0</v>
      </c>
      <c r="I7931" s="16" cm="1">
        <f t="array" ref="I7931">SUM(I7928:I7930)</f>
        <v>0</v>
      </c>
    </row>
    <row r="7932" ht="21.25" customHeight="1">
      <c r="A7932" s="10">
        <v>45763</v>
      </c>
      <c r="B7932" t="s" s="11">
        <v>93</v>
      </c>
      <c r="C7932" t="s" s="12">
        <v>1099</v>
      </c>
      <c r="D7932" s="17">
        <v>13000</v>
      </c>
      <c r="E7932" s="17"/>
      <c r="F7932" s="18"/>
      <c r="G7932" s="18"/>
      <c r="H7932" s="18"/>
      <c r="I7932" s="18"/>
    </row>
    <row r="7933" ht="21.25" customHeight="1">
      <c r="A7933" s="10">
        <v>45763</v>
      </c>
      <c r="B7933" t="s" s="11">
        <v>89</v>
      </c>
      <c r="C7933" t="s" s="12">
        <v>1099</v>
      </c>
      <c r="D7933" s="13"/>
      <c r="E7933" s="13">
        <v>13000</v>
      </c>
      <c r="F7933" s="14"/>
      <c r="G7933" s="14"/>
      <c r="H7933" s="14"/>
      <c r="I7933" s="14"/>
    </row>
    <row r="7934" ht="20.7" customHeight="1">
      <c r="A7934" s="10">
        <v>45763</v>
      </c>
      <c r="B7934" t="s" s="11">
        <v>8</v>
      </c>
      <c r="C7934" t="s" s="12">
        <v>8</v>
      </c>
      <c r="D7934" s="15" cm="1">
        <f t="array" ref="D7934">SUM(D7932:D7933)</f>
        <v>13000</v>
      </c>
      <c r="E7934" s="15" cm="1">
        <f t="array" ref="E7934">SUM(E7932:E7933)</f>
        <v>13000</v>
      </c>
      <c r="F7934" s="16" cm="1">
        <f t="array" ref="F7934">SUM(F7932:F7933)</f>
        <v>0</v>
      </c>
      <c r="G7934" s="16" cm="1">
        <f t="array" ref="G7934">SUM(G7932:G7933)</f>
        <v>0</v>
      </c>
      <c r="H7934" s="16" cm="1">
        <f t="array" ref="H7934">SUM(H7932:H7933)</f>
        <v>0</v>
      </c>
      <c r="I7934" s="16" cm="1">
        <f t="array" ref="I7934">SUM(I7932:I7933)</f>
        <v>0</v>
      </c>
    </row>
    <row r="7935" ht="20.65" customHeight="1">
      <c r="A7935" s="10">
        <v>45763</v>
      </c>
      <c r="B7935" t="s" s="11">
        <v>843</v>
      </c>
      <c r="C7935" t="s" s="12">
        <v>820</v>
      </c>
      <c r="D7935" s="17">
        <v>1</v>
      </c>
      <c r="E7935" s="17"/>
      <c r="F7935" s="18"/>
      <c r="G7935" s="18"/>
      <c r="H7935" s="18"/>
      <c r="I7935" s="18"/>
    </row>
    <row r="7936" ht="20.65" customHeight="1">
      <c r="A7936" s="10">
        <v>45763</v>
      </c>
      <c r="B7936" t="s" s="11">
        <v>7</v>
      </c>
      <c r="C7936" t="s" s="12">
        <v>820</v>
      </c>
      <c r="D7936" s="13"/>
      <c r="E7936" s="13">
        <v>1</v>
      </c>
      <c r="F7936" s="14"/>
      <c r="G7936" s="14"/>
      <c r="H7936" s="14"/>
      <c r="I7936" s="14"/>
    </row>
    <row r="7937" ht="20.7" customHeight="1">
      <c r="A7937" s="10">
        <v>45763</v>
      </c>
      <c r="B7937" t="s" s="11">
        <v>8</v>
      </c>
      <c r="C7937" t="s" s="12">
        <v>8</v>
      </c>
      <c r="D7937" s="15" cm="1">
        <f t="array" ref="D7937">SUM(D7935:D7936)</f>
        <v>1</v>
      </c>
      <c r="E7937" s="15" cm="1">
        <f t="array" ref="E7937">SUM(E7935:E7936)</f>
        <v>1</v>
      </c>
      <c r="F7937" s="16" cm="1">
        <f t="array" ref="F7937">SUM(F7935:F7936)</f>
        <v>0</v>
      </c>
      <c r="G7937" s="16" cm="1">
        <f t="array" ref="G7937">SUM(G7935:G7936)</f>
        <v>0</v>
      </c>
      <c r="H7937" s="16" cm="1">
        <f t="array" ref="H7937">SUM(H7935:H7936)</f>
        <v>0</v>
      </c>
      <c r="I7937" s="16" cm="1">
        <f t="array" ref="I7937">SUM(I7935:I7936)</f>
        <v>0</v>
      </c>
    </row>
    <row r="7938" ht="20.65" customHeight="1">
      <c r="A7938" s="10">
        <v>45763</v>
      </c>
      <c r="B7938" t="s" s="11">
        <v>814</v>
      </c>
      <c r="C7938" t="s" s="12">
        <v>820</v>
      </c>
      <c r="D7938" s="17">
        <v>125</v>
      </c>
      <c r="E7938" s="17"/>
      <c r="F7938" s="18"/>
      <c r="G7938" s="18"/>
      <c r="H7938" s="18"/>
      <c r="I7938" s="18"/>
    </row>
    <row r="7939" ht="20.65" customHeight="1">
      <c r="A7939" s="10">
        <v>45763</v>
      </c>
      <c r="B7939" t="s" s="11">
        <v>7</v>
      </c>
      <c r="C7939" t="s" s="12">
        <v>820</v>
      </c>
      <c r="D7939" s="13"/>
      <c r="E7939" s="13">
        <v>125</v>
      </c>
      <c r="F7939" s="14"/>
      <c r="G7939" s="14"/>
      <c r="H7939" s="14"/>
      <c r="I7939" s="14"/>
    </row>
    <row r="7940" ht="20.7" customHeight="1">
      <c r="A7940" s="10">
        <v>45763</v>
      </c>
      <c r="B7940" t="s" s="11">
        <v>8</v>
      </c>
      <c r="C7940" t="s" s="12">
        <v>8</v>
      </c>
      <c r="D7940" s="15" cm="1">
        <f t="array" ref="D7940">SUM(D7938:D7939)</f>
        <v>125</v>
      </c>
      <c r="E7940" s="15" cm="1">
        <f t="array" ref="E7940">SUM(E7938:E7939)</f>
        <v>125</v>
      </c>
      <c r="F7940" s="16" cm="1">
        <f t="array" ref="F7940">SUM(F7938:F7939)</f>
        <v>0</v>
      </c>
      <c r="G7940" s="16" cm="1">
        <f t="array" ref="G7940">SUM(G7938:G7939)</f>
        <v>0</v>
      </c>
      <c r="H7940" s="16" cm="1">
        <f t="array" ref="H7940">SUM(H7938:H7939)</f>
        <v>0</v>
      </c>
      <c r="I7940" s="16" cm="1">
        <f t="array" ref="I7940">SUM(I7938:I7939)</f>
        <v>0</v>
      </c>
    </row>
    <row r="7941" ht="20.35" customHeight="1">
      <c r="A7941" s="10">
        <v>45763</v>
      </c>
      <c r="B7941" t="s" s="11">
        <v>5</v>
      </c>
      <c r="C7941" t="s" s="12">
        <v>53</v>
      </c>
      <c r="D7941" s="17"/>
      <c r="E7941" s="17">
        <v>3150</v>
      </c>
      <c r="F7941" s="18"/>
      <c r="G7941" s="18"/>
      <c r="H7941" s="18"/>
      <c r="I7941" s="18"/>
    </row>
    <row r="7942" ht="20.35" customHeight="1">
      <c r="A7942" s="10">
        <v>45763</v>
      </c>
      <c r="B7942" t="s" s="11">
        <v>12</v>
      </c>
      <c r="C7942" t="s" s="12">
        <v>53</v>
      </c>
      <c r="D7942" s="13">
        <v>3150</v>
      </c>
      <c r="E7942" s="13"/>
      <c r="F7942" s="14"/>
      <c r="G7942" s="14"/>
      <c r="H7942" s="14"/>
      <c r="I7942" s="14"/>
    </row>
    <row r="7943" ht="20.7" customHeight="1">
      <c r="A7943" s="10">
        <v>45763</v>
      </c>
      <c r="B7943" t="s" s="11">
        <v>8</v>
      </c>
      <c r="C7943" t="s" s="12">
        <v>8</v>
      </c>
      <c r="D7943" s="15" cm="1">
        <f t="array" ref="D7943">SUM(D7941:D7942)</f>
        <v>3150</v>
      </c>
      <c r="E7943" s="15" cm="1">
        <f t="array" ref="E7943">SUM(E7941:E7942)</f>
        <v>3150</v>
      </c>
      <c r="F7943" s="16" cm="1">
        <f t="array" ref="F7943">SUM(F7941:F7942)</f>
        <v>0</v>
      </c>
      <c r="G7943" s="16" cm="1">
        <f t="array" ref="G7943">SUM(G7941:G7942)</f>
        <v>0</v>
      </c>
      <c r="H7943" s="16" cm="1">
        <f t="array" ref="H7943">SUM(H7941:H7942)</f>
        <v>0</v>
      </c>
      <c r="I7943" s="16" cm="1">
        <f t="array" ref="I7943">SUM(I7941:I7942)</f>
        <v>0</v>
      </c>
    </row>
    <row r="7944" ht="20.35" customHeight="1">
      <c r="A7944" s="10">
        <v>45763</v>
      </c>
      <c r="B7944" t="s" s="11">
        <v>18</v>
      </c>
      <c r="C7944" t="s" s="12">
        <v>17</v>
      </c>
      <c r="D7944" s="17"/>
      <c r="E7944" s="17">
        <v>100</v>
      </c>
      <c r="F7944" s="18"/>
      <c r="G7944" s="18"/>
      <c r="H7944" s="18"/>
      <c r="I7944" s="18"/>
    </row>
    <row r="7945" ht="20.35" customHeight="1">
      <c r="A7945" s="10">
        <v>45763</v>
      </c>
      <c r="B7945" t="s" s="11">
        <v>5</v>
      </c>
      <c r="C7945" t="s" s="12">
        <v>17</v>
      </c>
      <c r="D7945" s="13">
        <v>100</v>
      </c>
      <c r="E7945" s="13"/>
      <c r="F7945" s="14"/>
      <c r="G7945" s="14"/>
      <c r="H7945" s="14"/>
      <c r="I7945" s="14"/>
    </row>
    <row r="7946" ht="20.7" customHeight="1">
      <c r="A7946" s="10">
        <v>45763</v>
      </c>
      <c r="B7946" t="s" s="11">
        <v>8</v>
      </c>
      <c r="C7946" t="s" s="12">
        <v>8</v>
      </c>
      <c r="D7946" s="15" cm="1">
        <f t="array" ref="D7946">SUM(D7944:D7945)</f>
        <v>100</v>
      </c>
      <c r="E7946" s="15" cm="1">
        <f t="array" ref="E7946">SUM(E7944:E7945)</f>
        <v>100</v>
      </c>
      <c r="F7946" s="16" cm="1">
        <f t="array" ref="F7946">SUM(F7944:F7945)</f>
        <v>0</v>
      </c>
      <c r="G7946" s="16" cm="1">
        <f t="array" ref="G7946">SUM(G7944:G7945)</f>
        <v>0</v>
      </c>
      <c r="H7946" s="16" cm="1">
        <f t="array" ref="H7946">SUM(H7944:H7945)</f>
        <v>0</v>
      </c>
      <c r="I7946" s="16" cm="1">
        <f t="array" ref="I7946">SUM(I7944:I7945)</f>
        <v>0</v>
      </c>
    </row>
    <row r="7947" ht="20.35" customHeight="1">
      <c r="A7947" s="10">
        <v>45763</v>
      </c>
      <c r="B7947" t="s" s="11">
        <v>93</v>
      </c>
      <c r="C7947" t="s" s="12">
        <v>96</v>
      </c>
      <c r="D7947" s="17"/>
      <c r="E7947" s="17">
        <v>25000</v>
      </c>
      <c r="F7947" s="18"/>
      <c r="G7947" s="18"/>
      <c r="H7947" s="18"/>
      <c r="I7947" s="18"/>
    </row>
    <row r="7948" ht="20.35" customHeight="1">
      <c r="A7948" s="10">
        <v>45763</v>
      </c>
      <c r="B7948" t="s" s="11">
        <v>5</v>
      </c>
      <c r="C7948" t="s" s="12">
        <v>96</v>
      </c>
      <c r="D7948" s="13">
        <v>25000</v>
      </c>
      <c r="E7948" s="13"/>
      <c r="F7948" s="14"/>
      <c r="G7948" s="14"/>
      <c r="H7948" s="14"/>
      <c r="I7948" s="14"/>
    </row>
    <row r="7949" ht="20.7" customHeight="1">
      <c r="A7949" s="10">
        <v>45763</v>
      </c>
      <c r="B7949" t="s" s="11">
        <v>8</v>
      </c>
      <c r="C7949" t="s" s="12">
        <v>8</v>
      </c>
      <c r="D7949" s="15" cm="1">
        <f t="array" ref="D7949">SUM(D7947:D7948)</f>
        <v>25000</v>
      </c>
      <c r="E7949" s="15" cm="1">
        <f t="array" ref="E7949">SUM(E7947:E7948)</f>
        <v>25000</v>
      </c>
      <c r="F7949" s="16" cm="1">
        <f t="array" ref="F7949">SUM(F7947:F7948)</f>
        <v>0</v>
      </c>
      <c r="G7949" s="16" cm="1">
        <f t="array" ref="G7949">SUM(G7947:G7948)</f>
        <v>0</v>
      </c>
      <c r="H7949" s="16" cm="1">
        <f t="array" ref="H7949">SUM(H7947:H7948)</f>
        <v>0</v>
      </c>
      <c r="I7949" s="16" cm="1">
        <f t="array" ref="I7949">SUM(I7947:I7948)</f>
        <v>0</v>
      </c>
    </row>
    <row r="7950" ht="20.35" customHeight="1">
      <c r="A7950" s="10">
        <v>45763</v>
      </c>
      <c r="B7950" t="s" s="11">
        <v>5</v>
      </c>
      <c r="C7950" t="s" s="12">
        <v>1100</v>
      </c>
      <c r="D7950" s="17"/>
      <c r="E7950" s="17">
        <v>2000</v>
      </c>
      <c r="F7950" s="18"/>
      <c r="G7950" s="18"/>
      <c r="H7950" s="18"/>
      <c r="I7950" s="18"/>
    </row>
    <row r="7951" ht="20.35" customHeight="1">
      <c r="A7951" s="10">
        <v>45763</v>
      </c>
      <c r="B7951" t="s" s="11">
        <v>10</v>
      </c>
      <c r="C7951" t="s" s="12">
        <v>1100</v>
      </c>
      <c r="D7951" s="13">
        <v>2000</v>
      </c>
      <c r="E7951" s="13"/>
      <c r="F7951" s="14"/>
      <c r="G7951" s="14"/>
      <c r="H7951" s="14"/>
      <c r="I7951" s="14"/>
    </row>
    <row r="7952" ht="20.7" customHeight="1">
      <c r="A7952" s="10">
        <v>45763</v>
      </c>
      <c r="B7952" t="s" s="11">
        <v>8</v>
      </c>
      <c r="C7952" t="s" s="12">
        <v>8</v>
      </c>
      <c r="D7952" s="15" cm="1">
        <f t="array" ref="D7952">SUM(D7950:D7951)</f>
        <v>2000</v>
      </c>
      <c r="E7952" s="15" cm="1">
        <f t="array" ref="E7952">SUM(E7950:E7951)</f>
        <v>2000</v>
      </c>
      <c r="F7952" s="16" cm="1">
        <f t="array" ref="F7952">SUM(F7950:F7951)</f>
        <v>0</v>
      </c>
      <c r="G7952" s="16" cm="1">
        <f t="array" ref="G7952">SUM(G7950:G7951)</f>
        <v>0</v>
      </c>
      <c r="H7952" s="16" cm="1">
        <f t="array" ref="H7952">SUM(H7950:H7951)</f>
        <v>0</v>
      </c>
      <c r="I7952" s="16" cm="1">
        <f t="array" ref="I7952">SUM(I7950:I7951)</f>
        <v>0</v>
      </c>
    </row>
    <row r="7953" ht="20.35" customHeight="1">
      <c r="A7953" s="10">
        <v>45763</v>
      </c>
      <c r="B7953" t="s" s="11">
        <v>5</v>
      </c>
      <c r="C7953" t="s" s="12">
        <v>1101</v>
      </c>
      <c r="D7953" s="17"/>
      <c r="E7953" s="17">
        <v>14400</v>
      </c>
      <c r="F7953" s="18"/>
      <c r="G7953" s="18"/>
      <c r="H7953" s="18"/>
      <c r="I7953" s="18"/>
    </row>
    <row r="7954" ht="20.05" customHeight="1">
      <c r="A7954" s="10">
        <v>45763</v>
      </c>
      <c r="B7954" t="s" s="11">
        <v>12</v>
      </c>
      <c r="C7954" t="s" s="12">
        <v>1101</v>
      </c>
      <c r="D7954" s="19">
        <v>7200</v>
      </c>
      <c r="E7954" s="19"/>
      <c r="F7954" s="20"/>
      <c r="G7954" s="20"/>
      <c r="H7954" s="20"/>
      <c r="I7954" s="20"/>
    </row>
    <row r="7955" ht="20.35" customHeight="1">
      <c r="A7955" s="10">
        <v>45763</v>
      </c>
      <c r="B7955" t="s" s="11">
        <v>10</v>
      </c>
      <c r="C7955" t="s" s="12">
        <v>1101</v>
      </c>
      <c r="D7955" s="13">
        <v>7200</v>
      </c>
      <c r="E7955" s="13"/>
      <c r="F7955" s="14"/>
      <c r="G7955" s="14"/>
      <c r="H7955" s="14"/>
      <c r="I7955" s="14"/>
    </row>
    <row r="7956" ht="20.7" customHeight="1">
      <c r="A7956" s="10">
        <v>45763</v>
      </c>
      <c r="B7956" t="s" s="11">
        <v>8</v>
      </c>
      <c r="C7956" t="s" s="12">
        <v>8</v>
      </c>
      <c r="D7956" s="15" cm="1">
        <f t="array" ref="D7956">SUM(D7953:D7955)</f>
        <v>14400</v>
      </c>
      <c r="E7956" s="15" cm="1">
        <f t="array" ref="E7956">SUM(E7953:E7955)</f>
        <v>14400</v>
      </c>
      <c r="F7956" s="16" cm="1">
        <f t="array" ref="F7956">SUM(F7953:F7955)</f>
        <v>0</v>
      </c>
      <c r="G7956" s="16" cm="1">
        <f t="array" ref="G7956">SUM(G7953:G7955)</f>
        <v>0</v>
      </c>
      <c r="H7956" s="16" cm="1">
        <f t="array" ref="H7956">SUM(H7953:H7955)</f>
        <v>0</v>
      </c>
      <c r="I7956" s="16" cm="1">
        <f t="array" ref="I7956">SUM(I7953:I7955)</f>
        <v>0</v>
      </c>
    </row>
    <row r="7957" ht="21.25" customHeight="1">
      <c r="A7957" s="10">
        <v>45763</v>
      </c>
      <c r="B7957" t="s" s="11">
        <v>5</v>
      </c>
      <c r="C7957" t="s" s="12">
        <v>799</v>
      </c>
      <c r="D7957" s="17">
        <v>2</v>
      </c>
      <c r="E7957" s="17"/>
      <c r="F7957" s="18"/>
      <c r="G7957" s="18"/>
      <c r="H7957" s="18"/>
      <c r="I7957" s="18"/>
    </row>
    <row r="7958" ht="21.25" customHeight="1">
      <c r="A7958" s="10">
        <v>45763</v>
      </c>
      <c r="B7958" t="s" s="11">
        <v>18</v>
      </c>
      <c r="C7958" t="s" s="12">
        <v>799</v>
      </c>
      <c r="D7958" s="13"/>
      <c r="E7958" s="13">
        <v>2</v>
      </c>
      <c r="F7958" s="14"/>
      <c r="G7958" s="14"/>
      <c r="H7958" s="14"/>
      <c r="I7958" s="14"/>
    </row>
    <row r="7959" ht="20.7" customHeight="1">
      <c r="A7959" s="10">
        <v>45763</v>
      </c>
      <c r="B7959" t="s" s="11">
        <v>8</v>
      </c>
      <c r="C7959" t="s" s="12">
        <v>8</v>
      </c>
      <c r="D7959" s="15" cm="1">
        <f t="array" ref="D7959">SUM(D7957:D7958)</f>
        <v>2</v>
      </c>
      <c r="E7959" s="15" cm="1">
        <f t="array" ref="E7959">SUM(E7957:E7958)</f>
        <v>2</v>
      </c>
      <c r="F7959" s="16" cm="1">
        <f t="array" ref="F7959">SUM(F7957:F7958)</f>
        <v>0</v>
      </c>
      <c r="G7959" s="16" cm="1">
        <f t="array" ref="G7959">SUM(G7957:G7958)</f>
        <v>0</v>
      </c>
      <c r="H7959" s="16" cm="1">
        <f t="array" ref="H7959">SUM(H7957:H7958)</f>
        <v>0</v>
      </c>
      <c r="I7959" s="16" cm="1">
        <f t="array" ref="I7959">SUM(I7957:I7958)</f>
        <v>0</v>
      </c>
    </row>
    <row r="7960" ht="21.25" customHeight="1">
      <c r="A7960" s="10">
        <v>45763</v>
      </c>
      <c r="B7960" t="s" s="11">
        <v>5</v>
      </c>
      <c r="C7960" t="s" s="12">
        <v>799</v>
      </c>
      <c r="D7960" s="17">
        <v>4</v>
      </c>
      <c r="E7960" s="17"/>
      <c r="F7960" s="18"/>
      <c r="G7960" s="18"/>
      <c r="H7960" s="18"/>
      <c r="I7960" s="18"/>
    </row>
    <row r="7961" ht="21.25" customHeight="1">
      <c r="A7961" s="10">
        <v>45763</v>
      </c>
      <c r="B7961" t="s" s="11">
        <v>18</v>
      </c>
      <c r="C7961" t="s" s="12">
        <v>799</v>
      </c>
      <c r="D7961" s="13"/>
      <c r="E7961" s="13">
        <v>4</v>
      </c>
      <c r="F7961" s="14"/>
      <c r="G7961" s="14"/>
      <c r="H7961" s="14"/>
      <c r="I7961" s="14"/>
    </row>
    <row r="7962" ht="20.7" customHeight="1">
      <c r="A7962" s="10">
        <v>45763</v>
      </c>
      <c r="B7962" t="s" s="11">
        <v>8</v>
      </c>
      <c r="C7962" t="s" s="12">
        <v>8</v>
      </c>
      <c r="D7962" s="15" cm="1">
        <f t="array" ref="D7962">SUM(D7960:D7961)</f>
        <v>4</v>
      </c>
      <c r="E7962" s="15" cm="1">
        <f t="array" ref="E7962">SUM(E7960:E7961)</f>
        <v>4</v>
      </c>
      <c r="F7962" s="16" cm="1">
        <f t="array" ref="F7962">SUM(F7960:F7961)</f>
        <v>0</v>
      </c>
      <c r="G7962" s="16" cm="1">
        <f t="array" ref="G7962">SUM(G7960:G7961)</f>
        <v>0</v>
      </c>
      <c r="H7962" s="16" cm="1">
        <f t="array" ref="H7962">SUM(H7960:H7961)</f>
        <v>0</v>
      </c>
      <c r="I7962" s="16" cm="1">
        <f t="array" ref="I7962">SUM(I7960:I7961)</f>
        <v>0</v>
      </c>
    </row>
    <row r="7963" ht="21.25" customHeight="1">
      <c r="A7963" s="10">
        <v>45763</v>
      </c>
      <c r="B7963" t="s" s="11">
        <v>5</v>
      </c>
      <c r="C7963" t="s" s="12">
        <v>799</v>
      </c>
      <c r="D7963" s="17">
        <v>1</v>
      </c>
      <c r="E7963" s="17"/>
      <c r="F7963" s="18"/>
      <c r="G7963" s="18"/>
      <c r="H7963" s="18"/>
      <c r="I7963" s="18"/>
    </row>
    <row r="7964" ht="21.25" customHeight="1">
      <c r="A7964" s="10">
        <v>45763</v>
      </c>
      <c r="B7964" t="s" s="11">
        <v>18</v>
      </c>
      <c r="C7964" t="s" s="12">
        <v>799</v>
      </c>
      <c r="D7964" s="13"/>
      <c r="E7964" s="13">
        <v>1</v>
      </c>
      <c r="F7964" s="14"/>
      <c r="G7964" s="14"/>
      <c r="H7964" s="14"/>
      <c r="I7964" s="14"/>
    </row>
    <row r="7965" ht="20.7" customHeight="1">
      <c r="A7965" s="10">
        <v>45763</v>
      </c>
      <c r="B7965" t="s" s="11">
        <v>8</v>
      </c>
      <c r="C7965" t="s" s="12">
        <v>8</v>
      </c>
      <c r="D7965" s="15" cm="1">
        <f t="array" ref="D7965">SUM(D7963:D7964)</f>
        <v>1</v>
      </c>
      <c r="E7965" s="15" cm="1">
        <f t="array" ref="E7965">SUM(E7963:E7964)</f>
        <v>1</v>
      </c>
      <c r="F7965" s="16" cm="1">
        <f t="array" ref="F7965">SUM(F7963:F7964)</f>
        <v>0</v>
      </c>
      <c r="G7965" s="16" cm="1">
        <f t="array" ref="G7965">SUM(G7963:G7964)</f>
        <v>0</v>
      </c>
      <c r="H7965" s="16" cm="1">
        <f t="array" ref="H7965">SUM(H7963:H7964)</f>
        <v>0</v>
      </c>
      <c r="I7965" s="16" cm="1">
        <f t="array" ref="I7965">SUM(I7963:I7964)</f>
        <v>0</v>
      </c>
    </row>
    <row r="7966" ht="21.25" customHeight="1">
      <c r="A7966" s="10">
        <v>45763</v>
      </c>
      <c r="B7966" t="s" s="11">
        <v>5</v>
      </c>
      <c r="C7966" t="s" s="12">
        <v>799</v>
      </c>
      <c r="D7966" s="17">
        <v>2</v>
      </c>
      <c r="E7966" s="17"/>
      <c r="F7966" s="18"/>
      <c r="G7966" s="18"/>
      <c r="H7966" s="18"/>
      <c r="I7966" s="18"/>
    </row>
    <row r="7967" ht="21.25" customHeight="1">
      <c r="A7967" s="10">
        <v>45763</v>
      </c>
      <c r="B7967" t="s" s="11">
        <v>18</v>
      </c>
      <c r="C7967" t="s" s="12">
        <v>799</v>
      </c>
      <c r="D7967" s="13"/>
      <c r="E7967" s="13">
        <v>2</v>
      </c>
      <c r="F7967" s="14"/>
      <c r="G7967" s="14"/>
      <c r="H7967" s="14"/>
      <c r="I7967" s="14"/>
    </row>
    <row r="7968" ht="20.7" customHeight="1">
      <c r="A7968" s="10">
        <v>45763</v>
      </c>
      <c r="B7968" t="s" s="11">
        <v>8</v>
      </c>
      <c r="C7968" t="s" s="12">
        <v>8</v>
      </c>
      <c r="D7968" s="15" cm="1">
        <f t="array" ref="D7968">SUM(D7966:D7967)</f>
        <v>2</v>
      </c>
      <c r="E7968" s="15" cm="1">
        <f t="array" ref="E7968">SUM(E7966:E7967)</f>
        <v>2</v>
      </c>
      <c r="F7968" s="16" cm="1">
        <f t="array" ref="F7968">SUM(F7966:F7967)</f>
        <v>0</v>
      </c>
      <c r="G7968" s="16" cm="1">
        <f t="array" ref="G7968">SUM(G7966:G7967)</f>
        <v>0</v>
      </c>
      <c r="H7968" s="16" cm="1">
        <f t="array" ref="H7968">SUM(H7966:H7967)</f>
        <v>0</v>
      </c>
      <c r="I7968" s="16" cm="1">
        <f t="array" ref="I7968">SUM(I7966:I7967)</f>
        <v>0</v>
      </c>
    </row>
    <row r="7969" ht="21.25" customHeight="1">
      <c r="A7969" s="10">
        <v>45763</v>
      </c>
      <c r="B7969" t="s" s="11">
        <v>5</v>
      </c>
      <c r="C7969" t="s" s="12">
        <v>799</v>
      </c>
      <c r="D7969" s="17">
        <v>2</v>
      </c>
      <c r="E7969" s="17"/>
      <c r="F7969" s="18"/>
      <c r="G7969" s="18"/>
      <c r="H7969" s="18"/>
      <c r="I7969" s="18"/>
    </row>
    <row r="7970" ht="21.25" customHeight="1">
      <c r="A7970" s="10">
        <v>45763</v>
      </c>
      <c r="B7970" t="s" s="11">
        <v>18</v>
      </c>
      <c r="C7970" t="s" s="12">
        <v>799</v>
      </c>
      <c r="D7970" s="13"/>
      <c r="E7970" s="13">
        <v>2</v>
      </c>
      <c r="F7970" s="14"/>
      <c r="G7970" s="14"/>
      <c r="H7970" s="14"/>
      <c r="I7970" s="14"/>
    </row>
    <row r="7971" ht="20.7" customHeight="1">
      <c r="A7971" s="10">
        <v>45763</v>
      </c>
      <c r="B7971" t="s" s="11">
        <v>8</v>
      </c>
      <c r="C7971" t="s" s="12">
        <v>8</v>
      </c>
      <c r="D7971" s="15" cm="1">
        <f t="array" ref="D7971">SUM(D7969:D7970)</f>
        <v>2</v>
      </c>
      <c r="E7971" s="15" cm="1">
        <f t="array" ref="E7971">SUM(E7969:E7970)</f>
        <v>2</v>
      </c>
      <c r="F7971" s="16" cm="1">
        <f t="array" ref="F7971">SUM(F7969:F7970)</f>
        <v>0</v>
      </c>
      <c r="G7971" s="16" cm="1">
        <f t="array" ref="G7971">SUM(G7969:G7970)</f>
        <v>0</v>
      </c>
      <c r="H7971" s="16" cm="1">
        <f t="array" ref="H7971">SUM(H7969:H7970)</f>
        <v>0</v>
      </c>
      <c r="I7971" s="16" cm="1">
        <f t="array" ref="I7971">SUM(I7969:I7970)</f>
        <v>0</v>
      </c>
    </row>
    <row r="7972" ht="21.25" customHeight="1">
      <c r="A7972" s="10">
        <v>45763</v>
      </c>
      <c r="B7972" t="s" s="11">
        <v>5</v>
      </c>
      <c r="C7972" t="s" s="12">
        <v>799</v>
      </c>
      <c r="D7972" s="17">
        <v>2</v>
      </c>
      <c r="E7972" s="17"/>
      <c r="F7972" s="18"/>
      <c r="G7972" s="18"/>
      <c r="H7972" s="18"/>
      <c r="I7972" s="18"/>
    </row>
    <row r="7973" ht="21.25" customHeight="1">
      <c r="A7973" s="10">
        <v>45763</v>
      </c>
      <c r="B7973" t="s" s="11">
        <v>18</v>
      </c>
      <c r="C7973" t="s" s="12">
        <v>799</v>
      </c>
      <c r="D7973" s="13"/>
      <c r="E7973" s="13">
        <v>2</v>
      </c>
      <c r="F7973" s="14"/>
      <c r="G7973" s="14"/>
      <c r="H7973" s="14"/>
      <c r="I7973" s="14"/>
    </row>
    <row r="7974" ht="20.7" customHeight="1">
      <c r="A7974" s="10">
        <v>45763</v>
      </c>
      <c r="B7974" t="s" s="11">
        <v>8</v>
      </c>
      <c r="C7974" t="s" s="12">
        <v>8</v>
      </c>
      <c r="D7974" s="15" cm="1">
        <f t="array" ref="D7974">SUM(D7972:D7973)</f>
        <v>2</v>
      </c>
      <c r="E7974" s="15" cm="1">
        <f t="array" ref="E7974">SUM(E7972:E7973)</f>
        <v>2</v>
      </c>
      <c r="F7974" s="16" cm="1">
        <f t="array" ref="F7974">SUM(F7972:F7973)</f>
        <v>0</v>
      </c>
      <c r="G7974" s="16" cm="1">
        <f t="array" ref="G7974">SUM(G7972:G7973)</f>
        <v>0</v>
      </c>
      <c r="H7974" s="16" cm="1">
        <f t="array" ref="H7974">SUM(H7972:H7973)</f>
        <v>0</v>
      </c>
      <c r="I7974" s="16" cm="1">
        <f t="array" ref="I7974">SUM(I7972:I7973)</f>
        <v>0</v>
      </c>
    </row>
    <row r="7975" ht="21.25" customHeight="1">
      <c r="A7975" s="10">
        <v>45763</v>
      </c>
      <c r="B7975" t="s" s="11">
        <v>5</v>
      </c>
      <c r="C7975" t="s" s="12">
        <v>799</v>
      </c>
      <c r="D7975" s="17">
        <v>2</v>
      </c>
      <c r="E7975" s="17"/>
      <c r="F7975" s="18"/>
      <c r="G7975" s="18"/>
      <c r="H7975" s="18"/>
      <c r="I7975" s="18"/>
    </row>
    <row r="7976" ht="21.25" customHeight="1">
      <c r="A7976" s="10">
        <v>45763</v>
      </c>
      <c r="B7976" t="s" s="11">
        <v>18</v>
      </c>
      <c r="C7976" t="s" s="12">
        <v>799</v>
      </c>
      <c r="D7976" s="13"/>
      <c r="E7976" s="13">
        <v>2</v>
      </c>
      <c r="F7976" s="14"/>
      <c r="G7976" s="14"/>
      <c r="H7976" s="14"/>
      <c r="I7976" s="14"/>
    </row>
    <row r="7977" ht="20.7" customHeight="1">
      <c r="A7977" s="10">
        <v>45763</v>
      </c>
      <c r="B7977" t="s" s="11">
        <v>8</v>
      </c>
      <c r="C7977" t="s" s="12">
        <v>8</v>
      </c>
      <c r="D7977" s="15" cm="1">
        <f t="array" ref="D7977">SUM(D7975:D7976)</f>
        <v>2</v>
      </c>
      <c r="E7977" s="15" cm="1">
        <f t="array" ref="E7977">SUM(E7975:E7976)</f>
        <v>2</v>
      </c>
      <c r="F7977" s="16" cm="1">
        <f t="array" ref="F7977">SUM(F7975:F7976)</f>
        <v>0</v>
      </c>
      <c r="G7977" s="16" cm="1">
        <f t="array" ref="G7977">SUM(G7975:G7976)</f>
        <v>0</v>
      </c>
      <c r="H7977" s="16" cm="1">
        <f t="array" ref="H7977">SUM(H7975:H7976)</f>
        <v>0</v>
      </c>
      <c r="I7977" s="16" cm="1">
        <f t="array" ref="I7977">SUM(I7975:I7976)</f>
        <v>0</v>
      </c>
    </row>
    <row r="7978" ht="21.25" customHeight="1">
      <c r="A7978" s="10">
        <v>45763</v>
      </c>
      <c r="B7978" t="s" s="11">
        <v>5</v>
      </c>
      <c r="C7978" t="s" s="12">
        <v>799</v>
      </c>
      <c r="D7978" s="17">
        <v>4</v>
      </c>
      <c r="E7978" s="17"/>
      <c r="F7978" s="18"/>
      <c r="G7978" s="18"/>
      <c r="H7978" s="18"/>
      <c r="I7978" s="18"/>
    </row>
    <row r="7979" ht="21.25" customHeight="1">
      <c r="A7979" s="10">
        <v>45763</v>
      </c>
      <c r="B7979" t="s" s="11">
        <v>18</v>
      </c>
      <c r="C7979" t="s" s="12">
        <v>799</v>
      </c>
      <c r="D7979" s="13"/>
      <c r="E7979" s="13">
        <v>4</v>
      </c>
      <c r="F7979" s="14"/>
      <c r="G7979" s="14"/>
      <c r="H7979" s="14"/>
      <c r="I7979" s="14"/>
    </row>
    <row r="7980" ht="20.7" customHeight="1">
      <c r="A7980" s="10">
        <v>45763</v>
      </c>
      <c r="B7980" t="s" s="11">
        <v>8</v>
      </c>
      <c r="C7980" t="s" s="12">
        <v>8</v>
      </c>
      <c r="D7980" s="15" cm="1">
        <f t="array" ref="D7980">SUM(D7978:D7979)</f>
        <v>4</v>
      </c>
      <c r="E7980" s="15" cm="1">
        <f t="array" ref="E7980">SUM(E7978:E7979)</f>
        <v>4</v>
      </c>
      <c r="F7980" s="16" cm="1">
        <f t="array" ref="F7980">SUM(F7978:F7979)</f>
        <v>0</v>
      </c>
      <c r="G7980" s="16" cm="1">
        <f t="array" ref="G7980">SUM(G7978:G7979)</f>
        <v>0</v>
      </c>
      <c r="H7980" s="16" cm="1">
        <f t="array" ref="H7980">SUM(H7978:H7979)</f>
        <v>0</v>
      </c>
      <c r="I7980" s="16" cm="1">
        <f t="array" ref="I7980">SUM(I7978:I7979)</f>
        <v>0</v>
      </c>
    </row>
    <row r="7981" ht="20.35" customHeight="1">
      <c r="A7981" s="10">
        <v>45763</v>
      </c>
      <c r="B7981" t="s" s="11">
        <v>5</v>
      </c>
      <c r="C7981" t="s" s="12">
        <v>1102</v>
      </c>
      <c r="D7981" s="17"/>
      <c r="E7981" s="17">
        <v>13800</v>
      </c>
      <c r="F7981" s="18"/>
      <c r="G7981" s="18"/>
      <c r="H7981" s="18"/>
      <c r="I7981" s="18"/>
    </row>
    <row r="7982" ht="20.35" customHeight="1">
      <c r="A7982" s="10">
        <v>45763</v>
      </c>
      <c r="B7982" t="s" s="11">
        <v>89</v>
      </c>
      <c r="C7982" t="s" s="12">
        <v>1102</v>
      </c>
      <c r="D7982" s="13">
        <v>13800</v>
      </c>
      <c r="E7982" s="13"/>
      <c r="F7982" s="14"/>
      <c r="G7982" s="14"/>
      <c r="H7982" s="14"/>
      <c r="I7982" s="14"/>
    </row>
    <row r="7983" ht="20.7" customHeight="1">
      <c r="A7983" s="10">
        <v>45763</v>
      </c>
      <c r="B7983" t="s" s="11">
        <v>8</v>
      </c>
      <c r="C7983" t="s" s="12">
        <v>8</v>
      </c>
      <c r="D7983" s="15" cm="1">
        <f t="array" ref="D7983">SUM(D7981:D7982)</f>
        <v>13800</v>
      </c>
      <c r="E7983" s="15" cm="1">
        <f t="array" ref="E7983">SUM(E7981:E7982)</f>
        <v>13800</v>
      </c>
      <c r="F7983" s="16" cm="1">
        <f t="array" ref="F7983">SUM(F7981:F7982)</f>
        <v>0</v>
      </c>
      <c r="G7983" s="16" cm="1">
        <f t="array" ref="G7983">SUM(G7981:G7982)</f>
        <v>0</v>
      </c>
      <c r="H7983" s="16" cm="1">
        <f t="array" ref="H7983">SUM(H7981:H7982)</f>
        <v>0</v>
      </c>
      <c r="I7983" s="16" cm="1">
        <f t="array" ref="I7983">SUM(I7981:I7982)</f>
        <v>0</v>
      </c>
    </row>
    <row r="7984" ht="20.35" customHeight="1">
      <c r="A7984" s="10">
        <v>45763</v>
      </c>
      <c r="B7984" t="s" s="11">
        <v>814</v>
      </c>
      <c r="C7984" t="s" s="12">
        <v>96</v>
      </c>
      <c r="D7984" s="17"/>
      <c r="E7984" s="17">
        <v>10000</v>
      </c>
      <c r="F7984" s="18"/>
      <c r="G7984" s="18"/>
      <c r="H7984" s="18"/>
      <c r="I7984" s="18"/>
    </row>
    <row r="7985" ht="20.35" customHeight="1">
      <c r="A7985" s="10">
        <v>45763</v>
      </c>
      <c r="B7985" t="s" s="11">
        <v>5</v>
      </c>
      <c r="C7985" t="s" s="12">
        <v>96</v>
      </c>
      <c r="D7985" s="13">
        <v>10000</v>
      </c>
      <c r="E7985" s="13"/>
      <c r="F7985" s="14"/>
      <c r="G7985" s="14"/>
      <c r="H7985" s="14"/>
      <c r="I7985" s="14"/>
    </row>
    <row r="7986" ht="20.7" customHeight="1">
      <c r="A7986" s="10">
        <v>45763</v>
      </c>
      <c r="B7986" t="s" s="11">
        <v>8</v>
      </c>
      <c r="C7986" t="s" s="12">
        <v>8</v>
      </c>
      <c r="D7986" s="15" cm="1">
        <f t="array" ref="D7986">SUM(D7984:D7985)</f>
        <v>10000</v>
      </c>
      <c r="E7986" s="15" cm="1">
        <f t="array" ref="E7986">SUM(E7984:E7985)</f>
        <v>10000</v>
      </c>
      <c r="F7986" s="16" cm="1">
        <f t="array" ref="F7986">SUM(F7984:F7985)</f>
        <v>0</v>
      </c>
      <c r="G7986" s="16" cm="1">
        <f t="array" ref="G7986">SUM(G7984:G7985)</f>
        <v>0</v>
      </c>
      <c r="H7986" s="16" cm="1">
        <f t="array" ref="H7986">SUM(H7984:H7985)</f>
        <v>0</v>
      </c>
      <c r="I7986" s="16" cm="1">
        <f t="array" ref="I7986">SUM(I7984:I7985)</f>
        <v>0</v>
      </c>
    </row>
    <row r="7987" ht="20.35" customHeight="1">
      <c r="A7987" s="10">
        <v>45763</v>
      </c>
      <c r="B7987" t="s" s="11">
        <v>5</v>
      </c>
      <c r="C7987" t="s" s="12">
        <v>1103</v>
      </c>
      <c r="D7987" s="17"/>
      <c r="E7987" s="17">
        <v>5100</v>
      </c>
      <c r="F7987" s="18"/>
      <c r="G7987" s="18"/>
      <c r="H7987" s="18"/>
      <c r="I7987" s="18"/>
    </row>
    <row r="7988" ht="20.35" customHeight="1">
      <c r="A7988" s="10">
        <v>45763</v>
      </c>
      <c r="B7988" t="s" s="11">
        <v>12</v>
      </c>
      <c r="C7988" t="s" s="12">
        <v>1103</v>
      </c>
      <c r="D7988" s="13">
        <v>5100</v>
      </c>
      <c r="E7988" s="13"/>
      <c r="F7988" s="14"/>
      <c r="G7988" s="14"/>
      <c r="H7988" s="14"/>
      <c r="I7988" s="14"/>
    </row>
    <row r="7989" ht="20.7" customHeight="1">
      <c r="A7989" s="10">
        <v>45763</v>
      </c>
      <c r="B7989" t="s" s="11">
        <v>8</v>
      </c>
      <c r="C7989" t="s" s="12">
        <v>8</v>
      </c>
      <c r="D7989" s="15" cm="1">
        <f t="array" ref="D7989">SUM(D7987:D7988)</f>
        <v>5100</v>
      </c>
      <c r="E7989" s="15" cm="1">
        <f t="array" ref="E7989">SUM(E7987:E7988)</f>
        <v>5100</v>
      </c>
      <c r="F7989" s="16" cm="1">
        <f t="array" ref="F7989">SUM(F7987:F7988)</f>
        <v>0</v>
      </c>
      <c r="G7989" s="16" cm="1">
        <f t="array" ref="G7989">SUM(G7987:G7988)</f>
        <v>0</v>
      </c>
      <c r="H7989" s="16" cm="1">
        <f t="array" ref="H7989">SUM(H7987:H7988)</f>
        <v>0</v>
      </c>
      <c r="I7989" s="16" cm="1">
        <f t="array" ref="I7989">SUM(I7987:I7988)</f>
        <v>0</v>
      </c>
    </row>
    <row r="7990" ht="21.25" customHeight="1">
      <c r="A7990" s="10">
        <v>45763</v>
      </c>
      <c r="B7990" t="s" s="11">
        <v>21</v>
      </c>
      <c r="C7990" t="s" s="12">
        <v>1104</v>
      </c>
      <c r="D7990" s="17"/>
      <c r="E7990" s="17">
        <v>2600</v>
      </c>
      <c r="F7990" s="18"/>
      <c r="G7990" s="18"/>
      <c r="H7990" s="18"/>
      <c r="I7990" s="18"/>
    </row>
    <row r="7991" ht="21.25" customHeight="1">
      <c r="A7991" s="10">
        <v>45763</v>
      </c>
      <c r="B7991" t="s" s="11">
        <v>16</v>
      </c>
      <c r="C7991" t="s" s="12">
        <v>1104</v>
      </c>
      <c r="D7991" s="13">
        <v>2600</v>
      </c>
      <c r="E7991" s="13"/>
      <c r="F7991" s="14"/>
      <c r="G7991" s="14"/>
      <c r="H7991" s="14"/>
      <c r="I7991" s="14"/>
    </row>
    <row r="7992" ht="20.7" customHeight="1">
      <c r="A7992" s="10">
        <v>45763</v>
      </c>
      <c r="B7992" t="s" s="11">
        <v>8</v>
      </c>
      <c r="C7992" t="s" s="12">
        <v>8</v>
      </c>
      <c r="D7992" s="15" cm="1">
        <f t="array" ref="D7992">SUM(D7990:D7991)</f>
        <v>2600</v>
      </c>
      <c r="E7992" s="15" cm="1">
        <f t="array" ref="E7992">SUM(E7990:E7991)</f>
        <v>2600</v>
      </c>
      <c r="F7992" s="16" cm="1">
        <f t="array" ref="F7992">SUM(F7990:F7991)</f>
        <v>0</v>
      </c>
      <c r="G7992" s="16" cm="1">
        <f t="array" ref="G7992">SUM(G7990:G7991)</f>
        <v>0</v>
      </c>
      <c r="H7992" s="16" cm="1">
        <f t="array" ref="H7992">SUM(H7990:H7991)</f>
        <v>0</v>
      </c>
      <c r="I7992" s="16" cm="1">
        <f t="array" ref="I7992">SUM(I7990:I7991)</f>
        <v>0</v>
      </c>
    </row>
    <row r="7993" ht="20.65" customHeight="1">
      <c r="A7993" s="10">
        <v>45764</v>
      </c>
      <c r="B7993" t="s" s="11">
        <v>843</v>
      </c>
      <c r="C7993" t="s" s="12">
        <v>820</v>
      </c>
      <c r="D7993" s="17">
        <v>1</v>
      </c>
      <c r="E7993" s="17"/>
      <c r="F7993" s="18"/>
      <c r="G7993" s="18"/>
      <c r="H7993" s="18"/>
      <c r="I7993" s="18"/>
    </row>
    <row r="7994" ht="20.65" customHeight="1">
      <c r="A7994" s="10">
        <v>45764</v>
      </c>
      <c r="B7994" t="s" s="11">
        <v>7</v>
      </c>
      <c r="C7994" t="s" s="12">
        <v>820</v>
      </c>
      <c r="D7994" s="13"/>
      <c r="E7994" s="13">
        <v>1</v>
      </c>
      <c r="F7994" s="14"/>
      <c r="G7994" s="14"/>
      <c r="H7994" s="14"/>
      <c r="I7994" s="14"/>
    </row>
    <row r="7995" ht="20.7" customHeight="1">
      <c r="A7995" s="10">
        <v>45764</v>
      </c>
      <c r="B7995" t="s" s="11">
        <v>8</v>
      </c>
      <c r="C7995" t="s" s="12">
        <v>8</v>
      </c>
      <c r="D7995" s="15" cm="1">
        <f t="array" ref="D7995">SUM(D7993:D7994)</f>
        <v>1</v>
      </c>
      <c r="E7995" s="15" cm="1">
        <f t="array" ref="E7995">SUM(E7993:E7994)</f>
        <v>1</v>
      </c>
      <c r="F7995" s="16" cm="1">
        <f t="array" ref="F7995">SUM(F7993:F7994)</f>
        <v>0</v>
      </c>
      <c r="G7995" s="16" cm="1">
        <f t="array" ref="G7995">SUM(G7993:G7994)</f>
        <v>0</v>
      </c>
      <c r="H7995" s="16" cm="1">
        <f t="array" ref="H7995">SUM(H7993:H7994)</f>
        <v>0</v>
      </c>
      <c r="I7995" s="16" cm="1">
        <f t="array" ref="I7995">SUM(I7993:I7994)</f>
        <v>0</v>
      </c>
    </row>
    <row r="7996" ht="20.65" customHeight="1">
      <c r="A7996" s="10">
        <v>45764</v>
      </c>
      <c r="B7996" t="s" s="11">
        <v>814</v>
      </c>
      <c r="C7996" t="s" s="12">
        <v>820</v>
      </c>
      <c r="D7996" s="17">
        <v>125</v>
      </c>
      <c r="E7996" s="17"/>
      <c r="F7996" s="18"/>
      <c r="G7996" s="18"/>
      <c r="H7996" s="18"/>
      <c r="I7996" s="18"/>
    </row>
    <row r="7997" ht="20.65" customHeight="1">
      <c r="A7997" s="10">
        <v>45764</v>
      </c>
      <c r="B7997" t="s" s="11">
        <v>7</v>
      </c>
      <c r="C7997" t="s" s="12">
        <v>820</v>
      </c>
      <c r="D7997" s="13"/>
      <c r="E7997" s="13">
        <v>125</v>
      </c>
      <c r="F7997" s="14"/>
      <c r="G7997" s="14"/>
      <c r="H7997" s="14"/>
      <c r="I7997" s="14"/>
    </row>
    <row r="7998" ht="20.7" customHeight="1">
      <c r="A7998" s="10">
        <v>45764</v>
      </c>
      <c r="B7998" t="s" s="11">
        <v>8</v>
      </c>
      <c r="C7998" t="s" s="12">
        <v>8</v>
      </c>
      <c r="D7998" s="15" cm="1">
        <f t="array" ref="D7998">SUM(D7996:D7997)</f>
        <v>125</v>
      </c>
      <c r="E7998" s="15" cm="1">
        <f t="array" ref="E7998">SUM(E7996:E7997)</f>
        <v>125</v>
      </c>
      <c r="F7998" s="16" cm="1">
        <f t="array" ref="F7998">SUM(F7996:F7997)</f>
        <v>0</v>
      </c>
      <c r="G7998" s="16" cm="1">
        <f t="array" ref="G7998">SUM(G7996:G7997)</f>
        <v>0</v>
      </c>
      <c r="H7998" s="16" cm="1">
        <f t="array" ref="H7998">SUM(H7996:H7997)</f>
        <v>0</v>
      </c>
      <c r="I7998" s="16" cm="1">
        <f t="array" ref="I7998">SUM(I7996:I7997)</f>
        <v>0</v>
      </c>
    </row>
    <row r="7999" ht="20.35" customHeight="1">
      <c r="A7999" s="10">
        <v>45764</v>
      </c>
      <c r="B7999" t="s" s="11">
        <v>814</v>
      </c>
      <c r="C7999" t="s" s="12">
        <v>96</v>
      </c>
      <c r="D7999" s="17"/>
      <c r="E7999" s="17">
        <v>5000</v>
      </c>
      <c r="F7999" s="18"/>
      <c r="G7999" s="18"/>
      <c r="H7999" s="18"/>
      <c r="I7999" s="18"/>
    </row>
    <row r="8000" ht="20.35" customHeight="1">
      <c r="A8000" s="10">
        <v>45764</v>
      </c>
      <c r="B8000" t="s" s="11">
        <v>5</v>
      </c>
      <c r="C8000" t="s" s="12">
        <v>96</v>
      </c>
      <c r="D8000" s="13">
        <v>5000</v>
      </c>
      <c r="E8000" s="13"/>
      <c r="F8000" s="14"/>
      <c r="G8000" s="14"/>
      <c r="H8000" s="14"/>
      <c r="I8000" s="14"/>
    </row>
    <row r="8001" ht="20.7" customHeight="1">
      <c r="A8001" s="10">
        <v>45764</v>
      </c>
      <c r="B8001" t="s" s="11">
        <v>8</v>
      </c>
      <c r="C8001" t="s" s="12">
        <v>8</v>
      </c>
      <c r="D8001" s="15" cm="1">
        <f t="array" ref="D8001">SUM(D7999:D8000)</f>
        <v>5000</v>
      </c>
      <c r="E8001" s="15" cm="1">
        <f t="array" ref="E8001">SUM(E7999:E8000)</f>
        <v>5000</v>
      </c>
      <c r="F8001" s="16" cm="1">
        <f t="array" ref="F8001">SUM(F7999:F8000)</f>
        <v>0</v>
      </c>
      <c r="G8001" s="16" cm="1">
        <f t="array" ref="G8001">SUM(G7999:G8000)</f>
        <v>0</v>
      </c>
      <c r="H8001" s="16" cm="1">
        <f t="array" ref="H8001">SUM(H7999:H8000)</f>
        <v>0</v>
      </c>
      <c r="I8001" s="16" cm="1">
        <f t="array" ref="I8001">SUM(I7999:I8000)</f>
        <v>0</v>
      </c>
    </row>
    <row r="8002" ht="20.35" customHeight="1">
      <c r="A8002" s="10">
        <v>45764</v>
      </c>
      <c r="B8002" t="s" s="11">
        <v>5</v>
      </c>
      <c r="C8002" t="s" s="12">
        <v>469</v>
      </c>
      <c r="D8002" s="17"/>
      <c r="E8002" s="17">
        <v>6300</v>
      </c>
      <c r="F8002" s="18"/>
      <c r="G8002" s="18"/>
      <c r="H8002" s="18"/>
      <c r="I8002" s="18"/>
    </row>
    <row r="8003" ht="20.35" customHeight="1">
      <c r="A8003" s="10">
        <v>45764</v>
      </c>
      <c r="B8003" t="s" s="11">
        <v>12</v>
      </c>
      <c r="C8003" t="s" s="12">
        <v>469</v>
      </c>
      <c r="D8003" s="13">
        <v>6300</v>
      </c>
      <c r="E8003" s="13"/>
      <c r="F8003" s="14"/>
      <c r="G8003" s="14"/>
      <c r="H8003" s="14"/>
      <c r="I8003" s="14"/>
    </row>
    <row r="8004" ht="20.7" customHeight="1">
      <c r="A8004" s="10">
        <v>45764</v>
      </c>
      <c r="B8004" t="s" s="11">
        <v>8</v>
      </c>
      <c r="C8004" t="s" s="12">
        <v>8</v>
      </c>
      <c r="D8004" s="15" cm="1">
        <f t="array" ref="D8004">SUM(D8002:D8003)</f>
        <v>6300</v>
      </c>
      <c r="E8004" s="15" cm="1">
        <f t="array" ref="E8004">SUM(E8002:E8003)</f>
        <v>6300</v>
      </c>
      <c r="F8004" s="16" cm="1">
        <f t="array" ref="F8004">SUM(F8002:F8003)</f>
        <v>0</v>
      </c>
      <c r="G8004" s="16" cm="1">
        <f t="array" ref="G8004">SUM(G8002:G8003)</f>
        <v>0</v>
      </c>
      <c r="H8004" s="16" cm="1">
        <f t="array" ref="H8004">SUM(H8002:H8003)</f>
        <v>0</v>
      </c>
      <c r="I8004" s="16" cm="1">
        <f t="array" ref="I8004">SUM(I8002:I8003)</f>
        <v>0</v>
      </c>
    </row>
    <row r="8005" ht="20.35" customHeight="1">
      <c r="A8005" s="10">
        <v>45764</v>
      </c>
      <c r="B8005" t="s" s="11">
        <v>5</v>
      </c>
      <c r="C8005" t="s" s="12">
        <v>19</v>
      </c>
      <c r="D8005" s="17"/>
      <c r="E8005" s="17">
        <v>1600</v>
      </c>
      <c r="F8005" s="18"/>
      <c r="G8005" s="18"/>
      <c r="H8005" s="18"/>
      <c r="I8005" s="18"/>
    </row>
    <row r="8006" ht="20.35" customHeight="1">
      <c r="A8006" s="10">
        <v>45764</v>
      </c>
      <c r="B8006" t="s" s="11">
        <v>12</v>
      </c>
      <c r="C8006" t="s" s="12">
        <v>19</v>
      </c>
      <c r="D8006" s="13">
        <v>1600</v>
      </c>
      <c r="E8006" s="13"/>
      <c r="F8006" s="14"/>
      <c r="G8006" s="14"/>
      <c r="H8006" s="14"/>
      <c r="I8006" s="14"/>
    </row>
    <row r="8007" ht="20.7" customHeight="1">
      <c r="A8007" s="10">
        <v>45764</v>
      </c>
      <c r="B8007" t="s" s="11">
        <v>8</v>
      </c>
      <c r="C8007" t="s" s="12">
        <v>8</v>
      </c>
      <c r="D8007" s="15" cm="1">
        <f t="array" ref="D8007">SUM(D8005:D8006)</f>
        <v>1600</v>
      </c>
      <c r="E8007" s="15" cm="1">
        <f t="array" ref="E8007">SUM(E8005:E8006)</f>
        <v>1600</v>
      </c>
      <c r="F8007" s="16" cm="1">
        <f t="array" ref="F8007">SUM(F8005:F8006)</f>
        <v>0</v>
      </c>
      <c r="G8007" s="16" cm="1">
        <f t="array" ref="G8007">SUM(G8005:G8006)</f>
        <v>0</v>
      </c>
      <c r="H8007" s="16" cm="1">
        <f t="array" ref="H8007">SUM(H8005:H8006)</f>
        <v>0</v>
      </c>
      <c r="I8007" s="16" cm="1">
        <f t="array" ref="I8007">SUM(I8005:I8006)</f>
        <v>0</v>
      </c>
    </row>
    <row r="8008" ht="20.35" customHeight="1">
      <c r="A8008" s="10">
        <v>45764</v>
      </c>
      <c r="B8008" t="s" s="11">
        <v>18</v>
      </c>
      <c r="C8008" t="s" s="12">
        <v>17</v>
      </c>
      <c r="D8008" s="17"/>
      <c r="E8008" s="17">
        <v>100</v>
      </c>
      <c r="F8008" s="18"/>
      <c r="G8008" s="18"/>
      <c r="H8008" s="18"/>
      <c r="I8008" s="18"/>
    </row>
    <row r="8009" ht="20.35" customHeight="1">
      <c r="A8009" s="10">
        <v>45764</v>
      </c>
      <c r="B8009" t="s" s="11">
        <v>5</v>
      </c>
      <c r="C8009" t="s" s="12">
        <v>17</v>
      </c>
      <c r="D8009" s="13">
        <v>100</v>
      </c>
      <c r="E8009" s="13"/>
      <c r="F8009" s="14"/>
      <c r="G8009" s="14"/>
      <c r="H8009" s="14"/>
      <c r="I8009" s="14"/>
    </row>
    <row r="8010" ht="20.7" customHeight="1">
      <c r="A8010" s="10">
        <v>45764</v>
      </c>
      <c r="B8010" t="s" s="11">
        <v>8</v>
      </c>
      <c r="C8010" t="s" s="12">
        <v>8</v>
      </c>
      <c r="D8010" s="15" cm="1">
        <f t="array" ref="D8010">SUM(D8008:D8009)</f>
        <v>100</v>
      </c>
      <c r="E8010" s="15" cm="1">
        <f t="array" ref="E8010">SUM(E8008:E8009)</f>
        <v>100</v>
      </c>
      <c r="F8010" s="16" cm="1">
        <f t="array" ref="F8010">SUM(F8008:F8009)</f>
        <v>0</v>
      </c>
      <c r="G8010" s="16" cm="1">
        <f t="array" ref="G8010">SUM(G8008:G8009)</f>
        <v>0</v>
      </c>
      <c r="H8010" s="16" cm="1">
        <f t="array" ref="H8010">SUM(H8008:H8009)</f>
        <v>0</v>
      </c>
      <c r="I8010" s="16" cm="1">
        <f t="array" ref="I8010">SUM(I8008:I8009)</f>
        <v>0</v>
      </c>
    </row>
    <row r="8011" ht="21.25" customHeight="1">
      <c r="A8011" s="10">
        <v>45764</v>
      </c>
      <c r="B8011" t="s" s="11">
        <v>21</v>
      </c>
      <c r="C8011" t="s" s="12">
        <v>1105</v>
      </c>
      <c r="D8011" s="17"/>
      <c r="E8011" s="17">
        <v>1500</v>
      </c>
      <c r="F8011" s="18"/>
      <c r="G8011" s="18"/>
      <c r="H8011" s="18"/>
      <c r="I8011" s="18"/>
    </row>
    <row r="8012" ht="21.25" customHeight="1">
      <c r="A8012" s="10">
        <v>45764</v>
      </c>
      <c r="B8012" t="s" s="11">
        <v>16</v>
      </c>
      <c r="C8012" t="s" s="12">
        <v>1105</v>
      </c>
      <c r="D8012" s="13">
        <v>1500</v>
      </c>
      <c r="E8012" s="13"/>
      <c r="F8012" s="14"/>
      <c r="G8012" s="14"/>
      <c r="H8012" s="14"/>
      <c r="I8012" s="14"/>
    </row>
    <row r="8013" ht="20.7" customHeight="1">
      <c r="A8013" s="10">
        <v>45764</v>
      </c>
      <c r="B8013" t="s" s="11">
        <v>8</v>
      </c>
      <c r="C8013" t="s" s="12">
        <v>8</v>
      </c>
      <c r="D8013" s="15" cm="1">
        <f t="array" ref="D8013">SUM(D8011:D8012)</f>
        <v>1500</v>
      </c>
      <c r="E8013" s="15" cm="1">
        <f t="array" ref="E8013">SUM(E8011:E8012)</f>
        <v>1500</v>
      </c>
      <c r="F8013" s="16" cm="1">
        <f t="array" ref="F8013">SUM(F8011:F8012)</f>
        <v>0</v>
      </c>
      <c r="G8013" s="16" cm="1">
        <f t="array" ref="G8013">SUM(G8011:G8012)</f>
        <v>0</v>
      </c>
      <c r="H8013" s="16" cm="1">
        <f t="array" ref="H8013">SUM(H8011:H8012)</f>
        <v>0</v>
      </c>
      <c r="I8013" s="16" cm="1">
        <f t="array" ref="I8013">SUM(I8011:I8012)</f>
        <v>0</v>
      </c>
    </row>
    <row r="8014" ht="20.65" customHeight="1">
      <c r="A8014" s="10">
        <v>45765</v>
      </c>
      <c r="B8014" t="s" s="11">
        <v>843</v>
      </c>
      <c r="C8014" t="s" s="12">
        <v>820</v>
      </c>
      <c r="D8014" s="17">
        <v>1</v>
      </c>
      <c r="E8014" s="17"/>
      <c r="F8014" s="18"/>
      <c r="G8014" s="18"/>
      <c r="H8014" s="18"/>
      <c r="I8014" s="18"/>
    </row>
    <row r="8015" ht="20.65" customHeight="1">
      <c r="A8015" s="10">
        <v>45765</v>
      </c>
      <c r="B8015" t="s" s="11">
        <v>7</v>
      </c>
      <c r="C8015" t="s" s="12">
        <v>820</v>
      </c>
      <c r="D8015" s="13"/>
      <c r="E8015" s="13">
        <v>1</v>
      </c>
      <c r="F8015" s="14"/>
      <c r="G8015" s="14"/>
      <c r="H8015" s="14"/>
      <c r="I8015" s="14"/>
    </row>
    <row r="8016" ht="20.7" customHeight="1">
      <c r="A8016" s="10">
        <v>45765</v>
      </c>
      <c r="B8016" t="s" s="11">
        <v>8</v>
      </c>
      <c r="C8016" t="s" s="12">
        <v>8</v>
      </c>
      <c r="D8016" s="15" cm="1">
        <f t="array" ref="D8016">SUM(D8014:D8015)</f>
        <v>1</v>
      </c>
      <c r="E8016" s="15" cm="1">
        <f t="array" ref="E8016">SUM(E8014:E8015)</f>
        <v>1</v>
      </c>
      <c r="F8016" s="16" cm="1">
        <f t="array" ref="F8016">SUM(F8014:F8015)</f>
        <v>0</v>
      </c>
      <c r="G8016" s="16" cm="1">
        <f t="array" ref="G8016">SUM(G8014:G8015)</f>
        <v>0</v>
      </c>
      <c r="H8016" s="16" cm="1">
        <f t="array" ref="H8016">SUM(H8014:H8015)</f>
        <v>0</v>
      </c>
      <c r="I8016" s="16" cm="1">
        <f t="array" ref="I8016">SUM(I8014:I8015)</f>
        <v>0</v>
      </c>
    </row>
    <row r="8017" ht="20.65" customHeight="1">
      <c r="A8017" s="10">
        <v>45765</v>
      </c>
      <c r="B8017" t="s" s="11">
        <v>814</v>
      </c>
      <c r="C8017" t="s" s="12">
        <v>820</v>
      </c>
      <c r="D8017" s="17">
        <v>124</v>
      </c>
      <c r="E8017" s="17"/>
      <c r="F8017" s="18"/>
      <c r="G8017" s="18"/>
      <c r="H8017" s="18"/>
      <c r="I8017" s="18"/>
    </row>
    <row r="8018" ht="20.65" customHeight="1">
      <c r="A8018" s="10">
        <v>45765</v>
      </c>
      <c r="B8018" t="s" s="11">
        <v>7</v>
      </c>
      <c r="C8018" t="s" s="12">
        <v>820</v>
      </c>
      <c r="D8018" s="13"/>
      <c r="E8018" s="13">
        <v>124</v>
      </c>
      <c r="F8018" s="14"/>
      <c r="G8018" s="14"/>
      <c r="H8018" s="14"/>
      <c r="I8018" s="14"/>
    </row>
    <row r="8019" ht="20.7" customHeight="1">
      <c r="A8019" s="10">
        <v>45765</v>
      </c>
      <c r="B8019" t="s" s="11">
        <v>8</v>
      </c>
      <c r="C8019" t="s" s="12">
        <v>8</v>
      </c>
      <c r="D8019" s="15" cm="1">
        <f t="array" ref="D8019">SUM(D8017:D8018)</f>
        <v>124</v>
      </c>
      <c r="E8019" s="15" cm="1">
        <f t="array" ref="E8019">SUM(E8017:E8018)</f>
        <v>124</v>
      </c>
      <c r="F8019" s="16" cm="1">
        <f t="array" ref="F8019">SUM(F8017:F8018)</f>
        <v>0</v>
      </c>
      <c r="G8019" s="16" cm="1">
        <f t="array" ref="G8019">SUM(G8017:G8018)</f>
        <v>0</v>
      </c>
      <c r="H8019" s="16" cm="1">
        <f t="array" ref="H8019">SUM(H8017:H8018)</f>
        <v>0</v>
      </c>
      <c r="I8019" s="16" cm="1">
        <f t="array" ref="I8019">SUM(I8017:I8018)</f>
        <v>0</v>
      </c>
    </row>
    <row r="8020" ht="20.35" customHeight="1">
      <c r="A8020" s="10">
        <v>45765</v>
      </c>
      <c r="B8020" t="s" s="11">
        <v>814</v>
      </c>
      <c r="C8020" t="s" s="12">
        <v>96</v>
      </c>
      <c r="D8020" s="17"/>
      <c r="E8020" s="17">
        <v>50000</v>
      </c>
      <c r="F8020" s="18"/>
      <c r="G8020" s="18"/>
      <c r="H8020" s="18"/>
      <c r="I8020" s="18"/>
    </row>
    <row r="8021" ht="20.35" customHeight="1">
      <c r="A8021" s="10">
        <v>45765</v>
      </c>
      <c r="B8021" t="s" s="11">
        <v>5</v>
      </c>
      <c r="C8021" t="s" s="12">
        <v>96</v>
      </c>
      <c r="D8021" s="13">
        <v>50000</v>
      </c>
      <c r="E8021" s="13"/>
      <c r="F8021" s="14"/>
      <c r="G8021" s="14"/>
      <c r="H8021" s="14"/>
      <c r="I8021" s="14"/>
    </row>
    <row r="8022" ht="20.7" customHeight="1">
      <c r="A8022" s="10">
        <v>45765</v>
      </c>
      <c r="B8022" t="s" s="11">
        <v>8</v>
      </c>
      <c r="C8022" t="s" s="12">
        <v>8</v>
      </c>
      <c r="D8022" s="15" cm="1">
        <f t="array" ref="D8022">SUM(D8020:D8021)</f>
        <v>50000</v>
      </c>
      <c r="E8022" s="15" cm="1">
        <f t="array" ref="E8022">SUM(E8020:E8021)</f>
        <v>50000</v>
      </c>
      <c r="F8022" s="16" cm="1">
        <f t="array" ref="F8022">SUM(F8020:F8021)</f>
        <v>0</v>
      </c>
      <c r="G8022" s="16" cm="1">
        <f t="array" ref="G8022">SUM(G8020:G8021)</f>
        <v>0</v>
      </c>
      <c r="H8022" s="16" cm="1">
        <f t="array" ref="H8022">SUM(H8020:H8021)</f>
        <v>0</v>
      </c>
      <c r="I8022" s="16" cm="1">
        <f t="array" ref="I8022">SUM(I8020:I8021)</f>
        <v>0</v>
      </c>
    </row>
    <row r="8023" ht="20.35" customHeight="1">
      <c r="A8023" s="10">
        <v>45765</v>
      </c>
      <c r="B8023" t="s" s="11">
        <v>5</v>
      </c>
      <c r="C8023" t="s" s="12">
        <v>1106</v>
      </c>
      <c r="D8023" s="17"/>
      <c r="E8023" s="17">
        <v>10050</v>
      </c>
      <c r="F8023" s="18"/>
      <c r="G8023" s="18"/>
      <c r="H8023" s="18"/>
      <c r="I8023" s="18"/>
    </row>
    <row r="8024" ht="20.35" customHeight="1">
      <c r="A8024" s="10">
        <v>45765</v>
      </c>
      <c r="B8024" t="s" s="11">
        <v>10</v>
      </c>
      <c r="C8024" t="s" s="12">
        <v>1106</v>
      </c>
      <c r="D8024" s="13">
        <v>10050</v>
      </c>
      <c r="E8024" s="13"/>
      <c r="F8024" s="14"/>
      <c r="G8024" s="14"/>
      <c r="H8024" s="14"/>
      <c r="I8024" s="14"/>
    </row>
    <row r="8025" ht="20.7" customHeight="1">
      <c r="A8025" s="10">
        <v>45765</v>
      </c>
      <c r="B8025" t="s" s="11">
        <v>8</v>
      </c>
      <c r="C8025" t="s" s="12">
        <v>8</v>
      </c>
      <c r="D8025" s="15" cm="1">
        <f t="array" ref="D8025">SUM(D8023:D8024)</f>
        <v>10050</v>
      </c>
      <c r="E8025" s="15" cm="1">
        <f t="array" ref="E8025">SUM(E8023:E8024)</f>
        <v>10050</v>
      </c>
      <c r="F8025" s="16" cm="1">
        <f t="array" ref="F8025">SUM(F8023:F8024)</f>
        <v>0</v>
      </c>
      <c r="G8025" s="16" cm="1">
        <f t="array" ref="G8025">SUM(G8023:G8024)</f>
        <v>0</v>
      </c>
      <c r="H8025" s="16" cm="1">
        <f t="array" ref="H8025">SUM(H8023:H8024)</f>
        <v>0</v>
      </c>
      <c r="I8025" s="16" cm="1">
        <f t="array" ref="I8025">SUM(I8023:I8024)</f>
        <v>0</v>
      </c>
    </row>
    <row r="8026" ht="20.35" customHeight="1">
      <c r="A8026" s="10">
        <v>45765</v>
      </c>
      <c r="B8026" t="s" s="11">
        <v>5</v>
      </c>
      <c r="C8026" t="s" s="12">
        <v>1107</v>
      </c>
      <c r="D8026" s="17"/>
      <c r="E8026" s="17">
        <v>15000</v>
      </c>
      <c r="F8026" s="18"/>
      <c r="G8026" s="18"/>
      <c r="H8026" s="18"/>
      <c r="I8026" s="18"/>
    </row>
    <row r="8027" ht="20.35" customHeight="1">
      <c r="A8027" s="10">
        <v>45765</v>
      </c>
      <c r="B8027" t="s" s="11">
        <v>12</v>
      </c>
      <c r="C8027" t="s" s="12">
        <v>1107</v>
      </c>
      <c r="D8027" s="13">
        <v>15000</v>
      </c>
      <c r="E8027" s="13"/>
      <c r="F8027" s="14"/>
      <c r="G8027" s="14"/>
      <c r="H8027" s="14"/>
      <c r="I8027" s="14"/>
    </row>
    <row r="8028" ht="20.7" customHeight="1">
      <c r="A8028" s="10">
        <v>45765</v>
      </c>
      <c r="B8028" t="s" s="11">
        <v>8</v>
      </c>
      <c r="C8028" t="s" s="12">
        <v>8</v>
      </c>
      <c r="D8028" s="15" cm="1">
        <f t="array" ref="D8028">SUM(D8026:D8027)</f>
        <v>15000</v>
      </c>
      <c r="E8028" s="15" cm="1">
        <f t="array" ref="E8028">SUM(E8026:E8027)</f>
        <v>15000</v>
      </c>
      <c r="F8028" s="16" cm="1">
        <f t="array" ref="F8028">SUM(F8026:F8027)</f>
        <v>0</v>
      </c>
      <c r="G8028" s="16" cm="1">
        <f t="array" ref="G8028">SUM(G8026:G8027)</f>
        <v>0</v>
      </c>
      <c r="H8028" s="16" cm="1">
        <f t="array" ref="H8028">SUM(H8026:H8027)</f>
        <v>0</v>
      </c>
      <c r="I8028" s="16" cm="1">
        <f t="array" ref="I8028">SUM(I8026:I8027)</f>
        <v>0</v>
      </c>
    </row>
    <row r="8029" ht="20.35" customHeight="1">
      <c r="A8029" s="10">
        <v>45766</v>
      </c>
      <c r="B8029" t="s" s="11">
        <v>5</v>
      </c>
      <c r="C8029" t="s" s="12">
        <v>1108</v>
      </c>
      <c r="D8029" s="17"/>
      <c r="E8029" s="17">
        <v>2500</v>
      </c>
      <c r="F8029" s="18"/>
      <c r="G8029" s="18"/>
      <c r="H8029" s="18"/>
      <c r="I8029" s="18"/>
    </row>
    <row r="8030" ht="20.35" customHeight="1">
      <c r="A8030" s="10">
        <v>45766</v>
      </c>
      <c r="B8030" t="s" s="11">
        <v>12</v>
      </c>
      <c r="C8030" t="s" s="12">
        <v>1108</v>
      </c>
      <c r="D8030" s="13">
        <v>2500</v>
      </c>
      <c r="E8030" s="13"/>
      <c r="F8030" s="14"/>
      <c r="G8030" s="14"/>
      <c r="H8030" s="14"/>
      <c r="I8030" s="14"/>
    </row>
    <row r="8031" ht="20.7" customHeight="1">
      <c r="A8031" s="10">
        <v>45766</v>
      </c>
      <c r="B8031" t="s" s="11">
        <v>8</v>
      </c>
      <c r="C8031" t="s" s="12">
        <v>8</v>
      </c>
      <c r="D8031" s="15" cm="1">
        <f t="array" ref="D8031">SUM(D8029:D8030)</f>
        <v>2500</v>
      </c>
      <c r="E8031" s="15" cm="1">
        <f t="array" ref="E8031">SUM(E8029:E8030)</f>
        <v>2500</v>
      </c>
      <c r="F8031" s="16" cm="1">
        <f t="array" ref="F8031">SUM(F8029:F8030)</f>
        <v>0</v>
      </c>
      <c r="G8031" s="16" cm="1">
        <f t="array" ref="G8031">SUM(G8029:G8030)</f>
        <v>0</v>
      </c>
      <c r="H8031" s="16" cm="1">
        <f t="array" ref="H8031">SUM(H8029:H8030)</f>
        <v>0</v>
      </c>
      <c r="I8031" s="16" cm="1">
        <f t="array" ref="I8031">SUM(I8029:I8030)</f>
        <v>0</v>
      </c>
    </row>
    <row r="8032" ht="20.65" customHeight="1">
      <c r="A8032" s="10">
        <v>45766</v>
      </c>
      <c r="B8032" t="s" s="11">
        <v>843</v>
      </c>
      <c r="C8032" t="s" s="12">
        <v>820</v>
      </c>
      <c r="D8032" s="17">
        <v>1</v>
      </c>
      <c r="E8032" s="17"/>
      <c r="F8032" s="18"/>
      <c r="G8032" s="18"/>
      <c r="H8032" s="18"/>
      <c r="I8032" s="18"/>
    </row>
    <row r="8033" ht="20.65" customHeight="1">
      <c r="A8033" s="10">
        <v>45766</v>
      </c>
      <c r="B8033" t="s" s="11">
        <v>7</v>
      </c>
      <c r="C8033" t="s" s="12">
        <v>820</v>
      </c>
      <c r="D8033" s="13"/>
      <c r="E8033" s="13">
        <v>1</v>
      </c>
      <c r="F8033" s="14"/>
      <c r="G8033" s="14"/>
      <c r="H8033" s="14"/>
      <c r="I8033" s="14"/>
    </row>
    <row r="8034" ht="20.7" customHeight="1">
      <c r="A8034" s="10">
        <v>45766</v>
      </c>
      <c r="B8034" t="s" s="11">
        <v>8</v>
      </c>
      <c r="C8034" t="s" s="12">
        <v>8</v>
      </c>
      <c r="D8034" s="15" cm="1">
        <f t="array" ref="D8034">SUM(D8032:D8033)</f>
        <v>1</v>
      </c>
      <c r="E8034" s="15" cm="1">
        <f t="array" ref="E8034">SUM(E8032:E8033)</f>
        <v>1</v>
      </c>
      <c r="F8034" s="16" cm="1">
        <f t="array" ref="F8034">SUM(F8032:F8033)</f>
        <v>0</v>
      </c>
      <c r="G8034" s="16" cm="1">
        <f t="array" ref="G8034">SUM(G8032:G8033)</f>
        <v>0</v>
      </c>
      <c r="H8034" s="16" cm="1">
        <f t="array" ref="H8034">SUM(H8032:H8033)</f>
        <v>0</v>
      </c>
      <c r="I8034" s="16" cm="1">
        <f t="array" ref="I8034">SUM(I8032:I8033)</f>
        <v>0</v>
      </c>
    </row>
    <row r="8035" ht="20.65" customHeight="1">
      <c r="A8035" s="10">
        <v>45766</v>
      </c>
      <c r="B8035" t="s" s="11">
        <v>814</v>
      </c>
      <c r="C8035" t="s" s="12">
        <v>820</v>
      </c>
      <c r="D8035" s="17">
        <v>122</v>
      </c>
      <c r="E8035" s="17"/>
      <c r="F8035" s="18"/>
      <c r="G8035" s="18"/>
      <c r="H8035" s="18"/>
      <c r="I8035" s="18"/>
    </row>
    <row r="8036" ht="20.65" customHeight="1">
      <c r="A8036" s="10">
        <v>45766</v>
      </c>
      <c r="B8036" t="s" s="11">
        <v>7</v>
      </c>
      <c r="C8036" t="s" s="12">
        <v>820</v>
      </c>
      <c r="D8036" s="13"/>
      <c r="E8036" s="13">
        <v>122</v>
      </c>
      <c r="F8036" s="14"/>
      <c r="G8036" s="14"/>
      <c r="H8036" s="14"/>
      <c r="I8036" s="14"/>
    </row>
    <row r="8037" ht="20.7" customHeight="1">
      <c r="A8037" s="10">
        <v>45766</v>
      </c>
      <c r="B8037" t="s" s="11">
        <v>8</v>
      </c>
      <c r="C8037" t="s" s="12">
        <v>8</v>
      </c>
      <c r="D8037" s="15" cm="1">
        <f t="array" ref="D8037">SUM(D8035:D8036)</f>
        <v>122</v>
      </c>
      <c r="E8037" s="15" cm="1">
        <f t="array" ref="E8037">SUM(E8035:E8036)</f>
        <v>122</v>
      </c>
      <c r="F8037" s="16" cm="1">
        <f t="array" ref="F8037">SUM(F8035:F8036)</f>
        <v>0</v>
      </c>
      <c r="G8037" s="16" cm="1">
        <f t="array" ref="G8037">SUM(G8035:G8036)</f>
        <v>0</v>
      </c>
      <c r="H8037" s="16" cm="1">
        <f t="array" ref="H8037">SUM(H8035:H8036)</f>
        <v>0</v>
      </c>
      <c r="I8037" s="16" cm="1">
        <f t="array" ref="I8037">SUM(I8035:I8036)</f>
        <v>0</v>
      </c>
    </row>
    <row r="8038" ht="20.35" customHeight="1">
      <c r="A8038" s="10">
        <v>45766</v>
      </c>
      <c r="B8038" t="s" s="11">
        <v>5</v>
      </c>
      <c r="C8038" t="s" s="12">
        <v>1109</v>
      </c>
      <c r="D8038" s="17"/>
      <c r="E8038" s="17">
        <v>10900</v>
      </c>
      <c r="F8038" s="18"/>
      <c r="G8038" s="18"/>
      <c r="H8038" s="18"/>
      <c r="I8038" s="18"/>
    </row>
    <row r="8039" ht="20.35" customHeight="1">
      <c r="A8039" s="10">
        <v>45766</v>
      </c>
      <c r="B8039" t="s" s="11">
        <v>10</v>
      </c>
      <c r="C8039" t="s" s="12">
        <v>1109</v>
      </c>
      <c r="D8039" s="13">
        <v>10900</v>
      </c>
      <c r="E8039" s="13"/>
      <c r="F8039" s="14"/>
      <c r="G8039" s="14"/>
      <c r="H8039" s="14"/>
      <c r="I8039" s="14"/>
    </row>
    <row r="8040" ht="20.7" customHeight="1">
      <c r="A8040" s="10">
        <v>45766</v>
      </c>
      <c r="B8040" t="s" s="11">
        <v>8</v>
      </c>
      <c r="C8040" t="s" s="12">
        <v>8</v>
      </c>
      <c r="D8040" s="15" cm="1">
        <f t="array" ref="D8040">SUM(D8038:D8039)</f>
        <v>10900</v>
      </c>
      <c r="E8040" s="15" cm="1">
        <f t="array" ref="E8040">SUM(E8038:E8039)</f>
        <v>10900</v>
      </c>
      <c r="F8040" s="16" cm="1">
        <f t="array" ref="F8040">SUM(F8038:F8039)</f>
        <v>0</v>
      </c>
      <c r="G8040" s="16" cm="1">
        <f t="array" ref="G8040">SUM(G8038:G8039)</f>
        <v>0</v>
      </c>
      <c r="H8040" s="16" cm="1">
        <f t="array" ref="H8040">SUM(H8038:H8039)</f>
        <v>0</v>
      </c>
      <c r="I8040" s="16" cm="1">
        <f t="array" ref="I8040">SUM(I8038:I8039)</f>
        <v>0</v>
      </c>
    </row>
    <row r="8041" ht="20.35" customHeight="1">
      <c r="A8041" s="10">
        <v>45766</v>
      </c>
      <c r="B8041" t="s" s="11">
        <v>814</v>
      </c>
      <c r="C8041" t="s" s="12">
        <v>96</v>
      </c>
      <c r="D8041" s="17"/>
      <c r="E8041" s="17">
        <v>10000</v>
      </c>
      <c r="F8041" s="18"/>
      <c r="G8041" s="18"/>
      <c r="H8041" s="18"/>
      <c r="I8041" s="18"/>
    </row>
    <row r="8042" ht="20.35" customHeight="1">
      <c r="A8042" s="10">
        <v>45766</v>
      </c>
      <c r="B8042" t="s" s="11">
        <v>5</v>
      </c>
      <c r="C8042" t="s" s="12">
        <v>96</v>
      </c>
      <c r="D8042" s="13">
        <v>10000</v>
      </c>
      <c r="E8042" s="13"/>
      <c r="F8042" s="14"/>
      <c r="G8042" s="14"/>
      <c r="H8042" s="14"/>
      <c r="I8042" s="14"/>
    </row>
    <row r="8043" ht="20.7" customHeight="1">
      <c r="A8043" s="10">
        <v>45766</v>
      </c>
      <c r="B8043" t="s" s="11">
        <v>8</v>
      </c>
      <c r="C8043" t="s" s="12">
        <v>8</v>
      </c>
      <c r="D8043" s="15" cm="1">
        <f t="array" ref="D8043">SUM(D8041:D8042)</f>
        <v>10000</v>
      </c>
      <c r="E8043" s="15" cm="1">
        <f t="array" ref="E8043">SUM(E8041:E8042)</f>
        <v>10000</v>
      </c>
      <c r="F8043" s="16" cm="1">
        <f t="array" ref="F8043">SUM(F8041:F8042)</f>
        <v>0</v>
      </c>
      <c r="G8043" s="16" cm="1">
        <f t="array" ref="G8043">SUM(G8041:G8042)</f>
        <v>0</v>
      </c>
      <c r="H8043" s="16" cm="1">
        <f t="array" ref="H8043">SUM(H8041:H8042)</f>
        <v>0</v>
      </c>
      <c r="I8043" s="16" cm="1">
        <f t="array" ref="I8043">SUM(I8041:I8042)</f>
        <v>0</v>
      </c>
    </row>
    <row r="8044" ht="20.35" customHeight="1">
      <c r="A8044" s="10">
        <v>45766</v>
      </c>
      <c r="B8044" t="s" s="11">
        <v>5</v>
      </c>
      <c r="C8044" t="s" s="12">
        <v>1110</v>
      </c>
      <c r="D8044" s="17"/>
      <c r="E8044" s="17">
        <v>16580</v>
      </c>
      <c r="F8044" s="18"/>
      <c r="G8044" s="18"/>
      <c r="H8044" s="18"/>
      <c r="I8044" s="18"/>
    </row>
    <row r="8045" ht="20.35" customHeight="1">
      <c r="A8045" s="10">
        <v>45766</v>
      </c>
      <c r="B8045" t="s" s="11">
        <v>12</v>
      </c>
      <c r="C8045" t="s" s="12">
        <v>1110</v>
      </c>
      <c r="D8045" s="13">
        <v>16580</v>
      </c>
      <c r="E8045" s="13"/>
      <c r="F8045" s="14"/>
      <c r="G8045" s="14"/>
      <c r="H8045" s="14"/>
      <c r="I8045" s="14"/>
    </row>
    <row r="8046" ht="20.7" customHeight="1">
      <c r="A8046" s="10">
        <v>45766</v>
      </c>
      <c r="B8046" t="s" s="11">
        <v>8</v>
      </c>
      <c r="C8046" t="s" s="12">
        <v>8</v>
      </c>
      <c r="D8046" s="15" cm="1">
        <f t="array" ref="D8046">SUM(D8044:D8045)</f>
        <v>16580</v>
      </c>
      <c r="E8046" s="15" cm="1">
        <f t="array" ref="E8046">SUM(E8044:E8045)</f>
        <v>16580</v>
      </c>
      <c r="F8046" s="16" cm="1">
        <f t="array" ref="F8046">SUM(F8044:F8045)</f>
        <v>0</v>
      </c>
      <c r="G8046" s="16" cm="1">
        <f t="array" ref="G8046">SUM(G8044:G8045)</f>
        <v>0</v>
      </c>
      <c r="H8046" s="16" cm="1">
        <f t="array" ref="H8046">SUM(H8044:H8045)</f>
        <v>0</v>
      </c>
      <c r="I8046" s="16" cm="1">
        <f t="array" ref="I8046">SUM(I8044:I8045)</f>
        <v>0</v>
      </c>
    </row>
    <row r="8047" ht="21.25" customHeight="1">
      <c r="A8047" s="10">
        <v>45766</v>
      </c>
      <c r="B8047" t="s" s="11">
        <v>28</v>
      </c>
      <c r="C8047" t="s" s="12">
        <v>1111</v>
      </c>
      <c r="D8047" s="17"/>
      <c r="E8047" s="17">
        <v>1000</v>
      </c>
      <c r="F8047" s="18"/>
      <c r="G8047" s="18"/>
      <c r="H8047" s="18"/>
      <c r="I8047" s="18"/>
    </row>
    <row r="8048" ht="21.25" customHeight="1">
      <c r="A8048" s="10">
        <v>45766</v>
      </c>
      <c r="B8048" t="s" s="11">
        <v>12</v>
      </c>
      <c r="C8048" t="s" s="12">
        <v>1111</v>
      </c>
      <c r="D8048" s="13">
        <v>1000</v>
      </c>
      <c r="E8048" s="13"/>
      <c r="F8048" s="14"/>
      <c r="G8048" s="14"/>
      <c r="H8048" s="14"/>
      <c r="I8048" s="14"/>
    </row>
    <row r="8049" ht="20.7" customHeight="1">
      <c r="A8049" s="10">
        <v>45766</v>
      </c>
      <c r="B8049" t="s" s="11">
        <v>8</v>
      </c>
      <c r="C8049" t="s" s="12">
        <v>8</v>
      </c>
      <c r="D8049" s="15" cm="1">
        <f t="array" ref="D8049">SUM(D8047:D8048)</f>
        <v>1000</v>
      </c>
      <c r="E8049" s="15" cm="1">
        <f t="array" ref="E8049">SUM(E8047:E8048)</f>
        <v>1000</v>
      </c>
      <c r="F8049" s="16" cm="1">
        <f t="array" ref="F8049">SUM(F8047:F8048)</f>
        <v>0</v>
      </c>
      <c r="G8049" s="16" cm="1">
        <f t="array" ref="G8049">SUM(G8047:G8048)</f>
        <v>0</v>
      </c>
      <c r="H8049" s="16" cm="1">
        <f t="array" ref="H8049">SUM(H8047:H8048)</f>
        <v>0</v>
      </c>
      <c r="I8049" s="16" cm="1">
        <f t="array" ref="I8049">SUM(I8047:I8048)</f>
        <v>0</v>
      </c>
    </row>
    <row r="8050" ht="20.35" customHeight="1">
      <c r="A8050" s="10">
        <v>45766</v>
      </c>
      <c r="B8050" t="s" s="11">
        <v>814</v>
      </c>
      <c r="C8050" t="s" s="12">
        <v>96</v>
      </c>
      <c r="D8050" s="17"/>
      <c r="E8050" s="17">
        <v>20000</v>
      </c>
      <c r="F8050" s="18"/>
      <c r="G8050" s="18"/>
      <c r="H8050" s="18"/>
      <c r="I8050" s="18"/>
    </row>
    <row r="8051" ht="20.35" customHeight="1">
      <c r="A8051" s="10">
        <v>45766</v>
      </c>
      <c r="B8051" t="s" s="11">
        <v>5</v>
      </c>
      <c r="C8051" t="s" s="12">
        <v>96</v>
      </c>
      <c r="D8051" s="13">
        <v>20000</v>
      </c>
      <c r="E8051" s="13"/>
      <c r="F8051" s="14"/>
      <c r="G8051" s="14"/>
      <c r="H8051" s="14"/>
      <c r="I8051" s="14"/>
    </row>
    <row r="8052" ht="20.7" customHeight="1">
      <c r="A8052" s="10">
        <v>45766</v>
      </c>
      <c r="B8052" t="s" s="11">
        <v>8</v>
      </c>
      <c r="C8052" t="s" s="12">
        <v>8</v>
      </c>
      <c r="D8052" s="15" cm="1">
        <f t="array" ref="D8052">SUM(D8050:D8051)</f>
        <v>20000</v>
      </c>
      <c r="E8052" s="15" cm="1">
        <f t="array" ref="E8052">SUM(E8050:E8051)</f>
        <v>20000</v>
      </c>
      <c r="F8052" s="16" cm="1">
        <f t="array" ref="F8052">SUM(F8050:F8051)</f>
        <v>0</v>
      </c>
      <c r="G8052" s="16" cm="1">
        <f t="array" ref="G8052">SUM(G8050:G8051)</f>
        <v>0</v>
      </c>
      <c r="H8052" s="16" cm="1">
        <f t="array" ref="H8052">SUM(H8050:H8051)</f>
        <v>0</v>
      </c>
      <c r="I8052" s="16" cm="1">
        <f t="array" ref="I8052">SUM(I8050:I8051)</f>
        <v>0</v>
      </c>
    </row>
    <row r="8053" ht="20.35" customHeight="1">
      <c r="A8053" s="10">
        <v>45766</v>
      </c>
      <c r="B8053" t="s" s="11">
        <v>5</v>
      </c>
      <c r="C8053" t="s" s="12">
        <v>20</v>
      </c>
      <c r="D8053" s="17"/>
      <c r="E8053" s="17">
        <v>20000</v>
      </c>
      <c r="F8053" s="18"/>
      <c r="G8053" s="18"/>
      <c r="H8053" s="18"/>
      <c r="I8053" s="18"/>
    </row>
    <row r="8054" ht="20.35" customHeight="1">
      <c r="A8054" s="10">
        <v>45766</v>
      </c>
      <c r="B8054" t="s" s="11">
        <v>89</v>
      </c>
      <c r="C8054" t="s" s="12">
        <v>20</v>
      </c>
      <c r="D8054" s="13">
        <v>20000</v>
      </c>
      <c r="E8054" s="13"/>
      <c r="F8054" s="14"/>
      <c r="G8054" s="14"/>
      <c r="H8054" s="14"/>
      <c r="I8054" s="14"/>
    </row>
    <row r="8055" ht="20.7" customHeight="1">
      <c r="A8055" s="10">
        <v>45766</v>
      </c>
      <c r="B8055" t="s" s="11">
        <v>8</v>
      </c>
      <c r="C8055" t="s" s="12">
        <v>8</v>
      </c>
      <c r="D8055" s="15" cm="1">
        <f t="array" ref="D8055">SUM(D8053:D8054)</f>
        <v>20000</v>
      </c>
      <c r="E8055" s="15" cm="1">
        <f t="array" ref="E8055">SUM(E8053:E8054)</f>
        <v>20000</v>
      </c>
      <c r="F8055" s="16" cm="1">
        <f t="array" ref="F8055">SUM(F8053:F8054)</f>
        <v>0</v>
      </c>
      <c r="G8055" s="16" cm="1">
        <f t="array" ref="G8055">SUM(G8053:G8054)</f>
        <v>0</v>
      </c>
      <c r="H8055" s="16" cm="1">
        <f t="array" ref="H8055">SUM(H8053:H8054)</f>
        <v>0</v>
      </c>
      <c r="I8055" s="16" cm="1">
        <f t="array" ref="I8055">SUM(I8053:I8054)</f>
        <v>0</v>
      </c>
    </row>
    <row r="8056" ht="20.35" customHeight="1">
      <c r="A8056" s="10">
        <v>45767</v>
      </c>
      <c r="B8056" t="s" s="11">
        <v>814</v>
      </c>
      <c r="C8056" t="s" s="12">
        <v>96</v>
      </c>
      <c r="D8056" s="17"/>
      <c r="E8056" s="17">
        <v>35000</v>
      </c>
      <c r="F8056" s="18"/>
      <c r="G8056" s="18"/>
      <c r="H8056" s="18"/>
      <c r="I8056" s="18"/>
    </row>
    <row r="8057" ht="20.35" customHeight="1">
      <c r="A8057" s="10">
        <v>45767</v>
      </c>
      <c r="B8057" t="s" s="11">
        <v>5</v>
      </c>
      <c r="C8057" t="s" s="12">
        <v>96</v>
      </c>
      <c r="D8057" s="13">
        <v>35000</v>
      </c>
      <c r="E8057" s="13"/>
      <c r="F8057" s="14"/>
      <c r="G8057" s="14"/>
      <c r="H8057" s="14"/>
      <c r="I8057" s="14"/>
    </row>
    <row r="8058" ht="20.7" customHeight="1">
      <c r="A8058" s="10">
        <v>45767</v>
      </c>
      <c r="B8058" t="s" s="11">
        <v>8</v>
      </c>
      <c r="C8058" t="s" s="12">
        <v>8</v>
      </c>
      <c r="D8058" s="15" cm="1">
        <f t="array" ref="D8058">SUM(D8056:D8057)</f>
        <v>35000</v>
      </c>
      <c r="E8058" s="15" cm="1">
        <f t="array" ref="E8058">SUM(E8056:E8057)</f>
        <v>35000</v>
      </c>
      <c r="F8058" s="16" cm="1">
        <f t="array" ref="F8058">SUM(F8056:F8057)</f>
        <v>0</v>
      </c>
      <c r="G8058" s="16" cm="1">
        <f t="array" ref="G8058">SUM(G8056:G8057)</f>
        <v>0</v>
      </c>
      <c r="H8058" s="16" cm="1">
        <f t="array" ref="H8058">SUM(H8056:H8057)</f>
        <v>0</v>
      </c>
      <c r="I8058" s="16" cm="1">
        <f t="array" ref="I8058">SUM(I8056:I8057)</f>
        <v>0</v>
      </c>
    </row>
    <row r="8059" ht="20.35" customHeight="1">
      <c r="A8059" s="10">
        <v>45767</v>
      </c>
      <c r="B8059" t="s" s="11">
        <v>5</v>
      </c>
      <c r="C8059" t="s" s="12">
        <v>1112</v>
      </c>
      <c r="D8059" s="17"/>
      <c r="E8059" s="17">
        <v>38000</v>
      </c>
      <c r="F8059" s="18"/>
      <c r="G8059" s="18"/>
      <c r="H8059" s="18"/>
      <c r="I8059" s="18"/>
    </row>
    <row r="8060" ht="20.35" customHeight="1">
      <c r="A8060" s="10">
        <v>45767</v>
      </c>
      <c r="B8060" t="s" s="11">
        <v>12</v>
      </c>
      <c r="C8060" t="s" s="12">
        <v>1112</v>
      </c>
      <c r="D8060" s="13">
        <v>38000</v>
      </c>
      <c r="E8060" s="13"/>
      <c r="F8060" s="14"/>
      <c r="G8060" s="14"/>
      <c r="H8060" s="14"/>
      <c r="I8060" s="14"/>
    </row>
    <row r="8061" ht="20.7" customHeight="1">
      <c r="A8061" s="10">
        <v>45767</v>
      </c>
      <c r="B8061" t="s" s="11">
        <v>8</v>
      </c>
      <c r="C8061" t="s" s="12">
        <v>8</v>
      </c>
      <c r="D8061" s="15" cm="1">
        <f t="array" ref="D8061">SUM(D8059:D8060)</f>
        <v>38000</v>
      </c>
      <c r="E8061" s="15" cm="1">
        <f t="array" ref="E8061">SUM(E8059:E8060)</f>
        <v>38000</v>
      </c>
      <c r="F8061" s="16" cm="1">
        <f t="array" ref="F8061">SUM(F8059:F8060)</f>
        <v>0</v>
      </c>
      <c r="G8061" s="16" cm="1">
        <f t="array" ref="G8061">SUM(G8059:G8060)</f>
        <v>0</v>
      </c>
      <c r="H8061" s="16" cm="1">
        <f t="array" ref="H8061">SUM(H8059:H8060)</f>
        <v>0</v>
      </c>
      <c r="I8061" s="16" cm="1">
        <f t="array" ref="I8061">SUM(I8059:I8060)</f>
        <v>0</v>
      </c>
    </row>
    <row r="8062" ht="20.65" customHeight="1">
      <c r="A8062" s="10">
        <v>45767</v>
      </c>
      <c r="B8062" t="s" s="11">
        <v>843</v>
      </c>
      <c r="C8062" t="s" s="12">
        <v>820</v>
      </c>
      <c r="D8062" s="17">
        <v>1</v>
      </c>
      <c r="E8062" s="17"/>
      <c r="F8062" s="18"/>
      <c r="G8062" s="18"/>
      <c r="H8062" s="18"/>
      <c r="I8062" s="18"/>
    </row>
    <row r="8063" ht="20.65" customHeight="1">
      <c r="A8063" s="10">
        <v>45767</v>
      </c>
      <c r="B8063" t="s" s="11">
        <v>7</v>
      </c>
      <c r="C8063" t="s" s="12">
        <v>820</v>
      </c>
      <c r="D8063" s="13"/>
      <c r="E8063" s="13">
        <v>1</v>
      </c>
      <c r="F8063" s="14"/>
      <c r="G8063" s="14"/>
      <c r="H8063" s="14"/>
      <c r="I8063" s="14"/>
    </row>
    <row r="8064" ht="20.7" customHeight="1">
      <c r="A8064" s="10">
        <v>45767</v>
      </c>
      <c r="B8064" t="s" s="11">
        <v>8</v>
      </c>
      <c r="C8064" t="s" s="12">
        <v>8</v>
      </c>
      <c r="D8064" s="15" cm="1">
        <f t="array" ref="D8064">SUM(D8062:D8063)</f>
        <v>1</v>
      </c>
      <c r="E8064" s="15" cm="1">
        <f t="array" ref="E8064">SUM(E8062:E8063)</f>
        <v>1</v>
      </c>
      <c r="F8064" s="16" cm="1">
        <f t="array" ref="F8064">SUM(F8062:F8063)</f>
        <v>0</v>
      </c>
      <c r="G8064" s="16" cm="1">
        <f t="array" ref="G8064">SUM(G8062:G8063)</f>
        <v>0</v>
      </c>
      <c r="H8064" s="16" cm="1">
        <f t="array" ref="H8064">SUM(H8062:H8063)</f>
        <v>0</v>
      </c>
      <c r="I8064" s="16" cm="1">
        <f t="array" ref="I8064">SUM(I8062:I8063)</f>
        <v>0</v>
      </c>
    </row>
    <row r="8065" ht="20.65" customHeight="1">
      <c r="A8065" s="10">
        <v>45767</v>
      </c>
      <c r="B8065" t="s" s="11">
        <v>814</v>
      </c>
      <c r="C8065" t="s" s="12">
        <v>820</v>
      </c>
      <c r="D8065" s="17">
        <v>120</v>
      </c>
      <c r="E8065" s="17"/>
      <c r="F8065" s="18"/>
      <c r="G8065" s="18"/>
      <c r="H8065" s="18"/>
      <c r="I8065" s="18"/>
    </row>
    <row r="8066" ht="20.65" customHeight="1">
      <c r="A8066" s="10">
        <v>45767</v>
      </c>
      <c r="B8066" t="s" s="11">
        <v>7</v>
      </c>
      <c r="C8066" t="s" s="12">
        <v>820</v>
      </c>
      <c r="D8066" s="13"/>
      <c r="E8066" s="13">
        <v>120</v>
      </c>
      <c r="F8066" s="14"/>
      <c r="G8066" s="14"/>
      <c r="H8066" s="14"/>
      <c r="I8066" s="14"/>
    </row>
    <row r="8067" ht="20.7" customHeight="1">
      <c r="A8067" s="10">
        <v>45767</v>
      </c>
      <c r="B8067" t="s" s="11">
        <v>8</v>
      </c>
      <c r="C8067" t="s" s="12">
        <v>8</v>
      </c>
      <c r="D8067" s="15" cm="1">
        <f t="array" ref="D8067">SUM(D8065:D8066)</f>
        <v>120</v>
      </c>
      <c r="E8067" s="15" cm="1">
        <f t="array" ref="E8067">SUM(E8065:E8066)</f>
        <v>120</v>
      </c>
      <c r="F8067" s="16" cm="1">
        <f t="array" ref="F8067">SUM(F8065:F8066)</f>
        <v>0</v>
      </c>
      <c r="G8067" s="16" cm="1">
        <f t="array" ref="G8067">SUM(G8065:G8066)</f>
        <v>0</v>
      </c>
      <c r="H8067" s="16" cm="1">
        <f t="array" ref="H8067">SUM(H8065:H8066)</f>
        <v>0</v>
      </c>
      <c r="I8067" s="16" cm="1">
        <f t="array" ref="I8067">SUM(I8065:I8066)</f>
        <v>0</v>
      </c>
    </row>
    <row r="8068" ht="20.35" customHeight="1">
      <c r="A8068" s="10">
        <v>45767</v>
      </c>
      <c r="B8068" t="s" s="11">
        <v>814</v>
      </c>
      <c r="C8068" t="s" s="12">
        <v>96</v>
      </c>
      <c r="D8068" s="17"/>
      <c r="E8068" s="17">
        <v>40000</v>
      </c>
      <c r="F8068" s="18"/>
      <c r="G8068" s="18"/>
      <c r="H8068" s="18"/>
      <c r="I8068" s="18"/>
    </row>
    <row r="8069" ht="20.35" customHeight="1">
      <c r="A8069" s="10">
        <v>45767</v>
      </c>
      <c r="B8069" t="s" s="11">
        <v>5</v>
      </c>
      <c r="C8069" t="s" s="12">
        <v>96</v>
      </c>
      <c r="D8069" s="13">
        <v>40000</v>
      </c>
      <c r="E8069" s="13"/>
      <c r="F8069" s="14"/>
      <c r="G8069" s="14"/>
      <c r="H8069" s="14"/>
      <c r="I8069" s="14"/>
    </row>
    <row r="8070" ht="20.7" customHeight="1">
      <c r="A8070" s="10">
        <v>45767</v>
      </c>
      <c r="B8070" t="s" s="11">
        <v>8</v>
      </c>
      <c r="C8070" t="s" s="12">
        <v>8</v>
      </c>
      <c r="D8070" s="15" cm="1">
        <f t="array" ref="D8070">SUM(D8068:D8069)</f>
        <v>40000</v>
      </c>
      <c r="E8070" s="15" cm="1">
        <f t="array" ref="E8070">SUM(E8068:E8069)</f>
        <v>40000</v>
      </c>
      <c r="F8070" s="16" cm="1">
        <f t="array" ref="F8070">SUM(F8068:F8069)</f>
        <v>0</v>
      </c>
      <c r="G8070" s="16" cm="1">
        <f t="array" ref="G8070">SUM(G8068:G8069)</f>
        <v>0</v>
      </c>
      <c r="H8070" s="16" cm="1">
        <f t="array" ref="H8070">SUM(H8068:H8069)</f>
        <v>0</v>
      </c>
      <c r="I8070" s="16" cm="1">
        <f t="array" ref="I8070">SUM(I8068:I8069)</f>
        <v>0</v>
      </c>
    </row>
    <row r="8071" ht="20.35" customHeight="1">
      <c r="A8071" s="10">
        <v>45767</v>
      </c>
      <c r="B8071" t="s" s="11">
        <v>5</v>
      </c>
      <c r="C8071" t="s" s="12">
        <v>439</v>
      </c>
      <c r="D8071" s="17"/>
      <c r="E8071" s="17">
        <v>30000</v>
      </c>
      <c r="F8071" s="18"/>
      <c r="G8071" s="18"/>
      <c r="H8071" s="18"/>
      <c r="I8071" s="18"/>
    </row>
    <row r="8072" ht="20.35" customHeight="1">
      <c r="A8072" s="10">
        <v>45767</v>
      </c>
      <c r="B8072" t="s" s="11">
        <v>121</v>
      </c>
      <c r="C8072" t="s" s="12">
        <v>439</v>
      </c>
      <c r="D8072" s="13">
        <v>30000</v>
      </c>
      <c r="E8072" s="13"/>
      <c r="F8072" s="14"/>
      <c r="G8072" s="14"/>
      <c r="H8072" s="14"/>
      <c r="I8072" s="14"/>
    </row>
    <row r="8073" ht="20.7" customHeight="1">
      <c r="A8073" s="10">
        <v>45767</v>
      </c>
      <c r="B8073" t="s" s="11">
        <v>8</v>
      </c>
      <c r="C8073" t="s" s="12">
        <v>8</v>
      </c>
      <c r="D8073" s="15" cm="1">
        <f t="array" ref="D8073">SUM(D8071:D8072)</f>
        <v>30000</v>
      </c>
      <c r="E8073" s="15" cm="1">
        <f t="array" ref="E8073">SUM(E8071:E8072)</f>
        <v>30000</v>
      </c>
      <c r="F8073" s="16" cm="1">
        <f t="array" ref="F8073">SUM(F8071:F8072)</f>
        <v>0</v>
      </c>
      <c r="G8073" s="16" cm="1">
        <f t="array" ref="G8073">SUM(G8071:G8072)</f>
        <v>0</v>
      </c>
      <c r="H8073" s="16" cm="1">
        <f t="array" ref="H8073">SUM(H8071:H8072)</f>
        <v>0</v>
      </c>
      <c r="I8073" s="16" cm="1">
        <f t="array" ref="I8073">SUM(I8071:I8072)</f>
        <v>0</v>
      </c>
    </row>
    <row r="8074" ht="20.35" customHeight="1">
      <c r="A8074" s="10">
        <v>45767</v>
      </c>
      <c r="B8074" t="s" s="11">
        <v>5</v>
      </c>
      <c r="C8074" t="s" s="12">
        <v>604</v>
      </c>
      <c r="D8074" s="17"/>
      <c r="E8074" s="17">
        <v>10000</v>
      </c>
      <c r="F8074" s="18"/>
      <c r="G8074" s="18"/>
      <c r="H8074" s="18"/>
      <c r="I8074" s="18"/>
    </row>
    <row r="8075" ht="20.35" customHeight="1">
      <c r="A8075" s="10">
        <v>45767</v>
      </c>
      <c r="B8075" t="s" s="11">
        <v>93</v>
      </c>
      <c r="C8075" t="s" s="12">
        <v>604</v>
      </c>
      <c r="D8075" s="13">
        <v>10000</v>
      </c>
      <c r="E8075" s="13"/>
      <c r="F8075" s="14"/>
      <c r="G8075" s="14"/>
      <c r="H8075" s="14"/>
      <c r="I8075" s="14"/>
    </row>
    <row r="8076" ht="20.7" customHeight="1">
      <c r="A8076" s="10">
        <v>45767</v>
      </c>
      <c r="B8076" t="s" s="11">
        <v>8</v>
      </c>
      <c r="C8076" t="s" s="12">
        <v>8</v>
      </c>
      <c r="D8076" s="15" cm="1">
        <f t="array" ref="D8076">SUM(D8074:D8075)</f>
        <v>10000</v>
      </c>
      <c r="E8076" s="15" cm="1">
        <f t="array" ref="E8076">SUM(E8074:E8075)</f>
        <v>10000</v>
      </c>
      <c r="F8076" s="16" cm="1">
        <f t="array" ref="F8076">SUM(F8074:F8075)</f>
        <v>0</v>
      </c>
      <c r="G8076" s="16" cm="1">
        <f t="array" ref="G8076">SUM(G8074:G8075)</f>
        <v>0</v>
      </c>
      <c r="H8076" s="16" cm="1">
        <f t="array" ref="H8076">SUM(H8074:H8075)</f>
        <v>0</v>
      </c>
      <c r="I8076" s="16" cm="1">
        <f t="array" ref="I8076">SUM(I8074:I8075)</f>
        <v>0</v>
      </c>
    </row>
    <row r="8077" ht="20.35" customHeight="1">
      <c r="A8077" s="10">
        <v>45767</v>
      </c>
      <c r="B8077" t="s" s="11">
        <v>93</v>
      </c>
      <c r="C8077" t="s" s="12">
        <v>54</v>
      </c>
      <c r="D8077" s="17"/>
      <c r="E8077" s="17">
        <v>3300</v>
      </c>
      <c r="F8077" s="18"/>
      <c r="G8077" s="18"/>
      <c r="H8077" s="18"/>
      <c r="I8077" s="18"/>
    </row>
    <row r="8078" ht="20.35" customHeight="1">
      <c r="A8078" s="10">
        <v>45767</v>
      </c>
      <c r="B8078" t="s" s="11">
        <v>10</v>
      </c>
      <c r="C8078" t="s" s="12">
        <v>54</v>
      </c>
      <c r="D8078" s="13">
        <v>3300</v>
      </c>
      <c r="E8078" s="13"/>
      <c r="F8078" s="14"/>
      <c r="G8078" s="14"/>
      <c r="H8078" s="14"/>
      <c r="I8078" s="14"/>
    </row>
    <row r="8079" ht="20.7" customHeight="1">
      <c r="A8079" s="10">
        <v>45767</v>
      </c>
      <c r="B8079" t="s" s="11">
        <v>8</v>
      </c>
      <c r="C8079" t="s" s="12">
        <v>8</v>
      </c>
      <c r="D8079" s="15" cm="1">
        <f t="array" ref="D8079">SUM(D8077:D8078)</f>
        <v>3300</v>
      </c>
      <c r="E8079" s="15" cm="1">
        <f t="array" ref="E8079">SUM(E8077:E8078)</f>
        <v>3300</v>
      </c>
      <c r="F8079" s="16" cm="1">
        <f t="array" ref="F8079">SUM(F8077:F8078)</f>
        <v>0</v>
      </c>
      <c r="G8079" s="16" cm="1">
        <f t="array" ref="G8079">SUM(G8077:G8078)</f>
        <v>0</v>
      </c>
      <c r="H8079" s="16" cm="1">
        <f t="array" ref="H8079">SUM(H8077:H8078)</f>
        <v>0</v>
      </c>
      <c r="I8079" s="16" cm="1">
        <f t="array" ref="I8079">SUM(I8077:I8078)</f>
        <v>0</v>
      </c>
    </row>
    <row r="8080" ht="20.35" customHeight="1">
      <c r="A8080" s="10">
        <v>45767</v>
      </c>
      <c r="B8080" t="s" s="11">
        <v>814</v>
      </c>
      <c r="C8080" t="s" s="12">
        <v>96</v>
      </c>
      <c r="D8080" s="17"/>
      <c r="E8080" s="17">
        <v>50000</v>
      </c>
      <c r="F8080" s="18"/>
      <c r="G8080" s="18"/>
      <c r="H8080" s="18"/>
      <c r="I8080" s="18"/>
    </row>
    <row r="8081" ht="20.35" customHeight="1">
      <c r="A8081" s="10">
        <v>45767</v>
      </c>
      <c r="B8081" t="s" s="11">
        <v>5</v>
      </c>
      <c r="C8081" t="s" s="12">
        <v>96</v>
      </c>
      <c r="D8081" s="13">
        <v>50000</v>
      </c>
      <c r="E8081" s="13"/>
      <c r="F8081" s="14"/>
      <c r="G8081" s="14"/>
      <c r="H8081" s="14"/>
      <c r="I8081" s="14"/>
    </row>
    <row r="8082" ht="20.7" customHeight="1">
      <c r="A8082" s="10">
        <v>45767</v>
      </c>
      <c r="B8082" t="s" s="11">
        <v>8</v>
      </c>
      <c r="C8082" t="s" s="12">
        <v>8</v>
      </c>
      <c r="D8082" s="15" cm="1">
        <f t="array" ref="D8082">SUM(D8080:D8081)</f>
        <v>50000</v>
      </c>
      <c r="E8082" s="15" cm="1">
        <f t="array" ref="E8082">SUM(E8080:E8081)</f>
        <v>50000</v>
      </c>
      <c r="F8082" s="16" cm="1">
        <f t="array" ref="F8082">SUM(F8080:F8081)</f>
        <v>0</v>
      </c>
      <c r="G8082" s="16" cm="1">
        <f t="array" ref="G8082">SUM(G8080:G8081)</f>
        <v>0</v>
      </c>
      <c r="H8082" s="16" cm="1">
        <f t="array" ref="H8082">SUM(H8080:H8081)</f>
        <v>0</v>
      </c>
      <c r="I8082" s="16" cm="1">
        <f t="array" ref="I8082">SUM(I8080:I8081)</f>
        <v>0</v>
      </c>
    </row>
    <row r="8083" ht="20.35" customHeight="1">
      <c r="A8083" s="10">
        <v>45767</v>
      </c>
      <c r="B8083" t="s" s="11">
        <v>5</v>
      </c>
      <c r="C8083" t="s" s="12">
        <v>439</v>
      </c>
      <c r="D8083" s="17"/>
      <c r="E8083" s="17">
        <v>54986</v>
      </c>
      <c r="F8083" s="18"/>
      <c r="G8083" s="18"/>
      <c r="H8083" s="18"/>
      <c r="I8083" s="18"/>
    </row>
    <row r="8084" ht="20.35" customHeight="1">
      <c r="A8084" s="10">
        <v>45767</v>
      </c>
      <c r="B8084" t="s" s="11">
        <v>121</v>
      </c>
      <c r="C8084" t="s" s="12">
        <v>439</v>
      </c>
      <c r="D8084" s="13">
        <v>54986</v>
      </c>
      <c r="E8084" s="13"/>
      <c r="F8084" s="14"/>
      <c r="G8084" s="14"/>
      <c r="H8084" s="14"/>
      <c r="I8084" s="14"/>
    </row>
    <row r="8085" ht="20.7" customHeight="1">
      <c r="A8085" s="10">
        <v>45767</v>
      </c>
      <c r="B8085" t="s" s="11">
        <v>8</v>
      </c>
      <c r="C8085" t="s" s="12">
        <v>8</v>
      </c>
      <c r="D8085" s="15" cm="1">
        <f t="array" ref="D8085">SUM(D8083:D8084)</f>
        <v>54986</v>
      </c>
      <c r="E8085" s="15" cm="1">
        <f t="array" ref="E8085">SUM(E8083:E8084)</f>
        <v>54986</v>
      </c>
      <c r="F8085" s="16" cm="1">
        <f t="array" ref="F8085">SUM(F8083:F8084)</f>
        <v>0</v>
      </c>
      <c r="G8085" s="16" cm="1">
        <f t="array" ref="G8085">SUM(G8083:G8084)</f>
        <v>0</v>
      </c>
      <c r="H8085" s="16" cm="1">
        <f t="array" ref="H8085">SUM(H8083:H8084)</f>
        <v>0</v>
      </c>
      <c r="I8085" s="16" cm="1">
        <f t="array" ref="I8085">SUM(I8083:I8084)</f>
        <v>0</v>
      </c>
    </row>
    <row r="8086" ht="21.25" customHeight="1">
      <c r="A8086" s="10">
        <v>45767</v>
      </c>
      <c r="B8086" t="s" s="11">
        <v>121</v>
      </c>
      <c r="C8086" t="s" s="12">
        <v>1113</v>
      </c>
      <c r="D8086" s="17"/>
      <c r="E8086" s="17">
        <v>32500</v>
      </c>
      <c r="F8086" s="18"/>
      <c r="G8086" s="18"/>
      <c r="H8086" s="18"/>
      <c r="I8086" s="18"/>
    </row>
    <row r="8087" ht="20.9" customHeight="1">
      <c r="A8087" s="10">
        <v>45767</v>
      </c>
      <c r="B8087" t="s" s="11">
        <v>10</v>
      </c>
      <c r="C8087" t="s" s="12">
        <v>1113</v>
      </c>
      <c r="D8087" s="19">
        <v>16250</v>
      </c>
      <c r="E8087" s="19"/>
      <c r="F8087" s="20"/>
      <c r="G8087" s="20"/>
      <c r="H8087" s="20"/>
      <c r="I8087" s="20"/>
    </row>
    <row r="8088" ht="21.25" customHeight="1">
      <c r="A8088" s="10">
        <v>45767</v>
      </c>
      <c r="B8088" t="s" s="11">
        <v>12</v>
      </c>
      <c r="C8088" t="s" s="12">
        <v>1113</v>
      </c>
      <c r="D8088" s="13">
        <v>16250</v>
      </c>
      <c r="E8088" s="13"/>
      <c r="F8088" s="14"/>
      <c r="G8088" s="14"/>
      <c r="H8088" s="14"/>
      <c r="I8088" s="14"/>
    </row>
    <row r="8089" ht="20.7" customHeight="1">
      <c r="A8089" s="10">
        <v>45767</v>
      </c>
      <c r="B8089" t="s" s="11">
        <v>8</v>
      </c>
      <c r="C8089" t="s" s="12">
        <v>8</v>
      </c>
      <c r="D8089" s="15" cm="1">
        <f t="array" ref="D8089">SUM(D8086:D8088)</f>
        <v>32500</v>
      </c>
      <c r="E8089" s="15" cm="1">
        <f t="array" ref="E8089">SUM(E8086:E8088)</f>
        <v>32500</v>
      </c>
      <c r="F8089" s="16" cm="1">
        <f t="array" ref="F8089">SUM(F8086:F8088)</f>
        <v>0</v>
      </c>
      <c r="G8089" s="16" cm="1">
        <f t="array" ref="G8089">SUM(G8086:G8088)</f>
        <v>0</v>
      </c>
      <c r="H8089" s="16" cm="1">
        <f t="array" ref="H8089">SUM(H8086:H8088)</f>
        <v>0</v>
      </c>
      <c r="I8089" s="16" cm="1">
        <f t="array" ref="I8089">SUM(I8086:I8088)</f>
        <v>0</v>
      </c>
    </row>
    <row r="8090" ht="21.25" customHeight="1">
      <c r="A8090" s="10">
        <v>45768</v>
      </c>
      <c r="B8090" t="s" s="11">
        <v>121</v>
      </c>
      <c r="C8090" t="s" s="12">
        <v>1085</v>
      </c>
      <c r="D8090" s="17"/>
      <c r="E8090" s="17">
        <v>1500</v>
      </c>
      <c r="F8090" s="18"/>
      <c r="G8090" s="18"/>
      <c r="H8090" s="18"/>
      <c r="I8090" s="18"/>
    </row>
    <row r="8091" ht="21.25" customHeight="1">
      <c r="A8091" s="10">
        <v>45768</v>
      </c>
      <c r="B8091" t="s" s="11">
        <v>21</v>
      </c>
      <c r="C8091" t="s" s="12">
        <v>1085</v>
      </c>
      <c r="D8091" s="13">
        <v>1500</v>
      </c>
      <c r="E8091" s="13"/>
      <c r="F8091" s="14"/>
      <c r="G8091" s="14"/>
      <c r="H8091" s="14"/>
      <c r="I8091" s="14"/>
    </row>
    <row r="8092" ht="20.7" customHeight="1">
      <c r="A8092" s="10">
        <v>45768</v>
      </c>
      <c r="B8092" t="s" s="11">
        <v>8</v>
      </c>
      <c r="C8092" t="s" s="12">
        <v>8</v>
      </c>
      <c r="D8092" s="15" cm="1">
        <f t="array" ref="D8092">SUM(D8090:D8091)</f>
        <v>1500</v>
      </c>
      <c r="E8092" s="15" cm="1">
        <f t="array" ref="E8092">SUM(E8090:E8091)</f>
        <v>1500</v>
      </c>
      <c r="F8092" s="16" cm="1">
        <f t="array" ref="F8092">SUM(F8090:F8091)</f>
        <v>0</v>
      </c>
      <c r="G8092" s="16" cm="1">
        <f t="array" ref="G8092">SUM(G8090:G8091)</f>
        <v>0</v>
      </c>
      <c r="H8092" s="16" cm="1">
        <f t="array" ref="H8092">SUM(H8090:H8091)</f>
        <v>0</v>
      </c>
      <c r="I8092" s="16" cm="1">
        <f t="array" ref="I8092">SUM(I8090:I8091)</f>
        <v>0</v>
      </c>
    </row>
    <row r="8093" ht="20.65" customHeight="1">
      <c r="A8093" s="10">
        <v>45768</v>
      </c>
      <c r="B8093" t="s" s="11">
        <v>843</v>
      </c>
      <c r="C8093" t="s" s="12">
        <v>820</v>
      </c>
      <c r="D8093" s="17">
        <v>1</v>
      </c>
      <c r="E8093" s="17"/>
      <c r="F8093" s="18"/>
      <c r="G8093" s="18"/>
      <c r="H8093" s="18"/>
      <c r="I8093" s="18"/>
    </row>
    <row r="8094" ht="20.65" customHeight="1">
      <c r="A8094" s="10">
        <v>45768</v>
      </c>
      <c r="B8094" t="s" s="11">
        <v>7</v>
      </c>
      <c r="C8094" t="s" s="12">
        <v>820</v>
      </c>
      <c r="D8094" s="13"/>
      <c r="E8094" s="13">
        <v>1</v>
      </c>
      <c r="F8094" s="14"/>
      <c r="G8094" s="14"/>
      <c r="H8094" s="14"/>
      <c r="I8094" s="14"/>
    </row>
    <row r="8095" ht="20.7" customHeight="1">
      <c r="A8095" s="10">
        <v>45768</v>
      </c>
      <c r="B8095" t="s" s="11">
        <v>8</v>
      </c>
      <c r="C8095" t="s" s="12">
        <v>8</v>
      </c>
      <c r="D8095" s="15" cm="1">
        <f t="array" ref="D8095">SUM(D8093:D8094)</f>
        <v>1</v>
      </c>
      <c r="E8095" s="15" cm="1">
        <f t="array" ref="E8095">SUM(E8093:E8094)</f>
        <v>1</v>
      </c>
      <c r="F8095" s="16" cm="1">
        <f t="array" ref="F8095">SUM(F8093:F8094)</f>
        <v>0</v>
      </c>
      <c r="G8095" s="16" cm="1">
        <f t="array" ref="G8095">SUM(G8093:G8094)</f>
        <v>0</v>
      </c>
      <c r="H8095" s="16" cm="1">
        <f t="array" ref="H8095">SUM(H8093:H8094)</f>
        <v>0</v>
      </c>
      <c r="I8095" s="16" cm="1">
        <f t="array" ref="I8095">SUM(I8093:I8094)</f>
        <v>0</v>
      </c>
    </row>
    <row r="8096" ht="20.65" customHeight="1">
      <c r="A8096" s="10">
        <v>45768</v>
      </c>
      <c r="B8096" t="s" s="11">
        <v>814</v>
      </c>
      <c r="C8096" t="s" s="12">
        <v>820</v>
      </c>
      <c r="D8096" s="17">
        <v>114</v>
      </c>
      <c r="E8096" s="17"/>
      <c r="F8096" s="18"/>
      <c r="G8096" s="18"/>
      <c r="H8096" s="18"/>
      <c r="I8096" s="18"/>
    </row>
    <row r="8097" ht="20.65" customHeight="1">
      <c r="A8097" s="10">
        <v>45768</v>
      </c>
      <c r="B8097" t="s" s="11">
        <v>7</v>
      </c>
      <c r="C8097" t="s" s="12">
        <v>820</v>
      </c>
      <c r="D8097" s="13"/>
      <c r="E8097" s="13">
        <v>114</v>
      </c>
      <c r="F8097" s="14"/>
      <c r="G8097" s="14"/>
      <c r="H8097" s="14"/>
      <c r="I8097" s="14"/>
    </row>
    <row r="8098" ht="20.7" customHeight="1">
      <c r="A8098" s="10">
        <v>45768</v>
      </c>
      <c r="B8098" t="s" s="11">
        <v>8</v>
      </c>
      <c r="C8098" t="s" s="12">
        <v>8</v>
      </c>
      <c r="D8098" s="15" cm="1">
        <f t="array" ref="D8098">SUM(D8096:D8097)</f>
        <v>114</v>
      </c>
      <c r="E8098" s="15" cm="1">
        <f t="array" ref="E8098">SUM(E8096:E8097)</f>
        <v>114</v>
      </c>
      <c r="F8098" s="16" cm="1">
        <f t="array" ref="F8098">SUM(F8096:F8097)</f>
        <v>0</v>
      </c>
      <c r="G8098" s="16" cm="1">
        <f t="array" ref="G8098">SUM(G8096:G8097)</f>
        <v>0</v>
      </c>
      <c r="H8098" s="16" cm="1">
        <f t="array" ref="H8098">SUM(H8096:H8097)</f>
        <v>0</v>
      </c>
      <c r="I8098" s="16" cm="1">
        <f t="array" ref="I8098">SUM(I8096:I8097)</f>
        <v>0</v>
      </c>
    </row>
    <row r="8099" ht="21.25" customHeight="1">
      <c r="A8099" s="10">
        <v>45768</v>
      </c>
      <c r="B8099" t="s" s="11">
        <v>121</v>
      </c>
      <c r="C8099" t="s" s="12">
        <v>1114</v>
      </c>
      <c r="D8099" s="17"/>
      <c r="E8099" s="17">
        <v>15900</v>
      </c>
      <c r="F8099" s="18"/>
      <c r="G8099" s="18"/>
      <c r="H8099" s="18"/>
      <c r="I8099" s="18"/>
    </row>
    <row r="8100" ht="21.25" customHeight="1">
      <c r="A8100" s="10">
        <v>45768</v>
      </c>
      <c r="B8100" t="s" s="11">
        <v>12</v>
      </c>
      <c r="C8100" t="s" s="12">
        <v>1114</v>
      </c>
      <c r="D8100" s="13">
        <v>15900</v>
      </c>
      <c r="E8100" s="13"/>
      <c r="F8100" s="14"/>
      <c r="G8100" s="14"/>
      <c r="H8100" s="14"/>
      <c r="I8100" s="14"/>
    </row>
    <row r="8101" ht="20.7" customHeight="1">
      <c r="A8101" s="10">
        <v>45768</v>
      </c>
      <c r="B8101" t="s" s="11">
        <v>8</v>
      </c>
      <c r="C8101" t="s" s="12">
        <v>8</v>
      </c>
      <c r="D8101" s="15" cm="1">
        <f t="array" ref="D8101">SUM(D8099:D8100)</f>
        <v>15900</v>
      </c>
      <c r="E8101" s="15" cm="1">
        <f t="array" ref="E8101">SUM(E8099:E8100)</f>
        <v>15900</v>
      </c>
      <c r="F8101" s="16" cm="1">
        <f t="array" ref="F8101">SUM(F8099:F8100)</f>
        <v>0</v>
      </c>
      <c r="G8101" s="16" cm="1">
        <f t="array" ref="G8101">SUM(G8099:G8100)</f>
        <v>0</v>
      </c>
      <c r="H8101" s="16" cm="1">
        <f t="array" ref="H8101">SUM(H8099:H8100)</f>
        <v>0</v>
      </c>
      <c r="I8101" s="16" cm="1">
        <f t="array" ref="I8101">SUM(I8099:I8100)</f>
        <v>0</v>
      </c>
    </row>
    <row r="8102" ht="21.25" customHeight="1">
      <c r="A8102" s="10">
        <v>45768</v>
      </c>
      <c r="B8102" t="s" s="11">
        <v>121</v>
      </c>
      <c r="C8102" t="s" s="12">
        <v>1085</v>
      </c>
      <c r="D8102" s="17"/>
      <c r="E8102" s="17">
        <v>7500</v>
      </c>
      <c r="F8102" s="18"/>
      <c r="G8102" s="18"/>
      <c r="H8102" s="18"/>
      <c r="I8102" s="18"/>
    </row>
    <row r="8103" ht="21.25" customHeight="1">
      <c r="A8103" s="10">
        <v>45768</v>
      </c>
      <c r="B8103" t="s" s="11">
        <v>21</v>
      </c>
      <c r="C8103" t="s" s="12">
        <v>1085</v>
      </c>
      <c r="D8103" s="13">
        <v>7500</v>
      </c>
      <c r="E8103" s="13"/>
      <c r="F8103" s="14"/>
      <c r="G8103" s="14"/>
      <c r="H8103" s="14"/>
      <c r="I8103" s="14"/>
    </row>
    <row r="8104" ht="20.7" customHeight="1">
      <c r="A8104" s="10">
        <v>45768</v>
      </c>
      <c r="B8104" t="s" s="11">
        <v>8</v>
      </c>
      <c r="C8104" t="s" s="12">
        <v>8</v>
      </c>
      <c r="D8104" s="15" cm="1">
        <f t="array" ref="D8104">SUM(D8102:D8103)</f>
        <v>7500</v>
      </c>
      <c r="E8104" s="15" cm="1">
        <f t="array" ref="E8104">SUM(E8102:E8103)</f>
        <v>7500</v>
      </c>
      <c r="F8104" s="16" cm="1">
        <f t="array" ref="F8104">SUM(F8102:F8103)</f>
        <v>0</v>
      </c>
      <c r="G8104" s="16" cm="1">
        <f t="array" ref="G8104">SUM(G8102:G8103)</f>
        <v>0</v>
      </c>
      <c r="H8104" s="16" cm="1">
        <f t="array" ref="H8104">SUM(H8102:H8103)</f>
        <v>0</v>
      </c>
      <c r="I8104" s="16" cm="1">
        <f t="array" ref="I8104">SUM(I8102:I8103)</f>
        <v>0</v>
      </c>
    </row>
    <row r="8105" ht="21.25" customHeight="1">
      <c r="A8105" s="10">
        <v>45768</v>
      </c>
      <c r="B8105" t="s" s="11">
        <v>121</v>
      </c>
      <c r="C8105" t="s" s="12">
        <v>1085</v>
      </c>
      <c r="D8105" s="17"/>
      <c r="E8105" s="17">
        <v>1400</v>
      </c>
      <c r="F8105" s="18"/>
      <c r="G8105" s="18"/>
      <c r="H8105" s="18"/>
      <c r="I8105" s="18"/>
    </row>
    <row r="8106" ht="21.25" customHeight="1">
      <c r="A8106" s="10">
        <v>45768</v>
      </c>
      <c r="B8106" t="s" s="11">
        <v>21</v>
      </c>
      <c r="C8106" t="s" s="12">
        <v>1085</v>
      </c>
      <c r="D8106" s="13">
        <v>1400</v>
      </c>
      <c r="E8106" s="13"/>
      <c r="F8106" s="14"/>
      <c r="G8106" s="14"/>
      <c r="H8106" s="14"/>
      <c r="I8106" s="14"/>
    </row>
    <row r="8107" ht="20.7" customHeight="1">
      <c r="A8107" s="10">
        <v>45768</v>
      </c>
      <c r="B8107" t="s" s="11">
        <v>8</v>
      </c>
      <c r="C8107" t="s" s="12">
        <v>8</v>
      </c>
      <c r="D8107" s="15" cm="1">
        <f t="array" ref="D8107">SUM(D8105:D8106)</f>
        <v>1400</v>
      </c>
      <c r="E8107" s="15" cm="1">
        <f t="array" ref="E8107">SUM(E8105:E8106)</f>
        <v>1400</v>
      </c>
      <c r="F8107" s="16" cm="1">
        <f t="array" ref="F8107">SUM(F8105:F8106)</f>
        <v>0</v>
      </c>
      <c r="G8107" s="16" cm="1">
        <f t="array" ref="G8107">SUM(G8105:G8106)</f>
        <v>0</v>
      </c>
      <c r="H8107" s="16" cm="1">
        <f t="array" ref="H8107">SUM(H8105:H8106)</f>
        <v>0</v>
      </c>
      <c r="I8107" s="16" cm="1">
        <f t="array" ref="I8107">SUM(I8105:I8106)</f>
        <v>0</v>
      </c>
    </row>
    <row r="8108" ht="20.35" customHeight="1">
      <c r="A8108" s="10">
        <v>45769</v>
      </c>
      <c r="B8108" t="s" s="11">
        <v>89</v>
      </c>
      <c r="C8108" t="s" s="12">
        <v>20</v>
      </c>
      <c r="D8108" s="17"/>
      <c r="E8108" s="17">
        <v>20000</v>
      </c>
      <c r="F8108" s="18"/>
      <c r="G8108" s="18"/>
      <c r="H8108" s="18"/>
      <c r="I8108" s="18"/>
    </row>
    <row r="8109" ht="20.35" customHeight="1">
      <c r="A8109" s="10">
        <v>45769</v>
      </c>
      <c r="B8109" t="s" s="11">
        <v>93</v>
      </c>
      <c r="C8109" t="s" s="12">
        <v>20</v>
      </c>
      <c r="D8109" s="13">
        <v>20000</v>
      </c>
      <c r="E8109" s="13"/>
      <c r="F8109" s="14"/>
      <c r="G8109" s="14"/>
      <c r="H8109" s="14"/>
      <c r="I8109" s="14"/>
    </row>
    <row r="8110" ht="20.7" customHeight="1">
      <c r="A8110" s="10">
        <v>45769</v>
      </c>
      <c r="B8110" t="s" s="11">
        <v>8</v>
      </c>
      <c r="C8110" t="s" s="12">
        <v>8</v>
      </c>
      <c r="D8110" s="15" cm="1">
        <f t="array" ref="D8110">SUM(D8108:D8109)</f>
        <v>20000</v>
      </c>
      <c r="E8110" s="15" cm="1">
        <f t="array" ref="E8110">SUM(E8108:E8109)</f>
        <v>20000</v>
      </c>
      <c r="F8110" s="16" cm="1">
        <f t="array" ref="F8110">SUM(F8108:F8109)</f>
        <v>0</v>
      </c>
      <c r="G8110" s="16" cm="1">
        <f t="array" ref="G8110">SUM(G8108:G8109)</f>
        <v>0</v>
      </c>
      <c r="H8110" s="16" cm="1">
        <f t="array" ref="H8110">SUM(H8108:H8109)</f>
        <v>0</v>
      </c>
      <c r="I8110" s="16" cm="1">
        <f t="array" ref="I8110">SUM(I8108:I8109)</f>
        <v>0</v>
      </c>
    </row>
    <row r="8111" ht="21.25" customHeight="1">
      <c r="A8111" s="10">
        <v>45769</v>
      </c>
      <c r="B8111" t="s" s="11">
        <v>121</v>
      </c>
      <c r="C8111" t="s" s="12">
        <v>1115</v>
      </c>
      <c r="D8111" s="17"/>
      <c r="E8111" s="17">
        <v>7500</v>
      </c>
      <c r="F8111" s="18"/>
      <c r="G8111" s="18"/>
      <c r="H8111" s="18"/>
      <c r="I8111" s="18"/>
    </row>
    <row r="8112" ht="20.9" customHeight="1">
      <c r="A8112" s="10">
        <v>45769</v>
      </c>
      <c r="B8112" t="s" s="11">
        <v>12</v>
      </c>
      <c r="C8112" t="s" s="12">
        <v>1115</v>
      </c>
      <c r="D8112" s="19">
        <v>3750</v>
      </c>
      <c r="E8112" s="19"/>
      <c r="F8112" s="20"/>
      <c r="G8112" s="20"/>
      <c r="H8112" s="20"/>
      <c r="I8112" s="20"/>
    </row>
    <row r="8113" ht="21.25" customHeight="1">
      <c r="A8113" s="10">
        <v>45769</v>
      </c>
      <c r="B8113" t="s" s="11">
        <v>10</v>
      </c>
      <c r="C8113" t="s" s="12">
        <v>1115</v>
      </c>
      <c r="D8113" s="13">
        <v>3750</v>
      </c>
      <c r="E8113" s="13"/>
      <c r="F8113" s="14"/>
      <c r="G8113" s="14"/>
      <c r="H8113" s="14"/>
      <c r="I8113" s="14"/>
    </row>
    <row r="8114" ht="20.7" customHeight="1">
      <c r="A8114" s="10">
        <v>45769</v>
      </c>
      <c r="B8114" t="s" s="11">
        <v>8</v>
      </c>
      <c r="C8114" t="s" s="12">
        <v>8</v>
      </c>
      <c r="D8114" s="15" cm="1">
        <f t="array" ref="D8114">SUM(D8111:D8113)</f>
        <v>7500</v>
      </c>
      <c r="E8114" s="15" cm="1">
        <f t="array" ref="E8114">SUM(E8111:E8113)</f>
        <v>7500</v>
      </c>
      <c r="F8114" s="16" cm="1">
        <f t="array" ref="F8114">SUM(F8111:F8113)</f>
        <v>0</v>
      </c>
      <c r="G8114" s="16" cm="1">
        <f t="array" ref="G8114">SUM(G8111:G8113)</f>
        <v>0</v>
      </c>
      <c r="H8114" s="16" cm="1">
        <f t="array" ref="H8114">SUM(H8111:H8113)</f>
        <v>0</v>
      </c>
      <c r="I8114" s="16" cm="1">
        <f t="array" ref="I8114">SUM(I8111:I8113)</f>
        <v>0</v>
      </c>
    </row>
    <row r="8115" ht="20.65" customHeight="1">
      <c r="A8115" s="10">
        <v>45769</v>
      </c>
      <c r="B8115" t="s" s="11">
        <v>843</v>
      </c>
      <c r="C8115" t="s" s="12">
        <v>820</v>
      </c>
      <c r="D8115" s="17">
        <v>1</v>
      </c>
      <c r="E8115" s="17"/>
      <c r="F8115" s="18"/>
      <c r="G8115" s="18"/>
      <c r="H8115" s="18"/>
      <c r="I8115" s="18"/>
    </row>
    <row r="8116" ht="20.65" customHeight="1">
      <c r="A8116" s="10">
        <v>45769</v>
      </c>
      <c r="B8116" t="s" s="11">
        <v>7</v>
      </c>
      <c r="C8116" t="s" s="12">
        <v>820</v>
      </c>
      <c r="D8116" s="13"/>
      <c r="E8116" s="13">
        <v>1</v>
      </c>
      <c r="F8116" s="14"/>
      <c r="G8116" s="14"/>
      <c r="H8116" s="14"/>
      <c r="I8116" s="14"/>
    </row>
    <row r="8117" ht="20.7" customHeight="1">
      <c r="A8117" s="10">
        <v>45769</v>
      </c>
      <c r="B8117" t="s" s="11">
        <v>8</v>
      </c>
      <c r="C8117" t="s" s="12">
        <v>8</v>
      </c>
      <c r="D8117" s="15" cm="1">
        <f t="array" ref="D8117">SUM(D8115:D8116)</f>
        <v>1</v>
      </c>
      <c r="E8117" s="15" cm="1">
        <f t="array" ref="E8117">SUM(E8115:E8116)</f>
        <v>1</v>
      </c>
      <c r="F8117" s="16" cm="1">
        <f t="array" ref="F8117">SUM(F8115:F8116)</f>
        <v>0</v>
      </c>
      <c r="G8117" s="16" cm="1">
        <f t="array" ref="G8117">SUM(G8115:G8116)</f>
        <v>0</v>
      </c>
      <c r="H8117" s="16" cm="1">
        <f t="array" ref="H8117">SUM(H8115:H8116)</f>
        <v>0</v>
      </c>
      <c r="I8117" s="16" cm="1">
        <f t="array" ref="I8117">SUM(I8115:I8116)</f>
        <v>0</v>
      </c>
    </row>
    <row r="8118" ht="20.65" customHeight="1">
      <c r="A8118" s="10">
        <v>45769</v>
      </c>
      <c r="B8118" t="s" s="11">
        <v>814</v>
      </c>
      <c r="C8118" t="s" s="12">
        <v>820</v>
      </c>
      <c r="D8118" s="17">
        <v>114</v>
      </c>
      <c r="E8118" s="17"/>
      <c r="F8118" s="18"/>
      <c r="G8118" s="18"/>
      <c r="H8118" s="18"/>
      <c r="I8118" s="18"/>
    </row>
    <row r="8119" ht="20.65" customHeight="1">
      <c r="A8119" s="10">
        <v>45769</v>
      </c>
      <c r="B8119" t="s" s="11">
        <v>7</v>
      </c>
      <c r="C8119" t="s" s="12">
        <v>820</v>
      </c>
      <c r="D8119" s="13"/>
      <c r="E8119" s="13">
        <v>114</v>
      </c>
      <c r="F8119" s="14"/>
      <c r="G8119" s="14"/>
      <c r="H8119" s="14"/>
      <c r="I8119" s="14"/>
    </row>
    <row r="8120" ht="20.7" customHeight="1">
      <c r="A8120" s="10">
        <v>45769</v>
      </c>
      <c r="B8120" t="s" s="11">
        <v>8</v>
      </c>
      <c r="C8120" t="s" s="12">
        <v>8</v>
      </c>
      <c r="D8120" s="15" cm="1">
        <f t="array" ref="D8120">SUM(D8118:D8119)</f>
        <v>114</v>
      </c>
      <c r="E8120" s="15" cm="1">
        <f t="array" ref="E8120">SUM(E8118:E8119)</f>
        <v>114</v>
      </c>
      <c r="F8120" s="16" cm="1">
        <f t="array" ref="F8120">SUM(F8118:F8119)</f>
        <v>0</v>
      </c>
      <c r="G8120" s="16" cm="1">
        <f t="array" ref="G8120">SUM(G8118:G8119)</f>
        <v>0</v>
      </c>
      <c r="H8120" s="16" cm="1">
        <f t="array" ref="H8120">SUM(H8118:H8119)</f>
        <v>0</v>
      </c>
      <c r="I8120" s="16" cm="1">
        <f t="array" ref="I8120">SUM(I8118:I8119)</f>
        <v>0</v>
      </c>
    </row>
    <row r="8121" ht="20.65" customHeight="1">
      <c r="A8121" s="10">
        <v>45769</v>
      </c>
      <c r="B8121" t="s" s="11">
        <v>121</v>
      </c>
      <c r="C8121" t="s" s="12">
        <v>1116</v>
      </c>
      <c r="D8121" s="17"/>
      <c r="E8121" s="17">
        <v>6500</v>
      </c>
      <c r="F8121" s="18"/>
      <c r="G8121" s="18"/>
      <c r="H8121" s="18"/>
      <c r="I8121" s="18"/>
    </row>
    <row r="8122" ht="20.65" customHeight="1">
      <c r="A8122" s="10">
        <v>45769</v>
      </c>
      <c r="B8122" t="s" s="11">
        <v>12</v>
      </c>
      <c r="C8122" t="s" s="12">
        <v>1116</v>
      </c>
      <c r="D8122" s="13">
        <v>6500</v>
      </c>
      <c r="E8122" s="13"/>
      <c r="F8122" s="14"/>
      <c r="G8122" s="14"/>
      <c r="H8122" s="14"/>
      <c r="I8122" s="14"/>
    </row>
    <row r="8123" ht="20.7" customHeight="1">
      <c r="A8123" s="10">
        <v>45769</v>
      </c>
      <c r="B8123" t="s" s="11">
        <v>8</v>
      </c>
      <c r="C8123" t="s" s="12">
        <v>8</v>
      </c>
      <c r="D8123" s="15" cm="1">
        <f t="array" ref="D8123">SUM(D8121:D8122)</f>
        <v>6500</v>
      </c>
      <c r="E8123" s="15" cm="1">
        <f t="array" ref="E8123">SUM(E8121:E8122)</f>
        <v>6500</v>
      </c>
      <c r="F8123" s="16" cm="1">
        <f t="array" ref="F8123">SUM(F8121:F8122)</f>
        <v>0</v>
      </c>
      <c r="G8123" s="16" cm="1">
        <f t="array" ref="G8123">SUM(G8121:G8122)</f>
        <v>0</v>
      </c>
      <c r="H8123" s="16" cm="1">
        <f t="array" ref="H8123">SUM(H8121:H8122)</f>
        <v>0</v>
      </c>
      <c r="I8123" s="16" cm="1">
        <f t="array" ref="I8123">SUM(I8121:I8122)</f>
        <v>0</v>
      </c>
    </row>
    <row r="8124" ht="20.35" customHeight="1">
      <c r="A8124" s="10">
        <v>45769</v>
      </c>
      <c r="B8124" t="s" s="11">
        <v>814</v>
      </c>
      <c r="C8124" t="s" s="12">
        <v>96</v>
      </c>
      <c r="D8124" s="17"/>
      <c r="E8124" s="17">
        <v>30000</v>
      </c>
      <c r="F8124" s="18"/>
      <c r="G8124" s="18"/>
      <c r="H8124" s="18"/>
      <c r="I8124" s="18"/>
    </row>
    <row r="8125" ht="20.35" customHeight="1">
      <c r="A8125" s="10">
        <v>45769</v>
      </c>
      <c r="B8125" t="s" s="11">
        <v>5</v>
      </c>
      <c r="C8125" t="s" s="12">
        <v>96</v>
      </c>
      <c r="D8125" s="13">
        <v>30000</v>
      </c>
      <c r="E8125" s="13"/>
      <c r="F8125" s="14"/>
      <c r="G8125" s="14"/>
      <c r="H8125" s="14"/>
      <c r="I8125" s="14"/>
    </row>
    <row r="8126" ht="20.7" customHeight="1">
      <c r="A8126" s="10">
        <v>45769</v>
      </c>
      <c r="B8126" t="s" s="11">
        <v>8</v>
      </c>
      <c r="C8126" t="s" s="12">
        <v>8</v>
      </c>
      <c r="D8126" s="15" cm="1">
        <f t="array" ref="D8126">SUM(D8124:D8125)</f>
        <v>30000</v>
      </c>
      <c r="E8126" s="15" cm="1">
        <f t="array" ref="E8126">SUM(E8124:E8125)</f>
        <v>30000</v>
      </c>
      <c r="F8126" s="16" cm="1">
        <f t="array" ref="F8126">SUM(F8124:F8125)</f>
        <v>0</v>
      </c>
      <c r="G8126" s="16" cm="1">
        <f t="array" ref="G8126">SUM(G8124:G8125)</f>
        <v>0</v>
      </c>
      <c r="H8126" s="16" cm="1">
        <f t="array" ref="H8126">SUM(H8124:H8125)</f>
        <v>0</v>
      </c>
      <c r="I8126" s="16" cm="1">
        <f t="array" ref="I8126">SUM(I8124:I8125)</f>
        <v>0</v>
      </c>
    </row>
    <row r="8127" ht="20.35" customHeight="1">
      <c r="A8127" s="10">
        <v>45769</v>
      </c>
      <c r="B8127" t="s" s="11">
        <v>5</v>
      </c>
      <c r="C8127" t="s" s="12">
        <v>1117</v>
      </c>
      <c r="D8127" s="17"/>
      <c r="E8127" s="17">
        <v>13864</v>
      </c>
      <c r="F8127" s="18"/>
      <c r="G8127" s="18"/>
      <c r="H8127" s="18"/>
      <c r="I8127" s="18"/>
    </row>
    <row r="8128" ht="20.35" customHeight="1">
      <c r="A8128" s="10">
        <v>45769</v>
      </c>
      <c r="B8128" t="s" s="11">
        <v>12</v>
      </c>
      <c r="C8128" t="s" s="12">
        <v>1117</v>
      </c>
      <c r="D8128" s="13">
        <v>13864</v>
      </c>
      <c r="E8128" s="13"/>
      <c r="F8128" s="14"/>
      <c r="G8128" s="14"/>
      <c r="H8128" s="14"/>
      <c r="I8128" s="14"/>
    </row>
    <row r="8129" ht="20.7" customHeight="1">
      <c r="A8129" s="10">
        <v>45769</v>
      </c>
      <c r="B8129" t="s" s="11">
        <v>8</v>
      </c>
      <c r="C8129" t="s" s="12">
        <v>8</v>
      </c>
      <c r="D8129" s="15" cm="1">
        <f t="array" ref="D8129">SUM(D8127:D8128)</f>
        <v>13864</v>
      </c>
      <c r="E8129" s="15" cm="1">
        <f t="array" ref="E8129">SUM(E8127:E8128)</f>
        <v>13864</v>
      </c>
      <c r="F8129" s="16" cm="1">
        <f t="array" ref="F8129">SUM(F8127:F8128)</f>
        <v>0</v>
      </c>
      <c r="G8129" s="16" cm="1">
        <f t="array" ref="G8129">SUM(G8127:G8128)</f>
        <v>0</v>
      </c>
      <c r="H8129" s="16" cm="1">
        <f t="array" ref="H8129">SUM(H8127:H8128)</f>
        <v>0</v>
      </c>
      <c r="I8129" s="16" cm="1">
        <f t="array" ref="I8129">SUM(I8127:I8128)</f>
        <v>0</v>
      </c>
    </row>
    <row r="8130" ht="20.35" customHeight="1">
      <c r="A8130" s="10">
        <v>45769</v>
      </c>
      <c r="B8130" t="s" s="11">
        <v>5</v>
      </c>
      <c r="C8130" t="s" s="12">
        <v>1117</v>
      </c>
      <c r="D8130" s="17"/>
      <c r="E8130" s="17">
        <v>8930</v>
      </c>
      <c r="F8130" s="18"/>
      <c r="G8130" s="18"/>
      <c r="H8130" s="18"/>
      <c r="I8130" s="18"/>
    </row>
    <row r="8131" ht="20.35" customHeight="1">
      <c r="A8131" s="10">
        <v>45769</v>
      </c>
      <c r="B8131" t="s" s="11">
        <v>89</v>
      </c>
      <c r="C8131" t="s" s="12">
        <v>1117</v>
      </c>
      <c r="D8131" s="13">
        <v>8930</v>
      </c>
      <c r="E8131" s="13"/>
      <c r="F8131" s="14"/>
      <c r="G8131" s="14"/>
      <c r="H8131" s="14"/>
      <c r="I8131" s="14"/>
    </row>
    <row r="8132" ht="20.7" customHeight="1">
      <c r="A8132" s="10">
        <v>45769</v>
      </c>
      <c r="B8132" t="s" s="11">
        <v>8</v>
      </c>
      <c r="C8132" t="s" s="12">
        <v>8</v>
      </c>
      <c r="D8132" s="15" cm="1">
        <f t="array" ref="D8132">SUM(D8130:D8131)</f>
        <v>8930</v>
      </c>
      <c r="E8132" s="15" cm="1">
        <f t="array" ref="E8132">SUM(E8130:E8131)</f>
        <v>8930</v>
      </c>
      <c r="F8132" s="16" cm="1">
        <f t="array" ref="F8132">SUM(F8130:F8131)</f>
        <v>0</v>
      </c>
      <c r="G8132" s="16" cm="1">
        <f t="array" ref="G8132">SUM(G8130:G8131)</f>
        <v>0</v>
      </c>
      <c r="H8132" s="16" cm="1">
        <f t="array" ref="H8132">SUM(H8130:H8131)</f>
        <v>0</v>
      </c>
      <c r="I8132" s="16" cm="1">
        <f t="array" ref="I8132">SUM(I8130:I8131)</f>
        <v>0</v>
      </c>
    </row>
    <row r="8133" ht="20.35" customHeight="1">
      <c r="A8133" s="10">
        <v>45769</v>
      </c>
      <c r="B8133" t="s" s="11">
        <v>5</v>
      </c>
      <c r="C8133" t="s" s="12">
        <v>1117</v>
      </c>
      <c r="D8133" s="17"/>
      <c r="E8133" s="17">
        <v>6000</v>
      </c>
      <c r="F8133" s="18"/>
      <c r="G8133" s="18"/>
      <c r="H8133" s="18"/>
      <c r="I8133" s="18"/>
    </row>
    <row r="8134" ht="20.05" customHeight="1">
      <c r="A8134" s="10">
        <v>45769</v>
      </c>
      <c r="B8134" t="s" s="11">
        <v>89</v>
      </c>
      <c r="C8134" t="s" s="12">
        <v>1117</v>
      </c>
      <c r="D8134" s="19">
        <v>3000</v>
      </c>
      <c r="E8134" s="19"/>
      <c r="F8134" s="20"/>
      <c r="G8134" s="20"/>
      <c r="H8134" s="20"/>
      <c r="I8134" s="20"/>
    </row>
    <row r="8135" ht="20.35" customHeight="1">
      <c r="A8135" s="10">
        <v>45769</v>
      </c>
      <c r="B8135" t="s" s="11">
        <v>12</v>
      </c>
      <c r="C8135" t="s" s="12">
        <v>1117</v>
      </c>
      <c r="D8135" s="13">
        <v>3000</v>
      </c>
      <c r="E8135" s="13"/>
      <c r="F8135" s="14"/>
      <c r="G8135" s="14"/>
      <c r="H8135" s="14"/>
      <c r="I8135" s="14"/>
    </row>
    <row r="8136" ht="20.7" customHeight="1">
      <c r="A8136" s="10">
        <v>45769</v>
      </c>
      <c r="B8136" t="s" s="11">
        <v>8</v>
      </c>
      <c r="C8136" t="s" s="12">
        <v>8</v>
      </c>
      <c r="D8136" s="15" cm="1">
        <f t="array" ref="D8136">SUM(D8133:D8135)</f>
        <v>6000</v>
      </c>
      <c r="E8136" s="15" cm="1">
        <f t="array" ref="E8136">SUM(E8133:E8135)</f>
        <v>6000</v>
      </c>
      <c r="F8136" s="16" cm="1">
        <f t="array" ref="F8136">SUM(F8133:F8135)</f>
        <v>0</v>
      </c>
      <c r="G8136" s="16" cm="1">
        <f t="array" ref="G8136">SUM(G8133:G8135)</f>
        <v>0</v>
      </c>
      <c r="H8136" s="16" cm="1">
        <f t="array" ref="H8136">SUM(H8133:H8135)</f>
        <v>0</v>
      </c>
      <c r="I8136" s="16" cm="1">
        <f t="array" ref="I8136">SUM(I8133:I8135)</f>
        <v>0</v>
      </c>
    </row>
    <row r="8137" ht="20.35" customHeight="1">
      <c r="A8137" s="10">
        <v>45769</v>
      </c>
      <c r="B8137" t="s" s="11">
        <v>5</v>
      </c>
      <c r="C8137" t="s" s="12">
        <v>96</v>
      </c>
      <c r="D8137" s="17">
        <v>12500</v>
      </c>
      <c r="E8137" s="17"/>
      <c r="F8137" s="18"/>
      <c r="G8137" s="18"/>
      <c r="H8137" s="18"/>
      <c r="I8137" s="18"/>
    </row>
    <row r="8138" ht="20.35" customHeight="1">
      <c r="A8138" s="10">
        <v>45769</v>
      </c>
      <c r="B8138" t="s" s="11">
        <v>121</v>
      </c>
      <c r="C8138" t="s" s="12">
        <v>96</v>
      </c>
      <c r="D8138" s="13"/>
      <c r="E8138" s="13">
        <v>12500</v>
      </c>
      <c r="F8138" s="14"/>
      <c r="G8138" s="14"/>
      <c r="H8138" s="14"/>
      <c r="I8138" s="14"/>
    </row>
    <row r="8139" ht="20.7" customHeight="1">
      <c r="A8139" s="10">
        <v>45769</v>
      </c>
      <c r="B8139" t="s" s="11">
        <v>8</v>
      </c>
      <c r="C8139" t="s" s="12">
        <v>8</v>
      </c>
      <c r="D8139" s="15" cm="1">
        <f t="array" ref="D8139">SUM(D8137:D8138)</f>
        <v>12500</v>
      </c>
      <c r="E8139" s="15" cm="1">
        <f t="array" ref="E8139">SUM(E8137:E8138)</f>
        <v>12500</v>
      </c>
      <c r="F8139" s="16" cm="1">
        <f t="array" ref="F8139">SUM(F8137:F8138)</f>
        <v>0</v>
      </c>
      <c r="G8139" s="16" cm="1">
        <f t="array" ref="G8139">SUM(G8137:G8138)</f>
        <v>0</v>
      </c>
      <c r="H8139" s="16" cm="1">
        <f t="array" ref="H8139">SUM(H8137:H8138)</f>
        <v>0</v>
      </c>
      <c r="I8139" s="16" cm="1">
        <f t="array" ref="I8139">SUM(I8137:I8138)</f>
        <v>0</v>
      </c>
    </row>
    <row r="8140" ht="20.35" customHeight="1">
      <c r="A8140" s="10">
        <v>45769</v>
      </c>
      <c r="B8140" t="s" s="11">
        <v>5</v>
      </c>
      <c r="C8140" t="s" s="12">
        <v>1118</v>
      </c>
      <c r="D8140" s="17"/>
      <c r="E8140" s="17">
        <v>12500</v>
      </c>
      <c r="F8140" s="18"/>
      <c r="G8140" s="18"/>
      <c r="H8140" s="18"/>
      <c r="I8140" s="18"/>
    </row>
    <row r="8141" ht="20.35" customHeight="1">
      <c r="A8141" s="10">
        <v>45769</v>
      </c>
      <c r="B8141" t="s" s="11">
        <v>10</v>
      </c>
      <c r="C8141" t="s" s="12">
        <v>1118</v>
      </c>
      <c r="D8141" s="13">
        <v>12500</v>
      </c>
      <c r="E8141" s="13"/>
      <c r="F8141" s="14"/>
      <c r="G8141" s="14"/>
      <c r="H8141" s="14"/>
      <c r="I8141" s="14"/>
    </row>
    <row r="8142" ht="20.7" customHeight="1">
      <c r="A8142" s="10">
        <v>45769</v>
      </c>
      <c r="B8142" t="s" s="11">
        <v>8</v>
      </c>
      <c r="C8142" t="s" s="12">
        <v>8</v>
      </c>
      <c r="D8142" s="15" cm="1">
        <f t="array" ref="D8142">SUM(D8140:D8141)</f>
        <v>12500</v>
      </c>
      <c r="E8142" s="15" cm="1">
        <f t="array" ref="E8142">SUM(E8140:E8141)</f>
        <v>12500</v>
      </c>
      <c r="F8142" s="16" cm="1">
        <f t="array" ref="F8142">SUM(F8140:F8141)</f>
        <v>0</v>
      </c>
      <c r="G8142" s="16" cm="1">
        <f t="array" ref="G8142">SUM(G8140:G8141)</f>
        <v>0</v>
      </c>
      <c r="H8142" s="16" cm="1">
        <f t="array" ref="H8142">SUM(H8140:H8141)</f>
        <v>0</v>
      </c>
      <c r="I8142" s="16" cm="1">
        <f t="array" ref="I8142">SUM(I8140:I8141)</f>
        <v>0</v>
      </c>
    </row>
    <row r="8143" ht="20.35" customHeight="1">
      <c r="A8143" s="10">
        <v>45769</v>
      </c>
      <c r="B8143" t="s" s="11">
        <v>91</v>
      </c>
      <c r="C8143" t="s" s="12">
        <v>17</v>
      </c>
      <c r="D8143" s="17"/>
      <c r="E8143" s="17">
        <v>500</v>
      </c>
      <c r="F8143" s="18"/>
      <c r="G8143" s="18"/>
      <c r="H8143" s="18"/>
      <c r="I8143" s="18"/>
    </row>
    <row r="8144" ht="20.35" customHeight="1">
      <c r="A8144" s="10">
        <v>45769</v>
      </c>
      <c r="B8144" t="s" s="11">
        <v>5</v>
      </c>
      <c r="C8144" t="s" s="12">
        <v>17</v>
      </c>
      <c r="D8144" s="13">
        <v>500</v>
      </c>
      <c r="E8144" s="13"/>
      <c r="F8144" s="14"/>
      <c r="G8144" s="14"/>
      <c r="H8144" s="14"/>
      <c r="I8144" s="14"/>
    </row>
    <row r="8145" ht="20.7" customHeight="1">
      <c r="A8145" s="10">
        <v>45769</v>
      </c>
      <c r="B8145" t="s" s="11">
        <v>8</v>
      </c>
      <c r="C8145" t="s" s="12">
        <v>8</v>
      </c>
      <c r="D8145" s="15" cm="1">
        <f t="array" ref="D8145">SUM(D8143:D8144)</f>
        <v>500</v>
      </c>
      <c r="E8145" s="15" cm="1">
        <f t="array" ref="E8145">SUM(E8143:E8144)</f>
        <v>500</v>
      </c>
      <c r="F8145" s="16" cm="1">
        <f t="array" ref="F8145">SUM(F8143:F8144)</f>
        <v>0</v>
      </c>
      <c r="G8145" s="16" cm="1">
        <f t="array" ref="G8145">SUM(G8143:G8144)</f>
        <v>0</v>
      </c>
      <c r="H8145" s="16" cm="1">
        <f t="array" ref="H8145">SUM(H8143:H8144)</f>
        <v>0</v>
      </c>
      <c r="I8145" s="16" cm="1">
        <f t="array" ref="I8145">SUM(I8143:I8144)</f>
        <v>0</v>
      </c>
    </row>
    <row r="8146" ht="20.65" customHeight="1">
      <c r="A8146" s="10">
        <v>45770</v>
      </c>
      <c r="B8146" t="s" s="11">
        <v>843</v>
      </c>
      <c r="C8146" t="s" s="12">
        <v>820</v>
      </c>
      <c r="D8146" s="17">
        <v>1</v>
      </c>
      <c r="E8146" s="17"/>
      <c r="F8146" s="18"/>
      <c r="G8146" s="18"/>
      <c r="H8146" s="18"/>
      <c r="I8146" s="18"/>
    </row>
    <row r="8147" ht="20.65" customHeight="1">
      <c r="A8147" s="10">
        <v>45770</v>
      </c>
      <c r="B8147" t="s" s="11">
        <v>7</v>
      </c>
      <c r="C8147" t="s" s="12">
        <v>820</v>
      </c>
      <c r="D8147" s="13"/>
      <c r="E8147" s="13">
        <v>1</v>
      </c>
      <c r="F8147" s="14"/>
      <c r="G8147" s="14"/>
      <c r="H8147" s="14"/>
      <c r="I8147" s="14"/>
    </row>
    <row r="8148" ht="20.7" customHeight="1">
      <c r="A8148" s="10">
        <v>45770</v>
      </c>
      <c r="B8148" t="s" s="11">
        <v>8</v>
      </c>
      <c r="C8148" t="s" s="12">
        <v>8</v>
      </c>
      <c r="D8148" s="15" cm="1">
        <f t="array" ref="D8148">SUM(D8146:D8147)</f>
        <v>1</v>
      </c>
      <c r="E8148" s="15" cm="1">
        <f t="array" ref="E8148">SUM(E8146:E8147)</f>
        <v>1</v>
      </c>
      <c r="F8148" s="16" cm="1">
        <f t="array" ref="F8148">SUM(F8146:F8147)</f>
        <v>0</v>
      </c>
      <c r="G8148" s="16" cm="1">
        <f t="array" ref="G8148">SUM(G8146:G8147)</f>
        <v>0</v>
      </c>
      <c r="H8148" s="16" cm="1">
        <f t="array" ref="H8148">SUM(H8146:H8147)</f>
        <v>0</v>
      </c>
      <c r="I8148" s="16" cm="1">
        <f t="array" ref="I8148">SUM(I8146:I8147)</f>
        <v>0</v>
      </c>
    </row>
    <row r="8149" ht="20.65" customHeight="1">
      <c r="A8149" s="10">
        <v>45770</v>
      </c>
      <c r="B8149" t="s" s="11">
        <v>814</v>
      </c>
      <c r="C8149" t="s" s="12">
        <v>820</v>
      </c>
      <c r="D8149" s="17">
        <v>113</v>
      </c>
      <c r="E8149" s="17"/>
      <c r="F8149" s="18"/>
      <c r="G8149" s="18"/>
      <c r="H8149" s="18"/>
      <c r="I8149" s="18"/>
    </row>
    <row r="8150" ht="20.65" customHeight="1">
      <c r="A8150" s="10">
        <v>45770</v>
      </c>
      <c r="B8150" t="s" s="11">
        <v>7</v>
      </c>
      <c r="C8150" t="s" s="12">
        <v>820</v>
      </c>
      <c r="D8150" s="13"/>
      <c r="E8150" s="13">
        <v>113</v>
      </c>
      <c r="F8150" s="14"/>
      <c r="G8150" s="14"/>
      <c r="H8150" s="14"/>
      <c r="I8150" s="14"/>
    </row>
    <row r="8151" ht="20.7" customHeight="1">
      <c r="A8151" s="10">
        <v>45770</v>
      </c>
      <c r="B8151" t="s" s="11">
        <v>8</v>
      </c>
      <c r="C8151" t="s" s="12">
        <v>8</v>
      </c>
      <c r="D8151" s="15" cm="1">
        <f t="array" ref="D8151">SUM(D8149:D8150)</f>
        <v>113</v>
      </c>
      <c r="E8151" s="15" cm="1">
        <f t="array" ref="E8151">SUM(E8149:E8150)</f>
        <v>113</v>
      </c>
      <c r="F8151" s="16" cm="1">
        <f t="array" ref="F8151">SUM(F8149:F8150)</f>
        <v>0</v>
      </c>
      <c r="G8151" s="16" cm="1">
        <f t="array" ref="G8151">SUM(G8149:G8150)</f>
        <v>0</v>
      </c>
      <c r="H8151" s="16" cm="1">
        <f t="array" ref="H8151">SUM(H8149:H8150)</f>
        <v>0</v>
      </c>
      <c r="I8151" s="16" cm="1">
        <f t="array" ref="I8151">SUM(I8149:I8150)</f>
        <v>0</v>
      </c>
    </row>
    <row r="8152" ht="20.35" customHeight="1">
      <c r="A8152" s="10">
        <v>45770</v>
      </c>
      <c r="B8152" t="s" s="11">
        <v>5</v>
      </c>
      <c r="C8152" t="s" s="12">
        <v>1108</v>
      </c>
      <c r="D8152" s="17"/>
      <c r="E8152" s="17">
        <v>1200</v>
      </c>
      <c r="F8152" s="18"/>
      <c r="G8152" s="18"/>
      <c r="H8152" s="18"/>
      <c r="I8152" s="18"/>
    </row>
    <row r="8153" ht="20.35" customHeight="1">
      <c r="A8153" s="10">
        <v>45770</v>
      </c>
      <c r="B8153" t="s" s="11">
        <v>12</v>
      </c>
      <c r="C8153" t="s" s="12">
        <v>1108</v>
      </c>
      <c r="D8153" s="13">
        <v>1200</v>
      </c>
      <c r="E8153" s="13"/>
      <c r="F8153" s="14"/>
      <c r="G8153" s="14"/>
      <c r="H8153" s="14"/>
      <c r="I8153" s="14"/>
    </row>
    <row r="8154" ht="20.7" customHeight="1">
      <c r="A8154" s="10">
        <v>45770</v>
      </c>
      <c r="B8154" t="s" s="11">
        <v>8</v>
      </c>
      <c r="C8154" t="s" s="12">
        <v>8</v>
      </c>
      <c r="D8154" s="15" cm="1">
        <f t="array" ref="D8154">SUM(D8152:D8153)</f>
        <v>1200</v>
      </c>
      <c r="E8154" s="15" cm="1">
        <f t="array" ref="E8154">SUM(E8152:E8153)</f>
        <v>1200</v>
      </c>
      <c r="F8154" s="16" cm="1">
        <f t="array" ref="F8154">SUM(F8152:F8153)</f>
        <v>0</v>
      </c>
      <c r="G8154" s="16" cm="1">
        <f t="array" ref="G8154">SUM(G8152:G8153)</f>
        <v>0</v>
      </c>
      <c r="H8154" s="16" cm="1">
        <f t="array" ref="H8154">SUM(H8152:H8153)</f>
        <v>0</v>
      </c>
      <c r="I8154" s="16" cm="1">
        <f t="array" ref="I8154">SUM(I8152:I8153)</f>
        <v>0</v>
      </c>
    </row>
    <row r="8155" ht="20.35" customHeight="1">
      <c r="A8155" s="10">
        <v>45770</v>
      </c>
      <c r="B8155" t="s" s="11">
        <v>814</v>
      </c>
      <c r="C8155" t="s" s="12">
        <v>96</v>
      </c>
      <c r="D8155" s="17"/>
      <c r="E8155" s="17">
        <v>10000</v>
      </c>
      <c r="F8155" s="18"/>
      <c r="G8155" s="18"/>
      <c r="H8155" s="18"/>
      <c r="I8155" s="18"/>
    </row>
    <row r="8156" ht="20.35" customHeight="1">
      <c r="A8156" s="10">
        <v>45770</v>
      </c>
      <c r="B8156" t="s" s="11">
        <v>5</v>
      </c>
      <c r="C8156" t="s" s="12">
        <v>96</v>
      </c>
      <c r="D8156" s="13">
        <v>10000</v>
      </c>
      <c r="E8156" s="13"/>
      <c r="F8156" s="14"/>
      <c r="G8156" s="14"/>
      <c r="H8156" s="14"/>
      <c r="I8156" s="14"/>
    </row>
    <row r="8157" ht="20.7" customHeight="1">
      <c r="A8157" s="10">
        <v>45770</v>
      </c>
      <c r="B8157" t="s" s="11">
        <v>8</v>
      </c>
      <c r="C8157" t="s" s="12">
        <v>8</v>
      </c>
      <c r="D8157" s="15" cm="1">
        <f t="array" ref="D8157">SUM(D8155:D8156)</f>
        <v>10000</v>
      </c>
      <c r="E8157" s="15" cm="1">
        <f t="array" ref="E8157">SUM(E8155:E8156)</f>
        <v>10000</v>
      </c>
      <c r="F8157" s="16" cm="1">
        <f t="array" ref="F8157">SUM(F8155:F8156)</f>
        <v>0</v>
      </c>
      <c r="G8157" s="16" cm="1">
        <f t="array" ref="G8157">SUM(G8155:G8156)</f>
        <v>0</v>
      </c>
      <c r="H8157" s="16" cm="1">
        <f t="array" ref="H8157">SUM(H8155:H8156)</f>
        <v>0</v>
      </c>
      <c r="I8157" s="16" cm="1">
        <f t="array" ref="I8157">SUM(I8155:I8156)</f>
        <v>0</v>
      </c>
    </row>
    <row r="8158" ht="20.35" customHeight="1">
      <c r="A8158" s="10">
        <v>45770</v>
      </c>
      <c r="B8158" t="s" s="11">
        <v>5</v>
      </c>
      <c r="C8158" t="s" s="12">
        <v>19</v>
      </c>
      <c r="D8158" s="17"/>
      <c r="E8158" s="17">
        <v>2600</v>
      </c>
      <c r="F8158" s="18"/>
      <c r="G8158" s="18"/>
      <c r="H8158" s="18"/>
      <c r="I8158" s="18"/>
    </row>
    <row r="8159" ht="20.35" customHeight="1">
      <c r="A8159" s="10">
        <v>45770</v>
      </c>
      <c r="B8159" t="s" s="11">
        <v>12</v>
      </c>
      <c r="C8159" t="s" s="12">
        <v>19</v>
      </c>
      <c r="D8159" s="13">
        <v>2600</v>
      </c>
      <c r="E8159" s="13"/>
      <c r="F8159" s="14"/>
      <c r="G8159" s="14"/>
      <c r="H8159" s="14"/>
      <c r="I8159" s="14"/>
    </row>
    <row r="8160" ht="20.7" customHeight="1">
      <c r="A8160" s="10">
        <v>45770</v>
      </c>
      <c r="B8160" t="s" s="11">
        <v>8</v>
      </c>
      <c r="C8160" t="s" s="12">
        <v>8</v>
      </c>
      <c r="D8160" s="15" cm="1">
        <f t="array" ref="D8160">SUM(D8158:D8159)</f>
        <v>2600</v>
      </c>
      <c r="E8160" s="15" cm="1">
        <f t="array" ref="E8160">SUM(E8158:E8159)</f>
        <v>2600</v>
      </c>
      <c r="F8160" s="16" cm="1">
        <f t="array" ref="F8160">SUM(F8158:F8159)</f>
        <v>0</v>
      </c>
      <c r="G8160" s="16" cm="1">
        <f t="array" ref="G8160">SUM(G8158:G8159)</f>
        <v>0</v>
      </c>
      <c r="H8160" s="16" cm="1">
        <f t="array" ref="H8160">SUM(H8158:H8159)</f>
        <v>0</v>
      </c>
      <c r="I8160" s="16" cm="1">
        <f t="array" ref="I8160">SUM(I8158:I8159)</f>
        <v>0</v>
      </c>
    </row>
    <row r="8161" ht="21.25" customHeight="1">
      <c r="A8161" s="10">
        <v>45770</v>
      </c>
      <c r="B8161" t="s" s="11">
        <v>5</v>
      </c>
      <c r="C8161" t="s" s="12">
        <v>799</v>
      </c>
      <c r="D8161" s="17">
        <v>8</v>
      </c>
      <c r="E8161" s="17"/>
      <c r="F8161" s="18"/>
      <c r="G8161" s="18"/>
      <c r="H8161" s="18"/>
      <c r="I8161" s="18"/>
    </row>
    <row r="8162" ht="21.25" customHeight="1">
      <c r="A8162" s="10">
        <v>45770</v>
      </c>
      <c r="B8162" t="s" s="11">
        <v>18</v>
      </c>
      <c r="C8162" t="s" s="12">
        <v>799</v>
      </c>
      <c r="D8162" s="13"/>
      <c r="E8162" s="13">
        <v>8</v>
      </c>
      <c r="F8162" s="14"/>
      <c r="G8162" s="14"/>
      <c r="H8162" s="14"/>
      <c r="I8162" s="14"/>
    </row>
    <row r="8163" ht="20.7" customHeight="1">
      <c r="A8163" s="10">
        <v>45770</v>
      </c>
      <c r="B8163" t="s" s="11">
        <v>8</v>
      </c>
      <c r="C8163" t="s" s="12">
        <v>8</v>
      </c>
      <c r="D8163" s="15" cm="1">
        <f t="array" ref="D8163">SUM(D8161:D8162)</f>
        <v>8</v>
      </c>
      <c r="E8163" s="15" cm="1">
        <f t="array" ref="E8163">SUM(E8161:E8162)</f>
        <v>8</v>
      </c>
      <c r="F8163" s="16" cm="1">
        <f t="array" ref="F8163">SUM(F8161:F8162)</f>
        <v>0</v>
      </c>
      <c r="G8163" s="16" cm="1">
        <f t="array" ref="G8163">SUM(G8161:G8162)</f>
        <v>0</v>
      </c>
      <c r="H8163" s="16" cm="1">
        <f t="array" ref="H8163">SUM(H8161:H8162)</f>
        <v>0</v>
      </c>
      <c r="I8163" s="16" cm="1">
        <f t="array" ref="I8163">SUM(I8161:I8162)</f>
        <v>0</v>
      </c>
    </row>
    <row r="8164" ht="21.25" customHeight="1">
      <c r="A8164" s="10">
        <v>45770</v>
      </c>
      <c r="B8164" t="s" s="11">
        <v>5</v>
      </c>
      <c r="C8164" t="s" s="12">
        <v>799</v>
      </c>
      <c r="D8164" s="17">
        <v>2</v>
      </c>
      <c r="E8164" s="17"/>
      <c r="F8164" s="18"/>
      <c r="G8164" s="18"/>
      <c r="H8164" s="18"/>
      <c r="I8164" s="18"/>
    </row>
    <row r="8165" ht="21.25" customHeight="1">
      <c r="A8165" s="10">
        <v>45770</v>
      </c>
      <c r="B8165" t="s" s="11">
        <v>18</v>
      </c>
      <c r="C8165" t="s" s="12">
        <v>799</v>
      </c>
      <c r="D8165" s="13"/>
      <c r="E8165" s="13">
        <v>2</v>
      </c>
      <c r="F8165" s="14"/>
      <c r="G8165" s="14"/>
      <c r="H8165" s="14"/>
      <c r="I8165" s="14"/>
    </row>
    <row r="8166" ht="20.7" customHeight="1">
      <c r="A8166" s="10">
        <v>45770</v>
      </c>
      <c r="B8166" t="s" s="11">
        <v>8</v>
      </c>
      <c r="C8166" t="s" s="12">
        <v>8</v>
      </c>
      <c r="D8166" s="15" cm="1">
        <f t="array" ref="D8166">SUM(D8164:D8165)</f>
        <v>2</v>
      </c>
      <c r="E8166" s="15" cm="1">
        <f t="array" ref="E8166">SUM(E8164:E8165)</f>
        <v>2</v>
      </c>
      <c r="F8166" s="16" cm="1">
        <f t="array" ref="F8166">SUM(F8164:F8165)</f>
        <v>0</v>
      </c>
      <c r="G8166" s="16" cm="1">
        <f t="array" ref="G8166">SUM(G8164:G8165)</f>
        <v>0</v>
      </c>
      <c r="H8166" s="16" cm="1">
        <f t="array" ref="H8166">SUM(H8164:H8165)</f>
        <v>0</v>
      </c>
      <c r="I8166" s="16" cm="1">
        <f t="array" ref="I8166">SUM(I8164:I8165)</f>
        <v>0</v>
      </c>
    </row>
    <row r="8167" ht="21.25" customHeight="1">
      <c r="A8167" s="10">
        <v>45770</v>
      </c>
      <c r="B8167" t="s" s="11">
        <v>5</v>
      </c>
      <c r="C8167" t="s" s="12">
        <v>799</v>
      </c>
      <c r="D8167" s="17">
        <v>3</v>
      </c>
      <c r="E8167" s="17"/>
      <c r="F8167" s="18"/>
      <c r="G8167" s="18"/>
      <c r="H8167" s="18"/>
      <c r="I8167" s="18"/>
    </row>
    <row r="8168" ht="21.25" customHeight="1">
      <c r="A8168" s="10">
        <v>45770</v>
      </c>
      <c r="B8168" t="s" s="11">
        <v>18</v>
      </c>
      <c r="C8168" t="s" s="12">
        <v>799</v>
      </c>
      <c r="D8168" s="13"/>
      <c r="E8168" s="13">
        <v>3</v>
      </c>
      <c r="F8168" s="14"/>
      <c r="G8168" s="14"/>
      <c r="H8168" s="14"/>
      <c r="I8168" s="14"/>
    </row>
    <row r="8169" ht="20.7" customHeight="1">
      <c r="A8169" s="10">
        <v>45770</v>
      </c>
      <c r="B8169" t="s" s="11">
        <v>8</v>
      </c>
      <c r="C8169" t="s" s="12">
        <v>8</v>
      </c>
      <c r="D8169" s="15" cm="1">
        <f t="array" ref="D8169">SUM(D8167:D8168)</f>
        <v>3</v>
      </c>
      <c r="E8169" s="15" cm="1">
        <f t="array" ref="E8169">SUM(E8167:E8168)</f>
        <v>3</v>
      </c>
      <c r="F8169" s="16" cm="1">
        <f t="array" ref="F8169">SUM(F8167:F8168)</f>
        <v>0</v>
      </c>
      <c r="G8169" s="16" cm="1">
        <f t="array" ref="G8169">SUM(G8167:G8168)</f>
        <v>0</v>
      </c>
      <c r="H8169" s="16" cm="1">
        <f t="array" ref="H8169">SUM(H8167:H8168)</f>
        <v>0</v>
      </c>
      <c r="I8169" s="16" cm="1">
        <f t="array" ref="I8169">SUM(I8167:I8168)</f>
        <v>0</v>
      </c>
    </row>
    <row r="8170" ht="21.25" customHeight="1">
      <c r="A8170" s="10">
        <v>45770</v>
      </c>
      <c r="B8170" t="s" s="11">
        <v>5</v>
      </c>
      <c r="C8170" t="s" s="12">
        <v>799</v>
      </c>
      <c r="D8170" s="17">
        <v>2</v>
      </c>
      <c r="E8170" s="17"/>
      <c r="F8170" s="18"/>
      <c r="G8170" s="18"/>
      <c r="H8170" s="18"/>
      <c r="I8170" s="18"/>
    </row>
    <row r="8171" ht="21.25" customHeight="1">
      <c r="A8171" s="10">
        <v>45770</v>
      </c>
      <c r="B8171" t="s" s="11">
        <v>18</v>
      </c>
      <c r="C8171" t="s" s="12">
        <v>799</v>
      </c>
      <c r="D8171" s="13"/>
      <c r="E8171" s="13">
        <v>2</v>
      </c>
      <c r="F8171" s="14"/>
      <c r="G8171" s="14"/>
      <c r="H8171" s="14"/>
      <c r="I8171" s="14"/>
    </row>
    <row r="8172" ht="20.7" customHeight="1">
      <c r="A8172" s="10">
        <v>45770</v>
      </c>
      <c r="B8172" t="s" s="11">
        <v>8</v>
      </c>
      <c r="C8172" t="s" s="12">
        <v>8</v>
      </c>
      <c r="D8172" s="15" cm="1">
        <f t="array" ref="D8172">SUM(D8170:D8171)</f>
        <v>2</v>
      </c>
      <c r="E8172" s="15" cm="1">
        <f t="array" ref="E8172">SUM(E8170:E8171)</f>
        <v>2</v>
      </c>
      <c r="F8172" s="16" cm="1">
        <f t="array" ref="F8172">SUM(F8170:F8171)</f>
        <v>0</v>
      </c>
      <c r="G8172" s="16" cm="1">
        <f t="array" ref="G8172">SUM(G8170:G8171)</f>
        <v>0</v>
      </c>
      <c r="H8172" s="16" cm="1">
        <f t="array" ref="H8172">SUM(H8170:H8171)</f>
        <v>0</v>
      </c>
      <c r="I8172" s="16" cm="1">
        <f t="array" ref="I8172">SUM(I8170:I8171)</f>
        <v>0</v>
      </c>
    </row>
    <row r="8173" ht="21.25" customHeight="1">
      <c r="A8173" s="10">
        <v>45770</v>
      </c>
      <c r="B8173" t="s" s="11">
        <v>5</v>
      </c>
      <c r="C8173" t="s" s="12">
        <v>799</v>
      </c>
      <c r="D8173" s="17">
        <v>1</v>
      </c>
      <c r="E8173" s="17"/>
      <c r="F8173" s="18"/>
      <c r="G8173" s="18"/>
      <c r="H8173" s="18"/>
      <c r="I8173" s="18"/>
    </row>
    <row r="8174" ht="21.25" customHeight="1">
      <c r="A8174" s="10">
        <v>45770</v>
      </c>
      <c r="B8174" t="s" s="11">
        <v>18</v>
      </c>
      <c r="C8174" t="s" s="12">
        <v>799</v>
      </c>
      <c r="D8174" s="13"/>
      <c r="E8174" s="13">
        <v>1</v>
      </c>
      <c r="F8174" s="14"/>
      <c r="G8174" s="14"/>
      <c r="H8174" s="14"/>
      <c r="I8174" s="14"/>
    </row>
    <row r="8175" ht="20.7" customHeight="1">
      <c r="A8175" s="10">
        <v>45770</v>
      </c>
      <c r="B8175" t="s" s="11">
        <v>8</v>
      </c>
      <c r="C8175" t="s" s="12">
        <v>8</v>
      </c>
      <c r="D8175" s="15" cm="1">
        <f t="array" ref="D8175">SUM(D8173:D8174)</f>
        <v>1</v>
      </c>
      <c r="E8175" s="15" cm="1">
        <f t="array" ref="E8175">SUM(E8173:E8174)</f>
        <v>1</v>
      </c>
      <c r="F8175" s="16" cm="1">
        <f t="array" ref="F8175">SUM(F8173:F8174)</f>
        <v>0</v>
      </c>
      <c r="G8175" s="16" cm="1">
        <f t="array" ref="G8175">SUM(G8173:G8174)</f>
        <v>0</v>
      </c>
      <c r="H8175" s="16" cm="1">
        <f t="array" ref="H8175">SUM(H8173:H8174)</f>
        <v>0</v>
      </c>
      <c r="I8175" s="16" cm="1">
        <f t="array" ref="I8175">SUM(I8173:I8174)</f>
        <v>0</v>
      </c>
    </row>
    <row r="8176" ht="20.35" customHeight="1">
      <c r="A8176" s="10">
        <v>45770</v>
      </c>
      <c r="B8176" t="s" s="11">
        <v>814</v>
      </c>
      <c r="C8176" t="s" s="12">
        <v>96</v>
      </c>
      <c r="D8176" s="17"/>
      <c r="E8176" s="17">
        <v>10000</v>
      </c>
      <c r="F8176" s="18"/>
      <c r="G8176" s="18"/>
      <c r="H8176" s="18"/>
      <c r="I8176" s="18"/>
    </row>
    <row r="8177" ht="20.35" customHeight="1">
      <c r="A8177" s="10">
        <v>45770</v>
      </c>
      <c r="B8177" t="s" s="11">
        <v>5</v>
      </c>
      <c r="C8177" t="s" s="12">
        <v>96</v>
      </c>
      <c r="D8177" s="13">
        <v>10000</v>
      </c>
      <c r="E8177" s="13"/>
      <c r="F8177" s="14"/>
      <c r="G8177" s="14"/>
      <c r="H8177" s="14"/>
      <c r="I8177" s="14"/>
    </row>
    <row r="8178" ht="20.7" customHeight="1">
      <c r="A8178" s="10">
        <v>45770</v>
      </c>
      <c r="B8178" t="s" s="11">
        <v>8</v>
      </c>
      <c r="C8178" t="s" s="12">
        <v>8</v>
      </c>
      <c r="D8178" s="15" cm="1">
        <f t="array" ref="D8178">SUM(D8176:D8177)</f>
        <v>10000</v>
      </c>
      <c r="E8178" s="15" cm="1">
        <f t="array" ref="E8178">SUM(E8176:E8177)</f>
        <v>10000</v>
      </c>
      <c r="F8178" s="16" cm="1">
        <f t="array" ref="F8178">SUM(F8176:F8177)</f>
        <v>0</v>
      </c>
      <c r="G8178" s="16" cm="1">
        <f t="array" ref="G8178">SUM(G8176:G8177)</f>
        <v>0</v>
      </c>
      <c r="H8178" s="16" cm="1">
        <f t="array" ref="H8178">SUM(H8176:H8177)</f>
        <v>0</v>
      </c>
      <c r="I8178" s="16" cm="1">
        <f t="array" ref="I8178">SUM(I8176:I8177)</f>
        <v>0</v>
      </c>
    </row>
    <row r="8179" ht="20.35" customHeight="1">
      <c r="A8179" s="10">
        <v>45770</v>
      </c>
      <c r="B8179" t="s" s="11">
        <v>5</v>
      </c>
      <c r="C8179" t="s" s="12">
        <v>1119</v>
      </c>
      <c r="D8179" s="17"/>
      <c r="E8179" s="17">
        <v>7400</v>
      </c>
      <c r="F8179" s="18"/>
      <c r="G8179" s="18"/>
      <c r="H8179" s="18"/>
      <c r="I8179" s="18"/>
    </row>
    <row r="8180" ht="20.05" customHeight="1">
      <c r="A8180" s="10">
        <v>45770</v>
      </c>
      <c r="B8180" t="s" s="11">
        <v>10</v>
      </c>
      <c r="C8180" t="s" s="12">
        <v>1119</v>
      </c>
      <c r="D8180" s="19">
        <v>1800</v>
      </c>
      <c r="E8180" s="19"/>
      <c r="F8180" s="20"/>
      <c r="G8180" s="20"/>
      <c r="H8180" s="20"/>
      <c r="I8180" s="20"/>
    </row>
    <row r="8181" ht="20.35" customHeight="1">
      <c r="A8181" s="10">
        <v>45770</v>
      </c>
      <c r="B8181" t="s" s="11">
        <v>12</v>
      </c>
      <c r="C8181" t="s" s="12">
        <v>1119</v>
      </c>
      <c r="D8181" s="13">
        <v>5600</v>
      </c>
      <c r="E8181" s="13"/>
      <c r="F8181" s="14"/>
      <c r="G8181" s="14"/>
      <c r="H8181" s="14"/>
      <c r="I8181" s="14"/>
    </row>
    <row r="8182" ht="20.7" customHeight="1">
      <c r="A8182" s="10">
        <v>45770</v>
      </c>
      <c r="B8182" t="s" s="11">
        <v>8</v>
      </c>
      <c r="C8182" t="s" s="12">
        <v>8</v>
      </c>
      <c r="D8182" s="15" cm="1">
        <f t="array" ref="D8182">SUM(D8179:D8181)</f>
        <v>7400</v>
      </c>
      <c r="E8182" s="15" cm="1">
        <f t="array" ref="E8182">SUM(E8179:E8181)</f>
        <v>7400</v>
      </c>
      <c r="F8182" s="16" cm="1">
        <f t="array" ref="F8182">SUM(F8179:F8181)</f>
        <v>0</v>
      </c>
      <c r="G8182" s="16" cm="1">
        <f t="array" ref="G8182">SUM(G8179:G8181)</f>
        <v>0</v>
      </c>
      <c r="H8182" s="16" cm="1">
        <f t="array" ref="H8182">SUM(H8179:H8181)</f>
        <v>0</v>
      </c>
      <c r="I8182" s="16" cm="1">
        <f t="array" ref="I8182">SUM(I8179:I8181)</f>
        <v>0</v>
      </c>
    </row>
    <row r="8183" ht="20.35" customHeight="1">
      <c r="A8183" s="10">
        <v>45770</v>
      </c>
      <c r="B8183" t="s" s="11">
        <v>18</v>
      </c>
      <c r="C8183" t="s" s="12">
        <v>17</v>
      </c>
      <c r="D8183" s="17"/>
      <c r="E8183" s="17">
        <v>100</v>
      </c>
      <c r="F8183" s="18"/>
      <c r="G8183" s="18"/>
      <c r="H8183" s="18"/>
      <c r="I8183" s="18"/>
    </row>
    <row r="8184" ht="20.35" customHeight="1">
      <c r="A8184" s="10">
        <v>45770</v>
      </c>
      <c r="B8184" t="s" s="11">
        <v>5</v>
      </c>
      <c r="C8184" t="s" s="12">
        <v>17</v>
      </c>
      <c r="D8184" s="13">
        <v>100</v>
      </c>
      <c r="E8184" s="13"/>
      <c r="F8184" s="14"/>
      <c r="G8184" s="14"/>
      <c r="H8184" s="14"/>
      <c r="I8184" s="14"/>
    </row>
    <row r="8185" ht="20.7" customHeight="1">
      <c r="A8185" s="10">
        <v>45770</v>
      </c>
      <c r="B8185" t="s" s="11">
        <v>8</v>
      </c>
      <c r="C8185" t="s" s="12">
        <v>8</v>
      </c>
      <c r="D8185" s="15" cm="1">
        <f t="array" ref="D8185">SUM(D8183:D8184)</f>
        <v>100</v>
      </c>
      <c r="E8185" s="15" cm="1">
        <f t="array" ref="E8185">SUM(E8183:E8184)</f>
        <v>100</v>
      </c>
      <c r="F8185" s="16" cm="1">
        <f t="array" ref="F8185">SUM(F8183:F8184)</f>
        <v>0</v>
      </c>
      <c r="G8185" s="16" cm="1">
        <f t="array" ref="G8185">SUM(G8183:G8184)</f>
        <v>0</v>
      </c>
      <c r="H8185" s="16" cm="1">
        <f t="array" ref="H8185">SUM(H8183:H8184)</f>
        <v>0</v>
      </c>
      <c r="I8185" s="16" cm="1">
        <f t="array" ref="I8185">SUM(I8183:I8184)</f>
        <v>0</v>
      </c>
    </row>
    <row r="8186" ht="20.65" customHeight="1">
      <c r="A8186" s="10">
        <v>45771</v>
      </c>
      <c r="B8186" t="s" s="11">
        <v>843</v>
      </c>
      <c r="C8186" t="s" s="12">
        <v>820</v>
      </c>
      <c r="D8186" s="17">
        <v>1</v>
      </c>
      <c r="E8186" s="17"/>
      <c r="F8186" s="18"/>
      <c r="G8186" s="18"/>
      <c r="H8186" s="18"/>
      <c r="I8186" s="18"/>
    </row>
    <row r="8187" ht="20.65" customHeight="1">
      <c r="A8187" s="10">
        <v>45771</v>
      </c>
      <c r="B8187" t="s" s="11">
        <v>7</v>
      </c>
      <c r="C8187" t="s" s="12">
        <v>820</v>
      </c>
      <c r="D8187" s="13"/>
      <c r="E8187" s="13">
        <v>1</v>
      </c>
      <c r="F8187" s="14"/>
      <c r="G8187" s="14"/>
      <c r="H8187" s="14"/>
      <c r="I8187" s="14"/>
    </row>
    <row r="8188" ht="20.7" customHeight="1">
      <c r="A8188" s="10">
        <v>45771</v>
      </c>
      <c r="B8188" t="s" s="11">
        <v>8</v>
      </c>
      <c r="C8188" t="s" s="12">
        <v>8</v>
      </c>
      <c r="D8188" s="15" cm="1">
        <f t="array" ref="D8188">SUM(D8186:D8187)</f>
        <v>1</v>
      </c>
      <c r="E8188" s="15" cm="1">
        <f t="array" ref="E8188">SUM(E8186:E8187)</f>
        <v>1</v>
      </c>
      <c r="F8188" s="16" cm="1">
        <f t="array" ref="F8188">SUM(F8186:F8187)</f>
        <v>0</v>
      </c>
      <c r="G8188" s="16" cm="1">
        <f t="array" ref="G8188">SUM(G8186:G8187)</f>
        <v>0</v>
      </c>
      <c r="H8188" s="16" cm="1">
        <f t="array" ref="H8188">SUM(H8186:H8187)</f>
        <v>0</v>
      </c>
      <c r="I8188" s="16" cm="1">
        <f t="array" ref="I8188">SUM(I8186:I8187)</f>
        <v>0</v>
      </c>
    </row>
    <row r="8189" ht="20.65" customHeight="1">
      <c r="A8189" s="10">
        <v>45771</v>
      </c>
      <c r="B8189" t="s" s="11">
        <v>814</v>
      </c>
      <c r="C8189" t="s" s="12">
        <v>820</v>
      </c>
      <c r="D8189" s="17">
        <v>112</v>
      </c>
      <c r="E8189" s="17"/>
      <c r="F8189" s="18"/>
      <c r="G8189" s="18"/>
      <c r="H8189" s="18"/>
      <c r="I8189" s="18"/>
    </row>
    <row r="8190" ht="20.65" customHeight="1">
      <c r="A8190" s="10">
        <v>45771</v>
      </c>
      <c r="B8190" t="s" s="11">
        <v>7</v>
      </c>
      <c r="C8190" t="s" s="12">
        <v>820</v>
      </c>
      <c r="D8190" s="13"/>
      <c r="E8190" s="13">
        <v>112</v>
      </c>
      <c r="F8190" s="14"/>
      <c r="G8190" s="14"/>
      <c r="H8190" s="14"/>
      <c r="I8190" s="14"/>
    </row>
    <row r="8191" ht="20.7" customHeight="1">
      <c r="A8191" s="10">
        <v>45771</v>
      </c>
      <c r="B8191" t="s" s="11">
        <v>8</v>
      </c>
      <c r="C8191" t="s" s="12">
        <v>8</v>
      </c>
      <c r="D8191" s="15" cm="1">
        <f t="array" ref="D8191">SUM(D8189:D8190)</f>
        <v>112</v>
      </c>
      <c r="E8191" s="15" cm="1">
        <f t="array" ref="E8191">SUM(E8189:E8190)</f>
        <v>112</v>
      </c>
      <c r="F8191" s="16" cm="1">
        <f t="array" ref="F8191">SUM(F8189:F8190)</f>
        <v>0</v>
      </c>
      <c r="G8191" s="16" cm="1">
        <f t="array" ref="G8191">SUM(G8189:G8190)</f>
        <v>0</v>
      </c>
      <c r="H8191" s="16" cm="1">
        <f t="array" ref="H8191">SUM(H8189:H8190)</f>
        <v>0</v>
      </c>
      <c r="I8191" s="16" cm="1">
        <f t="array" ref="I8191">SUM(I8189:I8190)</f>
        <v>0</v>
      </c>
    </row>
    <row r="8192" ht="20.35" customHeight="1">
      <c r="A8192" s="10">
        <v>45771</v>
      </c>
      <c r="B8192" t="s" s="11">
        <v>5</v>
      </c>
      <c r="C8192" t="s" s="12">
        <v>439</v>
      </c>
      <c r="D8192" s="17"/>
      <c r="E8192" s="17">
        <v>5000</v>
      </c>
      <c r="F8192" s="18"/>
      <c r="G8192" s="18"/>
      <c r="H8192" s="18"/>
      <c r="I8192" s="18"/>
    </row>
    <row r="8193" ht="20.35" customHeight="1">
      <c r="A8193" s="10">
        <v>45771</v>
      </c>
      <c r="B8193" t="s" s="11">
        <v>121</v>
      </c>
      <c r="C8193" t="s" s="12">
        <v>439</v>
      </c>
      <c r="D8193" s="13">
        <v>5000</v>
      </c>
      <c r="E8193" s="13"/>
      <c r="F8193" s="14"/>
      <c r="G8193" s="14"/>
      <c r="H8193" s="14"/>
      <c r="I8193" s="14"/>
    </row>
    <row r="8194" ht="20.7" customHeight="1">
      <c r="A8194" s="10">
        <v>45771</v>
      </c>
      <c r="B8194" t="s" s="11">
        <v>8</v>
      </c>
      <c r="C8194" t="s" s="12">
        <v>8</v>
      </c>
      <c r="D8194" s="15" cm="1">
        <f t="array" ref="D8194">SUM(D8192:D8193)</f>
        <v>5000</v>
      </c>
      <c r="E8194" s="15" cm="1">
        <f t="array" ref="E8194">SUM(E8192:E8193)</f>
        <v>5000</v>
      </c>
      <c r="F8194" s="16" cm="1">
        <f t="array" ref="F8194">SUM(F8192:F8193)</f>
        <v>0</v>
      </c>
      <c r="G8194" s="16" cm="1">
        <f t="array" ref="G8194">SUM(G8192:G8193)</f>
        <v>0</v>
      </c>
      <c r="H8194" s="16" cm="1">
        <f t="array" ref="H8194">SUM(H8192:H8193)</f>
        <v>0</v>
      </c>
      <c r="I8194" s="16" cm="1">
        <f t="array" ref="I8194">SUM(I8192:I8193)</f>
        <v>0</v>
      </c>
    </row>
    <row r="8195" ht="20.35" customHeight="1">
      <c r="A8195" s="10">
        <v>45771</v>
      </c>
      <c r="B8195" t="s" s="11">
        <v>5</v>
      </c>
      <c r="C8195" t="s" s="12">
        <v>232</v>
      </c>
      <c r="D8195" s="17"/>
      <c r="E8195" s="17">
        <v>4000</v>
      </c>
      <c r="F8195" s="18"/>
      <c r="G8195" s="18"/>
      <c r="H8195" s="18"/>
      <c r="I8195" s="18"/>
    </row>
    <row r="8196" ht="20.35" customHeight="1">
      <c r="A8196" s="10">
        <v>45771</v>
      </c>
      <c r="B8196" t="s" s="11">
        <v>10</v>
      </c>
      <c r="C8196" t="s" s="12">
        <v>232</v>
      </c>
      <c r="D8196" s="13">
        <v>4000</v>
      </c>
      <c r="E8196" s="13"/>
      <c r="F8196" s="14"/>
      <c r="G8196" s="14"/>
      <c r="H8196" s="14"/>
      <c r="I8196" s="14"/>
    </row>
    <row r="8197" ht="20.7" customHeight="1">
      <c r="A8197" s="10">
        <v>45771</v>
      </c>
      <c r="B8197" t="s" s="11">
        <v>8</v>
      </c>
      <c r="C8197" t="s" s="12">
        <v>8</v>
      </c>
      <c r="D8197" s="15" cm="1">
        <f t="array" ref="D8197">SUM(D8195:D8196)</f>
        <v>4000</v>
      </c>
      <c r="E8197" s="15" cm="1">
        <f t="array" ref="E8197">SUM(E8195:E8196)</f>
        <v>4000</v>
      </c>
      <c r="F8197" s="16" cm="1">
        <f t="array" ref="F8197">SUM(F8195:F8196)</f>
        <v>0</v>
      </c>
      <c r="G8197" s="16" cm="1">
        <f t="array" ref="G8197">SUM(G8195:G8196)</f>
        <v>0</v>
      </c>
      <c r="H8197" s="16" cm="1">
        <f t="array" ref="H8197">SUM(H8195:H8196)</f>
        <v>0</v>
      </c>
      <c r="I8197" s="16" cm="1">
        <f t="array" ref="I8197">SUM(I8195:I8196)</f>
        <v>0</v>
      </c>
    </row>
    <row r="8198" ht="20.35" customHeight="1">
      <c r="A8198" s="10">
        <v>45771</v>
      </c>
      <c r="B8198" t="s" s="11">
        <v>93</v>
      </c>
      <c r="C8198" t="s" s="12">
        <v>1108</v>
      </c>
      <c r="D8198" s="17"/>
      <c r="E8198" s="17">
        <v>7600</v>
      </c>
      <c r="F8198" s="18"/>
      <c r="G8198" s="18"/>
      <c r="H8198" s="18"/>
      <c r="I8198" s="18"/>
    </row>
    <row r="8199" ht="20.35" customHeight="1">
      <c r="A8199" s="10">
        <v>45771</v>
      </c>
      <c r="B8199" t="s" s="11">
        <v>12</v>
      </c>
      <c r="C8199" t="s" s="12">
        <v>1108</v>
      </c>
      <c r="D8199" s="13">
        <v>7600</v>
      </c>
      <c r="E8199" s="13"/>
      <c r="F8199" s="14"/>
      <c r="G8199" s="14"/>
      <c r="H8199" s="14"/>
      <c r="I8199" s="14"/>
    </row>
    <row r="8200" ht="20.7" customHeight="1">
      <c r="A8200" s="10">
        <v>45771</v>
      </c>
      <c r="B8200" t="s" s="11">
        <v>8</v>
      </c>
      <c r="C8200" t="s" s="12">
        <v>8</v>
      </c>
      <c r="D8200" s="15" cm="1">
        <f t="array" ref="D8200">SUM(D8198:D8199)</f>
        <v>7600</v>
      </c>
      <c r="E8200" s="15" cm="1">
        <f t="array" ref="E8200">SUM(E8198:E8199)</f>
        <v>7600</v>
      </c>
      <c r="F8200" s="16" cm="1">
        <f t="array" ref="F8200">SUM(F8198:F8199)</f>
        <v>0</v>
      </c>
      <c r="G8200" s="16" cm="1">
        <f t="array" ref="G8200">SUM(G8198:G8199)</f>
        <v>0</v>
      </c>
      <c r="H8200" s="16" cm="1">
        <f t="array" ref="H8200">SUM(H8198:H8199)</f>
        <v>0</v>
      </c>
      <c r="I8200" s="16" cm="1">
        <f t="array" ref="I8200">SUM(I8198:I8199)</f>
        <v>0</v>
      </c>
    </row>
    <row r="8201" ht="20.35" customHeight="1">
      <c r="A8201" s="10">
        <v>45771</v>
      </c>
      <c r="B8201" t="s" s="11">
        <v>93</v>
      </c>
      <c r="C8201" t="s" s="12">
        <v>1120</v>
      </c>
      <c r="D8201" s="17"/>
      <c r="E8201" s="17">
        <v>4725</v>
      </c>
      <c r="F8201" s="18"/>
      <c r="G8201" s="18"/>
      <c r="H8201" s="18"/>
      <c r="I8201" s="18"/>
    </row>
    <row r="8202" ht="20.35" customHeight="1">
      <c r="A8202" s="10">
        <v>45771</v>
      </c>
      <c r="B8202" t="s" s="11">
        <v>10</v>
      </c>
      <c r="C8202" t="s" s="12">
        <v>1120</v>
      </c>
      <c r="D8202" s="13">
        <v>4725</v>
      </c>
      <c r="E8202" s="13"/>
      <c r="F8202" s="14"/>
      <c r="G8202" s="14"/>
      <c r="H8202" s="14"/>
      <c r="I8202" s="14"/>
    </row>
    <row r="8203" ht="20.7" customHeight="1">
      <c r="A8203" s="10">
        <v>45771</v>
      </c>
      <c r="B8203" t="s" s="11">
        <v>8</v>
      </c>
      <c r="C8203" t="s" s="12">
        <v>8</v>
      </c>
      <c r="D8203" s="15" cm="1">
        <f t="array" ref="D8203">SUM(D8201:D8202)</f>
        <v>4725</v>
      </c>
      <c r="E8203" s="15" cm="1">
        <f t="array" ref="E8203">SUM(E8201:E8202)</f>
        <v>4725</v>
      </c>
      <c r="F8203" s="16" cm="1">
        <f t="array" ref="F8203">SUM(F8201:F8202)</f>
        <v>0</v>
      </c>
      <c r="G8203" s="16" cm="1">
        <f t="array" ref="G8203">SUM(G8201:G8202)</f>
        <v>0</v>
      </c>
      <c r="H8203" s="16" cm="1">
        <f t="array" ref="H8203">SUM(H8201:H8202)</f>
        <v>0</v>
      </c>
      <c r="I8203" s="16" cm="1">
        <f t="array" ref="I8203">SUM(I8201:I8202)</f>
        <v>0</v>
      </c>
    </row>
    <row r="8204" ht="20.35" customHeight="1">
      <c r="A8204" s="10">
        <v>45771</v>
      </c>
      <c r="B8204" t="s" s="11">
        <v>5</v>
      </c>
      <c r="C8204" t="s" s="12">
        <v>1025</v>
      </c>
      <c r="D8204" s="17">
        <v>303000</v>
      </c>
      <c r="E8204" s="17"/>
      <c r="F8204" s="18"/>
      <c r="G8204" s="18"/>
      <c r="H8204" s="18"/>
      <c r="I8204" s="18"/>
    </row>
    <row r="8205" ht="20.35" customHeight="1">
      <c r="A8205" s="10">
        <v>45771</v>
      </c>
      <c r="B8205" t="s" s="11">
        <v>91</v>
      </c>
      <c r="C8205" t="s" s="12">
        <v>1025</v>
      </c>
      <c r="D8205" s="13"/>
      <c r="E8205" s="13">
        <v>303000</v>
      </c>
      <c r="F8205" s="14"/>
      <c r="G8205" s="14"/>
      <c r="H8205" s="14"/>
      <c r="I8205" s="14"/>
    </row>
    <row r="8206" ht="20.7" customHeight="1">
      <c r="A8206" s="10">
        <v>45771</v>
      </c>
      <c r="B8206" t="s" s="11">
        <v>8</v>
      </c>
      <c r="C8206" t="s" s="12">
        <v>8</v>
      </c>
      <c r="D8206" s="15" cm="1">
        <f t="array" ref="D8206">SUM(D8204:D8205)</f>
        <v>303000</v>
      </c>
      <c r="E8206" s="15" cm="1">
        <f t="array" ref="E8206">SUM(E8204:E8205)</f>
        <v>303000</v>
      </c>
      <c r="F8206" s="16" cm="1">
        <f t="array" ref="F8206">SUM(F8204:F8205)</f>
        <v>0</v>
      </c>
      <c r="G8206" s="16" cm="1">
        <f t="array" ref="G8206">SUM(G8204:G8205)</f>
        <v>0</v>
      </c>
      <c r="H8206" s="16" cm="1">
        <f t="array" ref="H8206">SUM(H8204:H8205)</f>
        <v>0</v>
      </c>
      <c r="I8206" s="16" cm="1">
        <f t="array" ref="I8206">SUM(I8204:I8205)</f>
        <v>0</v>
      </c>
    </row>
    <row r="8207" ht="20.35" customHeight="1">
      <c r="A8207" s="10">
        <v>45771</v>
      </c>
      <c r="B8207" t="s" s="11">
        <v>5</v>
      </c>
      <c r="C8207" t="s" s="12">
        <v>1106</v>
      </c>
      <c r="D8207" s="17"/>
      <c r="E8207" s="17">
        <v>6800</v>
      </c>
      <c r="F8207" s="18"/>
      <c r="G8207" s="18"/>
      <c r="H8207" s="18"/>
      <c r="I8207" s="18"/>
    </row>
    <row r="8208" ht="20.35" customHeight="1">
      <c r="A8208" s="10">
        <v>45771</v>
      </c>
      <c r="B8208" t="s" s="11">
        <v>12</v>
      </c>
      <c r="C8208" t="s" s="12">
        <v>1106</v>
      </c>
      <c r="D8208" s="13">
        <v>6800</v>
      </c>
      <c r="E8208" s="13"/>
      <c r="F8208" s="14"/>
      <c r="G8208" s="14"/>
      <c r="H8208" s="14"/>
      <c r="I8208" s="14"/>
    </row>
    <row r="8209" ht="20.7" customHeight="1">
      <c r="A8209" s="10">
        <v>45771</v>
      </c>
      <c r="B8209" t="s" s="11">
        <v>8</v>
      </c>
      <c r="C8209" t="s" s="12">
        <v>8</v>
      </c>
      <c r="D8209" s="15" cm="1">
        <f t="array" ref="D8209">SUM(D8207:D8208)</f>
        <v>6800</v>
      </c>
      <c r="E8209" s="15" cm="1">
        <f t="array" ref="E8209">SUM(E8207:E8208)</f>
        <v>6800</v>
      </c>
      <c r="F8209" s="16" cm="1">
        <f t="array" ref="F8209">SUM(F8207:F8208)</f>
        <v>0</v>
      </c>
      <c r="G8209" s="16" cm="1">
        <f t="array" ref="G8209">SUM(G8207:G8208)</f>
        <v>0</v>
      </c>
      <c r="H8209" s="16" cm="1">
        <f t="array" ref="H8209">SUM(H8207:H8208)</f>
        <v>0</v>
      </c>
      <c r="I8209" s="16" cm="1">
        <f t="array" ref="I8209">SUM(I8207:I8208)</f>
        <v>0</v>
      </c>
    </row>
    <row r="8210" ht="20.35" customHeight="1">
      <c r="A8210" s="10">
        <v>45771</v>
      </c>
      <c r="B8210" t="s" s="11">
        <v>5</v>
      </c>
      <c r="C8210" t="s" s="12">
        <v>1121</v>
      </c>
      <c r="D8210" s="17">
        <v>300000</v>
      </c>
      <c r="E8210" s="17"/>
      <c r="F8210" s="18"/>
      <c r="G8210" s="18"/>
      <c r="H8210" s="18"/>
      <c r="I8210" s="18"/>
    </row>
    <row r="8211" ht="20.35" customHeight="1">
      <c r="A8211" s="10">
        <v>45771</v>
      </c>
      <c r="B8211" t="s" s="11">
        <v>32</v>
      </c>
      <c r="C8211" t="s" s="12">
        <v>1121</v>
      </c>
      <c r="D8211" s="13"/>
      <c r="E8211" s="13">
        <v>300000</v>
      </c>
      <c r="F8211" s="14"/>
      <c r="G8211" s="14"/>
      <c r="H8211" s="14"/>
      <c r="I8211" s="14"/>
    </row>
    <row r="8212" ht="20.7" customHeight="1">
      <c r="A8212" s="10">
        <v>45771</v>
      </c>
      <c r="B8212" t="s" s="11">
        <v>8</v>
      </c>
      <c r="C8212" t="s" s="12">
        <v>8</v>
      </c>
      <c r="D8212" s="15" cm="1">
        <f t="array" ref="D8212">SUM(D8210:D8211)</f>
        <v>300000</v>
      </c>
      <c r="E8212" s="15" cm="1">
        <f t="array" ref="E8212">SUM(E8210:E8211)</f>
        <v>300000</v>
      </c>
      <c r="F8212" s="16" cm="1">
        <f t="array" ref="F8212">SUM(F8210:F8211)</f>
        <v>0</v>
      </c>
      <c r="G8212" s="16" cm="1">
        <f t="array" ref="G8212">SUM(G8210:G8211)</f>
        <v>0</v>
      </c>
      <c r="H8212" s="16" cm="1">
        <f t="array" ref="H8212">SUM(H8210:H8211)</f>
        <v>0</v>
      </c>
      <c r="I8212" s="16" cm="1">
        <f t="array" ref="I8212">SUM(I8210:I8211)</f>
        <v>0</v>
      </c>
    </row>
    <row r="8213" ht="21.25" customHeight="1">
      <c r="A8213" s="10">
        <v>45771</v>
      </c>
      <c r="B8213" t="s" s="11">
        <v>5</v>
      </c>
      <c r="C8213" t="s" s="12">
        <v>1122</v>
      </c>
      <c r="D8213" s="17"/>
      <c r="E8213" s="17">
        <v>41800</v>
      </c>
      <c r="F8213" s="18"/>
      <c r="G8213" s="18"/>
      <c r="H8213" s="18"/>
      <c r="I8213" s="18"/>
    </row>
    <row r="8214" ht="20.9" customHeight="1">
      <c r="A8214" s="10">
        <v>45771</v>
      </c>
      <c r="B8214" t="s" s="11">
        <v>89</v>
      </c>
      <c r="C8214" t="s" s="12">
        <v>1122</v>
      </c>
      <c r="D8214" s="19">
        <v>20900</v>
      </c>
      <c r="E8214" s="19"/>
      <c r="F8214" s="20"/>
      <c r="G8214" s="20"/>
      <c r="H8214" s="20"/>
      <c r="I8214" s="20"/>
    </row>
    <row r="8215" ht="21.25" customHeight="1">
      <c r="A8215" s="10">
        <v>45771</v>
      </c>
      <c r="B8215" t="s" s="11">
        <v>12</v>
      </c>
      <c r="C8215" t="s" s="12">
        <v>1122</v>
      </c>
      <c r="D8215" s="13">
        <v>20900</v>
      </c>
      <c r="E8215" s="13"/>
      <c r="F8215" s="14"/>
      <c r="G8215" s="14"/>
      <c r="H8215" s="14"/>
      <c r="I8215" s="14"/>
    </row>
    <row r="8216" ht="20.7" customHeight="1">
      <c r="A8216" s="10">
        <v>45771</v>
      </c>
      <c r="B8216" t="s" s="11">
        <v>8</v>
      </c>
      <c r="C8216" t="s" s="12">
        <v>8</v>
      </c>
      <c r="D8216" s="15" cm="1">
        <f t="array" ref="D8216">SUM(D8213:D8215)</f>
        <v>41800</v>
      </c>
      <c r="E8216" s="15" cm="1">
        <f t="array" ref="E8216">SUM(E8213:E8215)</f>
        <v>41800</v>
      </c>
      <c r="F8216" s="16" cm="1">
        <f t="array" ref="F8216">SUM(F8213:F8215)</f>
        <v>0</v>
      </c>
      <c r="G8216" s="16" cm="1">
        <f t="array" ref="G8216">SUM(G8213:G8215)</f>
        <v>0</v>
      </c>
      <c r="H8216" s="16" cm="1">
        <f t="array" ref="H8216">SUM(H8213:H8215)</f>
        <v>0</v>
      </c>
      <c r="I8216" s="16" cm="1">
        <f t="array" ref="I8216">SUM(I8213:I8215)</f>
        <v>0</v>
      </c>
    </row>
    <row r="8217" ht="20.35" customHeight="1">
      <c r="A8217" s="10">
        <v>45771</v>
      </c>
      <c r="B8217" t="s" s="11">
        <v>5</v>
      </c>
      <c r="C8217" t="s" s="12">
        <v>1067</v>
      </c>
      <c r="D8217" s="17"/>
      <c r="E8217" s="17">
        <v>68390</v>
      </c>
      <c r="F8217" s="18"/>
      <c r="G8217" s="18"/>
      <c r="H8217" s="18"/>
      <c r="I8217" s="18"/>
    </row>
    <row r="8218" ht="20.05" customHeight="1">
      <c r="A8218" s="10">
        <v>45771</v>
      </c>
      <c r="B8218" t="s" s="11">
        <v>89</v>
      </c>
      <c r="C8218" t="s" s="12">
        <v>1067</v>
      </c>
      <c r="D8218" s="19">
        <v>34195</v>
      </c>
      <c r="E8218" s="19"/>
      <c r="F8218" s="20"/>
      <c r="G8218" s="20"/>
      <c r="H8218" s="20"/>
      <c r="I8218" s="20"/>
    </row>
    <row r="8219" ht="20.35" customHeight="1">
      <c r="A8219" s="10">
        <v>45771</v>
      </c>
      <c r="B8219" t="s" s="11">
        <v>12</v>
      </c>
      <c r="C8219" t="s" s="12">
        <v>1067</v>
      </c>
      <c r="D8219" s="13">
        <v>34195</v>
      </c>
      <c r="E8219" s="13"/>
      <c r="F8219" s="14"/>
      <c r="G8219" s="14"/>
      <c r="H8219" s="14"/>
      <c r="I8219" s="14"/>
    </row>
    <row r="8220" ht="20.7" customHeight="1">
      <c r="A8220" s="10">
        <v>45771</v>
      </c>
      <c r="B8220" t="s" s="11">
        <v>8</v>
      </c>
      <c r="C8220" t="s" s="12">
        <v>8</v>
      </c>
      <c r="D8220" s="15" cm="1">
        <f t="array" ref="D8220">SUM(D8217:D8219)</f>
        <v>68390</v>
      </c>
      <c r="E8220" s="15" cm="1">
        <f t="array" ref="E8220">SUM(E8217:E8219)</f>
        <v>68390</v>
      </c>
      <c r="F8220" s="16" cm="1">
        <f t="array" ref="F8220">SUM(F8217:F8219)</f>
        <v>0</v>
      </c>
      <c r="G8220" s="16" cm="1">
        <f t="array" ref="G8220">SUM(G8217:G8219)</f>
        <v>0</v>
      </c>
      <c r="H8220" s="16" cm="1">
        <f t="array" ref="H8220">SUM(H8217:H8219)</f>
        <v>0</v>
      </c>
      <c r="I8220" s="16" cm="1">
        <f t="array" ref="I8220">SUM(I8217:I8219)</f>
        <v>0</v>
      </c>
    </row>
    <row r="8221" ht="20.35" customHeight="1">
      <c r="A8221" s="10">
        <v>45771</v>
      </c>
      <c r="B8221" t="s" s="11">
        <v>18</v>
      </c>
      <c r="C8221" t="s" s="12">
        <v>17</v>
      </c>
      <c r="D8221" s="17"/>
      <c r="E8221" s="17">
        <v>500</v>
      </c>
      <c r="F8221" s="18"/>
      <c r="G8221" s="18"/>
      <c r="H8221" s="18"/>
      <c r="I8221" s="18"/>
    </row>
    <row r="8222" ht="20.35" customHeight="1">
      <c r="A8222" s="10">
        <v>45771</v>
      </c>
      <c r="B8222" t="s" s="11">
        <v>5</v>
      </c>
      <c r="C8222" t="s" s="12">
        <v>17</v>
      </c>
      <c r="D8222" s="13">
        <v>500</v>
      </c>
      <c r="E8222" s="13"/>
      <c r="F8222" s="14"/>
      <c r="G8222" s="14"/>
      <c r="H8222" s="14"/>
      <c r="I8222" s="14"/>
    </row>
    <row r="8223" ht="20.7" customHeight="1">
      <c r="A8223" s="10">
        <v>45771</v>
      </c>
      <c r="B8223" t="s" s="11">
        <v>8</v>
      </c>
      <c r="C8223" t="s" s="12">
        <v>8</v>
      </c>
      <c r="D8223" s="15" cm="1">
        <f t="array" ref="D8223">SUM(D8221:D8222)</f>
        <v>500</v>
      </c>
      <c r="E8223" s="15" cm="1">
        <f t="array" ref="E8223">SUM(E8221:E8222)</f>
        <v>500</v>
      </c>
      <c r="F8223" s="16" cm="1">
        <f t="array" ref="F8223">SUM(F8221:F8222)</f>
        <v>0</v>
      </c>
      <c r="G8223" s="16" cm="1">
        <f t="array" ref="G8223">SUM(G8221:G8222)</f>
        <v>0</v>
      </c>
      <c r="H8223" s="16" cm="1">
        <f t="array" ref="H8223">SUM(H8221:H8222)</f>
        <v>0</v>
      </c>
      <c r="I8223" s="16" cm="1">
        <f t="array" ref="I8223">SUM(I8221:I8222)</f>
        <v>0</v>
      </c>
    </row>
    <row r="8224" ht="21.25" customHeight="1">
      <c r="A8224" s="10">
        <v>45771</v>
      </c>
      <c r="B8224" t="s" s="11">
        <v>5</v>
      </c>
      <c r="C8224" t="s" s="12">
        <v>1123</v>
      </c>
      <c r="D8224" s="17"/>
      <c r="E8224" s="17">
        <v>76390</v>
      </c>
      <c r="F8224" s="18"/>
      <c r="G8224" s="18"/>
      <c r="H8224" s="18"/>
      <c r="I8224" s="18"/>
    </row>
    <row r="8225" ht="21.25" customHeight="1">
      <c r="A8225" s="10">
        <v>45771</v>
      </c>
      <c r="B8225" t="s" s="11">
        <v>86</v>
      </c>
      <c r="C8225" t="s" s="12">
        <v>1123</v>
      </c>
      <c r="D8225" s="13">
        <v>76390</v>
      </c>
      <c r="E8225" s="13"/>
      <c r="F8225" s="14"/>
      <c r="G8225" s="14"/>
      <c r="H8225" s="14"/>
      <c r="I8225" s="14"/>
    </row>
    <row r="8226" ht="20.7" customHeight="1">
      <c r="A8226" s="10">
        <v>45771</v>
      </c>
      <c r="B8226" t="s" s="11">
        <v>8</v>
      </c>
      <c r="C8226" t="s" s="12">
        <v>8</v>
      </c>
      <c r="D8226" s="15" cm="1">
        <f t="array" ref="D8226">SUM(D8224:D8225)</f>
        <v>76390</v>
      </c>
      <c r="E8226" s="15" cm="1">
        <f t="array" ref="E8226">SUM(E8224:E8225)</f>
        <v>76390</v>
      </c>
      <c r="F8226" s="16" cm="1">
        <f t="array" ref="F8226">SUM(F8224:F8225)</f>
        <v>0</v>
      </c>
      <c r="G8226" s="16" cm="1">
        <f t="array" ref="G8226">SUM(G8224:G8225)</f>
        <v>0</v>
      </c>
      <c r="H8226" s="16" cm="1">
        <f t="array" ref="H8226">SUM(H8224:H8225)</f>
        <v>0</v>
      </c>
      <c r="I8226" s="16" cm="1">
        <f t="array" ref="I8226">SUM(I8224:I8225)</f>
        <v>0</v>
      </c>
    </row>
    <row r="8227" ht="20.35" customHeight="1">
      <c r="A8227" s="10">
        <v>45771</v>
      </c>
      <c r="B8227" t="s" s="11">
        <v>5</v>
      </c>
      <c r="C8227" t="s" s="12">
        <v>659</v>
      </c>
      <c r="D8227" s="17"/>
      <c r="E8227" s="17">
        <v>76390</v>
      </c>
      <c r="F8227" s="18"/>
      <c r="G8227" s="18"/>
      <c r="H8227" s="18"/>
      <c r="I8227" s="18"/>
    </row>
    <row r="8228" ht="20.35" customHeight="1">
      <c r="A8228" s="10">
        <v>45771</v>
      </c>
      <c r="B8228" t="s" s="11">
        <v>89</v>
      </c>
      <c r="C8228" t="s" s="12">
        <v>659</v>
      </c>
      <c r="D8228" s="13">
        <v>76390</v>
      </c>
      <c r="E8228" s="13"/>
      <c r="F8228" s="14"/>
      <c r="G8228" s="14"/>
      <c r="H8228" s="14"/>
      <c r="I8228" s="14"/>
    </row>
    <row r="8229" ht="20.7" customHeight="1">
      <c r="A8229" s="10">
        <v>45771</v>
      </c>
      <c r="B8229" t="s" s="11">
        <v>8</v>
      </c>
      <c r="C8229" t="s" s="12">
        <v>8</v>
      </c>
      <c r="D8229" s="15" cm="1">
        <f t="array" ref="D8229">SUM(D8227:D8228)</f>
        <v>76390</v>
      </c>
      <c r="E8229" s="15" cm="1">
        <f t="array" ref="E8229">SUM(E8227:E8228)</f>
        <v>76390</v>
      </c>
      <c r="F8229" s="16" cm="1">
        <f t="array" ref="F8229">SUM(F8227:F8228)</f>
        <v>0</v>
      </c>
      <c r="G8229" s="16" cm="1">
        <f t="array" ref="G8229">SUM(G8227:G8228)</f>
        <v>0</v>
      </c>
      <c r="H8229" s="16" cm="1">
        <f t="array" ref="H8229">SUM(H8227:H8228)</f>
        <v>0</v>
      </c>
      <c r="I8229" s="16" cm="1">
        <f t="array" ref="I8229">SUM(I8227:I8228)</f>
        <v>0</v>
      </c>
    </row>
    <row r="8230" ht="20.35" customHeight="1">
      <c r="A8230" s="10">
        <v>45771</v>
      </c>
      <c r="B8230" t="s" s="11">
        <v>5</v>
      </c>
      <c r="C8230" t="s" s="12">
        <v>604</v>
      </c>
      <c r="D8230" s="17"/>
      <c r="E8230" s="17">
        <v>35625</v>
      </c>
      <c r="F8230" s="18"/>
      <c r="G8230" s="18"/>
      <c r="H8230" s="18"/>
      <c r="I8230" s="18"/>
    </row>
    <row r="8231" ht="20.35" customHeight="1">
      <c r="A8231" s="10">
        <v>45771</v>
      </c>
      <c r="B8231" t="s" s="11">
        <v>93</v>
      </c>
      <c r="C8231" t="s" s="12">
        <v>604</v>
      </c>
      <c r="D8231" s="13">
        <v>35625</v>
      </c>
      <c r="E8231" s="13"/>
      <c r="F8231" s="14"/>
      <c r="G8231" s="14"/>
      <c r="H8231" s="14"/>
      <c r="I8231" s="14"/>
    </row>
    <row r="8232" ht="20.7" customHeight="1">
      <c r="A8232" s="10">
        <v>45771</v>
      </c>
      <c r="B8232" t="s" s="11">
        <v>8</v>
      </c>
      <c r="C8232" t="s" s="12">
        <v>8</v>
      </c>
      <c r="D8232" s="15" cm="1">
        <f t="array" ref="D8232">SUM(D8230:D8231)</f>
        <v>35625</v>
      </c>
      <c r="E8232" s="15" cm="1">
        <f t="array" ref="E8232">SUM(E8230:E8231)</f>
        <v>35625</v>
      </c>
      <c r="F8232" s="16" cm="1">
        <f t="array" ref="F8232">SUM(F8230:F8231)</f>
        <v>0</v>
      </c>
      <c r="G8232" s="16" cm="1">
        <f t="array" ref="G8232">SUM(G8230:G8231)</f>
        <v>0</v>
      </c>
      <c r="H8232" s="16" cm="1">
        <f t="array" ref="H8232">SUM(H8230:H8231)</f>
        <v>0</v>
      </c>
      <c r="I8232" s="16" cm="1">
        <f t="array" ref="I8232">SUM(I8230:I8231)</f>
        <v>0</v>
      </c>
    </row>
    <row r="8233" ht="20.35" customHeight="1">
      <c r="A8233" s="10">
        <v>45771</v>
      </c>
      <c r="B8233" t="s" s="11">
        <v>93</v>
      </c>
      <c r="C8233" t="s" s="12">
        <v>1124</v>
      </c>
      <c r="D8233" s="17"/>
      <c r="E8233" s="17">
        <v>50000</v>
      </c>
      <c r="F8233" s="18"/>
      <c r="G8233" s="18"/>
      <c r="H8233" s="18"/>
      <c r="I8233" s="18"/>
    </row>
    <row r="8234" ht="20.35" customHeight="1">
      <c r="A8234" s="10">
        <v>45771</v>
      </c>
      <c r="B8234" t="s" s="11">
        <v>89</v>
      </c>
      <c r="C8234" t="s" s="12">
        <v>1124</v>
      </c>
      <c r="D8234" s="13">
        <v>50000</v>
      </c>
      <c r="E8234" s="13"/>
      <c r="F8234" s="14"/>
      <c r="G8234" s="14"/>
      <c r="H8234" s="14"/>
      <c r="I8234" s="14"/>
    </row>
    <row r="8235" ht="20.7" customHeight="1">
      <c r="A8235" s="10">
        <v>45771</v>
      </c>
      <c r="B8235" t="s" s="11">
        <v>8</v>
      </c>
      <c r="C8235" t="s" s="12">
        <v>8</v>
      </c>
      <c r="D8235" s="15" cm="1">
        <f t="array" ref="D8235">SUM(D8233:D8234)</f>
        <v>50000</v>
      </c>
      <c r="E8235" s="15" cm="1">
        <f t="array" ref="E8235">SUM(E8233:E8234)</f>
        <v>50000</v>
      </c>
      <c r="F8235" s="16" cm="1">
        <f t="array" ref="F8235">SUM(F8233:F8234)</f>
        <v>0</v>
      </c>
      <c r="G8235" s="16" cm="1">
        <f t="array" ref="G8235">SUM(G8233:G8234)</f>
        <v>0</v>
      </c>
      <c r="H8235" s="16" cm="1">
        <f t="array" ref="H8235">SUM(H8233:H8234)</f>
        <v>0</v>
      </c>
      <c r="I8235" s="16" cm="1">
        <f t="array" ref="I8235">SUM(I8233:I8234)</f>
        <v>0</v>
      </c>
    </row>
    <row r="8236" ht="20.35" customHeight="1">
      <c r="A8236" s="10">
        <v>45771</v>
      </c>
      <c r="B8236" t="s" s="11">
        <v>39</v>
      </c>
      <c r="C8236" t="s" s="12">
        <v>64</v>
      </c>
      <c r="D8236" s="17"/>
      <c r="E8236" s="17"/>
      <c r="F8236" s="18">
        <v>50</v>
      </c>
      <c r="G8236" s="18"/>
      <c r="H8236" s="18"/>
      <c r="I8236" s="18"/>
    </row>
    <row r="8237" ht="20.35" customHeight="1">
      <c r="A8237" s="10">
        <v>45771</v>
      </c>
      <c r="B8237" t="s" s="11">
        <v>41</v>
      </c>
      <c r="C8237" t="s" s="12">
        <v>64</v>
      </c>
      <c r="D8237" s="13"/>
      <c r="E8237" s="13"/>
      <c r="F8237" s="14"/>
      <c r="G8237" s="14">
        <v>50</v>
      </c>
      <c r="H8237" s="14"/>
      <c r="I8237" s="14"/>
    </row>
    <row r="8238" ht="20.7" customHeight="1">
      <c r="A8238" s="10">
        <v>45771</v>
      </c>
      <c r="B8238" t="s" s="11">
        <v>8</v>
      </c>
      <c r="C8238" t="s" s="12">
        <v>8</v>
      </c>
      <c r="D8238" s="15" cm="1">
        <f t="array" ref="D8238">SUM(D8236:D8237)</f>
        <v>0</v>
      </c>
      <c r="E8238" s="15" cm="1">
        <f t="array" ref="E8238">SUM(E8236:E8237)</f>
        <v>0</v>
      </c>
      <c r="F8238" s="16" cm="1">
        <f t="array" ref="F8238">SUM(F8236:F8237)</f>
        <v>50</v>
      </c>
      <c r="G8238" s="16" cm="1">
        <f t="array" ref="G8238">SUM(G8236:G8237)</f>
        <v>50</v>
      </c>
      <c r="H8238" s="16" cm="1">
        <f t="array" ref="H8238">SUM(H8236:H8237)</f>
        <v>0</v>
      </c>
      <c r="I8238" s="16" cm="1">
        <f t="array" ref="I8238">SUM(I8236:I8237)</f>
        <v>0</v>
      </c>
    </row>
    <row r="8239" ht="20.35" customHeight="1">
      <c r="A8239" s="10">
        <v>45771</v>
      </c>
      <c r="B8239" t="s" s="11">
        <v>39</v>
      </c>
      <c r="C8239" t="s" s="12">
        <v>68</v>
      </c>
      <c r="D8239" s="17"/>
      <c r="E8239" s="17"/>
      <c r="F8239" s="18"/>
      <c r="G8239" s="18">
        <v>8.49</v>
      </c>
      <c r="H8239" s="18"/>
      <c r="I8239" s="18"/>
    </row>
    <row r="8240" ht="20.35" customHeight="1">
      <c r="A8240" s="10">
        <v>45771</v>
      </c>
      <c r="B8240" t="s" s="11">
        <v>44</v>
      </c>
      <c r="C8240" t="s" s="12">
        <v>68</v>
      </c>
      <c r="D8240" s="13"/>
      <c r="E8240" s="13"/>
      <c r="F8240" s="14">
        <v>8.49</v>
      </c>
      <c r="G8240" s="14"/>
      <c r="H8240" s="14"/>
      <c r="I8240" s="14"/>
    </row>
    <row r="8241" ht="20.7" customHeight="1">
      <c r="A8241" s="10">
        <v>45771</v>
      </c>
      <c r="B8241" t="s" s="11">
        <v>8</v>
      </c>
      <c r="C8241" t="s" s="12">
        <v>8</v>
      </c>
      <c r="D8241" s="15" cm="1">
        <f t="array" ref="D8241">SUM(D8239:D8240)</f>
        <v>0</v>
      </c>
      <c r="E8241" s="15" cm="1">
        <f t="array" ref="E8241">SUM(E8239:E8240)</f>
        <v>0</v>
      </c>
      <c r="F8241" s="16" cm="1">
        <f t="array" ref="F8241">SUM(F8239:F8240)</f>
        <v>8.49</v>
      </c>
      <c r="G8241" s="16" cm="1">
        <f t="array" ref="G8241">SUM(G8239:G8240)</f>
        <v>8.49</v>
      </c>
      <c r="H8241" s="16" cm="1">
        <f t="array" ref="H8241">SUM(H8239:H8240)</f>
        <v>0</v>
      </c>
      <c r="I8241" s="16" cm="1">
        <f t="array" ref="I8241">SUM(I8239:I8240)</f>
        <v>0</v>
      </c>
    </row>
    <row r="8242" ht="20.65" customHeight="1">
      <c r="A8242" s="10">
        <v>45772</v>
      </c>
      <c r="B8242" t="s" s="11">
        <v>843</v>
      </c>
      <c r="C8242" t="s" s="12">
        <v>820</v>
      </c>
      <c r="D8242" s="17">
        <v>1</v>
      </c>
      <c r="E8242" s="17"/>
      <c r="F8242" s="18"/>
      <c r="G8242" s="18"/>
      <c r="H8242" s="18"/>
      <c r="I8242" s="18"/>
    </row>
    <row r="8243" ht="20.65" customHeight="1">
      <c r="A8243" s="10">
        <v>45772</v>
      </c>
      <c r="B8243" t="s" s="11">
        <v>7</v>
      </c>
      <c r="C8243" t="s" s="12">
        <v>820</v>
      </c>
      <c r="D8243" s="13"/>
      <c r="E8243" s="13">
        <v>1</v>
      </c>
      <c r="F8243" s="14"/>
      <c r="G8243" s="14"/>
      <c r="H8243" s="14"/>
      <c r="I8243" s="14"/>
    </row>
    <row r="8244" ht="20.7" customHeight="1">
      <c r="A8244" s="10">
        <v>45772</v>
      </c>
      <c r="B8244" t="s" s="11">
        <v>8</v>
      </c>
      <c r="C8244" t="s" s="12">
        <v>8</v>
      </c>
      <c r="D8244" s="15" cm="1">
        <f t="array" ref="D8244">SUM(D8242:D8243)</f>
        <v>1</v>
      </c>
      <c r="E8244" s="15" cm="1">
        <f t="array" ref="E8244">SUM(E8242:E8243)</f>
        <v>1</v>
      </c>
      <c r="F8244" s="16" cm="1">
        <f t="array" ref="F8244">SUM(F8242:F8243)</f>
        <v>0</v>
      </c>
      <c r="G8244" s="16" cm="1">
        <f t="array" ref="G8244">SUM(G8242:G8243)</f>
        <v>0</v>
      </c>
      <c r="H8244" s="16" cm="1">
        <f t="array" ref="H8244">SUM(H8242:H8243)</f>
        <v>0</v>
      </c>
      <c r="I8244" s="16" cm="1">
        <f t="array" ref="I8244">SUM(I8242:I8243)</f>
        <v>0</v>
      </c>
    </row>
    <row r="8245" ht="20.65" customHeight="1">
      <c r="A8245" s="10">
        <v>45772</v>
      </c>
      <c r="B8245" t="s" s="11">
        <v>814</v>
      </c>
      <c r="C8245" t="s" s="12">
        <v>820</v>
      </c>
      <c r="D8245" s="17">
        <v>112</v>
      </c>
      <c r="E8245" s="17"/>
      <c r="F8245" s="18"/>
      <c r="G8245" s="18"/>
      <c r="H8245" s="18"/>
      <c r="I8245" s="18"/>
    </row>
    <row r="8246" ht="20.65" customHeight="1">
      <c r="A8246" s="10">
        <v>45772</v>
      </c>
      <c r="B8246" t="s" s="11">
        <v>7</v>
      </c>
      <c r="C8246" t="s" s="12">
        <v>820</v>
      </c>
      <c r="D8246" s="13"/>
      <c r="E8246" s="13">
        <v>112</v>
      </c>
      <c r="F8246" s="14"/>
      <c r="G8246" s="14"/>
      <c r="H8246" s="14"/>
      <c r="I8246" s="14"/>
    </row>
    <row r="8247" ht="20.7" customHeight="1">
      <c r="A8247" s="10">
        <v>45772</v>
      </c>
      <c r="B8247" t="s" s="11">
        <v>8</v>
      </c>
      <c r="C8247" t="s" s="12">
        <v>8</v>
      </c>
      <c r="D8247" s="15" cm="1">
        <f t="array" ref="D8247">SUM(D8245:D8246)</f>
        <v>112</v>
      </c>
      <c r="E8247" s="15" cm="1">
        <f t="array" ref="E8247">SUM(E8245:E8246)</f>
        <v>112</v>
      </c>
      <c r="F8247" s="16" cm="1">
        <f t="array" ref="F8247">SUM(F8245:F8246)</f>
        <v>0</v>
      </c>
      <c r="G8247" s="16" cm="1">
        <f t="array" ref="G8247">SUM(G8245:G8246)</f>
        <v>0</v>
      </c>
      <c r="H8247" s="16" cm="1">
        <f t="array" ref="H8247">SUM(H8245:H8246)</f>
        <v>0</v>
      </c>
      <c r="I8247" s="16" cm="1">
        <f t="array" ref="I8247">SUM(I8245:I8246)</f>
        <v>0</v>
      </c>
    </row>
    <row r="8248" ht="21.25" customHeight="1">
      <c r="A8248" s="10">
        <v>45772</v>
      </c>
      <c r="B8248" t="s" s="11">
        <v>5</v>
      </c>
      <c r="C8248" t="s" s="12">
        <v>986</v>
      </c>
      <c r="D8248" s="17"/>
      <c r="E8248" s="17">
        <v>10000</v>
      </c>
      <c r="F8248" s="18"/>
      <c r="G8248" s="18"/>
      <c r="H8248" s="18"/>
      <c r="I8248" s="18"/>
    </row>
    <row r="8249" ht="21.25" customHeight="1">
      <c r="A8249" s="10">
        <v>45772</v>
      </c>
      <c r="B8249" t="s" s="11">
        <v>790</v>
      </c>
      <c r="C8249" t="s" s="12">
        <v>986</v>
      </c>
      <c r="D8249" s="13">
        <v>10000</v>
      </c>
      <c r="E8249" s="13"/>
      <c r="F8249" s="14"/>
      <c r="G8249" s="14"/>
      <c r="H8249" s="14"/>
      <c r="I8249" s="14"/>
    </row>
    <row r="8250" ht="20.7" customHeight="1">
      <c r="A8250" s="10">
        <v>45772</v>
      </c>
      <c r="B8250" t="s" s="11">
        <v>8</v>
      </c>
      <c r="C8250" t="s" s="12">
        <v>8</v>
      </c>
      <c r="D8250" s="15" cm="1">
        <f t="array" ref="D8250">SUM(D8248:D8249)</f>
        <v>10000</v>
      </c>
      <c r="E8250" s="15" cm="1">
        <f t="array" ref="E8250">SUM(E8248:E8249)</f>
        <v>10000</v>
      </c>
      <c r="F8250" s="16" cm="1">
        <f t="array" ref="F8250">SUM(F8248:F8249)</f>
        <v>0</v>
      </c>
      <c r="G8250" s="16" cm="1">
        <f t="array" ref="G8250">SUM(G8248:G8249)</f>
        <v>0</v>
      </c>
      <c r="H8250" s="16" cm="1">
        <f t="array" ref="H8250">SUM(H8248:H8249)</f>
        <v>0</v>
      </c>
      <c r="I8250" s="16" cm="1">
        <f t="array" ref="I8250">SUM(I8248:I8249)</f>
        <v>0</v>
      </c>
    </row>
    <row r="8251" ht="20.35" customHeight="1">
      <c r="A8251" s="10">
        <v>45772</v>
      </c>
      <c r="B8251" t="s" s="11">
        <v>5</v>
      </c>
      <c r="C8251" t="s" s="12">
        <v>439</v>
      </c>
      <c r="D8251" s="17"/>
      <c r="E8251" s="17">
        <v>20000</v>
      </c>
      <c r="F8251" s="18"/>
      <c r="G8251" s="18"/>
      <c r="H8251" s="18"/>
      <c r="I8251" s="18"/>
    </row>
    <row r="8252" ht="20.35" customHeight="1">
      <c r="A8252" s="10">
        <v>45772</v>
      </c>
      <c r="B8252" t="s" s="11">
        <v>121</v>
      </c>
      <c r="C8252" t="s" s="12">
        <v>439</v>
      </c>
      <c r="D8252" s="13">
        <v>20000</v>
      </c>
      <c r="E8252" s="13"/>
      <c r="F8252" s="14"/>
      <c r="G8252" s="14"/>
      <c r="H8252" s="14"/>
      <c r="I8252" s="14"/>
    </row>
    <row r="8253" ht="20.7" customHeight="1">
      <c r="A8253" s="10">
        <v>45772</v>
      </c>
      <c r="B8253" t="s" s="11">
        <v>8</v>
      </c>
      <c r="C8253" t="s" s="12">
        <v>8</v>
      </c>
      <c r="D8253" s="15" cm="1">
        <f t="array" ref="D8253">SUM(D8251:D8252)</f>
        <v>20000</v>
      </c>
      <c r="E8253" s="15" cm="1">
        <f t="array" ref="E8253">SUM(E8251:E8252)</f>
        <v>20000</v>
      </c>
      <c r="F8253" s="16" cm="1">
        <f t="array" ref="F8253">SUM(F8251:F8252)</f>
        <v>0</v>
      </c>
      <c r="G8253" s="16" cm="1">
        <f t="array" ref="G8253">SUM(G8251:G8252)</f>
        <v>0</v>
      </c>
      <c r="H8253" s="16" cm="1">
        <f t="array" ref="H8253">SUM(H8251:H8252)</f>
        <v>0</v>
      </c>
      <c r="I8253" s="16" cm="1">
        <f t="array" ref="I8253">SUM(I8251:I8252)</f>
        <v>0</v>
      </c>
    </row>
    <row r="8254" ht="20.35" customHeight="1">
      <c r="A8254" s="10">
        <v>45772</v>
      </c>
      <c r="B8254" t="s" s="11">
        <v>5</v>
      </c>
      <c r="C8254" t="s" s="12">
        <v>209</v>
      </c>
      <c r="D8254" s="17"/>
      <c r="E8254" s="17">
        <v>10000</v>
      </c>
      <c r="F8254" s="18"/>
      <c r="G8254" s="18"/>
      <c r="H8254" s="18"/>
      <c r="I8254" s="18"/>
    </row>
    <row r="8255" ht="20.35" customHeight="1">
      <c r="A8255" s="10">
        <v>45772</v>
      </c>
      <c r="B8255" t="s" s="11">
        <v>107</v>
      </c>
      <c r="C8255" t="s" s="12">
        <v>209</v>
      </c>
      <c r="D8255" s="13">
        <v>10000</v>
      </c>
      <c r="E8255" s="13"/>
      <c r="F8255" s="14"/>
      <c r="G8255" s="14"/>
      <c r="H8255" s="14"/>
      <c r="I8255" s="14"/>
    </row>
    <row r="8256" ht="20.7" customHeight="1">
      <c r="A8256" s="10">
        <v>45772</v>
      </c>
      <c r="B8256" t="s" s="11">
        <v>8</v>
      </c>
      <c r="C8256" t="s" s="12">
        <v>8</v>
      </c>
      <c r="D8256" s="15" cm="1">
        <f t="array" ref="D8256">SUM(D8254:D8255)</f>
        <v>10000</v>
      </c>
      <c r="E8256" s="15" cm="1">
        <f t="array" ref="E8256">SUM(E8254:E8255)</f>
        <v>10000</v>
      </c>
      <c r="F8256" s="16" cm="1">
        <f t="array" ref="F8256">SUM(F8254:F8255)</f>
        <v>0</v>
      </c>
      <c r="G8256" s="16" cm="1">
        <f t="array" ref="G8256">SUM(G8254:G8255)</f>
        <v>0</v>
      </c>
      <c r="H8256" s="16" cm="1">
        <f t="array" ref="H8256">SUM(H8254:H8255)</f>
        <v>0</v>
      </c>
      <c r="I8256" s="16" cm="1">
        <f t="array" ref="I8256">SUM(I8254:I8255)</f>
        <v>0</v>
      </c>
    </row>
    <row r="8257" ht="21.25" customHeight="1">
      <c r="A8257" s="10">
        <v>45772</v>
      </c>
      <c r="B8257" t="s" s="11">
        <v>107</v>
      </c>
      <c r="C8257" t="s" s="12">
        <v>1125</v>
      </c>
      <c r="D8257" s="17"/>
      <c r="E8257" s="17">
        <v>10000</v>
      </c>
      <c r="F8257" s="18"/>
      <c r="G8257" s="18"/>
      <c r="H8257" s="18"/>
      <c r="I8257" s="18"/>
    </row>
    <row r="8258" ht="21.25" customHeight="1">
      <c r="A8258" s="10">
        <v>45772</v>
      </c>
      <c r="B8258" t="s" s="11">
        <v>1126</v>
      </c>
      <c r="C8258" t="s" s="12">
        <v>1125</v>
      </c>
      <c r="D8258" s="13">
        <v>10000</v>
      </c>
      <c r="E8258" s="13"/>
      <c r="F8258" s="14"/>
      <c r="G8258" s="14"/>
      <c r="H8258" s="14"/>
      <c r="I8258" s="14"/>
    </row>
    <row r="8259" ht="20.7" customHeight="1">
      <c r="A8259" s="10">
        <v>45772</v>
      </c>
      <c r="B8259" t="s" s="11">
        <v>8</v>
      </c>
      <c r="C8259" t="s" s="12">
        <v>8</v>
      </c>
      <c r="D8259" s="15" cm="1">
        <f t="array" ref="D8259">SUM(D8257:D8258)</f>
        <v>10000</v>
      </c>
      <c r="E8259" s="15" cm="1">
        <f t="array" ref="E8259">SUM(E8257:E8258)</f>
        <v>10000</v>
      </c>
      <c r="F8259" s="16" cm="1">
        <f t="array" ref="F8259">SUM(F8257:F8258)</f>
        <v>0</v>
      </c>
      <c r="G8259" s="16" cm="1">
        <f t="array" ref="G8259">SUM(G8257:G8258)</f>
        <v>0</v>
      </c>
      <c r="H8259" s="16" cm="1">
        <f t="array" ref="H8259">SUM(H8257:H8258)</f>
        <v>0</v>
      </c>
      <c r="I8259" s="16" cm="1">
        <f t="array" ref="I8259">SUM(I8257:I8258)</f>
        <v>0</v>
      </c>
    </row>
    <row r="8260" ht="20.35" customHeight="1">
      <c r="A8260" s="10">
        <v>45772</v>
      </c>
      <c r="B8260" t="s" s="11">
        <v>5</v>
      </c>
      <c r="C8260" t="s" s="12">
        <v>439</v>
      </c>
      <c r="D8260" s="17"/>
      <c r="E8260" s="17">
        <v>167505</v>
      </c>
      <c r="F8260" s="18"/>
      <c r="G8260" s="18"/>
      <c r="H8260" s="18"/>
      <c r="I8260" s="18"/>
    </row>
    <row r="8261" ht="20.35" customHeight="1">
      <c r="A8261" s="10">
        <v>45772</v>
      </c>
      <c r="B8261" t="s" s="11">
        <v>121</v>
      </c>
      <c r="C8261" t="s" s="12">
        <v>439</v>
      </c>
      <c r="D8261" s="13">
        <v>167505</v>
      </c>
      <c r="E8261" s="13"/>
      <c r="F8261" s="14"/>
      <c r="G8261" s="14"/>
      <c r="H8261" s="14"/>
      <c r="I8261" s="14"/>
    </row>
    <row r="8262" ht="20.7" customHeight="1">
      <c r="A8262" s="10">
        <v>45772</v>
      </c>
      <c r="B8262" t="s" s="11">
        <v>8</v>
      </c>
      <c r="C8262" t="s" s="12">
        <v>8</v>
      </c>
      <c r="D8262" s="15" cm="1">
        <f t="array" ref="D8262">SUM(D8260:D8261)</f>
        <v>167505</v>
      </c>
      <c r="E8262" s="15" cm="1">
        <f t="array" ref="E8262">SUM(E8260:E8261)</f>
        <v>167505</v>
      </c>
      <c r="F8262" s="16" cm="1">
        <f t="array" ref="F8262">SUM(F8260:F8261)</f>
        <v>0</v>
      </c>
      <c r="G8262" s="16" cm="1">
        <f t="array" ref="G8262">SUM(G8260:G8261)</f>
        <v>0</v>
      </c>
      <c r="H8262" s="16" cm="1">
        <f t="array" ref="H8262">SUM(H8260:H8261)</f>
        <v>0</v>
      </c>
      <c r="I8262" s="16" cm="1">
        <f t="array" ref="I8262">SUM(I8260:I8261)</f>
        <v>0</v>
      </c>
    </row>
    <row r="8263" ht="21.25" customHeight="1">
      <c r="A8263" s="10">
        <v>45772</v>
      </c>
      <c r="B8263" t="s" s="11">
        <v>121</v>
      </c>
      <c r="C8263" t="s" s="12">
        <v>1127</v>
      </c>
      <c r="D8263" s="17"/>
      <c r="E8263" s="17">
        <v>66353</v>
      </c>
      <c r="F8263" s="18"/>
      <c r="G8263" s="18"/>
      <c r="H8263" s="18"/>
      <c r="I8263" s="18"/>
    </row>
    <row r="8264" ht="21.25" customHeight="1">
      <c r="A8264" s="10">
        <v>45772</v>
      </c>
      <c r="B8264" t="s" s="11">
        <v>441</v>
      </c>
      <c r="C8264" t="s" s="12">
        <v>1127</v>
      </c>
      <c r="D8264" s="13">
        <v>66353</v>
      </c>
      <c r="E8264" s="13"/>
      <c r="F8264" s="14"/>
      <c r="G8264" s="14"/>
      <c r="H8264" s="14"/>
      <c r="I8264" s="14"/>
    </row>
    <row r="8265" ht="20.7" customHeight="1">
      <c r="A8265" s="10">
        <v>45772</v>
      </c>
      <c r="B8265" t="s" s="11">
        <v>8</v>
      </c>
      <c r="C8265" t="s" s="12">
        <v>8</v>
      </c>
      <c r="D8265" s="15" cm="1">
        <f t="array" ref="D8265">SUM(D8263:D8264)</f>
        <v>66353</v>
      </c>
      <c r="E8265" s="15" cm="1">
        <f t="array" ref="E8265">SUM(E8263:E8264)</f>
        <v>66353</v>
      </c>
      <c r="F8265" s="16" cm="1">
        <f t="array" ref="F8265">SUM(F8263:F8264)</f>
        <v>0</v>
      </c>
      <c r="G8265" s="16" cm="1">
        <f t="array" ref="G8265">SUM(G8263:G8264)</f>
        <v>0</v>
      </c>
      <c r="H8265" s="16" cm="1">
        <f t="array" ref="H8265">SUM(H8263:H8264)</f>
        <v>0</v>
      </c>
      <c r="I8265" s="16" cm="1">
        <f t="array" ref="I8265">SUM(I8263:I8264)</f>
        <v>0</v>
      </c>
    </row>
    <row r="8266" ht="20.35" customHeight="1">
      <c r="A8266" s="10">
        <v>45772</v>
      </c>
      <c r="B8266" t="s" s="11">
        <v>121</v>
      </c>
      <c r="C8266" t="s" s="12">
        <v>802</v>
      </c>
      <c r="D8266" s="17"/>
      <c r="E8266" s="17">
        <v>101152</v>
      </c>
      <c r="F8266" s="18"/>
      <c r="G8266" s="18"/>
      <c r="H8266" s="18"/>
      <c r="I8266" s="18"/>
    </row>
    <row r="8267" ht="20.35" customHeight="1">
      <c r="A8267" s="10">
        <v>45772</v>
      </c>
      <c r="B8267" t="s" s="11">
        <v>81</v>
      </c>
      <c r="C8267" t="s" s="12">
        <v>802</v>
      </c>
      <c r="D8267" s="13">
        <v>101152</v>
      </c>
      <c r="E8267" s="13"/>
      <c r="F8267" s="14"/>
      <c r="G8267" s="14"/>
      <c r="H8267" s="14"/>
      <c r="I8267" s="14"/>
    </row>
    <row r="8268" ht="20.7" customHeight="1">
      <c r="A8268" s="10">
        <v>45772</v>
      </c>
      <c r="B8268" t="s" s="11">
        <v>8</v>
      </c>
      <c r="C8268" t="s" s="12">
        <v>8</v>
      </c>
      <c r="D8268" s="15" cm="1">
        <f t="array" ref="D8268">SUM(D8266:D8267)</f>
        <v>101152</v>
      </c>
      <c r="E8268" s="15" cm="1">
        <f t="array" ref="E8268">SUM(E8266:E8267)</f>
        <v>101152</v>
      </c>
      <c r="F8268" s="16" cm="1">
        <f t="array" ref="F8268">SUM(F8266:F8267)</f>
        <v>0</v>
      </c>
      <c r="G8268" s="16" cm="1">
        <f t="array" ref="G8268">SUM(G8266:G8267)</f>
        <v>0</v>
      </c>
      <c r="H8268" s="16" cm="1">
        <f t="array" ref="H8268">SUM(H8266:H8267)</f>
        <v>0</v>
      </c>
      <c r="I8268" s="16" cm="1">
        <f t="array" ref="I8268">SUM(I8266:I8267)</f>
        <v>0</v>
      </c>
    </row>
    <row r="8269" ht="20.35" customHeight="1">
      <c r="A8269" s="10">
        <v>45772</v>
      </c>
      <c r="B8269" t="s" s="11">
        <v>5</v>
      </c>
      <c r="C8269" t="s" s="12">
        <v>1128</v>
      </c>
      <c r="D8269" s="17"/>
      <c r="E8269" s="17">
        <v>17900</v>
      </c>
      <c r="F8269" s="18"/>
      <c r="G8269" s="18"/>
      <c r="H8269" s="18"/>
      <c r="I8269" s="18"/>
    </row>
    <row r="8270" ht="20.05" customHeight="1">
      <c r="A8270" s="10">
        <v>45772</v>
      </c>
      <c r="B8270" t="s" s="11">
        <v>89</v>
      </c>
      <c r="C8270" t="s" s="12">
        <v>1128</v>
      </c>
      <c r="D8270" s="19">
        <v>11934</v>
      </c>
      <c r="E8270" s="19"/>
      <c r="F8270" s="20"/>
      <c r="G8270" s="20"/>
      <c r="H8270" s="20"/>
      <c r="I8270" s="20"/>
    </row>
    <row r="8271" ht="20.35" customHeight="1">
      <c r="A8271" s="10">
        <v>45772</v>
      </c>
      <c r="B8271" t="s" s="11">
        <v>12</v>
      </c>
      <c r="C8271" t="s" s="12">
        <v>1128</v>
      </c>
      <c r="D8271" s="13">
        <v>5966</v>
      </c>
      <c r="E8271" s="13"/>
      <c r="F8271" s="14"/>
      <c r="G8271" s="14"/>
      <c r="H8271" s="14"/>
      <c r="I8271" s="14"/>
    </row>
    <row r="8272" ht="20.7" customHeight="1">
      <c r="A8272" s="10">
        <v>45772</v>
      </c>
      <c r="B8272" t="s" s="11">
        <v>8</v>
      </c>
      <c r="C8272" t="s" s="12">
        <v>8</v>
      </c>
      <c r="D8272" s="15" cm="1">
        <f t="array" ref="D8272">SUM(D8269:D8271)</f>
        <v>17900</v>
      </c>
      <c r="E8272" s="15" cm="1">
        <f t="array" ref="E8272">SUM(E8269:E8271)</f>
        <v>17900</v>
      </c>
      <c r="F8272" s="16" cm="1">
        <f t="array" ref="F8272">SUM(F8269:F8271)</f>
        <v>0</v>
      </c>
      <c r="G8272" s="16" cm="1">
        <f t="array" ref="G8272">SUM(G8269:G8271)</f>
        <v>0</v>
      </c>
      <c r="H8272" s="16" cm="1">
        <f t="array" ref="H8272">SUM(H8269:H8271)</f>
        <v>0</v>
      </c>
      <c r="I8272" s="16" cm="1">
        <f t="array" ref="I8272">SUM(I8269:I8271)</f>
        <v>0</v>
      </c>
    </row>
    <row r="8273" ht="20.35" customHeight="1">
      <c r="A8273" s="10">
        <v>45772</v>
      </c>
      <c r="B8273" t="s" s="11">
        <v>93</v>
      </c>
      <c r="C8273" t="s" s="12">
        <v>1129</v>
      </c>
      <c r="D8273" s="17"/>
      <c r="E8273" s="17">
        <v>6166</v>
      </c>
      <c r="F8273" s="18"/>
      <c r="G8273" s="18"/>
      <c r="H8273" s="18"/>
      <c r="I8273" s="18"/>
    </row>
    <row r="8274" ht="20.05" customHeight="1">
      <c r="A8274" s="10">
        <v>45772</v>
      </c>
      <c r="B8274" t="s" s="11">
        <v>89</v>
      </c>
      <c r="C8274" t="s" s="12">
        <v>1129</v>
      </c>
      <c r="D8274" s="19">
        <v>4111</v>
      </c>
      <c r="E8274" s="19"/>
      <c r="F8274" s="20"/>
      <c r="G8274" s="20"/>
      <c r="H8274" s="20"/>
      <c r="I8274" s="20"/>
    </row>
    <row r="8275" ht="20.35" customHeight="1">
      <c r="A8275" s="10">
        <v>45772</v>
      </c>
      <c r="B8275" t="s" s="11">
        <v>12</v>
      </c>
      <c r="C8275" t="s" s="12">
        <v>1129</v>
      </c>
      <c r="D8275" s="13">
        <v>2055</v>
      </c>
      <c r="E8275" s="13"/>
      <c r="F8275" s="14"/>
      <c r="G8275" s="14"/>
      <c r="H8275" s="14"/>
      <c r="I8275" s="14"/>
    </row>
    <row r="8276" ht="20.7" customHeight="1">
      <c r="A8276" s="10">
        <v>45772</v>
      </c>
      <c r="B8276" t="s" s="11">
        <v>8</v>
      </c>
      <c r="C8276" t="s" s="12">
        <v>8</v>
      </c>
      <c r="D8276" s="15" cm="1">
        <f t="array" ref="D8276">SUM(D8273:D8275)</f>
        <v>6166</v>
      </c>
      <c r="E8276" s="15" cm="1">
        <f t="array" ref="E8276">SUM(E8273:E8275)</f>
        <v>6166</v>
      </c>
      <c r="F8276" s="16" cm="1">
        <f t="array" ref="F8276">SUM(F8273:F8275)</f>
        <v>0</v>
      </c>
      <c r="G8276" s="16" cm="1">
        <f t="array" ref="G8276">SUM(G8273:G8275)</f>
        <v>0</v>
      </c>
      <c r="H8276" s="16" cm="1">
        <f t="array" ref="H8276">SUM(H8273:H8275)</f>
        <v>0</v>
      </c>
      <c r="I8276" s="16" cm="1">
        <f t="array" ref="I8276">SUM(I8273:I8275)</f>
        <v>0</v>
      </c>
    </row>
    <row r="8277" ht="20.35" customHeight="1">
      <c r="A8277" s="10">
        <v>45772</v>
      </c>
      <c r="B8277" t="s" s="11">
        <v>5</v>
      </c>
      <c r="C8277" t="s" s="12">
        <v>604</v>
      </c>
      <c r="D8277" s="17"/>
      <c r="E8277" s="17">
        <v>10000</v>
      </c>
      <c r="F8277" s="18"/>
      <c r="G8277" s="18"/>
      <c r="H8277" s="18"/>
      <c r="I8277" s="18"/>
    </row>
    <row r="8278" ht="20.35" customHeight="1">
      <c r="A8278" s="10">
        <v>45772</v>
      </c>
      <c r="B8278" t="s" s="11">
        <v>93</v>
      </c>
      <c r="C8278" t="s" s="12">
        <v>604</v>
      </c>
      <c r="D8278" s="13">
        <v>10000</v>
      </c>
      <c r="E8278" s="13"/>
      <c r="F8278" s="14"/>
      <c r="G8278" s="14"/>
      <c r="H8278" s="14"/>
      <c r="I8278" s="14"/>
    </row>
    <row r="8279" ht="20.7" customHeight="1">
      <c r="A8279" s="10">
        <v>45772</v>
      </c>
      <c r="B8279" t="s" s="11">
        <v>8</v>
      </c>
      <c r="C8279" t="s" s="12">
        <v>8</v>
      </c>
      <c r="D8279" s="15" cm="1">
        <f t="array" ref="D8279">SUM(D8277:D8278)</f>
        <v>10000</v>
      </c>
      <c r="E8279" s="15" cm="1">
        <f t="array" ref="E8279">SUM(E8277:E8278)</f>
        <v>10000</v>
      </c>
      <c r="F8279" s="16" cm="1">
        <f t="array" ref="F8279">SUM(F8277:F8278)</f>
        <v>0</v>
      </c>
      <c r="G8279" s="16" cm="1">
        <f t="array" ref="G8279">SUM(G8277:G8278)</f>
        <v>0</v>
      </c>
      <c r="H8279" s="16" cm="1">
        <f t="array" ref="H8279">SUM(H8277:H8278)</f>
        <v>0</v>
      </c>
      <c r="I8279" s="16" cm="1">
        <f t="array" ref="I8279">SUM(I8277:I8278)</f>
        <v>0</v>
      </c>
    </row>
    <row r="8280" ht="20.35" customHeight="1">
      <c r="A8280" s="10">
        <v>45772</v>
      </c>
      <c r="B8280" t="s" s="11">
        <v>5</v>
      </c>
      <c r="C8280" t="s" s="12">
        <v>1130</v>
      </c>
      <c r="D8280" s="17"/>
      <c r="E8280" s="17">
        <v>8000</v>
      </c>
      <c r="F8280" s="18"/>
      <c r="G8280" s="18"/>
      <c r="H8280" s="18"/>
      <c r="I8280" s="18"/>
    </row>
    <row r="8281" ht="20.05" customHeight="1">
      <c r="A8281" s="10">
        <v>45772</v>
      </c>
      <c r="B8281" t="s" s="11">
        <v>89</v>
      </c>
      <c r="C8281" t="s" s="12">
        <v>1130</v>
      </c>
      <c r="D8281" s="19">
        <v>5334</v>
      </c>
      <c r="E8281" s="19"/>
      <c r="F8281" s="20"/>
      <c r="G8281" s="20"/>
      <c r="H8281" s="20"/>
      <c r="I8281" s="20"/>
    </row>
    <row r="8282" ht="20.35" customHeight="1">
      <c r="A8282" s="10">
        <v>45772</v>
      </c>
      <c r="B8282" t="s" s="11">
        <v>10</v>
      </c>
      <c r="C8282" t="s" s="12">
        <v>1130</v>
      </c>
      <c r="D8282" s="13">
        <v>2666</v>
      </c>
      <c r="E8282" s="13"/>
      <c r="F8282" s="14"/>
      <c r="G8282" s="14"/>
      <c r="H8282" s="14"/>
      <c r="I8282" s="14"/>
    </row>
    <row r="8283" ht="20.7" customHeight="1">
      <c r="A8283" s="10">
        <v>45772</v>
      </c>
      <c r="B8283" t="s" s="11">
        <v>8</v>
      </c>
      <c r="C8283" t="s" s="12">
        <v>8</v>
      </c>
      <c r="D8283" s="15" cm="1">
        <f t="array" ref="D8283">SUM(D8280:D8282)</f>
        <v>8000</v>
      </c>
      <c r="E8283" s="15" cm="1">
        <f t="array" ref="E8283">SUM(E8280:E8282)</f>
        <v>8000</v>
      </c>
      <c r="F8283" s="16" cm="1">
        <f t="array" ref="F8283">SUM(F8280:F8282)</f>
        <v>0</v>
      </c>
      <c r="G8283" s="16" cm="1">
        <f t="array" ref="G8283">SUM(G8280:G8282)</f>
        <v>0</v>
      </c>
      <c r="H8283" s="16" cm="1">
        <f t="array" ref="H8283">SUM(H8280:H8282)</f>
        <v>0</v>
      </c>
      <c r="I8283" s="16" cm="1">
        <f t="array" ref="I8283">SUM(I8280:I8282)</f>
        <v>0</v>
      </c>
    </row>
    <row r="8284" ht="20.35" customHeight="1">
      <c r="A8284" s="10">
        <v>45772</v>
      </c>
      <c r="B8284" t="s" s="11">
        <v>5</v>
      </c>
      <c r="C8284" t="s" s="12">
        <v>1130</v>
      </c>
      <c r="D8284" s="17"/>
      <c r="E8284" s="17">
        <v>22000</v>
      </c>
      <c r="F8284" s="18"/>
      <c r="G8284" s="18"/>
      <c r="H8284" s="18"/>
      <c r="I8284" s="18"/>
    </row>
    <row r="8285" ht="20.05" customHeight="1">
      <c r="A8285" s="10">
        <v>45772</v>
      </c>
      <c r="B8285" t="s" s="11">
        <v>89</v>
      </c>
      <c r="C8285" t="s" s="12">
        <v>1130</v>
      </c>
      <c r="D8285" s="19">
        <v>14667</v>
      </c>
      <c r="E8285" s="19"/>
      <c r="F8285" s="20"/>
      <c r="G8285" s="20"/>
      <c r="H8285" s="20"/>
      <c r="I8285" s="20"/>
    </row>
    <row r="8286" ht="20.35" customHeight="1">
      <c r="A8286" s="10">
        <v>45772</v>
      </c>
      <c r="B8286" t="s" s="11">
        <v>12</v>
      </c>
      <c r="C8286" t="s" s="12">
        <v>1130</v>
      </c>
      <c r="D8286" s="13">
        <v>7333</v>
      </c>
      <c r="E8286" s="13"/>
      <c r="F8286" s="14"/>
      <c r="G8286" s="14"/>
      <c r="H8286" s="14"/>
      <c r="I8286" s="14"/>
    </row>
    <row r="8287" ht="20.7" customHeight="1">
      <c r="A8287" s="10">
        <v>45772</v>
      </c>
      <c r="B8287" t="s" s="11">
        <v>8</v>
      </c>
      <c r="C8287" t="s" s="12">
        <v>8</v>
      </c>
      <c r="D8287" s="15" cm="1">
        <f t="array" ref="D8287">SUM(D8284:D8286)</f>
        <v>22000</v>
      </c>
      <c r="E8287" s="15" cm="1">
        <f t="array" ref="E8287">SUM(E8284:E8286)</f>
        <v>22000</v>
      </c>
      <c r="F8287" s="16" cm="1">
        <f t="array" ref="F8287">SUM(F8284:F8286)</f>
        <v>0</v>
      </c>
      <c r="G8287" s="16" cm="1">
        <f t="array" ref="G8287">SUM(G8284:G8286)</f>
        <v>0</v>
      </c>
      <c r="H8287" s="16" cm="1">
        <f t="array" ref="H8287">SUM(H8284:H8286)</f>
        <v>0</v>
      </c>
      <c r="I8287" s="16" cm="1">
        <f t="array" ref="I8287">SUM(I8284:I8286)</f>
        <v>0</v>
      </c>
    </row>
    <row r="8288" ht="20.35" customHeight="1">
      <c r="A8288" s="10">
        <v>45772</v>
      </c>
      <c r="B8288" t="s" s="11">
        <v>5</v>
      </c>
      <c r="C8288" t="s" s="12">
        <v>1130</v>
      </c>
      <c r="D8288" s="17"/>
      <c r="E8288" s="17">
        <v>13500</v>
      </c>
      <c r="F8288" s="18"/>
      <c r="G8288" s="18"/>
      <c r="H8288" s="18"/>
      <c r="I8288" s="18"/>
    </row>
    <row r="8289" ht="20.05" customHeight="1">
      <c r="A8289" s="10">
        <v>45772</v>
      </c>
      <c r="B8289" t="s" s="11">
        <v>89</v>
      </c>
      <c r="C8289" t="s" s="12">
        <v>1130</v>
      </c>
      <c r="D8289" s="19">
        <v>9000</v>
      </c>
      <c r="E8289" s="19"/>
      <c r="F8289" s="20"/>
      <c r="G8289" s="20"/>
      <c r="H8289" s="20"/>
      <c r="I8289" s="20"/>
    </row>
    <row r="8290" ht="20.35" customHeight="1">
      <c r="A8290" s="10">
        <v>45772</v>
      </c>
      <c r="B8290" t="s" s="11">
        <v>12</v>
      </c>
      <c r="C8290" t="s" s="12">
        <v>1130</v>
      </c>
      <c r="D8290" s="13">
        <v>4500</v>
      </c>
      <c r="E8290" s="13"/>
      <c r="F8290" s="14"/>
      <c r="G8290" s="14"/>
      <c r="H8290" s="14"/>
      <c r="I8290" s="14"/>
    </row>
    <row r="8291" ht="20.7" customHeight="1">
      <c r="A8291" s="10">
        <v>45772</v>
      </c>
      <c r="B8291" t="s" s="11">
        <v>8</v>
      </c>
      <c r="C8291" t="s" s="12">
        <v>8</v>
      </c>
      <c r="D8291" s="15" cm="1">
        <f t="array" ref="D8291">SUM(D8288:D8290)</f>
        <v>13500</v>
      </c>
      <c r="E8291" s="15" cm="1">
        <f t="array" ref="E8291">SUM(E8288:E8290)</f>
        <v>13500</v>
      </c>
      <c r="F8291" s="16" cm="1">
        <f t="array" ref="F8291">SUM(F8288:F8290)</f>
        <v>0</v>
      </c>
      <c r="G8291" s="16" cm="1">
        <f t="array" ref="G8291">SUM(G8288:G8290)</f>
        <v>0</v>
      </c>
      <c r="H8291" s="16" cm="1">
        <f t="array" ref="H8291">SUM(H8288:H8290)</f>
        <v>0</v>
      </c>
      <c r="I8291" s="16" cm="1">
        <f t="array" ref="I8291">SUM(I8288:I8290)</f>
        <v>0</v>
      </c>
    </row>
    <row r="8292" ht="20.35" customHeight="1">
      <c r="A8292" s="10">
        <v>45772</v>
      </c>
      <c r="B8292" t="s" s="11">
        <v>93</v>
      </c>
      <c r="C8292" t="s" s="12">
        <v>1130</v>
      </c>
      <c r="D8292" s="17"/>
      <c r="E8292" s="17">
        <v>3500</v>
      </c>
      <c r="F8292" s="18"/>
      <c r="G8292" s="18"/>
      <c r="H8292" s="18"/>
      <c r="I8292" s="18"/>
    </row>
    <row r="8293" ht="20.35" customHeight="1">
      <c r="A8293" s="10">
        <v>45772</v>
      </c>
      <c r="B8293" t="s" s="11">
        <v>12</v>
      </c>
      <c r="C8293" t="s" s="12">
        <v>1130</v>
      </c>
      <c r="D8293" s="13">
        <v>3500</v>
      </c>
      <c r="E8293" s="13"/>
      <c r="F8293" s="14"/>
      <c r="G8293" s="14"/>
      <c r="H8293" s="14"/>
      <c r="I8293" s="14"/>
    </row>
    <row r="8294" ht="20.7" customHeight="1">
      <c r="A8294" s="10">
        <v>45772</v>
      </c>
      <c r="B8294" t="s" s="11">
        <v>8</v>
      </c>
      <c r="C8294" t="s" s="12">
        <v>8</v>
      </c>
      <c r="D8294" s="15" cm="1">
        <f t="array" ref="D8294">SUM(D8292:D8293)</f>
        <v>3500</v>
      </c>
      <c r="E8294" s="15" cm="1">
        <f t="array" ref="E8294">SUM(E8292:E8293)</f>
        <v>3500</v>
      </c>
      <c r="F8294" s="16" cm="1">
        <f t="array" ref="F8294">SUM(F8292:F8293)</f>
        <v>0</v>
      </c>
      <c r="G8294" s="16" cm="1">
        <f t="array" ref="G8294">SUM(G8292:G8293)</f>
        <v>0</v>
      </c>
      <c r="H8294" s="16" cm="1">
        <f t="array" ref="H8294">SUM(H8292:H8293)</f>
        <v>0</v>
      </c>
      <c r="I8294" s="16" cm="1">
        <f t="array" ref="I8294">SUM(I8292:I8293)</f>
        <v>0</v>
      </c>
    </row>
    <row r="8295" ht="20.35" customHeight="1">
      <c r="A8295" s="10">
        <v>45772</v>
      </c>
      <c r="B8295" t="s" s="11">
        <v>5</v>
      </c>
      <c r="C8295" t="s" s="12">
        <v>1130</v>
      </c>
      <c r="D8295" s="17">
        <v>22633</v>
      </c>
      <c r="E8295" s="17"/>
      <c r="F8295" s="18"/>
      <c r="G8295" s="18"/>
      <c r="H8295" s="18"/>
      <c r="I8295" s="18"/>
    </row>
    <row r="8296" ht="20.05" customHeight="1">
      <c r="A8296" s="10">
        <v>45772</v>
      </c>
      <c r="B8296" t="s" s="11">
        <v>91</v>
      </c>
      <c r="C8296" t="s" s="12">
        <v>1130</v>
      </c>
      <c r="D8296" s="19"/>
      <c r="E8296" s="19">
        <v>111</v>
      </c>
      <c r="F8296" s="20"/>
      <c r="G8296" s="20"/>
      <c r="H8296" s="20"/>
      <c r="I8296" s="20"/>
    </row>
    <row r="8297" ht="20.35" customHeight="1">
      <c r="A8297" s="10">
        <v>45772</v>
      </c>
      <c r="B8297" t="s" s="11">
        <v>89</v>
      </c>
      <c r="C8297" t="s" s="12">
        <v>1130</v>
      </c>
      <c r="D8297" s="13"/>
      <c r="E8297" s="13">
        <v>22522</v>
      </c>
      <c r="F8297" s="14"/>
      <c r="G8297" s="14"/>
      <c r="H8297" s="14"/>
      <c r="I8297" s="14"/>
    </row>
    <row r="8298" ht="20.7" customHeight="1">
      <c r="A8298" s="10">
        <v>45772</v>
      </c>
      <c r="B8298" t="s" s="11">
        <v>8</v>
      </c>
      <c r="C8298" t="s" s="12">
        <v>8</v>
      </c>
      <c r="D8298" s="15" cm="1">
        <f t="array" ref="D8298">SUM(D8295:D8297)</f>
        <v>22633</v>
      </c>
      <c r="E8298" s="15" cm="1">
        <f t="array" ref="E8298">SUM(E8295:E8297)</f>
        <v>22633</v>
      </c>
      <c r="F8298" s="16" cm="1">
        <f t="array" ref="F8298">SUM(F8295:F8297)</f>
        <v>0</v>
      </c>
      <c r="G8298" s="16" cm="1">
        <f t="array" ref="G8298">SUM(G8295:G8297)</f>
        <v>0</v>
      </c>
      <c r="H8298" s="16" cm="1">
        <f t="array" ref="H8298">SUM(H8295:H8297)</f>
        <v>0</v>
      </c>
      <c r="I8298" s="16" cm="1">
        <f t="array" ref="I8298">SUM(I8295:I8297)</f>
        <v>0</v>
      </c>
    </row>
    <row r="8299" ht="20.35" customHeight="1">
      <c r="A8299" s="10">
        <v>45772</v>
      </c>
      <c r="B8299" t="s" s="11">
        <v>107</v>
      </c>
      <c r="C8299" t="s" s="12">
        <v>1130</v>
      </c>
      <c r="D8299" s="17">
        <v>22634</v>
      </c>
      <c r="E8299" s="17"/>
      <c r="F8299" s="18"/>
      <c r="G8299" s="18"/>
      <c r="H8299" s="18"/>
      <c r="I8299" s="18"/>
    </row>
    <row r="8300" ht="20.05" customHeight="1">
      <c r="A8300" s="10">
        <v>45772</v>
      </c>
      <c r="B8300" t="s" s="11">
        <v>91</v>
      </c>
      <c r="C8300" t="s" s="12">
        <v>1130</v>
      </c>
      <c r="D8300" s="19"/>
      <c r="E8300" s="19">
        <v>112</v>
      </c>
      <c r="F8300" s="20"/>
      <c r="G8300" s="20"/>
      <c r="H8300" s="20"/>
      <c r="I8300" s="20"/>
    </row>
    <row r="8301" ht="20.35" customHeight="1">
      <c r="A8301" s="10">
        <v>45772</v>
      </c>
      <c r="B8301" t="s" s="11">
        <v>89</v>
      </c>
      <c r="C8301" t="s" s="12">
        <v>1130</v>
      </c>
      <c r="D8301" s="13"/>
      <c r="E8301" s="13">
        <v>22522</v>
      </c>
      <c r="F8301" s="14"/>
      <c r="G8301" s="14"/>
      <c r="H8301" s="14"/>
      <c r="I8301" s="14"/>
    </row>
    <row r="8302" ht="20.7" customHeight="1">
      <c r="A8302" s="10">
        <v>45772</v>
      </c>
      <c r="B8302" t="s" s="11">
        <v>8</v>
      </c>
      <c r="C8302" t="s" s="12">
        <v>8</v>
      </c>
      <c r="D8302" s="15" cm="1">
        <f t="array" ref="D8302">SUM(D8299:D8301)</f>
        <v>22634</v>
      </c>
      <c r="E8302" s="15" cm="1">
        <f t="array" ref="E8302">SUM(E8299:E8301)</f>
        <v>22634</v>
      </c>
      <c r="F8302" s="16" cm="1">
        <f t="array" ref="F8302">SUM(F8299:F8301)</f>
        <v>0</v>
      </c>
      <c r="G8302" s="16" cm="1">
        <f t="array" ref="G8302">SUM(G8299:G8301)</f>
        <v>0</v>
      </c>
      <c r="H8302" s="16" cm="1">
        <f t="array" ref="H8302">SUM(H8299:H8301)</f>
        <v>0</v>
      </c>
      <c r="I8302" s="16" cm="1">
        <f t="array" ref="I8302">SUM(I8299:I8301)</f>
        <v>0</v>
      </c>
    </row>
    <row r="8303" ht="20.35" customHeight="1">
      <c r="A8303" s="10">
        <v>45772</v>
      </c>
      <c r="B8303" t="s" s="11">
        <v>107</v>
      </c>
      <c r="C8303" t="s" s="12">
        <v>1033</v>
      </c>
      <c r="D8303" s="17"/>
      <c r="E8303" s="17">
        <v>16500</v>
      </c>
      <c r="F8303" s="18"/>
      <c r="G8303" s="18"/>
      <c r="H8303" s="18"/>
      <c r="I8303" s="18"/>
    </row>
    <row r="8304" ht="20.05" customHeight="1">
      <c r="A8304" s="10">
        <v>45772</v>
      </c>
      <c r="B8304" t="s" s="11">
        <v>89</v>
      </c>
      <c r="C8304" t="s" s="12">
        <v>1033</v>
      </c>
      <c r="D8304" s="19">
        <v>8250</v>
      </c>
      <c r="E8304" s="19"/>
      <c r="F8304" s="20"/>
      <c r="G8304" s="20"/>
      <c r="H8304" s="20"/>
      <c r="I8304" s="20"/>
    </row>
    <row r="8305" ht="20.35" customHeight="1">
      <c r="A8305" s="10">
        <v>45772</v>
      </c>
      <c r="B8305" t="s" s="11">
        <v>74</v>
      </c>
      <c r="C8305" t="s" s="12">
        <v>1033</v>
      </c>
      <c r="D8305" s="13">
        <v>8250</v>
      </c>
      <c r="E8305" s="13"/>
      <c r="F8305" s="14"/>
      <c r="G8305" s="14"/>
      <c r="H8305" s="14"/>
      <c r="I8305" s="14"/>
    </row>
    <row r="8306" ht="20.7" customHeight="1">
      <c r="A8306" s="10">
        <v>45772</v>
      </c>
      <c r="B8306" t="s" s="11">
        <v>8</v>
      </c>
      <c r="C8306" t="s" s="12">
        <v>8</v>
      </c>
      <c r="D8306" s="15" cm="1">
        <f t="array" ref="D8306">SUM(D8303:D8305)</f>
        <v>16500</v>
      </c>
      <c r="E8306" s="15" cm="1">
        <f t="array" ref="E8306">SUM(E8303:E8305)</f>
        <v>16500</v>
      </c>
      <c r="F8306" s="16" cm="1">
        <f t="array" ref="F8306">SUM(F8303:F8305)</f>
        <v>0</v>
      </c>
      <c r="G8306" s="16" cm="1">
        <f t="array" ref="G8306">SUM(G8303:G8305)</f>
        <v>0</v>
      </c>
      <c r="H8306" s="16" cm="1">
        <f t="array" ref="H8306">SUM(H8303:H8305)</f>
        <v>0</v>
      </c>
      <c r="I8306" s="16" cm="1">
        <f t="array" ref="I8306">SUM(I8303:I8305)</f>
        <v>0</v>
      </c>
    </row>
    <row r="8307" ht="20.35" customHeight="1">
      <c r="A8307" s="10">
        <v>45772</v>
      </c>
      <c r="B8307" t="s" s="11">
        <v>39</v>
      </c>
      <c r="C8307" t="s" s="12">
        <v>64</v>
      </c>
      <c r="D8307" s="17"/>
      <c r="E8307" s="17"/>
      <c r="F8307" s="18">
        <v>1500</v>
      </c>
      <c r="G8307" s="18"/>
      <c r="H8307" s="18"/>
      <c r="I8307" s="18"/>
    </row>
    <row r="8308" ht="20.35" customHeight="1">
      <c r="A8308" s="10">
        <v>45772</v>
      </c>
      <c r="B8308" t="s" s="11">
        <v>41</v>
      </c>
      <c r="C8308" t="s" s="12">
        <v>64</v>
      </c>
      <c r="D8308" s="13"/>
      <c r="E8308" s="13"/>
      <c r="F8308" s="14"/>
      <c r="G8308" s="14">
        <v>1500</v>
      </c>
      <c r="H8308" s="14"/>
      <c r="I8308" s="14"/>
    </row>
    <row r="8309" ht="20.7" customHeight="1">
      <c r="A8309" s="10">
        <v>45772</v>
      </c>
      <c r="B8309" t="s" s="11">
        <v>8</v>
      </c>
      <c r="C8309" t="s" s="12">
        <v>8</v>
      </c>
      <c r="D8309" s="15" cm="1">
        <f t="array" ref="D8309">SUM(D8307:D8308)</f>
        <v>0</v>
      </c>
      <c r="E8309" s="15" cm="1">
        <f t="array" ref="E8309">SUM(E8307:E8308)</f>
        <v>0</v>
      </c>
      <c r="F8309" s="16" cm="1">
        <f t="array" ref="F8309">SUM(F8307:F8308)</f>
        <v>1500</v>
      </c>
      <c r="G8309" s="16" cm="1">
        <f t="array" ref="G8309">SUM(G8307:G8308)</f>
        <v>1500</v>
      </c>
      <c r="H8309" s="16" cm="1">
        <f t="array" ref="H8309">SUM(H8307:H8308)</f>
        <v>0</v>
      </c>
      <c r="I8309" s="16" cm="1">
        <f t="array" ref="I8309">SUM(I8307:I8308)</f>
        <v>0</v>
      </c>
    </row>
    <row r="8310" ht="20.35" customHeight="1">
      <c r="A8310" s="10">
        <v>45772</v>
      </c>
      <c r="B8310" t="s" s="11">
        <v>39</v>
      </c>
      <c r="C8310" t="s" s="12">
        <v>1131</v>
      </c>
      <c r="D8310" s="17"/>
      <c r="E8310" s="17"/>
      <c r="F8310" s="18"/>
      <c r="G8310" s="18">
        <v>1541.51</v>
      </c>
      <c r="H8310" s="18"/>
      <c r="I8310" s="18"/>
    </row>
    <row r="8311" ht="20.05" customHeight="1">
      <c r="A8311" s="10">
        <v>45772</v>
      </c>
      <c r="B8311" t="s" s="11">
        <v>44</v>
      </c>
      <c r="C8311" t="s" s="12">
        <v>1131</v>
      </c>
      <c r="D8311" s="19"/>
      <c r="E8311" s="19"/>
      <c r="F8311" s="20">
        <v>1521.51</v>
      </c>
      <c r="G8311" s="20"/>
      <c r="H8311" s="20"/>
      <c r="I8311" s="20"/>
    </row>
    <row r="8312" ht="20.05" customHeight="1">
      <c r="A8312" s="10">
        <v>45772</v>
      </c>
      <c r="B8312" t="s" s="11">
        <v>898</v>
      </c>
      <c r="C8312" t="s" s="12">
        <v>1131</v>
      </c>
      <c r="D8312" s="19"/>
      <c r="E8312" s="19"/>
      <c r="F8312" s="20">
        <v>20</v>
      </c>
      <c r="G8312" s="20"/>
      <c r="H8312" s="20"/>
      <c r="I8312" s="20"/>
    </row>
    <row r="8313" ht="20.05" customHeight="1">
      <c r="A8313" s="10">
        <v>45772</v>
      </c>
      <c r="B8313" t="s" s="11">
        <v>5</v>
      </c>
      <c r="C8313" t="s" s="12">
        <v>1131</v>
      </c>
      <c r="D8313" s="19">
        <v>500618</v>
      </c>
      <c r="E8313" s="19"/>
      <c r="F8313" s="20"/>
      <c r="G8313" s="20"/>
      <c r="H8313" s="20"/>
      <c r="I8313" s="20"/>
    </row>
    <row r="8314" ht="20.35" customHeight="1">
      <c r="A8314" s="10">
        <v>45772</v>
      </c>
      <c r="B8314" t="s" s="11">
        <v>46</v>
      </c>
      <c r="C8314" t="s" s="12">
        <v>1131</v>
      </c>
      <c r="D8314" s="13"/>
      <c r="E8314" s="13">
        <v>500618</v>
      </c>
      <c r="F8314" s="14"/>
      <c r="G8314" s="14"/>
      <c r="H8314" s="14"/>
      <c r="I8314" s="14"/>
    </row>
    <row r="8315" ht="20.7" customHeight="1">
      <c r="A8315" s="10">
        <v>45772</v>
      </c>
      <c r="B8315" t="s" s="11">
        <v>8</v>
      </c>
      <c r="C8315" t="s" s="12">
        <v>8</v>
      </c>
      <c r="D8315" s="15" cm="1">
        <f t="array" ref="D8315">SUM(D8310:D8314)</f>
        <v>500618</v>
      </c>
      <c r="E8315" s="15" cm="1">
        <f t="array" ref="E8315">SUM(E8310:E8314)</f>
        <v>500618</v>
      </c>
      <c r="F8315" s="16" cm="1">
        <f t="array" ref="F8315">SUM(F8310:F8314)</f>
        <v>1541.51</v>
      </c>
      <c r="G8315" s="16" cm="1">
        <f t="array" ref="G8315">SUM(G8310:G8314)</f>
        <v>1541.51</v>
      </c>
      <c r="H8315" s="16" cm="1">
        <f t="array" ref="H8315">SUM(H8310:H8314)</f>
        <v>0</v>
      </c>
      <c r="I8315" s="16" cm="1">
        <f t="array" ref="I8315">SUM(I8310:I8314)</f>
        <v>0</v>
      </c>
    </row>
    <row r="8316" ht="20.35" customHeight="1">
      <c r="A8316" s="10">
        <v>45772</v>
      </c>
      <c r="B8316" t="s" s="11">
        <v>121</v>
      </c>
      <c r="C8316" t="s" s="12">
        <v>96</v>
      </c>
      <c r="D8316" s="17"/>
      <c r="E8316" s="17">
        <v>24686</v>
      </c>
      <c r="F8316" s="18"/>
      <c r="G8316" s="18"/>
      <c r="H8316" s="18"/>
      <c r="I8316" s="18"/>
    </row>
    <row r="8317" ht="20.35" customHeight="1">
      <c r="A8317" s="10">
        <v>45772</v>
      </c>
      <c r="B8317" t="s" s="11">
        <v>5</v>
      </c>
      <c r="C8317" t="s" s="12">
        <v>96</v>
      </c>
      <c r="D8317" s="13">
        <v>24686</v>
      </c>
      <c r="E8317" s="13"/>
      <c r="F8317" s="14"/>
      <c r="G8317" s="14"/>
      <c r="H8317" s="14"/>
      <c r="I8317" s="14"/>
    </row>
    <row r="8318" ht="20.7" customHeight="1">
      <c r="A8318" s="10">
        <v>45772</v>
      </c>
      <c r="B8318" t="s" s="11">
        <v>8</v>
      </c>
      <c r="C8318" t="s" s="12">
        <v>8</v>
      </c>
      <c r="D8318" s="15" cm="1">
        <f t="array" ref="D8318">SUM(D8316:D8317)</f>
        <v>24686</v>
      </c>
      <c r="E8318" s="15" cm="1">
        <f t="array" ref="E8318">SUM(E8316:E8317)</f>
        <v>24686</v>
      </c>
      <c r="F8318" s="16" cm="1">
        <f t="array" ref="F8318">SUM(F8316:F8317)</f>
        <v>0</v>
      </c>
      <c r="G8318" s="16" cm="1">
        <f t="array" ref="G8318">SUM(G8316:G8317)</f>
        <v>0</v>
      </c>
      <c r="H8318" s="16" cm="1">
        <f t="array" ref="H8318">SUM(H8316:H8317)</f>
        <v>0</v>
      </c>
      <c r="I8318" s="16" cm="1">
        <f t="array" ref="I8318">SUM(I8316:I8317)</f>
        <v>0</v>
      </c>
    </row>
    <row r="8319" ht="20.35" customHeight="1">
      <c r="A8319" s="10">
        <v>45772</v>
      </c>
      <c r="B8319" t="s" s="11">
        <v>93</v>
      </c>
      <c r="C8319" t="s" s="12">
        <v>96</v>
      </c>
      <c r="D8319" s="17"/>
      <c r="E8319" s="17">
        <v>334</v>
      </c>
      <c r="F8319" s="18"/>
      <c r="G8319" s="18"/>
      <c r="H8319" s="18"/>
      <c r="I8319" s="18"/>
    </row>
    <row r="8320" ht="20.35" customHeight="1">
      <c r="A8320" s="10">
        <v>45772</v>
      </c>
      <c r="B8320" t="s" s="11">
        <v>5</v>
      </c>
      <c r="C8320" t="s" s="12">
        <v>96</v>
      </c>
      <c r="D8320" s="13">
        <v>334</v>
      </c>
      <c r="E8320" s="13"/>
      <c r="F8320" s="14"/>
      <c r="G8320" s="14"/>
      <c r="H8320" s="14"/>
      <c r="I8320" s="14"/>
    </row>
    <row r="8321" ht="20.7" customHeight="1">
      <c r="A8321" s="10">
        <v>45772</v>
      </c>
      <c r="B8321" t="s" s="11">
        <v>8</v>
      </c>
      <c r="C8321" t="s" s="12">
        <v>8</v>
      </c>
      <c r="D8321" s="15" cm="1">
        <f t="array" ref="D8321">SUM(D8319:D8320)</f>
        <v>334</v>
      </c>
      <c r="E8321" s="15" cm="1">
        <f t="array" ref="E8321">SUM(E8319:E8320)</f>
        <v>334</v>
      </c>
      <c r="F8321" s="16" cm="1">
        <f t="array" ref="F8321">SUM(F8319:F8320)</f>
        <v>0</v>
      </c>
      <c r="G8321" s="16" cm="1">
        <f t="array" ref="G8321">SUM(G8319:G8320)</f>
        <v>0</v>
      </c>
      <c r="H8321" s="16" cm="1">
        <f t="array" ref="H8321">SUM(H8319:H8320)</f>
        <v>0</v>
      </c>
      <c r="I8321" s="16" cm="1">
        <f t="array" ref="I8321">SUM(I8319:I8320)</f>
        <v>0</v>
      </c>
    </row>
    <row r="8322" ht="20.35" customHeight="1">
      <c r="A8322" s="10">
        <v>45772</v>
      </c>
      <c r="B8322" t="s" s="11">
        <v>814</v>
      </c>
      <c r="C8322" t="s" s="12">
        <v>96</v>
      </c>
      <c r="D8322" s="17"/>
      <c r="E8322" s="17">
        <v>649382</v>
      </c>
      <c r="F8322" s="18"/>
      <c r="G8322" s="18"/>
      <c r="H8322" s="18"/>
      <c r="I8322" s="18"/>
    </row>
    <row r="8323" ht="20.35" customHeight="1">
      <c r="A8323" s="10">
        <v>45772</v>
      </c>
      <c r="B8323" t="s" s="11">
        <v>5</v>
      </c>
      <c r="C8323" t="s" s="12">
        <v>96</v>
      </c>
      <c r="D8323" s="13">
        <v>649382</v>
      </c>
      <c r="E8323" s="13"/>
      <c r="F8323" s="14"/>
      <c r="G8323" s="14"/>
      <c r="H8323" s="14"/>
      <c r="I8323" s="14"/>
    </row>
    <row r="8324" ht="20.7" customHeight="1">
      <c r="A8324" s="10">
        <v>45772</v>
      </c>
      <c r="B8324" t="s" s="11">
        <v>8</v>
      </c>
      <c r="C8324" t="s" s="12">
        <v>8</v>
      </c>
      <c r="D8324" s="15" cm="1">
        <f t="array" ref="D8324">SUM(D8322:D8323)</f>
        <v>649382</v>
      </c>
      <c r="E8324" s="15" cm="1">
        <f t="array" ref="E8324">SUM(E8322:E8323)</f>
        <v>649382</v>
      </c>
      <c r="F8324" s="16" cm="1">
        <f t="array" ref="F8324">SUM(F8322:F8323)</f>
        <v>0</v>
      </c>
      <c r="G8324" s="16" cm="1">
        <f t="array" ref="G8324">SUM(G8322:G8323)</f>
        <v>0</v>
      </c>
      <c r="H8324" s="16" cm="1">
        <f t="array" ref="H8324">SUM(H8322:H8323)</f>
        <v>0</v>
      </c>
      <c r="I8324" s="16" cm="1">
        <f t="array" ref="I8324">SUM(I8322:I8323)</f>
        <v>0</v>
      </c>
    </row>
    <row r="8325" ht="20.35" customHeight="1">
      <c r="A8325" s="10">
        <v>45772</v>
      </c>
      <c r="B8325" t="s" s="11">
        <v>5</v>
      </c>
      <c r="C8325" t="s" s="12">
        <v>75</v>
      </c>
      <c r="D8325" s="17"/>
      <c r="E8325" s="17">
        <v>1150000</v>
      </c>
      <c r="F8325" s="18"/>
      <c r="G8325" s="18"/>
      <c r="H8325" s="18"/>
      <c r="I8325" s="18"/>
    </row>
    <row r="8326" ht="20.05" customHeight="1">
      <c r="A8326" s="10">
        <v>45772</v>
      </c>
      <c r="B8326" t="s" s="11">
        <v>89</v>
      </c>
      <c r="C8326" t="s" s="12">
        <v>75</v>
      </c>
      <c r="D8326" s="19">
        <v>575000</v>
      </c>
      <c r="E8326" s="19"/>
      <c r="F8326" s="20"/>
      <c r="G8326" s="20"/>
      <c r="H8326" s="20"/>
      <c r="I8326" s="20"/>
    </row>
    <row r="8327" ht="20.35" customHeight="1">
      <c r="A8327" s="10">
        <v>45772</v>
      </c>
      <c r="B8327" t="s" s="11">
        <v>74</v>
      </c>
      <c r="C8327" t="s" s="12">
        <v>75</v>
      </c>
      <c r="D8327" s="13">
        <v>575000</v>
      </c>
      <c r="E8327" s="13"/>
      <c r="F8327" s="14"/>
      <c r="G8327" s="14"/>
      <c r="H8327" s="14"/>
      <c r="I8327" s="14"/>
    </row>
    <row r="8328" ht="20.7" customHeight="1">
      <c r="A8328" s="10">
        <v>45772</v>
      </c>
      <c r="B8328" t="s" s="11">
        <v>8</v>
      </c>
      <c r="C8328" t="s" s="12">
        <v>8</v>
      </c>
      <c r="D8328" s="15" cm="1">
        <f t="array" ref="D8328">SUM(D8325:D8327)</f>
        <v>1150000</v>
      </c>
      <c r="E8328" s="15" cm="1">
        <f t="array" ref="E8328">SUM(E8325:E8327)</f>
        <v>1150000</v>
      </c>
      <c r="F8328" s="16" cm="1">
        <f t="array" ref="F8328">SUM(F8325:F8327)</f>
        <v>0</v>
      </c>
      <c r="G8328" s="16" cm="1">
        <f t="array" ref="G8328">SUM(G8325:G8327)</f>
        <v>0</v>
      </c>
      <c r="H8328" s="16" cm="1">
        <f t="array" ref="H8328">SUM(H8325:H8327)</f>
        <v>0</v>
      </c>
      <c r="I8328" s="16" cm="1">
        <f t="array" ref="I8328">SUM(I8325:I8327)</f>
        <v>0</v>
      </c>
    </row>
    <row r="8329" ht="21.25" customHeight="1">
      <c r="A8329" s="10">
        <v>45772</v>
      </c>
      <c r="B8329" t="s" s="11">
        <v>5</v>
      </c>
      <c r="C8329" t="s" s="12">
        <v>799</v>
      </c>
      <c r="D8329" s="17">
        <v>1</v>
      </c>
      <c r="E8329" s="17"/>
      <c r="F8329" s="18"/>
      <c r="G8329" s="18"/>
      <c r="H8329" s="18"/>
      <c r="I8329" s="18"/>
    </row>
    <row r="8330" ht="21.25" customHeight="1">
      <c r="A8330" s="10">
        <v>45772</v>
      </c>
      <c r="B8330" t="s" s="11">
        <v>18</v>
      </c>
      <c r="C8330" t="s" s="12">
        <v>799</v>
      </c>
      <c r="D8330" s="13"/>
      <c r="E8330" s="13">
        <v>1</v>
      </c>
      <c r="F8330" s="14"/>
      <c r="G8330" s="14"/>
      <c r="H8330" s="14"/>
      <c r="I8330" s="14"/>
    </row>
    <row r="8331" ht="20.7" customHeight="1">
      <c r="A8331" s="10">
        <v>45772</v>
      </c>
      <c r="B8331" t="s" s="11">
        <v>8</v>
      </c>
      <c r="C8331" t="s" s="12">
        <v>8</v>
      </c>
      <c r="D8331" s="15" cm="1">
        <f t="array" ref="D8331">SUM(D8329:D8330)</f>
        <v>1</v>
      </c>
      <c r="E8331" s="15" cm="1">
        <f t="array" ref="E8331">SUM(E8329:E8330)</f>
        <v>1</v>
      </c>
      <c r="F8331" s="16" cm="1">
        <f t="array" ref="F8331">SUM(F8329:F8330)</f>
        <v>0</v>
      </c>
      <c r="G8331" s="16" cm="1">
        <f t="array" ref="G8331">SUM(G8329:G8330)</f>
        <v>0</v>
      </c>
      <c r="H8331" s="16" cm="1">
        <f t="array" ref="H8331">SUM(H8329:H8330)</f>
        <v>0</v>
      </c>
      <c r="I8331" s="16" cm="1">
        <f t="array" ref="I8331">SUM(I8329:I8330)</f>
        <v>0</v>
      </c>
    </row>
    <row r="8332" ht="21.25" customHeight="1">
      <c r="A8332" s="10">
        <v>45772</v>
      </c>
      <c r="B8332" t="s" s="11">
        <v>5</v>
      </c>
      <c r="C8332" t="s" s="12">
        <v>799</v>
      </c>
      <c r="D8332" s="17">
        <v>1</v>
      </c>
      <c r="E8332" s="17"/>
      <c r="F8332" s="18"/>
      <c r="G8332" s="18"/>
      <c r="H8332" s="18"/>
      <c r="I8332" s="18"/>
    </row>
    <row r="8333" ht="21.25" customHeight="1">
      <c r="A8333" s="10">
        <v>45772</v>
      </c>
      <c r="B8333" t="s" s="11">
        <v>18</v>
      </c>
      <c r="C8333" t="s" s="12">
        <v>799</v>
      </c>
      <c r="D8333" s="13"/>
      <c r="E8333" s="13">
        <v>1</v>
      </c>
      <c r="F8333" s="14"/>
      <c r="G8333" s="14"/>
      <c r="H8333" s="14"/>
      <c r="I8333" s="14"/>
    </row>
    <row r="8334" ht="20.7" customHeight="1">
      <c r="A8334" s="10">
        <v>45772</v>
      </c>
      <c r="B8334" t="s" s="11">
        <v>8</v>
      </c>
      <c r="C8334" t="s" s="12">
        <v>8</v>
      </c>
      <c r="D8334" s="15" cm="1">
        <f t="array" ref="D8334">SUM(D8332:D8333)</f>
        <v>1</v>
      </c>
      <c r="E8334" s="15" cm="1">
        <f t="array" ref="E8334">SUM(E8332:E8333)</f>
        <v>1</v>
      </c>
      <c r="F8334" s="16" cm="1">
        <f t="array" ref="F8334">SUM(F8332:F8333)</f>
        <v>0</v>
      </c>
      <c r="G8334" s="16" cm="1">
        <f t="array" ref="G8334">SUM(G8332:G8333)</f>
        <v>0</v>
      </c>
      <c r="H8334" s="16" cm="1">
        <f t="array" ref="H8334">SUM(H8332:H8333)</f>
        <v>0</v>
      </c>
      <c r="I8334" s="16" cm="1">
        <f t="array" ref="I8334">SUM(I8332:I8333)</f>
        <v>0</v>
      </c>
    </row>
    <row r="8335" ht="21.25" customHeight="1">
      <c r="A8335" s="10">
        <v>45772</v>
      </c>
      <c r="B8335" t="s" s="11">
        <v>5</v>
      </c>
      <c r="C8335" t="s" s="12">
        <v>799</v>
      </c>
      <c r="D8335" s="17">
        <v>13</v>
      </c>
      <c r="E8335" s="17"/>
      <c r="F8335" s="18"/>
      <c r="G8335" s="18"/>
      <c r="H8335" s="18"/>
      <c r="I8335" s="18"/>
    </row>
    <row r="8336" ht="21.25" customHeight="1">
      <c r="A8336" s="10">
        <v>45772</v>
      </c>
      <c r="B8336" t="s" s="11">
        <v>18</v>
      </c>
      <c r="C8336" t="s" s="12">
        <v>799</v>
      </c>
      <c r="D8336" s="13"/>
      <c r="E8336" s="13">
        <v>13</v>
      </c>
      <c r="F8336" s="14"/>
      <c r="G8336" s="14"/>
      <c r="H8336" s="14"/>
      <c r="I8336" s="14"/>
    </row>
    <row r="8337" ht="20.7" customHeight="1">
      <c r="A8337" s="10">
        <v>45772</v>
      </c>
      <c r="B8337" t="s" s="11">
        <v>8</v>
      </c>
      <c r="C8337" t="s" s="12">
        <v>8</v>
      </c>
      <c r="D8337" s="15" cm="1">
        <f t="array" ref="D8337">SUM(D8335:D8336)</f>
        <v>13</v>
      </c>
      <c r="E8337" s="15" cm="1">
        <f t="array" ref="E8337">SUM(E8335:E8336)</f>
        <v>13</v>
      </c>
      <c r="F8337" s="16" cm="1">
        <f t="array" ref="F8337">SUM(F8335:F8336)</f>
        <v>0</v>
      </c>
      <c r="G8337" s="16" cm="1">
        <f t="array" ref="G8337">SUM(G8335:G8336)</f>
        <v>0</v>
      </c>
      <c r="H8337" s="16" cm="1">
        <f t="array" ref="H8337">SUM(H8335:H8336)</f>
        <v>0</v>
      </c>
      <c r="I8337" s="16" cm="1">
        <f t="array" ref="I8337">SUM(I8335:I8336)</f>
        <v>0</v>
      </c>
    </row>
    <row r="8338" ht="21.25" customHeight="1">
      <c r="A8338" s="10">
        <v>45772</v>
      </c>
      <c r="B8338" t="s" s="11">
        <v>5</v>
      </c>
      <c r="C8338" t="s" s="12">
        <v>799</v>
      </c>
      <c r="D8338" s="17">
        <v>2</v>
      </c>
      <c r="E8338" s="17"/>
      <c r="F8338" s="18"/>
      <c r="G8338" s="18"/>
      <c r="H8338" s="18"/>
      <c r="I8338" s="18"/>
    </row>
    <row r="8339" ht="21.25" customHeight="1">
      <c r="A8339" s="10">
        <v>45772</v>
      </c>
      <c r="B8339" t="s" s="11">
        <v>18</v>
      </c>
      <c r="C8339" t="s" s="12">
        <v>799</v>
      </c>
      <c r="D8339" s="13"/>
      <c r="E8339" s="13">
        <v>2</v>
      </c>
      <c r="F8339" s="14"/>
      <c r="G8339" s="14"/>
      <c r="H8339" s="14"/>
      <c r="I8339" s="14"/>
    </row>
    <row r="8340" ht="20.7" customHeight="1">
      <c r="A8340" s="10">
        <v>45772</v>
      </c>
      <c r="B8340" t="s" s="11">
        <v>8</v>
      </c>
      <c r="C8340" t="s" s="12">
        <v>8</v>
      </c>
      <c r="D8340" s="15" cm="1">
        <f t="array" ref="D8340">SUM(D8338:D8339)</f>
        <v>2</v>
      </c>
      <c r="E8340" s="15" cm="1">
        <f t="array" ref="E8340">SUM(E8338:E8339)</f>
        <v>2</v>
      </c>
      <c r="F8340" s="16" cm="1">
        <f t="array" ref="F8340">SUM(F8338:F8339)</f>
        <v>0</v>
      </c>
      <c r="G8340" s="16" cm="1">
        <f t="array" ref="G8340">SUM(G8338:G8339)</f>
        <v>0</v>
      </c>
      <c r="H8340" s="16" cm="1">
        <f t="array" ref="H8340">SUM(H8338:H8339)</f>
        <v>0</v>
      </c>
      <c r="I8340" s="16" cm="1">
        <f t="array" ref="I8340">SUM(I8338:I8339)</f>
        <v>0</v>
      </c>
    </row>
    <row r="8341" ht="21.25" customHeight="1">
      <c r="A8341" s="10">
        <v>45772</v>
      </c>
      <c r="B8341" t="s" s="11">
        <v>5</v>
      </c>
      <c r="C8341" t="s" s="12">
        <v>799</v>
      </c>
      <c r="D8341" s="17">
        <v>2</v>
      </c>
      <c r="E8341" s="17"/>
      <c r="F8341" s="18"/>
      <c r="G8341" s="18"/>
      <c r="H8341" s="18"/>
      <c r="I8341" s="18"/>
    </row>
    <row r="8342" ht="21.25" customHeight="1">
      <c r="A8342" s="10">
        <v>45772</v>
      </c>
      <c r="B8342" t="s" s="11">
        <v>18</v>
      </c>
      <c r="C8342" t="s" s="12">
        <v>799</v>
      </c>
      <c r="D8342" s="13"/>
      <c r="E8342" s="13">
        <v>2</v>
      </c>
      <c r="F8342" s="14"/>
      <c r="G8342" s="14"/>
      <c r="H8342" s="14"/>
      <c r="I8342" s="14"/>
    </row>
    <row r="8343" ht="20.7" customHeight="1">
      <c r="A8343" s="10">
        <v>45772</v>
      </c>
      <c r="B8343" t="s" s="11">
        <v>8</v>
      </c>
      <c r="C8343" t="s" s="12">
        <v>8</v>
      </c>
      <c r="D8343" s="15" cm="1">
        <f t="array" ref="D8343">SUM(D8341:D8342)</f>
        <v>2</v>
      </c>
      <c r="E8343" s="15" cm="1">
        <f t="array" ref="E8343">SUM(E8341:E8342)</f>
        <v>2</v>
      </c>
      <c r="F8343" s="16" cm="1">
        <f t="array" ref="F8343">SUM(F8341:F8342)</f>
        <v>0</v>
      </c>
      <c r="G8343" s="16" cm="1">
        <f t="array" ref="G8343">SUM(G8341:G8342)</f>
        <v>0</v>
      </c>
      <c r="H8343" s="16" cm="1">
        <f t="array" ref="H8343">SUM(H8341:H8342)</f>
        <v>0</v>
      </c>
      <c r="I8343" s="16" cm="1">
        <f t="array" ref="I8343">SUM(I8341:I8342)</f>
        <v>0</v>
      </c>
    </row>
    <row r="8344" ht="21.25" customHeight="1">
      <c r="A8344" s="10">
        <v>45772</v>
      </c>
      <c r="B8344" t="s" s="11">
        <v>5</v>
      </c>
      <c r="C8344" t="s" s="12">
        <v>799</v>
      </c>
      <c r="D8344" s="17">
        <v>1</v>
      </c>
      <c r="E8344" s="17"/>
      <c r="F8344" s="18"/>
      <c r="G8344" s="18"/>
      <c r="H8344" s="18"/>
      <c r="I8344" s="18"/>
    </row>
    <row r="8345" ht="21.25" customHeight="1">
      <c r="A8345" s="10">
        <v>45772</v>
      </c>
      <c r="B8345" t="s" s="11">
        <v>18</v>
      </c>
      <c r="C8345" t="s" s="12">
        <v>799</v>
      </c>
      <c r="D8345" s="13"/>
      <c r="E8345" s="13">
        <v>1</v>
      </c>
      <c r="F8345" s="14"/>
      <c r="G8345" s="14"/>
      <c r="H8345" s="14"/>
      <c r="I8345" s="14"/>
    </row>
    <row r="8346" ht="20.7" customHeight="1">
      <c r="A8346" s="10">
        <v>45772</v>
      </c>
      <c r="B8346" t="s" s="11">
        <v>8</v>
      </c>
      <c r="C8346" t="s" s="12">
        <v>8</v>
      </c>
      <c r="D8346" s="15" cm="1">
        <f t="array" ref="D8346">SUM(D8344:D8345)</f>
        <v>1</v>
      </c>
      <c r="E8346" s="15" cm="1">
        <f t="array" ref="E8346">SUM(E8344:E8345)</f>
        <v>1</v>
      </c>
      <c r="F8346" s="16" cm="1">
        <f t="array" ref="F8346">SUM(F8344:F8345)</f>
        <v>0</v>
      </c>
      <c r="G8346" s="16" cm="1">
        <f t="array" ref="G8346">SUM(G8344:G8345)</f>
        <v>0</v>
      </c>
      <c r="H8346" s="16" cm="1">
        <f t="array" ref="H8346">SUM(H8344:H8345)</f>
        <v>0</v>
      </c>
      <c r="I8346" s="16" cm="1">
        <f t="array" ref="I8346">SUM(I8344:I8345)</f>
        <v>0</v>
      </c>
    </row>
    <row r="8347" ht="20.35" customHeight="1">
      <c r="A8347" s="10">
        <v>45772</v>
      </c>
      <c r="B8347" t="s" s="11">
        <v>5</v>
      </c>
      <c r="C8347" t="s" s="12">
        <v>1132</v>
      </c>
      <c r="D8347" s="17"/>
      <c r="E8347" s="17">
        <v>5100</v>
      </c>
      <c r="F8347" s="18"/>
      <c r="G8347" s="18"/>
      <c r="H8347" s="18"/>
      <c r="I8347" s="18"/>
    </row>
    <row r="8348" ht="20.35" customHeight="1">
      <c r="A8348" s="10">
        <v>45772</v>
      </c>
      <c r="B8348" t="s" s="11">
        <v>12</v>
      </c>
      <c r="C8348" t="s" s="12">
        <v>1132</v>
      </c>
      <c r="D8348" s="13">
        <v>5100</v>
      </c>
      <c r="E8348" s="13"/>
      <c r="F8348" s="14"/>
      <c r="G8348" s="14"/>
      <c r="H8348" s="14"/>
      <c r="I8348" s="14"/>
    </row>
    <row r="8349" ht="20.7" customHeight="1">
      <c r="A8349" s="10">
        <v>45772</v>
      </c>
      <c r="B8349" t="s" s="11">
        <v>8</v>
      </c>
      <c r="C8349" t="s" s="12">
        <v>8</v>
      </c>
      <c r="D8349" s="15" cm="1">
        <f t="array" ref="D8349">SUM(D8347:D8348)</f>
        <v>5100</v>
      </c>
      <c r="E8349" s="15" cm="1">
        <f t="array" ref="E8349">SUM(E8347:E8348)</f>
        <v>5100</v>
      </c>
      <c r="F8349" s="16" cm="1">
        <f t="array" ref="F8349">SUM(F8347:F8348)</f>
        <v>0</v>
      </c>
      <c r="G8349" s="16" cm="1">
        <f t="array" ref="G8349">SUM(G8347:G8348)</f>
        <v>0</v>
      </c>
      <c r="H8349" s="16" cm="1">
        <f t="array" ref="H8349">SUM(H8347:H8348)</f>
        <v>0</v>
      </c>
      <c r="I8349" s="16" cm="1">
        <f t="array" ref="I8349">SUM(I8347:I8348)</f>
        <v>0</v>
      </c>
    </row>
    <row r="8350" ht="21.25" customHeight="1">
      <c r="A8350" s="10">
        <v>45772</v>
      </c>
      <c r="B8350" t="s" s="11">
        <v>21</v>
      </c>
      <c r="C8350" t="s" s="12">
        <v>1133</v>
      </c>
      <c r="D8350" s="17"/>
      <c r="E8350" s="17">
        <v>3000</v>
      </c>
      <c r="F8350" s="18"/>
      <c r="G8350" s="18"/>
      <c r="H8350" s="18"/>
      <c r="I8350" s="18"/>
    </row>
    <row r="8351" ht="21.25" customHeight="1">
      <c r="A8351" s="10">
        <v>45772</v>
      </c>
      <c r="B8351" t="s" s="11">
        <v>16</v>
      </c>
      <c r="C8351" t="s" s="12">
        <v>1133</v>
      </c>
      <c r="D8351" s="13">
        <v>3000</v>
      </c>
      <c r="E8351" s="13"/>
      <c r="F8351" s="14"/>
      <c r="G8351" s="14"/>
      <c r="H8351" s="14"/>
      <c r="I8351" s="14"/>
    </row>
    <row r="8352" ht="20.7" customHeight="1">
      <c r="A8352" s="10">
        <v>45772</v>
      </c>
      <c r="B8352" t="s" s="11">
        <v>8</v>
      </c>
      <c r="C8352" t="s" s="12">
        <v>8</v>
      </c>
      <c r="D8352" s="15" cm="1">
        <f t="array" ref="D8352">SUM(D8350:D8351)</f>
        <v>3000</v>
      </c>
      <c r="E8352" s="15" cm="1">
        <f t="array" ref="E8352">SUM(E8350:E8351)</f>
        <v>3000</v>
      </c>
      <c r="F8352" s="16" cm="1">
        <f t="array" ref="F8352">SUM(F8350:F8351)</f>
        <v>0</v>
      </c>
      <c r="G8352" s="16" cm="1">
        <f t="array" ref="G8352">SUM(G8350:G8351)</f>
        <v>0</v>
      </c>
      <c r="H8352" s="16" cm="1">
        <f t="array" ref="H8352">SUM(H8350:H8351)</f>
        <v>0</v>
      </c>
      <c r="I8352" s="16" cm="1">
        <f t="array" ref="I8352">SUM(I8350:I8351)</f>
        <v>0</v>
      </c>
    </row>
    <row r="8353" ht="20.35" customHeight="1">
      <c r="A8353" s="10">
        <v>45773</v>
      </c>
      <c r="B8353" t="s" s="11">
        <v>814</v>
      </c>
      <c r="C8353" t="s" s="12">
        <v>96</v>
      </c>
      <c r="D8353" s="17"/>
      <c r="E8353" s="17">
        <v>175300</v>
      </c>
      <c r="F8353" s="18"/>
      <c r="G8353" s="18"/>
      <c r="H8353" s="18"/>
      <c r="I8353" s="18"/>
    </row>
    <row r="8354" ht="20.35" customHeight="1">
      <c r="A8354" s="10">
        <v>45773</v>
      </c>
      <c r="B8354" t="s" s="11">
        <v>5</v>
      </c>
      <c r="C8354" t="s" s="12">
        <v>96</v>
      </c>
      <c r="D8354" s="13">
        <v>175300</v>
      </c>
      <c r="E8354" s="13"/>
      <c r="F8354" s="14"/>
      <c r="G8354" s="14"/>
      <c r="H8354" s="14"/>
      <c r="I8354" s="14"/>
    </row>
    <row r="8355" ht="20.7" customHeight="1">
      <c r="A8355" s="10">
        <v>45773</v>
      </c>
      <c r="B8355" t="s" s="11">
        <v>8</v>
      </c>
      <c r="C8355" t="s" s="12">
        <v>8</v>
      </c>
      <c r="D8355" s="15" cm="1">
        <f t="array" ref="D8355">SUM(D8353:D8354)</f>
        <v>175300</v>
      </c>
      <c r="E8355" s="15" cm="1">
        <f t="array" ref="E8355">SUM(E8353:E8354)</f>
        <v>175300</v>
      </c>
      <c r="F8355" s="16" cm="1">
        <f t="array" ref="F8355">SUM(F8353:F8354)</f>
        <v>0</v>
      </c>
      <c r="G8355" s="16" cm="1">
        <f t="array" ref="G8355">SUM(G8353:G8354)</f>
        <v>0</v>
      </c>
      <c r="H8355" s="16" cm="1">
        <f t="array" ref="H8355">SUM(H8353:H8354)</f>
        <v>0</v>
      </c>
      <c r="I8355" s="16" cm="1">
        <f t="array" ref="I8355">SUM(I8353:I8354)</f>
        <v>0</v>
      </c>
    </row>
    <row r="8356" ht="20.35" customHeight="1">
      <c r="A8356" s="10">
        <v>45773</v>
      </c>
      <c r="B8356" t="s" s="11">
        <v>5</v>
      </c>
      <c r="C8356" t="s" s="12">
        <v>867</v>
      </c>
      <c r="D8356" s="17"/>
      <c r="E8356" s="17">
        <v>175300</v>
      </c>
      <c r="F8356" s="18"/>
      <c r="G8356" s="18"/>
      <c r="H8356" s="18"/>
      <c r="I8356" s="18"/>
    </row>
    <row r="8357" ht="20.35" customHeight="1">
      <c r="A8357" s="10">
        <v>45773</v>
      </c>
      <c r="B8357" t="s" s="11">
        <v>843</v>
      </c>
      <c r="C8357" t="s" s="12">
        <v>867</v>
      </c>
      <c r="D8357" s="13">
        <v>175300</v>
      </c>
      <c r="E8357" s="13"/>
      <c r="F8357" s="14"/>
      <c r="G8357" s="14"/>
      <c r="H8357" s="14"/>
      <c r="I8357" s="14"/>
    </row>
    <row r="8358" ht="20.7" customHeight="1">
      <c r="A8358" s="10">
        <v>45773</v>
      </c>
      <c r="B8358" t="s" s="11">
        <v>8</v>
      </c>
      <c r="C8358" t="s" s="12">
        <v>8</v>
      </c>
      <c r="D8358" s="15" cm="1">
        <f t="array" ref="D8358">SUM(D8356:D8357)</f>
        <v>175300</v>
      </c>
      <c r="E8358" s="15" cm="1">
        <f t="array" ref="E8358">SUM(E8356:E8357)</f>
        <v>175300</v>
      </c>
      <c r="F8358" s="16" cm="1">
        <f t="array" ref="F8358">SUM(F8356:F8357)</f>
        <v>0</v>
      </c>
      <c r="G8358" s="16" cm="1">
        <f t="array" ref="G8358">SUM(G8356:G8357)</f>
        <v>0</v>
      </c>
      <c r="H8358" s="16" cm="1">
        <f t="array" ref="H8358">SUM(H8356:H8357)</f>
        <v>0</v>
      </c>
      <c r="I8358" s="16" cm="1">
        <f t="array" ref="I8358">SUM(I8356:I8357)</f>
        <v>0</v>
      </c>
    </row>
    <row r="8359" ht="20.65" customHeight="1">
      <c r="A8359" s="10">
        <v>45773</v>
      </c>
      <c r="B8359" t="s" s="11">
        <v>843</v>
      </c>
      <c r="C8359" t="s" s="12">
        <v>820</v>
      </c>
      <c r="D8359" s="17">
        <v>1</v>
      </c>
      <c r="E8359" s="17"/>
      <c r="F8359" s="18"/>
      <c r="G8359" s="18"/>
      <c r="H8359" s="18"/>
      <c r="I8359" s="18"/>
    </row>
    <row r="8360" ht="20.65" customHeight="1">
      <c r="A8360" s="10">
        <v>45773</v>
      </c>
      <c r="B8360" t="s" s="11">
        <v>7</v>
      </c>
      <c r="C8360" t="s" s="12">
        <v>820</v>
      </c>
      <c r="D8360" s="13"/>
      <c r="E8360" s="13">
        <v>1</v>
      </c>
      <c r="F8360" s="14"/>
      <c r="G8360" s="14"/>
      <c r="H8360" s="14"/>
      <c r="I8360" s="14"/>
    </row>
    <row r="8361" ht="20.7" customHeight="1">
      <c r="A8361" s="10">
        <v>45773</v>
      </c>
      <c r="B8361" t="s" s="11">
        <v>8</v>
      </c>
      <c r="C8361" t="s" s="12">
        <v>8</v>
      </c>
      <c r="D8361" s="15" cm="1">
        <f t="array" ref="D8361">SUM(D8359:D8360)</f>
        <v>1</v>
      </c>
      <c r="E8361" s="15" cm="1">
        <f t="array" ref="E8361">SUM(E8359:E8360)</f>
        <v>1</v>
      </c>
      <c r="F8361" s="16" cm="1">
        <f t="array" ref="F8361">SUM(F8359:F8360)</f>
        <v>0</v>
      </c>
      <c r="G8361" s="16" cm="1">
        <f t="array" ref="G8361">SUM(G8359:G8360)</f>
        <v>0</v>
      </c>
      <c r="H8361" s="16" cm="1">
        <f t="array" ref="H8361">SUM(H8359:H8360)</f>
        <v>0</v>
      </c>
      <c r="I8361" s="16" cm="1">
        <f t="array" ref="I8361">SUM(I8359:I8360)</f>
        <v>0</v>
      </c>
    </row>
    <row r="8362" ht="20.65" customHeight="1">
      <c r="A8362" s="10">
        <v>45773</v>
      </c>
      <c r="B8362" t="s" s="11">
        <v>814</v>
      </c>
      <c r="C8362" t="s" s="12">
        <v>820</v>
      </c>
      <c r="D8362" s="17">
        <v>80</v>
      </c>
      <c r="E8362" s="17"/>
      <c r="F8362" s="18"/>
      <c r="G8362" s="18"/>
      <c r="H8362" s="18"/>
      <c r="I8362" s="18"/>
    </row>
    <row r="8363" ht="20.65" customHeight="1">
      <c r="A8363" s="10">
        <v>45773</v>
      </c>
      <c r="B8363" t="s" s="11">
        <v>7</v>
      </c>
      <c r="C8363" t="s" s="12">
        <v>820</v>
      </c>
      <c r="D8363" s="13"/>
      <c r="E8363" s="13">
        <v>80</v>
      </c>
      <c r="F8363" s="14"/>
      <c r="G8363" s="14"/>
      <c r="H8363" s="14"/>
      <c r="I8363" s="14"/>
    </row>
    <row r="8364" ht="20.7" customHeight="1">
      <c r="A8364" s="10">
        <v>45773</v>
      </c>
      <c r="B8364" t="s" s="11">
        <v>8</v>
      </c>
      <c r="C8364" t="s" s="12">
        <v>8</v>
      </c>
      <c r="D8364" s="15" cm="1">
        <f t="array" ref="D8364">SUM(D8362:D8363)</f>
        <v>80</v>
      </c>
      <c r="E8364" s="15" cm="1">
        <f t="array" ref="E8364">SUM(E8362:E8363)</f>
        <v>80</v>
      </c>
      <c r="F8364" s="16" cm="1">
        <f t="array" ref="F8364">SUM(F8362:F8363)</f>
        <v>0</v>
      </c>
      <c r="G8364" s="16" cm="1">
        <f t="array" ref="G8364">SUM(G8362:G8363)</f>
        <v>0</v>
      </c>
      <c r="H8364" s="16" cm="1">
        <f t="array" ref="H8364">SUM(H8362:H8363)</f>
        <v>0</v>
      </c>
      <c r="I8364" s="16" cm="1">
        <f t="array" ref="I8364">SUM(I8362:I8363)</f>
        <v>0</v>
      </c>
    </row>
    <row r="8365" ht="21.25" customHeight="1">
      <c r="A8365" s="10">
        <v>45773</v>
      </c>
      <c r="B8365" t="s" s="11">
        <v>21</v>
      </c>
      <c r="C8365" t="s" s="12">
        <v>1134</v>
      </c>
      <c r="D8365" s="17"/>
      <c r="E8365" s="17">
        <v>1500</v>
      </c>
      <c r="F8365" s="18"/>
      <c r="G8365" s="18"/>
      <c r="H8365" s="18"/>
      <c r="I8365" s="18"/>
    </row>
    <row r="8366" ht="21.25" customHeight="1">
      <c r="A8366" s="10">
        <v>45773</v>
      </c>
      <c r="B8366" t="s" s="11">
        <v>16</v>
      </c>
      <c r="C8366" t="s" s="12">
        <v>1134</v>
      </c>
      <c r="D8366" s="13">
        <v>1500</v>
      </c>
      <c r="E8366" s="13"/>
      <c r="F8366" s="14"/>
      <c r="G8366" s="14"/>
      <c r="H8366" s="14"/>
      <c r="I8366" s="14"/>
    </row>
    <row r="8367" ht="20.7" customHeight="1">
      <c r="A8367" s="10">
        <v>45773</v>
      </c>
      <c r="B8367" t="s" s="11">
        <v>8</v>
      </c>
      <c r="C8367" t="s" s="12">
        <v>8</v>
      </c>
      <c r="D8367" s="15" cm="1">
        <f t="array" ref="D8367">SUM(D8365:D8366)</f>
        <v>1500</v>
      </c>
      <c r="E8367" s="15" cm="1">
        <f t="array" ref="E8367">SUM(E8365:E8366)</f>
        <v>1500</v>
      </c>
      <c r="F8367" s="16" cm="1">
        <f t="array" ref="F8367">SUM(F8365:F8366)</f>
        <v>0</v>
      </c>
      <c r="G8367" s="16" cm="1">
        <f t="array" ref="G8367">SUM(G8365:G8366)</f>
        <v>0</v>
      </c>
      <c r="H8367" s="16" cm="1">
        <f t="array" ref="H8367">SUM(H8365:H8366)</f>
        <v>0</v>
      </c>
      <c r="I8367" s="16" cm="1">
        <f t="array" ref="I8367">SUM(I8365:I8366)</f>
        <v>0</v>
      </c>
    </row>
    <row r="8368" ht="20.65" customHeight="1">
      <c r="A8368" s="10">
        <v>45774</v>
      </c>
      <c r="B8368" t="s" s="11">
        <v>843</v>
      </c>
      <c r="C8368" t="s" s="12">
        <v>820</v>
      </c>
      <c r="D8368" s="17">
        <v>10</v>
      </c>
      <c r="E8368" s="17"/>
      <c r="F8368" s="18"/>
      <c r="G8368" s="18"/>
      <c r="H8368" s="18"/>
      <c r="I8368" s="18"/>
    </row>
    <row r="8369" ht="20.65" customHeight="1">
      <c r="A8369" s="10">
        <v>45774</v>
      </c>
      <c r="B8369" t="s" s="11">
        <v>7</v>
      </c>
      <c r="C8369" t="s" s="12">
        <v>820</v>
      </c>
      <c r="D8369" s="13"/>
      <c r="E8369" s="13">
        <v>10</v>
      </c>
      <c r="F8369" s="14"/>
      <c r="G8369" s="14"/>
      <c r="H8369" s="14"/>
      <c r="I8369" s="14"/>
    </row>
    <row r="8370" ht="20.7" customHeight="1">
      <c r="A8370" s="10">
        <v>45774</v>
      </c>
      <c r="B8370" t="s" s="11">
        <v>8</v>
      </c>
      <c r="C8370" t="s" s="12">
        <v>8</v>
      </c>
      <c r="D8370" s="15" cm="1">
        <f t="array" ref="D8370">SUM(D8368:D8369)</f>
        <v>10</v>
      </c>
      <c r="E8370" s="15" cm="1">
        <f t="array" ref="E8370">SUM(E8368:E8369)</f>
        <v>10</v>
      </c>
      <c r="F8370" s="16" cm="1">
        <f t="array" ref="F8370">SUM(F8368:F8369)</f>
        <v>0</v>
      </c>
      <c r="G8370" s="16" cm="1">
        <f t="array" ref="G8370">SUM(G8368:G8369)</f>
        <v>0</v>
      </c>
      <c r="H8370" s="16" cm="1">
        <f t="array" ref="H8370">SUM(H8368:H8369)</f>
        <v>0</v>
      </c>
      <c r="I8370" s="16" cm="1">
        <f t="array" ref="I8370">SUM(I8368:I8369)</f>
        <v>0</v>
      </c>
    </row>
    <row r="8371" ht="20.65" customHeight="1">
      <c r="A8371" s="10">
        <v>45774</v>
      </c>
      <c r="B8371" t="s" s="11">
        <v>814</v>
      </c>
      <c r="C8371" t="s" s="12">
        <v>820</v>
      </c>
      <c r="D8371" s="17">
        <v>71</v>
      </c>
      <c r="E8371" s="17"/>
      <c r="F8371" s="18"/>
      <c r="G8371" s="18"/>
      <c r="H8371" s="18"/>
      <c r="I8371" s="18"/>
    </row>
    <row r="8372" ht="20.65" customHeight="1">
      <c r="A8372" s="10">
        <v>45774</v>
      </c>
      <c r="B8372" t="s" s="11">
        <v>7</v>
      </c>
      <c r="C8372" t="s" s="12">
        <v>820</v>
      </c>
      <c r="D8372" s="13"/>
      <c r="E8372" s="13">
        <v>71</v>
      </c>
      <c r="F8372" s="14"/>
      <c r="G8372" s="14"/>
      <c r="H8372" s="14"/>
      <c r="I8372" s="14"/>
    </row>
    <row r="8373" ht="20.7" customHeight="1">
      <c r="A8373" s="10">
        <v>45774</v>
      </c>
      <c r="B8373" t="s" s="11">
        <v>8</v>
      </c>
      <c r="C8373" t="s" s="12">
        <v>8</v>
      </c>
      <c r="D8373" s="15" cm="1">
        <f t="array" ref="D8373">SUM(D8371:D8372)</f>
        <v>71</v>
      </c>
      <c r="E8373" s="15" cm="1">
        <f t="array" ref="E8373">SUM(E8371:E8372)</f>
        <v>71</v>
      </c>
      <c r="F8373" s="16" cm="1">
        <f t="array" ref="F8373">SUM(F8371:F8372)</f>
        <v>0</v>
      </c>
      <c r="G8373" s="16" cm="1">
        <f t="array" ref="G8373">SUM(G8371:G8372)</f>
        <v>0</v>
      </c>
      <c r="H8373" s="16" cm="1">
        <f t="array" ref="H8373">SUM(H8371:H8372)</f>
        <v>0</v>
      </c>
      <c r="I8373" s="16" cm="1">
        <f t="array" ref="I8373">SUM(I8371:I8372)</f>
        <v>0</v>
      </c>
    </row>
    <row r="8374" ht="20.35" customHeight="1">
      <c r="A8374" s="10">
        <v>45774</v>
      </c>
      <c r="B8374" t="s" s="11">
        <v>5</v>
      </c>
      <c r="C8374" t="s" s="12">
        <v>1135</v>
      </c>
      <c r="D8374" s="17"/>
      <c r="E8374" s="17">
        <v>18000</v>
      </c>
      <c r="F8374" s="18"/>
      <c r="G8374" s="18"/>
      <c r="H8374" s="18"/>
      <c r="I8374" s="18"/>
    </row>
    <row r="8375" ht="20.05" customHeight="1">
      <c r="A8375" s="10">
        <v>45774</v>
      </c>
      <c r="B8375" t="s" s="11">
        <v>89</v>
      </c>
      <c r="C8375" t="s" s="12">
        <v>1135</v>
      </c>
      <c r="D8375" s="19">
        <v>9000</v>
      </c>
      <c r="E8375" s="19"/>
      <c r="F8375" s="20"/>
      <c r="G8375" s="20"/>
      <c r="H8375" s="20"/>
      <c r="I8375" s="20"/>
    </row>
    <row r="8376" ht="20.35" customHeight="1">
      <c r="A8376" s="10">
        <v>45774</v>
      </c>
      <c r="B8376" t="s" s="11">
        <v>12</v>
      </c>
      <c r="C8376" t="s" s="12">
        <v>1135</v>
      </c>
      <c r="D8376" s="13">
        <v>9000</v>
      </c>
      <c r="E8376" s="13"/>
      <c r="F8376" s="14"/>
      <c r="G8376" s="14"/>
      <c r="H8376" s="14"/>
      <c r="I8376" s="14"/>
    </row>
    <row r="8377" ht="20.7" customHeight="1">
      <c r="A8377" s="10">
        <v>45774</v>
      </c>
      <c r="B8377" t="s" s="11">
        <v>8</v>
      </c>
      <c r="C8377" t="s" s="12">
        <v>8</v>
      </c>
      <c r="D8377" s="15" cm="1">
        <f t="array" ref="D8377">SUM(D8374:D8376)</f>
        <v>18000</v>
      </c>
      <c r="E8377" s="15" cm="1">
        <f t="array" ref="E8377">SUM(E8374:E8376)</f>
        <v>18000</v>
      </c>
      <c r="F8377" s="16" cm="1">
        <f t="array" ref="F8377">SUM(F8374:F8376)</f>
        <v>0</v>
      </c>
      <c r="G8377" s="16" cm="1">
        <f t="array" ref="G8377">SUM(G8374:G8376)</f>
        <v>0</v>
      </c>
      <c r="H8377" s="16" cm="1">
        <f t="array" ref="H8377">SUM(H8374:H8376)</f>
        <v>0</v>
      </c>
      <c r="I8377" s="16" cm="1">
        <f t="array" ref="I8377">SUM(I8374:I8376)</f>
        <v>0</v>
      </c>
    </row>
    <row r="8378" ht="21.25" customHeight="1">
      <c r="A8378" s="10">
        <v>45774</v>
      </c>
      <c r="B8378" t="s" s="11">
        <v>5</v>
      </c>
      <c r="C8378" t="s" s="12">
        <v>1136</v>
      </c>
      <c r="D8378" s="17"/>
      <c r="E8378" s="17">
        <v>39102</v>
      </c>
      <c r="F8378" s="18"/>
      <c r="G8378" s="18"/>
      <c r="H8378" s="18"/>
      <c r="I8378" s="18"/>
    </row>
    <row r="8379" ht="21.25" customHeight="1">
      <c r="A8379" s="10">
        <v>45774</v>
      </c>
      <c r="B8379" t="s" s="11">
        <v>10</v>
      </c>
      <c r="C8379" t="s" s="12">
        <v>1136</v>
      </c>
      <c r="D8379" s="13">
        <v>39102</v>
      </c>
      <c r="E8379" s="13"/>
      <c r="F8379" s="14"/>
      <c r="G8379" s="14"/>
      <c r="H8379" s="14"/>
      <c r="I8379" s="14"/>
    </row>
    <row r="8380" ht="20.7" customHeight="1">
      <c r="A8380" s="10">
        <v>45774</v>
      </c>
      <c r="B8380" t="s" s="11">
        <v>8</v>
      </c>
      <c r="C8380" t="s" s="12">
        <v>8</v>
      </c>
      <c r="D8380" s="15" cm="1">
        <f t="array" ref="D8380">SUM(D8378:D8379)</f>
        <v>39102</v>
      </c>
      <c r="E8380" s="15" cm="1">
        <f t="array" ref="E8380">SUM(E8378:E8379)</f>
        <v>39102</v>
      </c>
      <c r="F8380" s="16" cm="1">
        <f t="array" ref="F8380">SUM(F8378:F8379)</f>
        <v>0</v>
      </c>
      <c r="G8380" s="16" cm="1">
        <f t="array" ref="G8380">SUM(G8378:G8379)</f>
        <v>0</v>
      </c>
      <c r="H8380" s="16" cm="1">
        <f t="array" ref="H8380">SUM(H8378:H8379)</f>
        <v>0</v>
      </c>
      <c r="I8380" s="16" cm="1">
        <f t="array" ref="I8380">SUM(I8378:I8379)</f>
        <v>0</v>
      </c>
    </row>
    <row r="8381" ht="20.35" customHeight="1">
      <c r="A8381" s="10">
        <v>45774</v>
      </c>
      <c r="B8381" t="s" s="11">
        <v>843</v>
      </c>
      <c r="C8381" t="s" s="12">
        <v>96</v>
      </c>
      <c r="D8381" s="17"/>
      <c r="E8381" s="17">
        <v>100000</v>
      </c>
      <c r="F8381" s="18"/>
      <c r="G8381" s="18"/>
      <c r="H8381" s="18"/>
      <c r="I8381" s="18"/>
    </row>
    <row r="8382" ht="20.35" customHeight="1">
      <c r="A8382" s="10">
        <v>45774</v>
      </c>
      <c r="B8382" t="s" s="11">
        <v>5</v>
      </c>
      <c r="C8382" t="s" s="12">
        <v>96</v>
      </c>
      <c r="D8382" s="13">
        <v>100000</v>
      </c>
      <c r="E8382" s="13"/>
      <c r="F8382" s="14"/>
      <c r="G8382" s="14"/>
      <c r="H8382" s="14"/>
      <c r="I8382" s="14"/>
    </row>
    <row r="8383" ht="20.7" customHeight="1">
      <c r="A8383" s="10">
        <v>45774</v>
      </c>
      <c r="B8383" t="s" s="11">
        <v>8</v>
      </c>
      <c r="C8383" t="s" s="12">
        <v>8</v>
      </c>
      <c r="D8383" s="15" cm="1">
        <f t="array" ref="D8383">SUM(D8381:D8382)</f>
        <v>100000</v>
      </c>
      <c r="E8383" s="15" cm="1">
        <f t="array" ref="E8383">SUM(E8381:E8382)</f>
        <v>100000</v>
      </c>
      <c r="F8383" s="16" cm="1">
        <f t="array" ref="F8383">SUM(F8381:F8382)</f>
        <v>0</v>
      </c>
      <c r="G8383" s="16" cm="1">
        <f t="array" ref="G8383">SUM(G8381:G8382)</f>
        <v>0</v>
      </c>
      <c r="H8383" s="16" cm="1">
        <f t="array" ref="H8383">SUM(H8381:H8382)</f>
        <v>0</v>
      </c>
      <c r="I8383" s="16" cm="1">
        <f t="array" ref="I8383">SUM(I8381:I8382)</f>
        <v>0</v>
      </c>
    </row>
    <row r="8384" ht="20.35" customHeight="1">
      <c r="A8384" s="10">
        <v>45774</v>
      </c>
      <c r="B8384" t="s" s="11">
        <v>5</v>
      </c>
      <c r="C8384" t="s" s="12">
        <v>1137</v>
      </c>
      <c r="D8384" s="17"/>
      <c r="E8384" s="17">
        <v>28000</v>
      </c>
      <c r="F8384" s="18"/>
      <c r="G8384" s="18"/>
      <c r="H8384" s="18"/>
      <c r="I8384" s="18"/>
    </row>
    <row r="8385" ht="20.35" customHeight="1">
      <c r="A8385" s="10">
        <v>45774</v>
      </c>
      <c r="B8385" t="s" s="11">
        <v>89</v>
      </c>
      <c r="C8385" t="s" s="12">
        <v>1137</v>
      </c>
      <c r="D8385" s="13">
        <v>28000</v>
      </c>
      <c r="E8385" s="13"/>
      <c r="F8385" s="14"/>
      <c r="G8385" s="14"/>
      <c r="H8385" s="14"/>
      <c r="I8385" s="14"/>
    </row>
    <row r="8386" ht="20.7" customHeight="1">
      <c r="A8386" s="10">
        <v>45774</v>
      </c>
      <c r="B8386" t="s" s="11">
        <v>8</v>
      </c>
      <c r="C8386" t="s" s="12">
        <v>8</v>
      </c>
      <c r="D8386" s="15" cm="1">
        <f t="array" ref="D8386">SUM(D8384:D8385)</f>
        <v>28000</v>
      </c>
      <c r="E8386" s="15" cm="1">
        <f t="array" ref="E8386">SUM(E8384:E8385)</f>
        <v>28000</v>
      </c>
      <c r="F8386" s="16" cm="1">
        <f t="array" ref="F8386">SUM(F8384:F8385)</f>
        <v>0</v>
      </c>
      <c r="G8386" s="16" cm="1">
        <f t="array" ref="G8386">SUM(G8384:G8385)</f>
        <v>0</v>
      </c>
      <c r="H8386" s="16" cm="1">
        <f t="array" ref="H8386">SUM(H8384:H8385)</f>
        <v>0</v>
      </c>
      <c r="I8386" s="16" cm="1">
        <f t="array" ref="I8386">SUM(I8384:I8385)</f>
        <v>0</v>
      </c>
    </row>
    <row r="8387" ht="20.65" customHeight="1">
      <c r="A8387" s="10">
        <v>45774</v>
      </c>
      <c r="B8387" t="s" s="11">
        <v>5</v>
      </c>
      <c r="C8387" t="s" s="12">
        <v>1138</v>
      </c>
      <c r="D8387" s="17"/>
      <c r="E8387" s="17">
        <v>12000</v>
      </c>
      <c r="F8387" s="18"/>
      <c r="G8387" s="18"/>
      <c r="H8387" s="18"/>
      <c r="I8387" s="18"/>
    </row>
    <row r="8388" ht="20.65" customHeight="1">
      <c r="A8388" s="10">
        <v>45774</v>
      </c>
      <c r="B8388" t="s" s="11">
        <v>89</v>
      </c>
      <c r="C8388" t="s" s="12">
        <v>1138</v>
      </c>
      <c r="D8388" s="13">
        <v>12000</v>
      </c>
      <c r="E8388" s="13"/>
      <c r="F8388" s="14"/>
      <c r="G8388" s="14"/>
      <c r="H8388" s="14"/>
      <c r="I8388" s="14"/>
    </row>
    <row r="8389" ht="20.7" customHeight="1">
      <c r="A8389" s="10">
        <v>45774</v>
      </c>
      <c r="B8389" t="s" s="11">
        <v>8</v>
      </c>
      <c r="C8389" t="s" s="12">
        <v>8</v>
      </c>
      <c r="D8389" s="15" cm="1">
        <f t="array" ref="D8389">SUM(D8387:D8388)</f>
        <v>12000</v>
      </c>
      <c r="E8389" s="15" cm="1">
        <f t="array" ref="E8389">SUM(E8387:E8388)</f>
        <v>12000</v>
      </c>
      <c r="F8389" s="16" cm="1">
        <f t="array" ref="F8389">SUM(F8387:F8388)</f>
        <v>0</v>
      </c>
      <c r="G8389" s="16" cm="1">
        <f t="array" ref="G8389">SUM(G8387:G8388)</f>
        <v>0</v>
      </c>
      <c r="H8389" s="16" cm="1">
        <f t="array" ref="H8389">SUM(H8387:H8388)</f>
        <v>0</v>
      </c>
      <c r="I8389" s="16" cm="1">
        <f t="array" ref="I8389">SUM(I8387:I8388)</f>
        <v>0</v>
      </c>
    </row>
    <row r="8390" ht="20.35" customHeight="1">
      <c r="A8390" s="10">
        <v>45774</v>
      </c>
      <c r="B8390" t="s" s="11">
        <v>843</v>
      </c>
      <c r="C8390" t="s" s="12">
        <v>96</v>
      </c>
      <c r="D8390" s="17"/>
      <c r="E8390" s="17">
        <v>50000</v>
      </c>
      <c r="F8390" s="18"/>
      <c r="G8390" s="18"/>
      <c r="H8390" s="18"/>
      <c r="I8390" s="18"/>
    </row>
    <row r="8391" ht="20.35" customHeight="1">
      <c r="A8391" s="10">
        <v>45774</v>
      </c>
      <c r="B8391" t="s" s="11">
        <v>5</v>
      </c>
      <c r="C8391" t="s" s="12">
        <v>96</v>
      </c>
      <c r="D8391" s="13">
        <v>50000</v>
      </c>
      <c r="E8391" s="13"/>
      <c r="F8391" s="14"/>
      <c r="G8391" s="14"/>
      <c r="H8391" s="14"/>
      <c r="I8391" s="14"/>
    </row>
    <row r="8392" ht="20.7" customHeight="1">
      <c r="A8392" s="10">
        <v>45774</v>
      </c>
      <c r="B8392" t="s" s="11">
        <v>8</v>
      </c>
      <c r="C8392" t="s" s="12">
        <v>8</v>
      </c>
      <c r="D8392" s="15" cm="1">
        <f t="array" ref="D8392">SUM(D8390:D8391)</f>
        <v>50000</v>
      </c>
      <c r="E8392" s="15" cm="1">
        <f t="array" ref="E8392">SUM(E8390:E8391)</f>
        <v>50000</v>
      </c>
      <c r="F8392" s="16" cm="1">
        <f t="array" ref="F8392">SUM(F8390:F8391)</f>
        <v>0</v>
      </c>
      <c r="G8392" s="16" cm="1">
        <f t="array" ref="G8392">SUM(G8390:G8391)</f>
        <v>0</v>
      </c>
      <c r="H8392" s="16" cm="1">
        <f t="array" ref="H8392">SUM(H8390:H8391)</f>
        <v>0</v>
      </c>
      <c r="I8392" s="16" cm="1">
        <f t="array" ref="I8392">SUM(I8390:I8391)</f>
        <v>0</v>
      </c>
    </row>
    <row r="8393" ht="21.25" customHeight="1">
      <c r="A8393" s="10">
        <v>45774</v>
      </c>
      <c r="B8393" t="s" s="11">
        <v>5</v>
      </c>
      <c r="C8393" t="s" s="12">
        <v>1139</v>
      </c>
      <c r="D8393" s="17"/>
      <c r="E8393" s="17">
        <v>72500</v>
      </c>
      <c r="F8393" s="18"/>
      <c r="G8393" s="18"/>
      <c r="H8393" s="18"/>
      <c r="I8393" s="18"/>
    </row>
    <row r="8394" ht="21.25" customHeight="1">
      <c r="A8394" s="10">
        <v>45774</v>
      </c>
      <c r="B8394" t="s" s="11">
        <v>10</v>
      </c>
      <c r="C8394" t="s" s="12">
        <v>1139</v>
      </c>
      <c r="D8394" s="13">
        <v>72500</v>
      </c>
      <c r="E8394" s="13"/>
      <c r="F8394" s="14"/>
      <c r="G8394" s="14"/>
      <c r="H8394" s="14"/>
      <c r="I8394" s="14"/>
    </row>
    <row r="8395" ht="20.7" customHeight="1">
      <c r="A8395" s="10">
        <v>45774</v>
      </c>
      <c r="B8395" t="s" s="11">
        <v>8</v>
      </c>
      <c r="C8395" t="s" s="12">
        <v>8</v>
      </c>
      <c r="D8395" s="15" cm="1">
        <f t="array" ref="D8395">SUM(D8393:D8394)</f>
        <v>72500</v>
      </c>
      <c r="E8395" s="15" cm="1">
        <f t="array" ref="E8395">SUM(E8393:E8394)</f>
        <v>72500</v>
      </c>
      <c r="F8395" s="16" cm="1">
        <f t="array" ref="F8395">SUM(F8393:F8394)</f>
        <v>0</v>
      </c>
      <c r="G8395" s="16" cm="1">
        <f t="array" ref="G8395">SUM(G8393:G8394)</f>
        <v>0</v>
      </c>
      <c r="H8395" s="16" cm="1">
        <f t="array" ref="H8395">SUM(H8393:H8394)</f>
        <v>0</v>
      </c>
      <c r="I8395" s="16" cm="1">
        <f t="array" ref="I8395">SUM(I8393:I8394)</f>
        <v>0</v>
      </c>
    </row>
    <row r="8396" ht="20.65" customHeight="1">
      <c r="A8396" s="10">
        <v>45774</v>
      </c>
      <c r="B8396" t="s" s="11">
        <v>5</v>
      </c>
      <c r="C8396" t="s" s="12">
        <v>1140</v>
      </c>
      <c r="D8396" s="17"/>
      <c r="E8396" s="17">
        <v>12000</v>
      </c>
      <c r="F8396" s="18"/>
      <c r="G8396" s="18"/>
      <c r="H8396" s="18"/>
      <c r="I8396" s="18"/>
    </row>
    <row r="8397" ht="20.65" customHeight="1">
      <c r="A8397" s="10">
        <v>45774</v>
      </c>
      <c r="B8397" t="s" s="11">
        <v>89</v>
      </c>
      <c r="C8397" t="s" s="12">
        <v>1140</v>
      </c>
      <c r="D8397" s="13">
        <v>12000</v>
      </c>
      <c r="E8397" s="13"/>
      <c r="F8397" s="14"/>
      <c r="G8397" s="14"/>
      <c r="H8397" s="14"/>
      <c r="I8397" s="14"/>
    </row>
    <row r="8398" ht="20.7" customHeight="1">
      <c r="A8398" s="10">
        <v>45774</v>
      </c>
      <c r="B8398" t="s" s="11">
        <v>8</v>
      </c>
      <c r="C8398" t="s" s="12">
        <v>8</v>
      </c>
      <c r="D8398" s="15" cm="1">
        <f t="array" ref="D8398">SUM(D8396:D8397)</f>
        <v>12000</v>
      </c>
      <c r="E8398" s="15" cm="1">
        <f t="array" ref="E8398">SUM(E8396:E8397)</f>
        <v>12000</v>
      </c>
      <c r="F8398" s="16" cm="1">
        <f t="array" ref="F8398">SUM(F8396:F8397)</f>
        <v>0</v>
      </c>
      <c r="G8398" s="16" cm="1">
        <f t="array" ref="G8398">SUM(G8396:G8397)</f>
        <v>0</v>
      </c>
      <c r="H8398" s="16" cm="1">
        <f t="array" ref="H8398">SUM(H8396:H8397)</f>
        <v>0</v>
      </c>
      <c r="I8398" s="16" cm="1">
        <f t="array" ref="I8398">SUM(I8396:I8397)</f>
        <v>0</v>
      </c>
    </row>
    <row r="8399" ht="20.35" customHeight="1">
      <c r="A8399" s="10">
        <v>45774</v>
      </c>
      <c r="B8399" t="s" s="11">
        <v>5</v>
      </c>
      <c r="C8399" t="s" s="12">
        <v>1141</v>
      </c>
      <c r="D8399" s="17"/>
      <c r="E8399" s="17">
        <v>28200</v>
      </c>
      <c r="F8399" s="18"/>
      <c r="G8399" s="18"/>
      <c r="H8399" s="18"/>
      <c r="I8399" s="18"/>
    </row>
    <row r="8400" ht="20.05" customHeight="1">
      <c r="A8400" s="10">
        <v>45774</v>
      </c>
      <c r="B8400" t="s" s="11">
        <v>89</v>
      </c>
      <c r="C8400" t="s" s="12">
        <v>1141</v>
      </c>
      <c r="D8400" s="19">
        <v>14100</v>
      </c>
      <c r="E8400" s="19"/>
      <c r="F8400" s="20"/>
      <c r="G8400" s="20"/>
      <c r="H8400" s="20"/>
      <c r="I8400" s="20"/>
    </row>
    <row r="8401" ht="20.35" customHeight="1">
      <c r="A8401" s="10">
        <v>45774</v>
      </c>
      <c r="B8401" t="s" s="11">
        <v>74</v>
      </c>
      <c r="C8401" t="s" s="12">
        <v>1141</v>
      </c>
      <c r="D8401" s="13">
        <v>14100</v>
      </c>
      <c r="E8401" s="13"/>
      <c r="F8401" s="14"/>
      <c r="G8401" s="14"/>
      <c r="H8401" s="14"/>
      <c r="I8401" s="14"/>
    </row>
    <row r="8402" ht="20.7" customHeight="1">
      <c r="A8402" s="10">
        <v>45774</v>
      </c>
      <c r="B8402" t="s" s="11">
        <v>8</v>
      </c>
      <c r="C8402" t="s" s="12">
        <v>8</v>
      </c>
      <c r="D8402" s="15" cm="1">
        <f t="array" ref="D8402">SUM(D8399:D8401)</f>
        <v>28200</v>
      </c>
      <c r="E8402" s="15" cm="1">
        <f t="array" ref="E8402">SUM(E8399:E8401)</f>
        <v>28200</v>
      </c>
      <c r="F8402" s="16" cm="1">
        <f t="array" ref="F8402">SUM(F8399:F8401)</f>
        <v>0</v>
      </c>
      <c r="G8402" s="16" cm="1">
        <f t="array" ref="G8402">SUM(G8399:G8401)</f>
        <v>0</v>
      </c>
      <c r="H8402" s="16" cm="1">
        <f t="array" ref="H8402">SUM(H8399:H8401)</f>
        <v>0</v>
      </c>
      <c r="I8402" s="16" cm="1">
        <f t="array" ref="I8402">SUM(I8399:I8401)</f>
        <v>0</v>
      </c>
    </row>
    <row r="8403" ht="20.35" customHeight="1">
      <c r="A8403" s="10">
        <v>45774</v>
      </c>
      <c r="B8403" t="s" s="11">
        <v>18</v>
      </c>
      <c r="C8403" t="s" s="12">
        <v>17</v>
      </c>
      <c r="D8403" s="17"/>
      <c r="E8403" s="17">
        <v>500</v>
      </c>
      <c r="F8403" s="18"/>
      <c r="G8403" s="18"/>
      <c r="H8403" s="18"/>
      <c r="I8403" s="18"/>
    </row>
    <row r="8404" ht="20.35" customHeight="1">
      <c r="A8404" s="10">
        <v>45774</v>
      </c>
      <c r="B8404" t="s" s="11">
        <v>5</v>
      </c>
      <c r="C8404" t="s" s="12">
        <v>17</v>
      </c>
      <c r="D8404" s="13">
        <v>500</v>
      </c>
      <c r="E8404" s="13"/>
      <c r="F8404" s="14"/>
      <c r="G8404" s="14"/>
      <c r="H8404" s="14"/>
      <c r="I8404" s="14"/>
    </row>
    <row r="8405" ht="20.7" customHeight="1">
      <c r="A8405" s="10">
        <v>45774</v>
      </c>
      <c r="B8405" t="s" s="11">
        <v>8</v>
      </c>
      <c r="C8405" t="s" s="12">
        <v>8</v>
      </c>
      <c r="D8405" s="15" cm="1">
        <f t="array" ref="D8405">SUM(D8403:D8404)</f>
        <v>500</v>
      </c>
      <c r="E8405" s="15" cm="1">
        <f t="array" ref="E8405">SUM(E8403:E8404)</f>
        <v>500</v>
      </c>
      <c r="F8405" s="16" cm="1">
        <f t="array" ref="F8405">SUM(F8403:F8404)</f>
        <v>0</v>
      </c>
      <c r="G8405" s="16" cm="1">
        <f t="array" ref="G8405">SUM(G8403:G8404)</f>
        <v>0</v>
      </c>
      <c r="H8405" s="16" cm="1">
        <f t="array" ref="H8405">SUM(H8403:H8404)</f>
        <v>0</v>
      </c>
      <c r="I8405" s="16" cm="1">
        <f t="array" ref="I8405">SUM(I8403:I8404)</f>
        <v>0</v>
      </c>
    </row>
    <row r="8406" ht="20.35" customHeight="1">
      <c r="A8406" s="10">
        <v>45774</v>
      </c>
      <c r="B8406" t="s" s="11">
        <v>843</v>
      </c>
      <c r="C8406" t="s" s="12">
        <v>96</v>
      </c>
      <c r="D8406" s="17"/>
      <c r="E8406" s="17">
        <v>20000</v>
      </c>
      <c r="F8406" s="18"/>
      <c r="G8406" s="18"/>
      <c r="H8406" s="18"/>
      <c r="I8406" s="18"/>
    </row>
    <row r="8407" ht="20.35" customHeight="1">
      <c r="A8407" s="10">
        <v>45774</v>
      </c>
      <c r="B8407" t="s" s="11">
        <v>5</v>
      </c>
      <c r="C8407" t="s" s="12">
        <v>96</v>
      </c>
      <c r="D8407" s="13">
        <v>20000</v>
      </c>
      <c r="E8407" s="13"/>
      <c r="F8407" s="14"/>
      <c r="G8407" s="14"/>
      <c r="H8407" s="14"/>
      <c r="I8407" s="14"/>
    </row>
    <row r="8408" ht="20.7" customHeight="1">
      <c r="A8408" s="10">
        <v>45774</v>
      </c>
      <c r="B8408" t="s" s="11">
        <v>8</v>
      </c>
      <c r="C8408" t="s" s="12">
        <v>8</v>
      </c>
      <c r="D8408" s="15" cm="1">
        <f t="array" ref="D8408">SUM(D8406:D8407)</f>
        <v>20000</v>
      </c>
      <c r="E8408" s="15" cm="1">
        <f t="array" ref="E8408">SUM(E8406:E8407)</f>
        <v>20000</v>
      </c>
      <c r="F8408" s="16" cm="1">
        <f t="array" ref="F8408">SUM(F8406:F8407)</f>
        <v>0</v>
      </c>
      <c r="G8408" s="16" cm="1">
        <f t="array" ref="G8408">SUM(G8406:G8407)</f>
        <v>0</v>
      </c>
      <c r="H8408" s="16" cm="1">
        <f t="array" ref="H8408">SUM(H8406:H8407)</f>
        <v>0</v>
      </c>
      <c r="I8408" s="16" cm="1">
        <f t="array" ref="I8408">SUM(I8406:I8407)</f>
        <v>0</v>
      </c>
    </row>
    <row r="8409" ht="20.35" customHeight="1">
      <c r="A8409" s="10">
        <v>45774</v>
      </c>
      <c r="B8409" t="s" s="11">
        <v>5</v>
      </c>
      <c r="C8409" t="s" s="12">
        <v>439</v>
      </c>
      <c r="D8409" s="17"/>
      <c r="E8409" s="17">
        <v>20000</v>
      </c>
      <c r="F8409" s="18"/>
      <c r="G8409" s="18"/>
      <c r="H8409" s="18"/>
      <c r="I8409" s="18"/>
    </row>
    <row r="8410" ht="20.35" customHeight="1">
      <c r="A8410" s="10">
        <v>45774</v>
      </c>
      <c r="B8410" t="s" s="11">
        <v>121</v>
      </c>
      <c r="C8410" t="s" s="12">
        <v>439</v>
      </c>
      <c r="D8410" s="13">
        <v>20000</v>
      </c>
      <c r="E8410" s="13"/>
      <c r="F8410" s="14"/>
      <c r="G8410" s="14"/>
      <c r="H8410" s="14"/>
      <c r="I8410" s="14"/>
    </row>
    <row r="8411" ht="20.7" customHeight="1">
      <c r="A8411" s="10">
        <v>45774</v>
      </c>
      <c r="B8411" t="s" s="11">
        <v>8</v>
      </c>
      <c r="C8411" t="s" s="12">
        <v>8</v>
      </c>
      <c r="D8411" s="15" cm="1">
        <f t="array" ref="D8411">SUM(D8409:D8410)</f>
        <v>20000</v>
      </c>
      <c r="E8411" s="15" cm="1">
        <f t="array" ref="E8411">SUM(E8409:E8410)</f>
        <v>20000</v>
      </c>
      <c r="F8411" s="16" cm="1">
        <f t="array" ref="F8411">SUM(F8409:F8410)</f>
        <v>0</v>
      </c>
      <c r="G8411" s="16" cm="1">
        <f t="array" ref="G8411">SUM(G8409:G8410)</f>
        <v>0</v>
      </c>
      <c r="H8411" s="16" cm="1">
        <f t="array" ref="H8411">SUM(H8409:H8410)</f>
        <v>0</v>
      </c>
      <c r="I8411" s="16" cm="1">
        <f t="array" ref="I8411">SUM(I8409:I8410)</f>
        <v>0</v>
      </c>
    </row>
    <row r="8412" ht="21.25" customHeight="1">
      <c r="A8412" s="10">
        <v>45774</v>
      </c>
      <c r="B8412" t="s" s="11">
        <v>21</v>
      </c>
      <c r="C8412" t="s" s="12">
        <v>1142</v>
      </c>
      <c r="D8412" s="17"/>
      <c r="E8412" s="17">
        <v>2800</v>
      </c>
      <c r="F8412" s="18"/>
      <c r="G8412" s="18"/>
      <c r="H8412" s="18"/>
      <c r="I8412" s="18"/>
    </row>
    <row r="8413" ht="21.25" customHeight="1">
      <c r="A8413" s="10">
        <v>45774</v>
      </c>
      <c r="B8413" t="s" s="11">
        <v>16</v>
      </c>
      <c r="C8413" t="s" s="12">
        <v>1142</v>
      </c>
      <c r="D8413" s="13">
        <v>2800</v>
      </c>
      <c r="E8413" s="13"/>
      <c r="F8413" s="14"/>
      <c r="G8413" s="14"/>
      <c r="H8413" s="14"/>
      <c r="I8413" s="14"/>
    </row>
    <row r="8414" ht="20.7" customHeight="1">
      <c r="A8414" s="10">
        <v>45774</v>
      </c>
      <c r="B8414" t="s" s="11">
        <v>8</v>
      </c>
      <c r="C8414" t="s" s="12">
        <v>8</v>
      </c>
      <c r="D8414" s="15" cm="1">
        <f t="array" ref="D8414">SUM(D8412:D8413)</f>
        <v>2800</v>
      </c>
      <c r="E8414" s="15" cm="1">
        <f t="array" ref="E8414">SUM(E8412:E8413)</f>
        <v>2800</v>
      </c>
      <c r="F8414" s="16" cm="1">
        <f t="array" ref="F8414">SUM(F8412:F8413)</f>
        <v>0</v>
      </c>
      <c r="G8414" s="16" cm="1">
        <f t="array" ref="G8414">SUM(G8412:G8413)</f>
        <v>0</v>
      </c>
      <c r="H8414" s="16" cm="1">
        <f t="array" ref="H8414">SUM(H8412:H8413)</f>
        <v>0</v>
      </c>
      <c r="I8414" s="16" cm="1">
        <f t="array" ref="I8414">SUM(I8412:I8413)</f>
        <v>0</v>
      </c>
    </row>
    <row r="8415" ht="20.35" customHeight="1">
      <c r="A8415" s="10">
        <v>45774</v>
      </c>
      <c r="B8415" t="s" s="11">
        <v>814</v>
      </c>
      <c r="C8415" t="s" s="12">
        <v>96</v>
      </c>
      <c r="D8415" s="17"/>
      <c r="E8415" s="17">
        <v>100000</v>
      </c>
      <c r="F8415" s="18"/>
      <c r="G8415" s="18"/>
      <c r="H8415" s="18"/>
      <c r="I8415" s="18"/>
    </row>
    <row r="8416" ht="20.35" customHeight="1">
      <c r="A8416" s="10">
        <v>45774</v>
      </c>
      <c r="B8416" t="s" s="11">
        <v>5</v>
      </c>
      <c r="C8416" t="s" s="12">
        <v>96</v>
      </c>
      <c r="D8416" s="13">
        <v>100000</v>
      </c>
      <c r="E8416" s="13"/>
      <c r="F8416" s="14"/>
      <c r="G8416" s="14"/>
      <c r="H8416" s="14"/>
      <c r="I8416" s="14"/>
    </row>
    <row r="8417" ht="20.7" customHeight="1">
      <c r="A8417" s="10">
        <v>45774</v>
      </c>
      <c r="B8417" t="s" s="11">
        <v>8</v>
      </c>
      <c r="C8417" t="s" s="12">
        <v>8</v>
      </c>
      <c r="D8417" s="15" cm="1">
        <f t="array" ref="D8417">SUM(D8415:D8416)</f>
        <v>100000</v>
      </c>
      <c r="E8417" s="15" cm="1">
        <f t="array" ref="E8417">SUM(E8415:E8416)</f>
        <v>100000</v>
      </c>
      <c r="F8417" s="16" cm="1">
        <f t="array" ref="F8417">SUM(F8415:F8416)</f>
        <v>0</v>
      </c>
      <c r="G8417" s="16" cm="1">
        <f t="array" ref="G8417">SUM(G8415:G8416)</f>
        <v>0</v>
      </c>
      <c r="H8417" s="16" cm="1">
        <f t="array" ref="H8417">SUM(H8415:H8416)</f>
        <v>0</v>
      </c>
      <c r="I8417" s="16" cm="1">
        <f t="array" ref="I8417">SUM(I8415:I8416)</f>
        <v>0</v>
      </c>
    </row>
    <row r="8418" ht="20.35" customHeight="1">
      <c r="A8418" s="10">
        <v>45774</v>
      </c>
      <c r="B8418" t="s" s="11">
        <v>5</v>
      </c>
      <c r="C8418" t="s" s="12">
        <v>1143</v>
      </c>
      <c r="D8418" s="17"/>
      <c r="E8418" s="17">
        <v>97610</v>
      </c>
      <c r="F8418" s="18"/>
      <c r="G8418" s="18"/>
      <c r="H8418" s="18"/>
      <c r="I8418" s="18"/>
    </row>
    <row r="8419" ht="20.05" customHeight="1">
      <c r="A8419" s="10">
        <v>45774</v>
      </c>
      <c r="B8419" t="s" s="11">
        <v>89</v>
      </c>
      <c r="C8419" t="s" s="12">
        <v>1143</v>
      </c>
      <c r="D8419" s="19">
        <v>27745</v>
      </c>
      <c r="E8419" s="19"/>
      <c r="F8419" s="20"/>
      <c r="G8419" s="20"/>
      <c r="H8419" s="20"/>
      <c r="I8419" s="20"/>
    </row>
    <row r="8420" ht="20.05" customHeight="1">
      <c r="A8420" s="10">
        <v>45774</v>
      </c>
      <c r="B8420" t="s" s="11">
        <v>12</v>
      </c>
      <c r="C8420" t="s" s="12">
        <v>1143</v>
      </c>
      <c r="D8420" s="19">
        <v>27745</v>
      </c>
      <c r="E8420" s="19"/>
      <c r="F8420" s="20"/>
      <c r="G8420" s="20"/>
      <c r="H8420" s="20"/>
      <c r="I8420" s="20"/>
    </row>
    <row r="8421" ht="20.65" customHeight="1">
      <c r="A8421" s="10">
        <v>45774</v>
      </c>
      <c r="B8421" t="s" s="11">
        <v>10</v>
      </c>
      <c r="C8421" t="s" s="12">
        <v>1144</v>
      </c>
      <c r="D8421" s="13">
        <v>42120</v>
      </c>
      <c r="E8421" s="13"/>
      <c r="F8421" s="14"/>
      <c r="G8421" s="14"/>
      <c r="H8421" s="14"/>
      <c r="I8421" s="14"/>
    </row>
    <row r="8422" ht="20.7" customHeight="1">
      <c r="A8422" s="10">
        <v>45774</v>
      </c>
      <c r="B8422" t="s" s="11">
        <v>8</v>
      </c>
      <c r="C8422" t="s" s="12">
        <v>8</v>
      </c>
      <c r="D8422" s="15" cm="1">
        <f t="array" ref="D8422">SUM(D8418:D8421)</f>
        <v>97610</v>
      </c>
      <c r="E8422" s="15" cm="1">
        <f t="array" ref="E8422">SUM(E8418:E8421)</f>
        <v>97610</v>
      </c>
      <c r="F8422" s="16" cm="1">
        <f t="array" ref="F8422">SUM(F8418:F8421)</f>
        <v>0</v>
      </c>
      <c r="G8422" s="16" cm="1">
        <f t="array" ref="G8422">SUM(G8418:G8421)</f>
        <v>0</v>
      </c>
      <c r="H8422" s="16" cm="1">
        <f t="array" ref="H8422">SUM(H8418:H8421)</f>
        <v>0</v>
      </c>
      <c r="I8422" s="16" cm="1">
        <f t="array" ref="I8422">SUM(I8418:I8421)</f>
        <v>0</v>
      </c>
    </row>
    <row r="8423" ht="21.25" customHeight="1">
      <c r="A8423" s="10">
        <v>45775</v>
      </c>
      <c r="B8423" t="s" s="11">
        <v>5</v>
      </c>
      <c r="C8423" t="s" s="12">
        <v>799</v>
      </c>
      <c r="D8423" s="17">
        <v>2</v>
      </c>
      <c r="E8423" s="17"/>
      <c r="F8423" s="18"/>
      <c r="G8423" s="18"/>
      <c r="H8423" s="18"/>
      <c r="I8423" s="18"/>
    </row>
    <row r="8424" ht="21.25" customHeight="1">
      <c r="A8424" s="10">
        <v>45775</v>
      </c>
      <c r="B8424" t="s" s="11">
        <v>18</v>
      </c>
      <c r="C8424" t="s" s="12">
        <v>799</v>
      </c>
      <c r="D8424" s="13"/>
      <c r="E8424" s="13">
        <v>2</v>
      </c>
      <c r="F8424" s="14"/>
      <c r="G8424" s="14"/>
      <c r="H8424" s="14"/>
      <c r="I8424" s="14"/>
    </row>
    <row r="8425" ht="20.7" customHeight="1">
      <c r="A8425" s="10">
        <v>45775</v>
      </c>
      <c r="B8425" t="s" s="11">
        <v>8</v>
      </c>
      <c r="C8425" t="s" s="12">
        <v>8</v>
      </c>
      <c r="D8425" s="15" cm="1">
        <f t="array" ref="D8425">SUM(D8423:D8424)</f>
        <v>2</v>
      </c>
      <c r="E8425" s="15" cm="1">
        <f t="array" ref="E8425">SUM(E8423:E8424)</f>
        <v>2</v>
      </c>
      <c r="F8425" s="16" cm="1">
        <f t="array" ref="F8425">SUM(F8423:F8424)</f>
        <v>0</v>
      </c>
      <c r="G8425" s="16" cm="1">
        <f t="array" ref="G8425">SUM(G8423:G8424)</f>
        <v>0</v>
      </c>
      <c r="H8425" s="16" cm="1">
        <f t="array" ref="H8425">SUM(H8423:H8424)</f>
        <v>0</v>
      </c>
      <c r="I8425" s="16" cm="1">
        <f t="array" ref="I8425">SUM(I8423:I8424)</f>
        <v>0</v>
      </c>
    </row>
    <row r="8426" ht="21.25" customHeight="1">
      <c r="A8426" s="10">
        <v>45775</v>
      </c>
      <c r="B8426" t="s" s="11">
        <v>5</v>
      </c>
      <c r="C8426" t="s" s="12">
        <v>799</v>
      </c>
      <c r="D8426" s="17">
        <v>3</v>
      </c>
      <c r="E8426" s="17"/>
      <c r="F8426" s="18"/>
      <c r="G8426" s="18"/>
      <c r="H8426" s="18"/>
      <c r="I8426" s="18"/>
    </row>
    <row r="8427" ht="21.25" customHeight="1">
      <c r="A8427" s="10">
        <v>45775</v>
      </c>
      <c r="B8427" t="s" s="11">
        <v>18</v>
      </c>
      <c r="C8427" t="s" s="12">
        <v>799</v>
      </c>
      <c r="D8427" s="13"/>
      <c r="E8427" s="13">
        <v>3</v>
      </c>
      <c r="F8427" s="14"/>
      <c r="G8427" s="14"/>
      <c r="H8427" s="14"/>
      <c r="I8427" s="14"/>
    </row>
    <row r="8428" ht="20.7" customHeight="1">
      <c r="A8428" s="10">
        <v>45775</v>
      </c>
      <c r="B8428" t="s" s="11">
        <v>8</v>
      </c>
      <c r="C8428" t="s" s="12">
        <v>8</v>
      </c>
      <c r="D8428" s="15" cm="1">
        <f t="array" ref="D8428">SUM(D8426:D8427)</f>
        <v>3</v>
      </c>
      <c r="E8428" s="15" cm="1">
        <f t="array" ref="E8428">SUM(E8426:E8427)</f>
        <v>3</v>
      </c>
      <c r="F8428" s="16" cm="1">
        <f t="array" ref="F8428">SUM(F8426:F8427)</f>
        <v>0</v>
      </c>
      <c r="G8428" s="16" cm="1">
        <f t="array" ref="G8428">SUM(G8426:G8427)</f>
        <v>0</v>
      </c>
      <c r="H8428" s="16" cm="1">
        <f t="array" ref="H8428">SUM(H8426:H8427)</f>
        <v>0</v>
      </c>
      <c r="I8428" s="16" cm="1">
        <f t="array" ref="I8428">SUM(I8426:I8427)</f>
        <v>0</v>
      </c>
    </row>
    <row r="8429" ht="21.25" customHeight="1">
      <c r="A8429" s="10">
        <v>45775</v>
      </c>
      <c r="B8429" t="s" s="11">
        <v>5</v>
      </c>
      <c r="C8429" t="s" s="12">
        <v>799</v>
      </c>
      <c r="D8429" s="17">
        <v>2</v>
      </c>
      <c r="E8429" s="17"/>
      <c r="F8429" s="18"/>
      <c r="G8429" s="18"/>
      <c r="H8429" s="18"/>
      <c r="I8429" s="18"/>
    </row>
    <row r="8430" ht="21.25" customHeight="1">
      <c r="A8430" s="10">
        <v>45775</v>
      </c>
      <c r="B8430" t="s" s="11">
        <v>18</v>
      </c>
      <c r="C8430" t="s" s="12">
        <v>799</v>
      </c>
      <c r="D8430" s="13"/>
      <c r="E8430" s="13">
        <v>2</v>
      </c>
      <c r="F8430" s="14"/>
      <c r="G8430" s="14"/>
      <c r="H8430" s="14"/>
      <c r="I8430" s="14"/>
    </row>
    <row r="8431" ht="20.7" customHeight="1">
      <c r="A8431" s="10">
        <v>45775</v>
      </c>
      <c r="B8431" t="s" s="11">
        <v>8</v>
      </c>
      <c r="C8431" t="s" s="12">
        <v>8</v>
      </c>
      <c r="D8431" s="15" cm="1">
        <f t="array" ref="D8431">SUM(D8429:D8430)</f>
        <v>2</v>
      </c>
      <c r="E8431" s="15" cm="1">
        <f t="array" ref="E8431">SUM(E8429:E8430)</f>
        <v>2</v>
      </c>
      <c r="F8431" s="16" cm="1">
        <f t="array" ref="F8431">SUM(F8429:F8430)</f>
        <v>0</v>
      </c>
      <c r="G8431" s="16" cm="1">
        <f t="array" ref="G8431">SUM(G8429:G8430)</f>
        <v>0</v>
      </c>
      <c r="H8431" s="16" cm="1">
        <f t="array" ref="H8431">SUM(H8429:H8430)</f>
        <v>0</v>
      </c>
      <c r="I8431" s="16" cm="1">
        <f t="array" ref="I8431">SUM(I8429:I8430)</f>
        <v>0</v>
      </c>
    </row>
    <row r="8432" ht="21.25" customHeight="1">
      <c r="A8432" s="10">
        <v>45775</v>
      </c>
      <c r="B8432" t="s" s="11">
        <v>5</v>
      </c>
      <c r="C8432" t="s" s="12">
        <v>799</v>
      </c>
      <c r="D8432" s="17">
        <v>2</v>
      </c>
      <c r="E8432" s="17"/>
      <c r="F8432" s="18"/>
      <c r="G8432" s="18"/>
      <c r="H8432" s="18"/>
      <c r="I8432" s="18"/>
    </row>
    <row r="8433" ht="21.25" customHeight="1">
      <c r="A8433" s="10">
        <v>45775</v>
      </c>
      <c r="B8433" t="s" s="11">
        <v>18</v>
      </c>
      <c r="C8433" t="s" s="12">
        <v>799</v>
      </c>
      <c r="D8433" s="13"/>
      <c r="E8433" s="13">
        <v>2</v>
      </c>
      <c r="F8433" s="14"/>
      <c r="G8433" s="14"/>
      <c r="H8433" s="14"/>
      <c r="I8433" s="14"/>
    </row>
    <row r="8434" ht="20.7" customHeight="1">
      <c r="A8434" s="10">
        <v>45775</v>
      </c>
      <c r="B8434" t="s" s="11">
        <v>8</v>
      </c>
      <c r="C8434" t="s" s="12">
        <v>8</v>
      </c>
      <c r="D8434" s="15" cm="1">
        <f t="array" ref="D8434">SUM(D8432:D8433)</f>
        <v>2</v>
      </c>
      <c r="E8434" s="15" cm="1">
        <f t="array" ref="E8434">SUM(E8432:E8433)</f>
        <v>2</v>
      </c>
      <c r="F8434" s="16" cm="1">
        <f t="array" ref="F8434">SUM(F8432:F8433)</f>
        <v>0</v>
      </c>
      <c r="G8434" s="16" cm="1">
        <f t="array" ref="G8434">SUM(G8432:G8433)</f>
        <v>0</v>
      </c>
      <c r="H8434" s="16" cm="1">
        <f t="array" ref="H8434">SUM(H8432:H8433)</f>
        <v>0</v>
      </c>
      <c r="I8434" s="16" cm="1">
        <f t="array" ref="I8434">SUM(I8432:I8433)</f>
        <v>0</v>
      </c>
    </row>
    <row r="8435" ht="21.25" customHeight="1">
      <c r="A8435" s="10">
        <v>45775</v>
      </c>
      <c r="B8435" t="s" s="11">
        <v>5</v>
      </c>
      <c r="C8435" t="s" s="12">
        <v>799</v>
      </c>
      <c r="D8435" s="17">
        <v>2</v>
      </c>
      <c r="E8435" s="17"/>
      <c r="F8435" s="18"/>
      <c r="G8435" s="18"/>
      <c r="H8435" s="18"/>
      <c r="I8435" s="18"/>
    </row>
    <row r="8436" ht="21.25" customHeight="1">
      <c r="A8436" s="10">
        <v>45775</v>
      </c>
      <c r="B8436" t="s" s="11">
        <v>18</v>
      </c>
      <c r="C8436" t="s" s="12">
        <v>799</v>
      </c>
      <c r="D8436" s="13"/>
      <c r="E8436" s="13">
        <v>2</v>
      </c>
      <c r="F8436" s="14"/>
      <c r="G8436" s="14"/>
      <c r="H8436" s="14"/>
      <c r="I8436" s="14"/>
    </row>
    <row r="8437" ht="20.7" customHeight="1">
      <c r="A8437" s="10">
        <v>45775</v>
      </c>
      <c r="B8437" t="s" s="11">
        <v>8</v>
      </c>
      <c r="C8437" t="s" s="12">
        <v>8</v>
      </c>
      <c r="D8437" s="15" cm="1">
        <f t="array" ref="D8437">SUM(D8435:D8436)</f>
        <v>2</v>
      </c>
      <c r="E8437" s="15" cm="1">
        <f t="array" ref="E8437">SUM(E8435:E8436)</f>
        <v>2</v>
      </c>
      <c r="F8437" s="16" cm="1">
        <f t="array" ref="F8437">SUM(F8435:F8436)</f>
        <v>0</v>
      </c>
      <c r="G8437" s="16" cm="1">
        <f t="array" ref="G8437">SUM(G8435:G8436)</f>
        <v>0</v>
      </c>
      <c r="H8437" s="16" cm="1">
        <f t="array" ref="H8437">SUM(H8435:H8436)</f>
        <v>0</v>
      </c>
      <c r="I8437" s="16" cm="1">
        <f t="array" ref="I8437">SUM(I8435:I8436)</f>
        <v>0</v>
      </c>
    </row>
    <row r="8438" ht="21.25" customHeight="1">
      <c r="A8438" s="10">
        <v>45775</v>
      </c>
      <c r="B8438" t="s" s="11">
        <v>5</v>
      </c>
      <c r="C8438" t="s" s="12">
        <v>799</v>
      </c>
      <c r="D8438" s="17">
        <v>3</v>
      </c>
      <c r="E8438" s="17"/>
      <c r="F8438" s="18"/>
      <c r="G8438" s="18"/>
      <c r="H8438" s="18"/>
      <c r="I8438" s="18"/>
    </row>
    <row r="8439" ht="21.25" customHeight="1">
      <c r="A8439" s="10">
        <v>45775</v>
      </c>
      <c r="B8439" t="s" s="11">
        <v>18</v>
      </c>
      <c r="C8439" t="s" s="12">
        <v>799</v>
      </c>
      <c r="D8439" s="13"/>
      <c r="E8439" s="13">
        <v>3</v>
      </c>
      <c r="F8439" s="14"/>
      <c r="G8439" s="14"/>
      <c r="H8439" s="14"/>
      <c r="I8439" s="14"/>
    </row>
    <row r="8440" ht="20.7" customHeight="1">
      <c r="A8440" s="10">
        <v>45775</v>
      </c>
      <c r="B8440" t="s" s="11">
        <v>8</v>
      </c>
      <c r="C8440" t="s" s="12">
        <v>8</v>
      </c>
      <c r="D8440" s="15" cm="1">
        <f t="array" ref="D8440">SUM(D8438:D8439)</f>
        <v>3</v>
      </c>
      <c r="E8440" s="15" cm="1">
        <f t="array" ref="E8440">SUM(E8438:E8439)</f>
        <v>3</v>
      </c>
      <c r="F8440" s="16" cm="1">
        <f t="array" ref="F8440">SUM(F8438:F8439)</f>
        <v>0</v>
      </c>
      <c r="G8440" s="16" cm="1">
        <f t="array" ref="G8440">SUM(G8438:G8439)</f>
        <v>0</v>
      </c>
      <c r="H8440" s="16" cm="1">
        <f t="array" ref="H8440">SUM(H8438:H8439)</f>
        <v>0</v>
      </c>
      <c r="I8440" s="16" cm="1">
        <f t="array" ref="I8440">SUM(I8438:I8439)</f>
        <v>0</v>
      </c>
    </row>
    <row r="8441" ht="21.25" customHeight="1">
      <c r="A8441" s="10">
        <v>45775</v>
      </c>
      <c r="B8441" t="s" s="11">
        <v>5</v>
      </c>
      <c r="C8441" t="s" s="12">
        <v>799</v>
      </c>
      <c r="D8441" s="17">
        <v>9</v>
      </c>
      <c r="E8441" s="17"/>
      <c r="F8441" s="18"/>
      <c r="G8441" s="18"/>
      <c r="H8441" s="18"/>
      <c r="I8441" s="18"/>
    </row>
    <row r="8442" ht="21.25" customHeight="1">
      <c r="A8442" s="10">
        <v>45775</v>
      </c>
      <c r="B8442" t="s" s="11">
        <v>18</v>
      </c>
      <c r="C8442" t="s" s="12">
        <v>799</v>
      </c>
      <c r="D8442" s="13"/>
      <c r="E8442" s="13">
        <v>9</v>
      </c>
      <c r="F8442" s="14"/>
      <c r="G8442" s="14"/>
      <c r="H8442" s="14"/>
      <c r="I8442" s="14"/>
    </row>
    <row r="8443" ht="20.7" customHeight="1">
      <c r="A8443" s="10">
        <v>45775</v>
      </c>
      <c r="B8443" t="s" s="11">
        <v>8</v>
      </c>
      <c r="C8443" t="s" s="12">
        <v>8</v>
      </c>
      <c r="D8443" s="15" cm="1">
        <f t="array" ref="D8443">SUM(D8441:D8442)</f>
        <v>9</v>
      </c>
      <c r="E8443" s="15" cm="1">
        <f t="array" ref="E8443">SUM(E8441:E8442)</f>
        <v>9</v>
      </c>
      <c r="F8443" s="16" cm="1">
        <f t="array" ref="F8443">SUM(F8441:F8442)</f>
        <v>0</v>
      </c>
      <c r="G8443" s="16" cm="1">
        <f t="array" ref="G8443">SUM(G8441:G8442)</f>
        <v>0</v>
      </c>
      <c r="H8443" s="16" cm="1">
        <f t="array" ref="H8443">SUM(H8441:H8442)</f>
        <v>0</v>
      </c>
      <c r="I8443" s="16" cm="1">
        <f t="array" ref="I8443">SUM(I8441:I8442)</f>
        <v>0</v>
      </c>
    </row>
    <row r="8444" ht="21.25" customHeight="1">
      <c r="A8444" s="10">
        <v>45775</v>
      </c>
      <c r="B8444" t="s" s="11">
        <v>5</v>
      </c>
      <c r="C8444" t="s" s="12">
        <v>799</v>
      </c>
      <c r="D8444" s="17">
        <v>1</v>
      </c>
      <c r="E8444" s="17"/>
      <c r="F8444" s="18"/>
      <c r="G8444" s="18"/>
      <c r="H8444" s="18"/>
      <c r="I8444" s="18"/>
    </row>
    <row r="8445" ht="21.25" customHeight="1">
      <c r="A8445" s="10">
        <v>45775</v>
      </c>
      <c r="B8445" t="s" s="11">
        <v>18</v>
      </c>
      <c r="C8445" t="s" s="12">
        <v>799</v>
      </c>
      <c r="D8445" s="13"/>
      <c r="E8445" s="13">
        <v>1</v>
      </c>
      <c r="F8445" s="14"/>
      <c r="G8445" s="14"/>
      <c r="H8445" s="14"/>
      <c r="I8445" s="14"/>
    </row>
    <row r="8446" ht="20.7" customHeight="1">
      <c r="A8446" s="10">
        <v>45775</v>
      </c>
      <c r="B8446" t="s" s="11">
        <v>8</v>
      </c>
      <c r="C8446" t="s" s="12">
        <v>8</v>
      </c>
      <c r="D8446" s="15" cm="1">
        <f t="array" ref="D8446">SUM(D8444:D8445)</f>
        <v>1</v>
      </c>
      <c r="E8446" s="15" cm="1">
        <f t="array" ref="E8446">SUM(E8444:E8445)</f>
        <v>1</v>
      </c>
      <c r="F8446" s="16" cm="1">
        <f t="array" ref="F8446">SUM(F8444:F8445)</f>
        <v>0</v>
      </c>
      <c r="G8446" s="16" cm="1">
        <f t="array" ref="G8446">SUM(G8444:G8445)</f>
        <v>0</v>
      </c>
      <c r="H8446" s="16" cm="1">
        <f t="array" ref="H8446">SUM(H8444:H8445)</f>
        <v>0</v>
      </c>
      <c r="I8446" s="16" cm="1">
        <f t="array" ref="I8446">SUM(I8444:I8445)</f>
        <v>0</v>
      </c>
    </row>
    <row r="8447" ht="20.65" customHeight="1">
      <c r="A8447" s="10">
        <v>45775</v>
      </c>
      <c r="B8447" t="s" s="11">
        <v>843</v>
      </c>
      <c r="C8447" t="s" s="12">
        <v>820</v>
      </c>
      <c r="D8447" s="17">
        <v>1</v>
      </c>
      <c r="E8447" s="17"/>
      <c r="F8447" s="18"/>
      <c r="G8447" s="18"/>
      <c r="H8447" s="18"/>
      <c r="I8447" s="18"/>
    </row>
    <row r="8448" ht="20.65" customHeight="1">
      <c r="A8448" s="10">
        <v>45775</v>
      </c>
      <c r="B8448" t="s" s="11">
        <v>7</v>
      </c>
      <c r="C8448" t="s" s="12">
        <v>820</v>
      </c>
      <c r="D8448" s="13"/>
      <c r="E8448" s="13">
        <v>1</v>
      </c>
      <c r="F8448" s="14"/>
      <c r="G8448" s="14"/>
      <c r="H8448" s="14"/>
      <c r="I8448" s="14"/>
    </row>
    <row r="8449" ht="20.7" customHeight="1">
      <c r="A8449" s="10">
        <v>45775</v>
      </c>
      <c r="B8449" t="s" s="11">
        <v>8</v>
      </c>
      <c r="C8449" t="s" s="12">
        <v>8</v>
      </c>
      <c r="D8449" s="15" cm="1">
        <f t="array" ref="D8449">SUM(D8447:D8448)</f>
        <v>1</v>
      </c>
      <c r="E8449" s="15" cm="1">
        <f t="array" ref="E8449">SUM(E8447:E8448)</f>
        <v>1</v>
      </c>
      <c r="F8449" s="16" cm="1">
        <f t="array" ref="F8449">SUM(F8447:F8448)</f>
        <v>0</v>
      </c>
      <c r="G8449" s="16" cm="1">
        <f t="array" ref="G8449">SUM(G8447:G8448)</f>
        <v>0</v>
      </c>
      <c r="H8449" s="16" cm="1">
        <f t="array" ref="H8449">SUM(H8447:H8448)</f>
        <v>0</v>
      </c>
      <c r="I8449" s="16" cm="1">
        <f t="array" ref="I8449">SUM(I8447:I8448)</f>
        <v>0</v>
      </c>
    </row>
    <row r="8450" ht="20.65" customHeight="1">
      <c r="A8450" s="10">
        <v>45775</v>
      </c>
      <c r="B8450" t="s" s="11">
        <v>814</v>
      </c>
      <c r="C8450" t="s" s="12">
        <v>820</v>
      </c>
      <c r="D8450" s="17">
        <v>66</v>
      </c>
      <c r="E8450" s="17"/>
      <c r="F8450" s="18"/>
      <c r="G8450" s="18"/>
      <c r="H8450" s="18"/>
      <c r="I8450" s="18"/>
    </row>
    <row r="8451" ht="20.65" customHeight="1">
      <c r="A8451" s="10">
        <v>45775</v>
      </c>
      <c r="B8451" t="s" s="11">
        <v>7</v>
      </c>
      <c r="C8451" t="s" s="12">
        <v>820</v>
      </c>
      <c r="D8451" s="13"/>
      <c r="E8451" s="13">
        <v>66</v>
      </c>
      <c r="F8451" s="14"/>
      <c r="G8451" s="14"/>
      <c r="H8451" s="14"/>
      <c r="I8451" s="14"/>
    </row>
    <row r="8452" ht="20.7" customHeight="1">
      <c r="A8452" s="10">
        <v>45775</v>
      </c>
      <c r="B8452" t="s" s="11">
        <v>8</v>
      </c>
      <c r="C8452" t="s" s="12">
        <v>8</v>
      </c>
      <c r="D8452" s="15" cm="1">
        <f t="array" ref="D8452">SUM(D8450:D8451)</f>
        <v>66</v>
      </c>
      <c r="E8452" s="15" cm="1">
        <f t="array" ref="E8452">SUM(E8450:E8451)</f>
        <v>66</v>
      </c>
      <c r="F8452" s="16" cm="1">
        <f t="array" ref="F8452">SUM(F8450:F8451)</f>
        <v>0</v>
      </c>
      <c r="G8452" s="16" cm="1">
        <f t="array" ref="G8452">SUM(G8450:G8451)</f>
        <v>0</v>
      </c>
      <c r="H8452" s="16" cm="1">
        <f t="array" ref="H8452">SUM(H8450:H8451)</f>
        <v>0</v>
      </c>
      <c r="I8452" s="16" cm="1">
        <f t="array" ref="I8452">SUM(I8450:I8451)</f>
        <v>0</v>
      </c>
    </row>
    <row r="8453" ht="21.25" customHeight="1">
      <c r="A8453" s="10">
        <v>45775</v>
      </c>
      <c r="B8453" t="s" s="11">
        <v>121</v>
      </c>
      <c r="C8453" t="s" s="12">
        <v>1018</v>
      </c>
      <c r="D8453" s="17"/>
      <c r="E8453" s="17">
        <v>10000</v>
      </c>
      <c r="F8453" s="18"/>
      <c r="G8453" s="18"/>
      <c r="H8453" s="18"/>
      <c r="I8453" s="18"/>
    </row>
    <row r="8454" ht="21.25" customHeight="1">
      <c r="A8454" s="10">
        <v>45775</v>
      </c>
      <c r="B8454" t="s" s="11">
        <v>786</v>
      </c>
      <c r="C8454" t="s" s="12">
        <v>1018</v>
      </c>
      <c r="D8454" s="13">
        <v>10000</v>
      </c>
      <c r="E8454" s="13"/>
      <c r="F8454" s="14"/>
      <c r="G8454" s="14"/>
      <c r="H8454" s="14"/>
      <c r="I8454" s="14"/>
    </row>
    <row r="8455" ht="20.7" customHeight="1">
      <c r="A8455" s="10">
        <v>45775</v>
      </c>
      <c r="B8455" t="s" s="11">
        <v>8</v>
      </c>
      <c r="C8455" t="s" s="12">
        <v>8</v>
      </c>
      <c r="D8455" s="15" cm="1">
        <f t="array" ref="D8455">SUM(D8453:D8454)</f>
        <v>10000</v>
      </c>
      <c r="E8455" s="15" cm="1">
        <f t="array" ref="E8455">SUM(E8453:E8454)</f>
        <v>10000</v>
      </c>
      <c r="F8455" s="16" cm="1">
        <f t="array" ref="F8455">SUM(F8453:F8454)</f>
        <v>0</v>
      </c>
      <c r="G8455" s="16" cm="1">
        <f t="array" ref="G8455">SUM(G8453:G8454)</f>
        <v>0</v>
      </c>
      <c r="H8455" s="16" cm="1">
        <f t="array" ref="H8455">SUM(H8453:H8454)</f>
        <v>0</v>
      </c>
      <c r="I8455" s="16" cm="1">
        <f t="array" ref="I8455">SUM(I8453:I8454)</f>
        <v>0</v>
      </c>
    </row>
    <row r="8456" ht="21.25" customHeight="1">
      <c r="A8456" s="10">
        <v>45775</v>
      </c>
      <c r="B8456" t="s" s="11">
        <v>121</v>
      </c>
      <c r="C8456" t="s" s="12">
        <v>952</v>
      </c>
      <c r="D8456" s="17"/>
      <c r="E8456" s="17">
        <v>10000</v>
      </c>
      <c r="F8456" s="18"/>
      <c r="G8456" s="18"/>
      <c r="H8456" s="18"/>
      <c r="I8456" s="18"/>
    </row>
    <row r="8457" ht="21.25" customHeight="1">
      <c r="A8457" s="10">
        <v>45775</v>
      </c>
      <c r="B8457" t="s" s="11">
        <v>788</v>
      </c>
      <c r="C8457" t="s" s="12">
        <v>952</v>
      </c>
      <c r="D8457" s="13">
        <v>10000</v>
      </c>
      <c r="E8457" s="13"/>
      <c r="F8457" s="14"/>
      <c r="G8457" s="14"/>
      <c r="H8457" s="14"/>
      <c r="I8457" s="14"/>
    </row>
    <row r="8458" ht="20.7" customHeight="1">
      <c r="A8458" s="10">
        <v>45775</v>
      </c>
      <c r="B8458" t="s" s="11">
        <v>8</v>
      </c>
      <c r="C8458" t="s" s="12">
        <v>8</v>
      </c>
      <c r="D8458" s="15" cm="1">
        <f t="array" ref="D8458">SUM(D8456:D8457)</f>
        <v>10000</v>
      </c>
      <c r="E8458" s="15" cm="1">
        <f t="array" ref="E8458">SUM(E8456:E8457)</f>
        <v>10000</v>
      </c>
      <c r="F8458" s="16" cm="1">
        <f t="array" ref="F8458">SUM(F8456:F8457)</f>
        <v>0</v>
      </c>
      <c r="G8458" s="16" cm="1">
        <f t="array" ref="G8458">SUM(G8456:G8457)</f>
        <v>0</v>
      </c>
      <c r="H8458" s="16" cm="1">
        <f t="array" ref="H8458">SUM(H8456:H8457)</f>
        <v>0</v>
      </c>
      <c r="I8458" s="16" cm="1">
        <f t="array" ref="I8458">SUM(I8456:I8457)</f>
        <v>0</v>
      </c>
    </row>
    <row r="8459" ht="20.65" customHeight="1">
      <c r="A8459" s="10">
        <v>45775</v>
      </c>
      <c r="B8459" t="s" s="11">
        <v>121</v>
      </c>
      <c r="C8459" t="s" s="12">
        <v>1048</v>
      </c>
      <c r="D8459" s="17">
        <v>20</v>
      </c>
      <c r="E8459" s="17"/>
      <c r="F8459" s="18"/>
      <c r="G8459" s="18"/>
      <c r="H8459" s="18"/>
      <c r="I8459" s="18"/>
    </row>
    <row r="8460" ht="20.65" customHeight="1">
      <c r="A8460" s="10">
        <v>45775</v>
      </c>
      <c r="B8460" t="s" s="11">
        <v>7</v>
      </c>
      <c r="C8460" t="s" s="12">
        <v>1048</v>
      </c>
      <c r="D8460" s="13"/>
      <c r="E8460" s="13">
        <v>20</v>
      </c>
      <c r="F8460" s="14"/>
      <c r="G8460" s="14"/>
      <c r="H8460" s="14"/>
      <c r="I8460" s="14"/>
    </row>
    <row r="8461" ht="20.7" customHeight="1">
      <c r="A8461" s="10">
        <v>45775</v>
      </c>
      <c r="B8461" t="s" s="11">
        <v>8</v>
      </c>
      <c r="C8461" t="s" s="12">
        <v>8</v>
      </c>
      <c r="D8461" s="15" cm="1">
        <f t="array" ref="D8461">SUM(D8459:D8460)</f>
        <v>20</v>
      </c>
      <c r="E8461" s="15" cm="1">
        <f t="array" ref="E8461">SUM(E8459:E8460)</f>
        <v>20</v>
      </c>
      <c r="F8461" s="16" cm="1">
        <f t="array" ref="F8461">SUM(F8459:F8460)</f>
        <v>0</v>
      </c>
      <c r="G8461" s="16" cm="1">
        <f t="array" ref="G8461">SUM(G8459:G8460)</f>
        <v>0</v>
      </c>
      <c r="H8461" s="16" cm="1">
        <f t="array" ref="H8461">SUM(H8459:H8460)</f>
        <v>0</v>
      </c>
      <c r="I8461" s="16" cm="1">
        <f t="array" ref="I8461">SUM(I8459:I8460)</f>
        <v>0</v>
      </c>
    </row>
    <row r="8462" ht="20.35" customHeight="1">
      <c r="A8462" s="10">
        <v>45775</v>
      </c>
      <c r="B8462" t="s" s="11">
        <v>107</v>
      </c>
      <c r="C8462" t="s" s="12">
        <v>439</v>
      </c>
      <c r="D8462" s="17"/>
      <c r="E8462" s="17">
        <v>6149</v>
      </c>
      <c r="F8462" s="18"/>
      <c r="G8462" s="18"/>
      <c r="H8462" s="18"/>
      <c r="I8462" s="18"/>
    </row>
    <row r="8463" ht="20.35" customHeight="1">
      <c r="A8463" s="10">
        <v>45775</v>
      </c>
      <c r="B8463" t="s" s="11">
        <v>121</v>
      </c>
      <c r="C8463" t="s" s="12">
        <v>439</v>
      </c>
      <c r="D8463" s="13">
        <v>6149</v>
      </c>
      <c r="E8463" s="13"/>
      <c r="F8463" s="14"/>
      <c r="G8463" s="14"/>
      <c r="H8463" s="14"/>
      <c r="I8463" s="14"/>
    </row>
    <row r="8464" ht="20.7" customHeight="1">
      <c r="A8464" s="10">
        <v>45775</v>
      </c>
      <c r="B8464" t="s" s="11">
        <v>8</v>
      </c>
      <c r="C8464" t="s" s="12">
        <v>8</v>
      </c>
      <c r="D8464" s="15" cm="1">
        <f t="array" ref="D8464">SUM(D8462:D8463)</f>
        <v>6149</v>
      </c>
      <c r="E8464" s="15" cm="1">
        <f t="array" ref="E8464">SUM(E8462:E8463)</f>
        <v>6149</v>
      </c>
      <c r="F8464" s="16" cm="1">
        <f t="array" ref="F8464">SUM(F8462:F8463)</f>
        <v>0</v>
      </c>
      <c r="G8464" s="16" cm="1">
        <f t="array" ref="G8464">SUM(G8462:G8463)</f>
        <v>0</v>
      </c>
      <c r="H8464" s="16" cm="1">
        <f t="array" ref="H8464">SUM(H8462:H8463)</f>
        <v>0</v>
      </c>
      <c r="I8464" s="16" cm="1">
        <f t="array" ref="I8464">SUM(I8462:I8463)</f>
        <v>0</v>
      </c>
    </row>
    <row r="8465" ht="20.35" customHeight="1">
      <c r="A8465" s="10">
        <v>45775</v>
      </c>
      <c r="B8465" t="s" s="11">
        <v>5</v>
      </c>
      <c r="C8465" t="s" s="12">
        <v>209</v>
      </c>
      <c r="D8465" s="17"/>
      <c r="E8465" s="17">
        <v>6507</v>
      </c>
      <c r="F8465" s="18"/>
      <c r="G8465" s="18"/>
      <c r="H8465" s="18"/>
      <c r="I8465" s="18"/>
    </row>
    <row r="8466" ht="20.35" customHeight="1">
      <c r="A8466" s="10">
        <v>45775</v>
      </c>
      <c r="B8466" t="s" s="11">
        <v>107</v>
      </c>
      <c r="C8466" t="s" s="12">
        <v>209</v>
      </c>
      <c r="D8466" s="13">
        <v>6507</v>
      </c>
      <c r="E8466" s="13"/>
      <c r="F8466" s="14"/>
      <c r="G8466" s="14"/>
      <c r="H8466" s="14"/>
      <c r="I8466" s="14"/>
    </row>
    <row r="8467" ht="20.7" customHeight="1">
      <c r="A8467" s="10">
        <v>45775</v>
      </c>
      <c r="B8467" t="s" s="11">
        <v>8</v>
      </c>
      <c r="C8467" t="s" s="12">
        <v>8</v>
      </c>
      <c r="D8467" s="15" cm="1">
        <f t="array" ref="D8467">SUM(D8465:D8466)</f>
        <v>6507</v>
      </c>
      <c r="E8467" s="15" cm="1">
        <f t="array" ref="E8467">SUM(E8465:E8466)</f>
        <v>6507</v>
      </c>
      <c r="F8467" s="16" cm="1">
        <f t="array" ref="F8467">SUM(F8465:F8466)</f>
        <v>0</v>
      </c>
      <c r="G8467" s="16" cm="1">
        <f t="array" ref="G8467">SUM(G8465:G8466)</f>
        <v>0</v>
      </c>
      <c r="H8467" s="16" cm="1">
        <f t="array" ref="H8467">SUM(H8465:H8466)</f>
        <v>0</v>
      </c>
      <c r="I8467" s="16" cm="1">
        <f t="array" ref="I8467">SUM(I8465:I8466)</f>
        <v>0</v>
      </c>
    </row>
    <row r="8468" ht="20.35" customHeight="1">
      <c r="A8468" s="10">
        <v>45775</v>
      </c>
      <c r="B8468" t="s" s="11">
        <v>107</v>
      </c>
      <c r="C8468" t="s" s="12">
        <v>439</v>
      </c>
      <c r="D8468" s="17"/>
      <c r="E8468" s="17">
        <v>6507</v>
      </c>
      <c r="F8468" s="18"/>
      <c r="G8468" s="18"/>
      <c r="H8468" s="18"/>
      <c r="I8468" s="18"/>
    </row>
    <row r="8469" ht="20.35" customHeight="1">
      <c r="A8469" s="10">
        <v>45775</v>
      </c>
      <c r="B8469" t="s" s="11">
        <v>121</v>
      </c>
      <c r="C8469" t="s" s="12">
        <v>439</v>
      </c>
      <c r="D8469" s="13">
        <v>6507</v>
      </c>
      <c r="E8469" s="13"/>
      <c r="F8469" s="14"/>
      <c r="G8469" s="14"/>
      <c r="H8469" s="14"/>
      <c r="I8469" s="14"/>
    </row>
    <row r="8470" ht="20.7" customHeight="1">
      <c r="A8470" s="10">
        <v>45775</v>
      </c>
      <c r="B8470" t="s" s="11">
        <v>8</v>
      </c>
      <c r="C8470" t="s" s="12">
        <v>8</v>
      </c>
      <c r="D8470" s="15" cm="1">
        <f t="array" ref="D8470">SUM(D8468:D8469)</f>
        <v>6507</v>
      </c>
      <c r="E8470" s="15" cm="1">
        <f t="array" ref="E8470">SUM(E8468:E8469)</f>
        <v>6507</v>
      </c>
      <c r="F8470" s="16" cm="1">
        <f t="array" ref="F8470">SUM(F8468:F8469)</f>
        <v>0</v>
      </c>
      <c r="G8470" s="16" cm="1">
        <f t="array" ref="G8470">SUM(G8468:G8469)</f>
        <v>0</v>
      </c>
      <c r="H8470" s="16" cm="1">
        <f t="array" ref="H8470">SUM(H8468:H8469)</f>
        <v>0</v>
      </c>
      <c r="I8470" s="16" cm="1">
        <f t="array" ref="I8470">SUM(I8468:I8469)</f>
        <v>0</v>
      </c>
    </row>
    <row r="8471" ht="20.35" customHeight="1">
      <c r="A8471" s="10">
        <v>45775</v>
      </c>
      <c r="B8471" t="s" s="11">
        <v>121</v>
      </c>
      <c r="C8471" t="s" s="12">
        <v>1145</v>
      </c>
      <c r="D8471" s="17"/>
      <c r="E8471" s="17">
        <v>7900</v>
      </c>
      <c r="F8471" s="18"/>
      <c r="G8471" s="18"/>
      <c r="H8471" s="18"/>
      <c r="I8471" s="18"/>
    </row>
    <row r="8472" ht="20.35" customHeight="1">
      <c r="A8472" s="10">
        <v>45775</v>
      </c>
      <c r="B8472" t="s" s="11">
        <v>89</v>
      </c>
      <c r="C8472" t="s" s="12">
        <v>1145</v>
      </c>
      <c r="D8472" s="13">
        <v>7900</v>
      </c>
      <c r="E8472" s="13"/>
      <c r="F8472" s="14"/>
      <c r="G8472" s="14"/>
      <c r="H8472" s="14"/>
      <c r="I8472" s="14"/>
    </row>
    <row r="8473" ht="20.7" customHeight="1">
      <c r="A8473" s="10">
        <v>45775</v>
      </c>
      <c r="B8473" t="s" s="11">
        <v>8</v>
      </c>
      <c r="C8473" t="s" s="12">
        <v>8</v>
      </c>
      <c r="D8473" s="15" cm="1">
        <f t="array" ref="D8473">SUM(D8471:D8472)</f>
        <v>7900</v>
      </c>
      <c r="E8473" s="15" cm="1">
        <f t="array" ref="E8473">SUM(E8471:E8472)</f>
        <v>7900</v>
      </c>
      <c r="F8473" s="16" cm="1">
        <f t="array" ref="F8473">SUM(F8471:F8472)</f>
        <v>0</v>
      </c>
      <c r="G8473" s="16" cm="1">
        <f t="array" ref="G8473">SUM(G8471:G8472)</f>
        <v>0</v>
      </c>
      <c r="H8473" s="16" cm="1">
        <f t="array" ref="H8473">SUM(H8471:H8472)</f>
        <v>0</v>
      </c>
      <c r="I8473" s="16" cm="1">
        <f t="array" ref="I8473">SUM(I8471:I8472)</f>
        <v>0</v>
      </c>
    </row>
    <row r="8474" ht="20.35" customHeight="1">
      <c r="A8474" s="10">
        <v>45775</v>
      </c>
      <c r="B8474" t="s" s="11">
        <v>12</v>
      </c>
      <c r="C8474" t="s" s="12">
        <v>1146</v>
      </c>
      <c r="D8474" s="17">
        <v>11700</v>
      </c>
      <c r="E8474" s="24"/>
      <c r="F8474" s="18"/>
      <c r="G8474" s="18"/>
      <c r="H8474" s="18"/>
      <c r="I8474" s="18"/>
    </row>
    <row r="8475" ht="20.35" customHeight="1">
      <c r="A8475" s="10">
        <v>45775</v>
      </c>
      <c r="B8475" t="s" s="11">
        <v>21</v>
      </c>
      <c r="C8475" t="s" s="12">
        <v>1146</v>
      </c>
      <c r="D8475" s="13"/>
      <c r="E8475" s="13">
        <v>11700</v>
      </c>
      <c r="F8475" s="14"/>
      <c r="G8475" s="14"/>
      <c r="H8475" s="14"/>
      <c r="I8475" s="14"/>
    </row>
    <row r="8476" ht="20.7" customHeight="1">
      <c r="A8476" s="10">
        <v>45775</v>
      </c>
      <c r="B8476" t="s" s="11">
        <v>8</v>
      </c>
      <c r="C8476" t="s" s="12">
        <v>8</v>
      </c>
      <c r="D8476" s="15" cm="1">
        <f t="array" ref="D8476">SUM(D8474:D8475)</f>
        <v>11700</v>
      </c>
      <c r="E8476" s="15" cm="1">
        <f t="array" ref="E8476">SUM(E8474:E8475)</f>
        <v>11700</v>
      </c>
      <c r="F8476" s="16" cm="1">
        <f t="array" ref="F8476">SUM(F8474:F8475)</f>
        <v>0</v>
      </c>
      <c r="G8476" s="16" cm="1">
        <f t="array" ref="G8476">SUM(G8474:G8475)</f>
        <v>0</v>
      </c>
      <c r="H8476" s="16" cm="1">
        <f t="array" ref="H8476">SUM(H8474:H8475)</f>
        <v>0</v>
      </c>
      <c r="I8476" s="16" cm="1">
        <f t="array" ref="I8476">SUM(I8474:I8475)</f>
        <v>0</v>
      </c>
    </row>
    <row r="8477" ht="20.35" customHeight="1">
      <c r="A8477" s="10">
        <v>45775</v>
      </c>
      <c r="B8477" t="s" s="11">
        <v>107</v>
      </c>
      <c r="C8477" t="s" s="12">
        <v>1147</v>
      </c>
      <c r="D8477" s="17">
        <v>123576</v>
      </c>
      <c r="E8477" s="17"/>
      <c r="F8477" s="18"/>
      <c r="G8477" s="18"/>
      <c r="H8477" s="18"/>
      <c r="I8477" s="18"/>
    </row>
    <row r="8478" ht="20.05" customHeight="1">
      <c r="A8478" s="10">
        <v>45775</v>
      </c>
      <c r="B8478" t="s" s="11">
        <v>91</v>
      </c>
      <c r="C8478" t="s" s="12">
        <v>1147</v>
      </c>
      <c r="D8478" s="19"/>
      <c r="E8478" s="19">
        <v>901</v>
      </c>
      <c r="F8478" s="20"/>
      <c r="G8478" s="20"/>
      <c r="H8478" s="20"/>
      <c r="I8478" s="20"/>
    </row>
    <row r="8479" ht="20.35" customHeight="1">
      <c r="A8479" s="10">
        <v>45775</v>
      </c>
      <c r="B8479" t="s" s="11">
        <v>89</v>
      </c>
      <c r="C8479" t="s" s="12">
        <v>1147</v>
      </c>
      <c r="D8479" s="13"/>
      <c r="E8479" s="13">
        <v>122675</v>
      </c>
      <c r="F8479" s="14"/>
      <c r="G8479" s="14"/>
      <c r="H8479" s="14"/>
      <c r="I8479" s="14"/>
    </row>
    <row r="8480" ht="20.7" customHeight="1">
      <c r="A8480" s="10">
        <v>45775</v>
      </c>
      <c r="B8480" t="s" s="11">
        <v>8</v>
      </c>
      <c r="C8480" t="s" s="12">
        <v>8</v>
      </c>
      <c r="D8480" s="15" cm="1">
        <f t="array" ref="D8480">SUM(D8477:D8479)</f>
        <v>123576</v>
      </c>
      <c r="E8480" s="15" cm="1">
        <f t="array" ref="E8480">SUM(E8477:E8479)</f>
        <v>123576</v>
      </c>
      <c r="F8480" s="16" cm="1">
        <f t="array" ref="F8480">SUM(F8477:F8479)</f>
        <v>0</v>
      </c>
      <c r="G8480" s="16" cm="1">
        <f t="array" ref="G8480">SUM(G8477:G8479)</f>
        <v>0</v>
      </c>
      <c r="H8480" s="16" cm="1">
        <f t="array" ref="H8480">SUM(H8477:H8479)</f>
        <v>0</v>
      </c>
      <c r="I8480" s="16" cm="1">
        <f t="array" ref="I8480">SUM(I8477:I8479)</f>
        <v>0</v>
      </c>
    </row>
    <row r="8481" ht="20.65" customHeight="1">
      <c r="A8481" s="10">
        <v>45776</v>
      </c>
      <c r="B8481" t="s" s="11">
        <v>843</v>
      </c>
      <c r="C8481" t="s" s="12">
        <v>820</v>
      </c>
      <c r="D8481" s="17">
        <v>1</v>
      </c>
      <c r="E8481" s="17"/>
      <c r="F8481" s="18"/>
      <c r="G8481" s="18"/>
      <c r="H8481" s="18"/>
      <c r="I8481" s="18"/>
    </row>
    <row r="8482" ht="20.65" customHeight="1">
      <c r="A8482" s="10">
        <v>45776</v>
      </c>
      <c r="B8482" t="s" s="11">
        <v>7</v>
      </c>
      <c r="C8482" t="s" s="12">
        <v>820</v>
      </c>
      <c r="D8482" s="13"/>
      <c r="E8482" s="13">
        <v>1</v>
      </c>
      <c r="F8482" s="14"/>
      <c r="G8482" s="14"/>
      <c r="H8482" s="14"/>
      <c r="I8482" s="14"/>
    </row>
    <row r="8483" ht="20.7" customHeight="1">
      <c r="A8483" s="10">
        <v>45776</v>
      </c>
      <c r="B8483" t="s" s="11">
        <v>8</v>
      </c>
      <c r="C8483" t="s" s="12">
        <v>8</v>
      </c>
      <c r="D8483" s="15" cm="1">
        <f t="array" ref="D8483">SUM(D8481:D8482)</f>
        <v>1</v>
      </c>
      <c r="E8483" s="15" cm="1">
        <f t="array" ref="E8483">SUM(E8481:E8482)</f>
        <v>1</v>
      </c>
      <c r="F8483" s="16" cm="1">
        <f t="array" ref="F8483">SUM(F8481:F8482)</f>
        <v>0</v>
      </c>
      <c r="G8483" s="16" cm="1">
        <f t="array" ref="G8483">SUM(G8481:G8482)</f>
        <v>0</v>
      </c>
      <c r="H8483" s="16" cm="1">
        <f t="array" ref="H8483">SUM(H8481:H8482)</f>
        <v>0</v>
      </c>
      <c r="I8483" s="16" cm="1">
        <f t="array" ref="I8483">SUM(I8481:I8482)</f>
        <v>0</v>
      </c>
    </row>
    <row r="8484" ht="20.65" customHeight="1">
      <c r="A8484" s="10">
        <v>45776</v>
      </c>
      <c r="B8484" t="s" s="11">
        <v>814</v>
      </c>
      <c r="C8484" t="s" s="12">
        <v>820</v>
      </c>
      <c r="D8484" s="17">
        <v>66</v>
      </c>
      <c r="E8484" s="17"/>
      <c r="F8484" s="18"/>
      <c r="G8484" s="18"/>
      <c r="H8484" s="18"/>
      <c r="I8484" s="18"/>
    </row>
    <row r="8485" ht="20.65" customHeight="1">
      <c r="A8485" s="10">
        <v>45776</v>
      </c>
      <c r="B8485" t="s" s="11">
        <v>7</v>
      </c>
      <c r="C8485" t="s" s="12">
        <v>820</v>
      </c>
      <c r="D8485" s="13"/>
      <c r="E8485" s="13">
        <v>66</v>
      </c>
      <c r="F8485" s="14"/>
      <c r="G8485" s="14"/>
      <c r="H8485" s="14"/>
      <c r="I8485" s="14"/>
    </row>
    <row r="8486" ht="20.7" customHeight="1">
      <c r="A8486" s="10">
        <v>45776</v>
      </c>
      <c r="B8486" t="s" s="11">
        <v>8</v>
      </c>
      <c r="C8486" t="s" s="12">
        <v>8</v>
      </c>
      <c r="D8486" s="15" cm="1">
        <f t="array" ref="D8486">SUM(D8484:D8485)</f>
        <v>66</v>
      </c>
      <c r="E8486" s="15" cm="1">
        <f t="array" ref="E8486">SUM(E8484:E8485)</f>
        <v>66</v>
      </c>
      <c r="F8486" s="16" cm="1">
        <f t="array" ref="F8486">SUM(F8484:F8485)</f>
        <v>0</v>
      </c>
      <c r="G8486" s="16" cm="1">
        <f t="array" ref="G8486">SUM(G8484:G8485)</f>
        <v>0</v>
      </c>
      <c r="H8486" s="16" cm="1">
        <f t="array" ref="H8486">SUM(H8484:H8485)</f>
        <v>0</v>
      </c>
      <c r="I8486" s="16" cm="1">
        <f t="array" ref="I8486">SUM(I8484:I8485)</f>
        <v>0</v>
      </c>
    </row>
    <row r="8487" ht="21.25" customHeight="1">
      <c r="A8487" s="10">
        <v>45776</v>
      </c>
      <c r="B8487" t="s" s="11">
        <v>81</v>
      </c>
      <c r="C8487" t="s" s="12">
        <v>1148</v>
      </c>
      <c r="D8487" s="17"/>
      <c r="E8487" s="17">
        <v>101152</v>
      </c>
      <c r="F8487" s="18"/>
      <c r="G8487" s="18"/>
      <c r="H8487" s="18"/>
      <c r="I8487" s="18"/>
    </row>
    <row r="8488" ht="21.25" customHeight="1">
      <c r="A8488" s="10">
        <v>45776</v>
      </c>
      <c r="B8488" t="s" s="11">
        <v>822</v>
      </c>
      <c r="C8488" t="s" s="12">
        <v>1148</v>
      </c>
      <c r="D8488" s="13">
        <v>101152</v>
      </c>
      <c r="E8488" s="13"/>
      <c r="F8488" s="14"/>
      <c r="G8488" s="14"/>
      <c r="H8488" s="14"/>
      <c r="I8488" s="14"/>
    </row>
    <row r="8489" ht="20.7" customHeight="1">
      <c r="A8489" s="10">
        <v>45776</v>
      </c>
      <c r="B8489" t="s" s="11">
        <v>8</v>
      </c>
      <c r="C8489" t="s" s="12">
        <v>8</v>
      </c>
      <c r="D8489" s="15" cm="1">
        <f t="array" ref="D8489">SUM(D8487:D8488)</f>
        <v>101152</v>
      </c>
      <c r="E8489" s="15" cm="1">
        <f t="array" ref="E8489">SUM(E8487:E8488)</f>
        <v>101152</v>
      </c>
      <c r="F8489" s="16" cm="1">
        <f t="array" ref="F8489">SUM(F8487:F8488)</f>
        <v>0</v>
      </c>
      <c r="G8489" s="16" cm="1">
        <f t="array" ref="G8489">SUM(G8487:G8488)</f>
        <v>0</v>
      </c>
      <c r="H8489" s="16" cm="1">
        <f t="array" ref="H8489">SUM(H8487:H8488)</f>
        <v>0</v>
      </c>
      <c r="I8489" s="16" cm="1">
        <f t="array" ref="I8489">SUM(I8487:I8488)</f>
        <v>0</v>
      </c>
    </row>
    <row r="8490" ht="20.65" customHeight="1">
      <c r="A8490" s="10">
        <v>45776</v>
      </c>
      <c r="B8490" t="s" s="11">
        <v>121</v>
      </c>
      <c r="C8490" t="s" s="12">
        <v>1048</v>
      </c>
      <c r="D8490" s="17">
        <v>7</v>
      </c>
      <c r="E8490" s="17"/>
      <c r="F8490" s="18"/>
      <c r="G8490" s="18"/>
      <c r="H8490" s="18"/>
      <c r="I8490" s="18"/>
    </row>
    <row r="8491" ht="20.65" customHeight="1">
      <c r="A8491" s="10">
        <v>45776</v>
      </c>
      <c r="B8491" t="s" s="11">
        <v>7</v>
      </c>
      <c r="C8491" t="s" s="12">
        <v>1048</v>
      </c>
      <c r="D8491" s="13"/>
      <c r="E8491" s="13">
        <v>7</v>
      </c>
      <c r="F8491" s="14"/>
      <c r="G8491" s="14"/>
      <c r="H8491" s="14"/>
      <c r="I8491" s="14"/>
    </row>
    <row r="8492" ht="20.7" customHeight="1">
      <c r="A8492" s="10">
        <v>45776</v>
      </c>
      <c r="B8492" t="s" s="11">
        <v>8</v>
      </c>
      <c r="C8492" t="s" s="12">
        <v>8</v>
      </c>
      <c r="D8492" s="15" cm="1">
        <f t="array" ref="D8492">SUM(D8490:D8491)</f>
        <v>7</v>
      </c>
      <c r="E8492" s="15" cm="1">
        <f t="array" ref="E8492">SUM(E8490:E8491)</f>
        <v>7</v>
      </c>
      <c r="F8492" s="16" cm="1">
        <f t="array" ref="F8492">SUM(F8490:F8491)</f>
        <v>0</v>
      </c>
      <c r="G8492" s="16" cm="1">
        <f t="array" ref="G8492">SUM(G8490:G8491)</f>
        <v>0</v>
      </c>
      <c r="H8492" s="16" cm="1">
        <f t="array" ref="H8492">SUM(H8490:H8491)</f>
        <v>0</v>
      </c>
      <c r="I8492" s="16" cm="1">
        <f t="array" ref="I8492">SUM(I8490:I8491)</f>
        <v>0</v>
      </c>
    </row>
    <row r="8493" ht="20.35" customHeight="1">
      <c r="A8493" s="10">
        <v>45776</v>
      </c>
      <c r="B8493" t="s" s="11">
        <v>107</v>
      </c>
      <c r="C8493" t="s" s="12">
        <v>604</v>
      </c>
      <c r="D8493" s="17"/>
      <c r="E8493" s="17">
        <v>10000</v>
      </c>
      <c r="F8493" s="18"/>
      <c r="G8493" s="18"/>
      <c r="H8493" s="18"/>
      <c r="I8493" s="18"/>
    </row>
    <row r="8494" ht="20.35" customHeight="1">
      <c r="A8494" s="10">
        <v>45776</v>
      </c>
      <c r="B8494" t="s" s="11">
        <v>93</v>
      </c>
      <c r="C8494" t="s" s="12">
        <v>604</v>
      </c>
      <c r="D8494" s="13">
        <v>10000</v>
      </c>
      <c r="E8494" s="13"/>
      <c r="F8494" s="14"/>
      <c r="G8494" s="14"/>
      <c r="H8494" s="14"/>
      <c r="I8494" s="14"/>
    </row>
    <row r="8495" ht="20.7" customHeight="1">
      <c r="A8495" s="10">
        <v>45776</v>
      </c>
      <c r="B8495" t="s" s="11">
        <v>8</v>
      </c>
      <c r="C8495" t="s" s="12">
        <v>8</v>
      </c>
      <c r="D8495" s="15" cm="1">
        <f t="array" ref="D8495">SUM(D8493:D8494)</f>
        <v>10000</v>
      </c>
      <c r="E8495" s="15" cm="1">
        <f t="array" ref="E8495">SUM(E8493:E8494)</f>
        <v>10000</v>
      </c>
      <c r="F8495" s="16" cm="1">
        <f t="array" ref="F8495">SUM(F8493:F8494)</f>
        <v>0</v>
      </c>
      <c r="G8495" s="16" cm="1">
        <f t="array" ref="G8495">SUM(G8493:G8494)</f>
        <v>0</v>
      </c>
      <c r="H8495" s="16" cm="1">
        <f t="array" ref="H8495">SUM(H8493:H8494)</f>
        <v>0</v>
      </c>
      <c r="I8495" s="16" cm="1">
        <f t="array" ref="I8495">SUM(I8493:I8494)</f>
        <v>0</v>
      </c>
    </row>
    <row r="8496" ht="20.35" customHeight="1">
      <c r="A8496" s="10">
        <v>45776</v>
      </c>
      <c r="B8496" t="s" s="11">
        <v>93</v>
      </c>
      <c r="C8496" t="s" s="12">
        <v>169</v>
      </c>
      <c r="D8496" s="17"/>
      <c r="E8496" s="17">
        <v>5200</v>
      </c>
      <c r="F8496" s="18"/>
      <c r="G8496" s="18"/>
      <c r="H8496" s="18"/>
      <c r="I8496" s="18"/>
    </row>
    <row r="8497" ht="20.35" customHeight="1">
      <c r="A8497" s="10">
        <v>45776</v>
      </c>
      <c r="B8497" t="s" s="11">
        <v>12</v>
      </c>
      <c r="C8497" t="s" s="12">
        <v>169</v>
      </c>
      <c r="D8497" s="13">
        <v>5200</v>
      </c>
      <c r="E8497" s="13"/>
      <c r="F8497" s="14"/>
      <c r="G8497" s="14"/>
      <c r="H8497" s="14"/>
      <c r="I8497" s="14"/>
    </row>
    <row r="8498" ht="20.7" customHeight="1">
      <c r="A8498" s="10">
        <v>45776</v>
      </c>
      <c r="B8498" t="s" s="11">
        <v>8</v>
      </c>
      <c r="C8498" t="s" s="12">
        <v>8</v>
      </c>
      <c r="D8498" s="15" cm="1">
        <f t="array" ref="D8498">SUM(D8496:D8497)</f>
        <v>5200</v>
      </c>
      <c r="E8498" s="15" cm="1">
        <f t="array" ref="E8498">SUM(E8496:E8497)</f>
        <v>5200</v>
      </c>
      <c r="F8498" s="16" cm="1">
        <f t="array" ref="F8498">SUM(F8496:F8497)</f>
        <v>0</v>
      </c>
      <c r="G8498" s="16" cm="1">
        <f t="array" ref="G8498">SUM(G8496:G8497)</f>
        <v>0</v>
      </c>
      <c r="H8498" s="16" cm="1">
        <f t="array" ref="H8498">SUM(H8496:H8497)</f>
        <v>0</v>
      </c>
      <c r="I8498" s="16" cm="1">
        <f t="array" ref="I8498">SUM(I8496:I8497)</f>
        <v>0</v>
      </c>
    </row>
    <row r="8499" ht="20.35" customHeight="1">
      <c r="A8499" s="10">
        <v>45776</v>
      </c>
      <c r="B8499" t="s" s="11">
        <v>107</v>
      </c>
      <c r="C8499" t="s" s="12">
        <v>1067</v>
      </c>
      <c r="D8499" s="17"/>
      <c r="E8499" s="17">
        <v>65020</v>
      </c>
      <c r="F8499" s="18"/>
      <c r="G8499" s="18"/>
      <c r="H8499" s="18"/>
      <c r="I8499" s="18"/>
    </row>
    <row r="8500" ht="20.05" customHeight="1">
      <c r="A8500" s="10">
        <v>45776</v>
      </c>
      <c r="B8500" t="s" s="11">
        <v>89</v>
      </c>
      <c r="C8500" t="s" s="12">
        <v>1067</v>
      </c>
      <c r="D8500" s="19">
        <v>32510</v>
      </c>
      <c r="E8500" s="19"/>
      <c r="F8500" s="20"/>
      <c r="G8500" s="20"/>
      <c r="H8500" s="20"/>
      <c r="I8500" s="20"/>
    </row>
    <row r="8501" ht="20.35" customHeight="1">
      <c r="A8501" s="10">
        <v>45776</v>
      </c>
      <c r="B8501" t="s" s="11">
        <v>12</v>
      </c>
      <c r="C8501" t="s" s="12">
        <v>1067</v>
      </c>
      <c r="D8501" s="13">
        <v>32510</v>
      </c>
      <c r="E8501" s="13"/>
      <c r="F8501" s="14"/>
      <c r="G8501" s="14"/>
      <c r="H8501" s="14"/>
      <c r="I8501" s="14"/>
    </row>
    <row r="8502" ht="20.7" customHeight="1">
      <c r="A8502" s="10">
        <v>45776</v>
      </c>
      <c r="B8502" t="s" s="11">
        <v>8</v>
      </c>
      <c r="C8502" t="s" s="12">
        <v>8</v>
      </c>
      <c r="D8502" s="15" cm="1">
        <f t="array" ref="D8502">SUM(D8499:D8501)</f>
        <v>65020</v>
      </c>
      <c r="E8502" s="15" cm="1">
        <f t="array" ref="E8502">SUM(E8499:E8501)</f>
        <v>65020</v>
      </c>
      <c r="F8502" s="16" cm="1">
        <f t="array" ref="F8502">SUM(F8499:F8501)</f>
        <v>0</v>
      </c>
      <c r="G8502" s="16" cm="1">
        <f t="array" ref="G8502">SUM(G8499:G8501)</f>
        <v>0</v>
      </c>
      <c r="H8502" s="16" cm="1">
        <f t="array" ref="H8502">SUM(H8499:H8501)</f>
        <v>0</v>
      </c>
      <c r="I8502" s="16" cm="1">
        <f t="array" ref="I8502">SUM(I8499:I8501)</f>
        <v>0</v>
      </c>
    </row>
    <row r="8503" ht="20.35" customHeight="1">
      <c r="A8503" s="10">
        <v>45776</v>
      </c>
      <c r="B8503" t="s" s="11">
        <v>107</v>
      </c>
      <c r="C8503" t="s" s="12">
        <v>1067</v>
      </c>
      <c r="D8503" s="17"/>
      <c r="E8503" s="17">
        <v>700</v>
      </c>
      <c r="F8503" s="18"/>
      <c r="G8503" s="18"/>
      <c r="H8503" s="18"/>
      <c r="I8503" s="18"/>
    </row>
    <row r="8504" ht="20.05" customHeight="1">
      <c r="A8504" s="10">
        <v>45776</v>
      </c>
      <c r="B8504" t="s" s="11">
        <v>89</v>
      </c>
      <c r="C8504" t="s" s="12">
        <v>1067</v>
      </c>
      <c r="D8504" s="19">
        <v>350</v>
      </c>
      <c r="E8504" s="19"/>
      <c r="F8504" s="20"/>
      <c r="G8504" s="20"/>
      <c r="H8504" s="20"/>
      <c r="I8504" s="20"/>
    </row>
    <row r="8505" ht="20.35" customHeight="1">
      <c r="A8505" s="10">
        <v>45776</v>
      </c>
      <c r="B8505" t="s" s="11">
        <v>12</v>
      </c>
      <c r="C8505" t="s" s="12">
        <v>1067</v>
      </c>
      <c r="D8505" s="13">
        <v>350</v>
      </c>
      <c r="E8505" s="13"/>
      <c r="F8505" s="14"/>
      <c r="G8505" s="14"/>
      <c r="H8505" s="14"/>
      <c r="I8505" s="14"/>
    </row>
    <row r="8506" ht="20.7" customHeight="1">
      <c r="A8506" s="10">
        <v>45776</v>
      </c>
      <c r="B8506" t="s" s="11">
        <v>8</v>
      </c>
      <c r="C8506" t="s" s="12">
        <v>8</v>
      </c>
      <c r="D8506" s="15" cm="1">
        <f t="array" ref="D8506">SUM(D8503:D8505)</f>
        <v>700</v>
      </c>
      <c r="E8506" s="15" cm="1">
        <f t="array" ref="E8506">SUM(E8503:E8505)</f>
        <v>700</v>
      </c>
      <c r="F8506" s="16" cm="1">
        <f t="array" ref="F8506">SUM(F8503:F8505)</f>
        <v>0</v>
      </c>
      <c r="G8506" s="16" cm="1">
        <f t="array" ref="G8506">SUM(G8503:G8505)</f>
        <v>0</v>
      </c>
      <c r="H8506" s="16" cm="1">
        <f t="array" ref="H8506">SUM(H8503:H8505)</f>
        <v>0</v>
      </c>
      <c r="I8506" s="16" cm="1">
        <f t="array" ref="I8506">SUM(I8503:I8505)</f>
        <v>0</v>
      </c>
    </row>
    <row r="8507" ht="20.35" customHeight="1">
      <c r="A8507" s="10">
        <v>45776</v>
      </c>
      <c r="B8507" t="s" s="11">
        <v>107</v>
      </c>
      <c r="C8507" t="s" s="12">
        <v>1149</v>
      </c>
      <c r="D8507" s="17"/>
      <c r="E8507" s="17">
        <v>7600</v>
      </c>
      <c r="F8507" s="18"/>
      <c r="G8507" s="18"/>
      <c r="H8507" s="18"/>
      <c r="I8507" s="18"/>
    </row>
    <row r="8508" ht="20.35" customHeight="1">
      <c r="A8508" s="10">
        <v>45776</v>
      </c>
      <c r="B8508" t="s" s="11">
        <v>89</v>
      </c>
      <c r="C8508" t="s" s="12">
        <v>1149</v>
      </c>
      <c r="D8508" s="13">
        <v>7600</v>
      </c>
      <c r="E8508" s="13"/>
      <c r="F8508" s="14"/>
      <c r="G8508" s="14"/>
      <c r="H8508" s="14"/>
      <c r="I8508" s="14"/>
    </row>
    <row r="8509" ht="20.7" customHeight="1">
      <c r="A8509" s="10">
        <v>45776</v>
      </c>
      <c r="B8509" t="s" s="11">
        <v>8</v>
      </c>
      <c r="C8509" t="s" s="12">
        <v>8</v>
      </c>
      <c r="D8509" s="15" cm="1">
        <f t="array" ref="D8509">SUM(D8507:D8508)</f>
        <v>7600</v>
      </c>
      <c r="E8509" s="15" cm="1">
        <f t="array" ref="E8509">SUM(E8507:E8508)</f>
        <v>7600</v>
      </c>
      <c r="F8509" s="16" cm="1">
        <f t="array" ref="F8509">SUM(F8507:F8508)</f>
        <v>0</v>
      </c>
      <c r="G8509" s="16" cm="1">
        <f t="array" ref="G8509">SUM(G8507:G8508)</f>
        <v>0</v>
      </c>
      <c r="H8509" s="16" cm="1">
        <f t="array" ref="H8509">SUM(H8507:H8508)</f>
        <v>0</v>
      </c>
      <c r="I8509" s="16" cm="1">
        <f t="array" ref="I8509">SUM(I8507:I8508)</f>
        <v>0</v>
      </c>
    </row>
    <row r="8510" ht="20.35" customHeight="1">
      <c r="A8510" s="10">
        <v>45776</v>
      </c>
      <c r="B8510" t="s" s="11">
        <v>107</v>
      </c>
      <c r="C8510" t="s" s="12">
        <v>96</v>
      </c>
      <c r="D8510" s="17"/>
      <c r="E8510" s="17">
        <v>15000</v>
      </c>
      <c r="F8510" s="18"/>
      <c r="G8510" s="18"/>
      <c r="H8510" s="18"/>
      <c r="I8510" s="18"/>
    </row>
    <row r="8511" ht="20.35" customHeight="1">
      <c r="A8511" s="10">
        <v>45776</v>
      </c>
      <c r="B8511" t="s" s="11">
        <v>5</v>
      </c>
      <c r="C8511" t="s" s="12">
        <v>96</v>
      </c>
      <c r="D8511" s="13">
        <v>15000</v>
      </c>
      <c r="E8511" s="13"/>
      <c r="F8511" s="14"/>
      <c r="G8511" s="14"/>
      <c r="H8511" s="14"/>
      <c r="I8511" s="14"/>
    </row>
    <row r="8512" ht="20.7" customHeight="1">
      <c r="A8512" s="10">
        <v>45776</v>
      </c>
      <c r="B8512" t="s" s="11">
        <v>8</v>
      </c>
      <c r="C8512" t="s" s="12">
        <v>8</v>
      </c>
      <c r="D8512" s="15" cm="1">
        <f t="array" ref="D8512">SUM(D8510:D8511)</f>
        <v>15000</v>
      </c>
      <c r="E8512" s="15" cm="1">
        <f t="array" ref="E8512">SUM(E8510:E8511)</f>
        <v>15000</v>
      </c>
      <c r="F8512" s="16" cm="1">
        <f t="array" ref="F8512">SUM(F8510:F8511)</f>
        <v>0</v>
      </c>
      <c r="G8512" s="16" cm="1">
        <f t="array" ref="G8512">SUM(G8510:G8511)</f>
        <v>0</v>
      </c>
      <c r="H8512" s="16" cm="1">
        <f t="array" ref="H8512">SUM(H8510:H8511)</f>
        <v>0</v>
      </c>
      <c r="I8512" s="16" cm="1">
        <f t="array" ref="I8512">SUM(I8510:I8511)</f>
        <v>0</v>
      </c>
    </row>
    <row r="8513" ht="20.65" customHeight="1">
      <c r="A8513" s="10">
        <v>45776</v>
      </c>
      <c r="B8513" t="s" s="11">
        <v>5</v>
      </c>
      <c r="C8513" t="s" s="12">
        <v>1150</v>
      </c>
      <c r="D8513" s="17"/>
      <c r="E8513" s="17">
        <v>9400</v>
      </c>
      <c r="F8513" s="18"/>
      <c r="G8513" s="18"/>
      <c r="H8513" s="18"/>
      <c r="I8513" s="18"/>
    </row>
    <row r="8514" ht="20.65" customHeight="1">
      <c r="A8514" s="10">
        <v>45776</v>
      </c>
      <c r="B8514" t="s" s="11">
        <v>16</v>
      </c>
      <c r="C8514" t="s" s="12">
        <v>1150</v>
      </c>
      <c r="D8514" s="13">
        <v>9400</v>
      </c>
      <c r="E8514" s="13"/>
      <c r="F8514" s="14"/>
      <c r="G8514" s="14"/>
      <c r="H8514" s="14"/>
      <c r="I8514" s="14"/>
    </row>
    <row r="8515" ht="20.7" customHeight="1">
      <c r="A8515" s="10">
        <v>45776</v>
      </c>
      <c r="B8515" t="s" s="11">
        <v>8</v>
      </c>
      <c r="C8515" t="s" s="12">
        <v>8</v>
      </c>
      <c r="D8515" s="15" cm="1">
        <f t="array" ref="D8515">SUM(D8513:D8514)</f>
        <v>9400</v>
      </c>
      <c r="E8515" s="15" cm="1">
        <f t="array" ref="E8515">SUM(E8513:E8514)</f>
        <v>9400</v>
      </c>
      <c r="F8515" s="16" cm="1">
        <f t="array" ref="F8515">SUM(F8513:F8514)</f>
        <v>0</v>
      </c>
      <c r="G8515" s="16" cm="1">
        <f t="array" ref="G8515">SUM(G8513:G8514)</f>
        <v>0</v>
      </c>
      <c r="H8515" s="16" cm="1">
        <f t="array" ref="H8515">SUM(H8513:H8514)</f>
        <v>0</v>
      </c>
      <c r="I8515" s="16" cm="1">
        <f t="array" ref="I8515">SUM(I8513:I8514)</f>
        <v>0</v>
      </c>
    </row>
    <row r="8516" ht="20.65" customHeight="1">
      <c r="A8516" s="10">
        <v>45777</v>
      </c>
      <c r="B8516" t="s" s="11">
        <v>843</v>
      </c>
      <c r="C8516" t="s" s="12">
        <v>820</v>
      </c>
      <c r="D8516" s="17">
        <v>1</v>
      </c>
      <c r="E8516" s="17"/>
      <c r="F8516" s="18"/>
      <c r="G8516" s="18"/>
      <c r="H8516" s="18"/>
      <c r="I8516" s="18"/>
    </row>
    <row r="8517" ht="20.65" customHeight="1">
      <c r="A8517" s="10">
        <v>45777</v>
      </c>
      <c r="B8517" t="s" s="11">
        <v>7</v>
      </c>
      <c r="C8517" t="s" s="12">
        <v>820</v>
      </c>
      <c r="D8517" s="13"/>
      <c r="E8517" s="13">
        <v>1</v>
      </c>
      <c r="F8517" s="14"/>
      <c r="G8517" s="14"/>
      <c r="H8517" s="14"/>
      <c r="I8517" s="14"/>
    </row>
    <row r="8518" ht="20.7" customHeight="1">
      <c r="A8518" s="10">
        <v>45777</v>
      </c>
      <c r="B8518" t="s" s="11">
        <v>8</v>
      </c>
      <c r="C8518" t="s" s="12">
        <v>8</v>
      </c>
      <c r="D8518" s="15" cm="1">
        <f t="array" ref="D8518">SUM(D8516:D8517)</f>
        <v>1</v>
      </c>
      <c r="E8518" s="15" cm="1">
        <f t="array" ref="E8518">SUM(E8516:E8517)</f>
        <v>1</v>
      </c>
      <c r="F8518" s="16" cm="1">
        <f t="array" ref="F8518">SUM(F8516:F8517)</f>
        <v>0</v>
      </c>
      <c r="G8518" s="16" cm="1">
        <f t="array" ref="G8518">SUM(G8516:G8517)</f>
        <v>0</v>
      </c>
      <c r="H8518" s="16" cm="1">
        <f t="array" ref="H8518">SUM(H8516:H8517)</f>
        <v>0</v>
      </c>
      <c r="I8518" s="16" cm="1">
        <f t="array" ref="I8518">SUM(I8516:I8517)</f>
        <v>0</v>
      </c>
    </row>
    <row r="8519" ht="20.65" customHeight="1">
      <c r="A8519" s="10">
        <v>45777</v>
      </c>
      <c r="B8519" t="s" s="11">
        <v>814</v>
      </c>
      <c r="C8519" t="s" s="12">
        <v>820</v>
      </c>
      <c r="D8519" s="17">
        <v>66</v>
      </c>
      <c r="E8519" s="17"/>
      <c r="F8519" s="18"/>
      <c r="G8519" s="18"/>
      <c r="H8519" s="18"/>
      <c r="I8519" s="18"/>
    </row>
    <row r="8520" ht="20.65" customHeight="1">
      <c r="A8520" s="10">
        <v>45777</v>
      </c>
      <c r="B8520" t="s" s="11">
        <v>7</v>
      </c>
      <c r="C8520" t="s" s="12">
        <v>820</v>
      </c>
      <c r="D8520" s="13"/>
      <c r="E8520" s="13">
        <v>66</v>
      </c>
      <c r="F8520" s="14"/>
      <c r="G8520" s="14"/>
      <c r="H8520" s="14"/>
      <c r="I8520" s="14"/>
    </row>
    <row r="8521" ht="20.7" customHeight="1">
      <c r="A8521" s="10">
        <v>45777</v>
      </c>
      <c r="B8521" t="s" s="11">
        <v>8</v>
      </c>
      <c r="C8521" t="s" s="12">
        <v>8</v>
      </c>
      <c r="D8521" s="15" cm="1">
        <f t="array" ref="D8521">SUM(D8519:D8520)</f>
        <v>66</v>
      </c>
      <c r="E8521" s="15" cm="1">
        <f t="array" ref="E8521">SUM(E8519:E8520)</f>
        <v>66</v>
      </c>
      <c r="F8521" s="16" cm="1">
        <f t="array" ref="F8521">SUM(F8519:F8520)</f>
        <v>0</v>
      </c>
      <c r="G8521" s="16" cm="1">
        <f t="array" ref="G8521">SUM(G8519:G8520)</f>
        <v>0</v>
      </c>
      <c r="H8521" s="16" cm="1">
        <f t="array" ref="H8521">SUM(H8519:H8520)</f>
        <v>0</v>
      </c>
      <c r="I8521" s="16" cm="1">
        <f t="array" ref="I8521">SUM(I8519:I8520)</f>
        <v>0</v>
      </c>
    </row>
    <row r="8522" ht="21.25" customHeight="1">
      <c r="A8522" s="10">
        <v>45777</v>
      </c>
      <c r="B8522" t="s" s="11">
        <v>107</v>
      </c>
      <c r="C8522" t="s" s="12">
        <v>1151</v>
      </c>
      <c r="D8522" s="17"/>
      <c r="E8522" s="17">
        <v>9500</v>
      </c>
      <c r="F8522" s="18"/>
      <c r="G8522" s="18"/>
      <c r="H8522" s="18"/>
      <c r="I8522" s="18"/>
    </row>
    <row r="8523" ht="20.9" customHeight="1">
      <c r="A8523" s="10">
        <v>45777</v>
      </c>
      <c r="B8523" t="s" s="11">
        <v>12</v>
      </c>
      <c r="C8523" t="s" s="12">
        <v>1151</v>
      </c>
      <c r="D8523" s="19">
        <v>4750</v>
      </c>
      <c r="E8523" s="19"/>
      <c r="F8523" s="20"/>
      <c r="G8523" s="20"/>
      <c r="H8523" s="20"/>
      <c r="I8523" s="20"/>
    </row>
    <row r="8524" ht="21.25" customHeight="1">
      <c r="A8524" s="10">
        <v>45777</v>
      </c>
      <c r="B8524" t="s" s="11">
        <v>10</v>
      </c>
      <c r="C8524" t="s" s="12">
        <v>1151</v>
      </c>
      <c r="D8524" s="13">
        <v>4750</v>
      </c>
      <c r="E8524" s="13"/>
      <c r="F8524" s="14"/>
      <c r="G8524" s="14"/>
      <c r="H8524" s="14"/>
      <c r="I8524" s="14"/>
    </row>
    <row r="8525" ht="20.7" customHeight="1">
      <c r="A8525" s="10">
        <v>45777</v>
      </c>
      <c r="B8525" t="s" s="11">
        <v>8</v>
      </c>
      <c r="C8525" t="s" s="12">
        <v>8</v>
      </c>
      <c r="D8525" s="15" cm="1">
        <f t="array" ref="D8525">SUM(D8522:D8524)</f>
        <v>9500</v>
      </c>
      <c r="E8525" s="15" cm="1">
        <f t="array" ref="E8525">SUM(E8522:E8524)</f>
        <v>9500</v>
      </c>
      <c r="F8525" s="16" cm="1">
        <f t="array" ref="F8525">SUM(F8522:F8524)</f>
        <v>0</v>
      </c>
      <c r="G8525" s="16" cm="1">
        <f t="array" ref="G8525">SUM(G8522:G8524)</f>
        <v>0</v>
      </c>
      <c r="H8525" s="16" cm="1">
        <f t="array" ref="H8525">SUM(H8522:H8524)</f>
        <v>0</v>
      </c>
      <c r="I8525" s="16" cm="1">
        <f t="array" ref="I8525">SUM(I8522:I8524)</f>
        <v>0</v>
      </c>
    </row>
    <row r="8526" ht="20.65" customHeight="1">
      <c r="A8526" s="10">
        <v>45777</v>
      </c>
      <c r="B8526" t="s" s="11">
        <v>107</v>
      </c>
      <c r="C8526" t="s" s="12">
        <v>767</v>
      </c>
      <c r="D8526" s="17">
        <v>1</v>
      </c>
      <c r="E8526" s="17"/>
      <c r="F8526" s="18"/>
      <c r="G8526" s="18"/>
      <c r="H8526" s="18"/>
      <c r="I8526" s="18"/>
    </row>
    <row r="8527" ht="20.65" customHeight="1">
      <c r="A8527" s="10">
        <v>45777</v>
      </c>
      <c r="B8527" t="s" s="11">
        <v>91</v>
      </c>
      <c r="C8527" t="s" s="12">
        <v>767</v>
      </c>
      <c r="D8527" s="13"/>
      <c r="E8527" s="13">
        <v>1</v>
      </c>
      <c r="F8527" s="14"/>
      <c r="G8527" s="14"/>
      <c r="H8527" s="14"/>
      <c r="I8527" s="14"/>
    </row>
    <row r="8528" ht="20.7" customHeight="1">
      <c r="A8528" s="10">
        <v>45777</v>
      </c>
      <c r="B8528" t="s" s="11">
        <v>8</v>
      </c>
      <c r="C8528" t="s" s="12">
        <v>8</v>
      </c>
      <c r="D8528" s="15" cm="1">
        <f t="array" ref="D8528">SUM(D8526:D8527)</f>
        <v>1</v>
      </c>
      <c r="E8528" s="15" cm="1">
        <f t="array" ref="E8528">SUM(E8526:E8527)</f>
        <v>1</v>
      </c>
      <c r="F8528" s="16" cm="1">
        <f t="array" ref="F8528">SUM(F8526:F8527)</f>
        <v>0</v>
      </c>
      <c r="G8528" s="16" cm="1">
        <f t="array" ref="G8528">SUM(G8526:G8527)</f>
        <v>0</v>
      </c>
      <c r="H8528" s="16" cm="1">
        <f t="array" ref="H8528">SUM(H8526:H8527)</f>
        <v>0</v>
      </c>
      <c r="I8528" s="16" cm="1">
        <f t="array" ref="I8528">SUM(I8526:I8527)</f>
        <v>0</v>
      </c>
    </row>
    <row r="8529" ht="20.35" customHeight="1">
      <c r="A8529" s="10">
        <v>45777</v>
      </c>
      <c r="B8529" t="s" s="11">
        <v>93</v>
      </c>
      <c r="C8529" t="s" s="12">
        <v>209</v>
      </c>
      <c r="D8529" s="17"/>
      <c r="E8529" s="17">
        <v>4800</v>
      </c>
      <c r="F8529" s="18"/>
      <c r="G8529" s="18"/>
      <c r="H8529" s="18"/>
      <c r="I8529" s="18"/>
    </row>
    <row r="8530" ht="20.35" customHeight="1">
      <c r="A8530" s="10">
        <v>45777</v>
      </c>
      <c r="B8530" t="s" s="11">
        <v>107</v>
      </c>
      <c r="C8530" t="s" s="12">
        <v>209</v>
      </c>
      <c r="D8530" s="13">
        <v>4800</v>
      </c>
      <c r="E8530" s="13"/>
      <c r="F8530" s="14"/>
      <c r="G8530" s="14"/>
      <c r="H8530" s="14"/>
      <c r="I8530" s="14"/>
    </row>
    <row r="8531" ht="20.7" customHeight="1">
      <c r="A8531" s="10">
        <v>45777</v>
      </c>
      <c r="B8531" t="s" s="11">
        <v>8</v>
      </c>
      <c r="C8531" t="s" s="12">
        <v>8</v>
      </c>
      <c r="D8531" s="15" cm="1">
        <f t="array" ref="D8531">SUM(D8529:D8530)</f>
        <v>4800</v>
      </c>
      <c r="E8531" s="15" cm="1">
        <f t="array" ref="E8531">SUM(E8529:E8530)</f>
        <v>4800</v>
      </c>
      <c r="F8531" s="16" cm="1">
        <f t="array" ref="F8531">SUM(F8529:F8530)</f>
        <v>0</v>
      </c>
      <c r="G8531" s="16" cm="1">
        <f t="array" ref="G8531">SUM(G8529:G8530)</f>
        <v>0</v>
      </c>
      <c r="H8531" s="16" cm="1">
        <f t="array" ref="H8531">SUM(H8529:H8530)</f>
        <v>0</v>
      </c>
      <c r="I8531" s="16" cm="1">
        <f t="array" ref="I8531">SUM(I8529:I8530)</f>
        <v>0</v>
      </c>
    </row>
    <row r="8532" ht="20.35" customHeight="1">
      <c r="A8532" s="10">
        <v>45777</v>
      </c>
      <c r="B8532" t="s" s="11">
        <v>5</v>
      </c>
      <c r="C8532" t="s" s="12">
        <v>961</v>
      </c>
      <c r="D8532" s="17">
        <v>730000</v>
      </c>
      <c r="E8532" s="17"/>
      <c r="F8532" s="18"/>
      <c r="G8532" s="18"/>
      <c r="H8532" s="18"/>
      <c r="I8532" s="18"/>
    </row>
    <row r="8533" ht="20.05" customHeight="1">
      <c r="A8533" s="10">
        <v>45777</v>
      </c>
      <c r="B8533" t="s" s="11">
        <v>21</v>
      </c>
      <c r="C8533" t="s" s="12">
        <v>961</v>
      </c>
      <c r="D8533" s="19"/>
      <c r="E8533" s="27">
        <v>6765</v>
      </c>
      <c r="F8533" s="20"/>
      <c r="G8533" s="20"/>
      <c r="H8533" s="20"/>
      <c r="I8533" s="20"/>
    </row>
    <row r="8534" ht="20.35" customHeight="1">
      <c r="A8534" s="10">
        <v>45777</v>
      </c>
      <c r="B8534" t="s" s="11">
        <v>89</v>
      </c>
      <c r="C8534" t="s" s="12">
        <v>961</v>
      </c>
      <c r="D8534" s="13"/>
      <c r="E8534" s="13">
        <v>723235</v>
      </c>
      <c r="F8534" s="14"/>
      <c r="G8534" s="14"/>
      <c r="H8534" s="14"/>
      <c r="I8534" s="14"/>
    </row>
    <row r="8535" ht="20.7" customHeight="1">
      <c r="A8535" s="10">
        <v>45777</v>
      </c>
      <c r="B8535" t="s" s="11">
        <v>8</v>
      </c>
      <c r="C8535" t="s" s="12">
        <v>8</v>
      </c>
      <c r="D8535" s="15" cm="1">
        <f t="array" ref="D8535">SUM(D8532:D8534)</f>
        <v>730000</v>
      </c>
      <c r="E8535" s="15" cm="1">
        <f t="array" ref="E8535">SUM(E8532:E8534)</f>
        <v>730000</v>
      </c>
      <c r="F8535" s="16" cm="1">
        <f t="array" ref="F8535">SUM(F8532:F8534)</f>
        <v>0</v>
      </c>
      <c r="G8535" s="16" cm="1">
        <f t="array" ref="G8535">SUM(G8532:G8534)</f>
        <v>0</v>
      </c>
      <c r="H8535" s="16" cm="1">
        <f t="array" ref="H8535">SUM(H8532:H8534)</f>
        <v>0</v>
      </c>
      <c r="I8535" s="16" cm="1">
        <f t="array" ref="I8535">SUM(I8532:I8534)</f>
        <v>0</v>
      </c>
    </row>
    <row r="8536" ht="20.35" customHeight="1">
      <c r="A8536" s="10">
        <v>45777</v>
      </c>
      <c r="B8536" t="s" s="11">
        <v>93</v>
      </c>
      <c r="C8536" t="s" s="12">
        <v>1124</v>
      </c>
      <c r="D8536" s="17">
        <v>50000</v>
      </c>
      <c r="E8536" s="17"/>
      <c r="F8536" s="18"/>
      <c r="G8536" s="18"/>
      <c r="H8536" s="18"/>
      <c r="I8536" s="18"/>
    </row>
    <row r="8537" ht="20.35" customHeight="1">
      <c r="A8537" s="10">
        <v>45777</v>
      </c>
      <c r="B8537" t="s" s="11">
        <v>89</v>
      </c>
      <c r="C8537" t="s" s="12">
        <v>1124</v>
      </c>
      <c r="D8537" s="13"/>
      <c r="E8537" s="13">
        <v>50000</v>
      </c>
      <c r="F8537" s="14"/>
      <c r="G8537" s="14"/>
      <c r="H8537" s="14"/>
      <c r="I8537" s="14"/>
    </row>
    <row r="8538" ht="20.7" customHeight="1">
      <c r="A8538" s="10">
        <v>45777</v>
      </c>
      <c r="B8538" t="s" s="11">
        <v>8</v>
      </c>
      <c r="C8538" t="s" s="12">
        <v>8</v>
      </c>
      <c r="D8538" s="15" cm="1">
        <f t="array" ref="D8538">SUM(D8536:D8537)</f>
        <v>50000</v>
      </c>
      <c r="E8538" s="15" cm="1">
        <f t="array" ref="E8538">SUM(E8536:E8537)</f>
        <v>50000</v>
      </c>
      <c r="F8538" s="16" cm="1">
        <f t="array" ref="F8538">SUM(F8536:F8537)</f>
        <v>0</v>
      </c>
      <c r="G8538" s="16" cm="1">
        <f t="array" ref="G8538">SUM(G8536:G8537)</f>
        <v>0</v>
      </c>
      <c r="H8538" s="16" cm="1">
        <f t="array" ref="H8538">SUM(H8536:H8537)</f>
        <v>0</v>
      </c>
      <c r="I8538" s="16" cm="1">
        <f t="array" ref="I8538">SUM(I8536:I8537)</f>
        <v>0</v>
      </c>
    </row>
    <row r="8539" ht="20.35" customHeight="1">
      <c r="A8539" s="10">
        <v>45777</v>
      </c>
      <c r="B8539" t="s" s="11">
        <v>5</v>
      </c>
      <c r="C8539" t="s" s="12">
        <v>867</v>
      </c>
      <c r="D8539" s="17"/>
      <c r="E8539" s="17">
        <v>700000</v>
      </c>
      <c r="F8539" s="18"/>
      <c r="G8539" s="18"/>
      <c r="H8539" s="18"/>
      <c r="I8539" s="18"/>
    </row>
    <row r="8540" ht="20.35" customHeight="1">
      <c r="A8540" s="10">
        <v>45777</v>
      </c>
      <c r="B8540" t="s" s="11">
        <v>814</v>
      </c>
      <c r="C8540" t="s" s="12">
        <v>867</v>
      </c>
      <c r="D8540" s="13">
        <v>700000</v>
      </c>
      <c r="E8540" s="13"/>
      <c r="F8540" s="14"/>
      <c r="G8540" s="14"/>
      <c r="H8540" s="14"/>
      <c r="I8540" s="14"/>
    </row>
    <row r="8541" ht="20.7" customHeight="1">
      <c r="A8541" s="10">
        <v>45777</v>
      </c>
      <c r="B8541" t="s" s="11">
        <v>8</v>
      </c>
      <c r="C8541" t="s" s="12">
        <v>8</v>
      </c>
      <c r="D8541" s="15" cm="1">
        <f t="array" ref="D8541">SUM(D8539:D8540)</f>
        <v>700000</v>
      </c>
      <c r="E8541" s="15" cm="1">
        <f t="array" ref="E8541">SUM(E8539:E8540)</f>
        <v>700000</v>
      </c>
      <c r="F8541" s="16" cm="1">
        <f t="array" ref="F8541">SUM(F8539:F8540)</f>
        <v>0</v>
      </c>
      <c r="G8541" s="16" cm="1">
        <f t="array" ref="G8541">SUM(G8539:G8540)</f>
        <v>0</v>
      </c>
      <c r="H8541" s="16" cm="1">
        <f t="array" ref="H8541">SUM(H8539:H8540)</f>
        <v>0</v>
      </c>
      <c r="I8541" s="16" cm="1">
        <f t="array" ref="I8541">SUM(I8539:I8540)</f>
        <v>0</v>
      </c>
    </row>
    <row r="8542" ht="21.25" customHeight="1">
      <c r="A8542" s="10">
        <v>45777</v>
      </c>
      <c r="B8542" t="s" s="11">
        <v>21</v>
      </c>
      <c r="C8542" t="s" s="12">
        <v>1134</v>
      </c>
      <c r="D8542" s="17"/>
      <c r="E8542" s="17">
        <v>1500</v>
      </c>
      <c r="F8542" s="18"/>
      <c r="G8542" s="18"/>
      <c r="H8542" s="18"/>
      <c r="I8542" s="18"/>
    </row>
    <row r="8543" ht="21.25" customHeight="1">
      <c r="A8543" s="10">
        <v>45777</v>
      </c>
      <c r="B8543" t="s" s="11">
        <v>16</v>
      </c>
      <c r="C8543" t="s" s="12">
        <v>1134</v>
      </c>
      <c r="D8543" s="13">
        <v>1500</v>
      </c>
      <c r="E8543" s="13"/>
      <c r="F8543" s="14"/>
      <c r="G8543" s="14"/>
      <c r="H8543" s="14"/>
      <c r="I8543" s="14"/>
    </row>
    <row r="8544" ht="20.7" customHeight="1">
      <c r="A8544" s="10">
        <v>45777</v>
      </c>
      <c r="B8544" t="s" s="11">
        <v>8</v>
      </c>
      <c r="C8544" t="s" s="12">
        <v>8</v>
      </c>
      <c r="D8544" s="15" cm="1">
        <f t="array" ref="D8544">SUM(D8542:D8543)</f>
        <v>1500</v>
      </c>
      <c r="E8544" s="15" cm="1">
        <f t="array" ref="E8544">SUM(E8542:E8543)</f>
        <v>1500</v>
      </c>
      <c r="F8544" s="16" cm="1">
        <f t="array" ref="F8544">SUM(F8542:F8543)</f>
        <v>0</v>
      </c>
      <c r="G8544" s="16" cm="1">
        <f t="array" ref="G8544">SUM(G8542:G8543)</f>
        <v>0</v>
      </c>
      <c r="H8544" s="16" cm="1">
        <f t="array" ref="H8544">SUM(H8542:H8543)</f>
        <v>0</v>
      </c>
      <c r="I8544" s="16" cm="1">
        <f t="array" ref="I8544">SUM(I8542:I8543)</f>
        <v>0</v>
      </c>
    </row>
    <row r="8545" ht="21.25" customHeight="1">
      <c r="A8545" s="10">
        <v>45778</v>
      </c>
      <c r="B8545" t="s" s="11">
        <v>97</v>
      </c>
      <c r="C8545" t="s" s="12">
        <v>98</v>
      </c>
      <c r="D8545" s="17"/>
      <c r="E8545" s="17">
        <v>800000</v>
      </c>
      <c r="F8545" s="18"/>
      <c r="G8545" s="18"/>
      <c r="H8545" s="18"/>
      <c r="I8545" s="18"/>
    </row>
    <row r="8546" ht="21.25" customHeight="1">
      <c r="A8546" s="10">
        <v>45778</v>
      </c>
      <c r="B8546" t="s" s="11">
        <v>99</v>
      </c>
      <c r="C8546" t="s" s="12">
        <v>98</v>
      </c>
      <c r="D8546" s="13">
        <v>800000</v>
      </c>
      <c r="E8546" s="13"/>
      <c r="F8546" s="14"/>
      <c r="G8546" s="14"/>
      <c r="H8546" s="14"/>
      <c r="I8546" s="14"/>
    </row>
    <row r="8547" ht="20.7" customHeight="1">
      <c r="A8547" s="10">
        <v>45778</v>
      </c>
      <c r="B8547" t="s" s="11">
        <v>8</v>
      </c>
      <c r="C8547" t="s" s="12">
        <v>8</v>
      </c>
      <c r="D8547" s="15" cm="1">
        <f t="array" ref="D8547">SUM(D8545:D8546)</f>
        <v>800000</v>
      </c>
      <c r="E8547" s="15" cm="1">
        <f t="array" ref="E8547">SUM(E8545:E8546)</f>
        <v>800000</v>
      </c>
      <c r="F8547" s="16" cm="1">
        <f t="array" ref="F8547">SUM(F8545:F8546)</f>
        <v>0</v>
      </c>
      <c r="G8547" s="16" cm="1">
        <f t="array" ref="G8547">SUM(G8545:G8546)</f>
        <v>0</v>
      </c>
      <c r="H8547" s="16" cm="1">
        <f t="array" ref="H8547">SUM(H8545:H8546)</f>
        <v>0</v>
      </c>
      <c r="I8547" s="16" cm="1">
        <f t="array" ref="I8547">SUM(I8545:I8546)</f>
        <v>0</v>
      </c>
    </row>
    <row r="8548" ht="21.25" customHeight="1">
      <c r="A8548" s="10">
        <v>45778</v>
      </c>
      <c r="B8548" t="s" s="11">
        <v>106</v>
      </c>
      <c r="C8548" t="s" s="12">
        <v>1152</v>
      </c>
      <c r="D8548" s="17"/>
      <c r="E8548" s="17">
        <v>17500</v>
      </c>
      <c r="F8548" s="18"/>
      <c r="G8548" s="18"/>
      <c r="H8548" s="18"/>
      <c r="I8548" s="18"/>
    </row>
    <row r="8549" ht="21.25" customHeight="1">
      <c r="A8549" s="10">
        <v>45778</v>
      </c>
      <c r="B8549" t="s" s="11">
        <v>10</v>
      </c>
      <c r="C8549" t="s" s="12">
        <v>1152</v>
      </c>
      <c r="D8549" s="13">
        <v>17500</v>
      </c>
      <c r="E8549" s="13"/>
      <c r="F8549" s="14"/>
      <c r="G8549" s="14"/>
      <c r="H8549" s="14"/>
      <c r="I8549" s="14"/>
    </row>
    <row r="8550" ht="20.7" customHeight="1">
      <c r="A8550" s="10">
        <v>45778</v>
      </c>
      <c r="B8550" t="s" s="11">
        <v>8</v>
      </c>
      <c r="C8550" t="s" s="12">
        <v>8</v>
      </c>
      <c r="D8550" s="15" cm="1">
        <f t="array" ref="D8550">SUM(D8548:D8549)</f>
        <v>17500</v>
      </c>
      <c r="E8550" s="15" cm="1">
        <f t="array" ref="E8550">SUM(E8548:E8549)</f>
        <v>17500</v>
      </c>
      <c r="F8550" s="16" cm="1">
        <f t="array" ref="F8550">SUM(F8548:F8549)</f>
        <v>0</v>
      </c>
      <c r="G8550" s="16" cm="1">
        <f t="array" ref="G8550">SUM(G8548:G8549)</f>
        <v>0</v>
      </c>
      <c r="H8550" s="16" cm="1">
        <f t="array" ref="H8550">SUM(H8548:H8549)</f>
        <v>0</v>
      </c>
      <c r="I8550" s="16" cm="1">
        <f t="array" ref="I8550">SUM(I8548:I8549)</f>
        <v>0</v>
      </c>
    </row>
    <row r="8551" ht="20.65" customHeight="1">
      <c r="A8551" s="10">
        <v>45778</v>
      </c>
      <c r="B8551" t="s" s="11">
        <v>843</v>
      </c>
      <c r="C8551" t="s" s="12">
        <v>820</v>
      </c>
      <c r="D8551" s="17">
        <v>1</v>
      </c>
      <c r="E8551" s="17"/>
      <c r="F8551" s="18"/>
      <c r="G8551" s="18"/>
      <c r="H8551" s="18"/>
      <c r="I8551" s="18"/>
    </row>
    <row r="8552" ht="20.65" customHeight="1">
      <c r="A8552" s="10">
        <v>45778</v>
      </c>
      <c r="B8552" t="s" s="11">
        <v>7</v>
      </c>
      <c r="C8552" t="s" s="12">
        <v>820</v>
      </c>
      <c r="D8552" s="13"/>
      <c r="E8552" s="13">
        <v>1</v>
      </c>
      <c r="F8552" s="14"/>
      <c r="G8552" s="14"/>
      <c r="H8552" s="14"/>
      <c r="I8552" s="14"/>
    </row>
    <row r="8553" ht="20.7" customHeight="1">
      <c r="A8553" s="10">
        <v>45778</v>
      </c>
      <c r="B8553" t="s" s="11">
        <v>8</v>
      </c>
      <c r="C8553" t="s" s="12">
        <v>8</v>
      </c>
      <c r="D8553" s="15" cm="1">
        <f t="array" ref="D8553">SUM(D8551:D8552)</f>
        <v>1</v>
      </c>
      <c r="E8553" s="15" cm="1">
        <f t="array" ref="E8553">SUM(E8551:E8552)</f>
        <v>1</v>
      </c>
      <c r="F8553" s="16" cm="1">
        <f t="array" ref="F8553">SUM(F8551:F8552)</f>
        <v>0</v>
      </c>
      <c r="G8553" s="16" cm="1">
        <f t="array" ref="G8553">SUM(G8551:G8552)</f>
        <v>0</v>
      </c>
      <c r="H8553" s="16" cm="1">
        <f t="array" ref="H8553">SUM(H8551:H8552)</f>
        <v>0</v>
      </c>
      <c r="I8553" s="16" cm="1">
        <f t="array" ref="I8553">SUM(I8551:I8552)</f>
        <v>0</v>
      </c>
    </row>
    <row r="8554" ht="20.65" customHeight="1">
      <c r="A8554" s="10">
        <v>45778</v>
      </c>
      <c r="B8554" t="s" s="11">
        <v>814</v>
      </c>
      <c r="C8554" t="s" s="12">
        <v>820</v>
      </c>
      <c r="D8554" s="17">
        <v>101</v>
      </c>
      <c r="E8554" s="17"/>
      <c r="F8554" s="18"/>
      <c r="G8554" s="18"/>
      <c r="H8554" s="18"/>
      <c r="I8554" s="18"/>
    </row>
    <row r="8555" ht="20.65" customHeight="1">
      <c r="A8555" s="10">
        <v>45778</v>
      </c>
      <c r="B8555" t="s" s="11">
        <v>7</v>
      </c>
      <c r="C8555" t="s" s="12">
        <v>820</v>
      </c>
      <c r="D8555" s="13"/>
      <c r="E8555" s="13">
        <v>101</v>
      </c>
      <c r="F8555" s="14"/>
      <c r="G8555" s="14"/>
      <c r="H8555" s="14"/>
      <c r="I8555" s="14"/>
    </row>
    <row r="8556" ht="20.7" customHeight="1">
      <c r="A8556" s="10">
        <v>45778</v>
      </c>
      <c r="B8556" t="s" s="11">
        <v>8</v>
      </c>
      <c r="C8556" t="s" s="12">
        <v>8</v>
      </c>
      <c r="D8556" s="15" cm="1">
        <f t="array" ref="D8556">SUM(D8554:D8555)</f>
        <v>101</v>
      </c>
      <c r="E8556" s="15" cm="1">
        <f t="array" ref="E8556">SUM(E8554:E8555)</f>
        <v>101</v>
      </c>
      <c r="F8556" s="16" cm="1">
        <f t="array" ref="F8556">SUM(F8554:F8555)</f>
        <v>0</v>
      </c>
      <c r="G8556" s="16" cm="1">
        <f t="array" ref="G8556">SUM(G8554:G8555)</f>
        <v>0</v>
      </c>
      <c r="H8556" s="16" cm="1">
        <f t="array" ref="H8556">SUM(H8554:H8555)</f>
        <v>0</v>
      </c>
      <c r="I8556" s="16" cm="1">
        <f t="array" ref="I8556">SUM(I8554:I8555)</f>
        <v>0</v>
      </c>
    </row>
    <row r="8557" ht="21.25" customHeight="1">
      <c r="A8557" s="10">
        <v>45778</v>
      </c>
      <c r="B8557" t="s" s="11">
        <v>5</v>
      </c>
      <c r="C8557" t="s" s="12">
        <v>1153</v>
      </c>
      <c r="D8557" s="17">
        <v>40</v>
      </c>
      <c r="E8557" s="17"/>
      <c r="F8557" s="18"/>
      <c r="G8557" s="18"/>
      <c r="H8557" s="18"/>
      <c r="I8557" s="18"/>
    </row>
    <row r="8558" ht="21.25" customHeight="1">
      <c r="A8558" s="10">
        <v>45778</v>
      </c>
      <c r="B8558" t="s" s="11">
        <v>7</v>
      </c>
      <c r="C8558" t="s" s="12">
        <v>1153</v>
      </c>
      <c r="D8558" s="13"/>
      <c r="E8558" s="13">
        <v>40</v>
      </c>
      <c r="F8558" s="14"/>
      <c r="G8558" s="14"/>
      <c r="H8558" s="14"/>
      <c r="I8558" s="14"/>
    </row>
    <row r="8559" ht="20.7" customHeight="1">
      <c r="A8559" s="10">
        <v>45778</v>
      </c>
      <c r="B8559" t="s" s="11">
        <v>8</v>
      </c>
      <c r="C8559" t="s" s="12">
        <v>8</v>
      </c>
      <c r="D8559" s="15" cm="1">
        <f t="array" ref="D8559">SUM(D8557:D8558)</f>
        <v>40</v>
      </c>
      <c r="E8559" s="15" cm="1">
        <f t="array" ref="E8559">SUM(E8557:E8558)</f>
        <v>40</v>
      </c>
      <c r="F8559" s="16" cm="1">
        <f t="array" ref="F8559">SUM(F8557:F8558)</f>
        <v>0</v>
      </c>
      <c r="G8559" s="16" cm="1">
        <f t="array" ref="G8559">SUM(G8557:G8558)</f>
        <v>0</v>
      </c>
      <c r="H8559" s="16" cm="1">
        <f t="array" ref="H8559">SUM(H8557:H8558)</f>
        <v>0</v>
      </c>
      <c r="I8559" s="16" cm="1">
        <f t="array" ref="I8559">SUM(I8557:I8558)</f>
        <v>0</v>
      </c>
    </row>
    <row r="8560" ht="21.25" customHeight="1">
      <c r="A8560" s="10">
        <v>45778</v>
      </c>
      <c r="B8560" t="s" s="11">
        <v>5</v>
      </c>
      <c r="C8560" t="s" s="12">
        <v>799</v>
      </c>
      <c r="D8560" s="17">
        <v>2</v>
      </c>
      <c r="E8560" s="17"/>
      <c r="F8560" s="18"/>
      <c r="G8560" s="18"/>
      <c r="H8560" s="18"/>
      <c r="I8560" s="18"/>
    </row>
    <row r="8561" ht="21.25" customHeight="1">
      <c r="A8561" s="10">
        <v>45778</v>
      </c>
      <c r="B8561" t="s" s="11">
        <v>18</v>
      </c>
      <c r="C8561" t="s" s="12">
        <v>799</v>
      </c>
      <c r="D8561" s="13"/>
      <c r="E8561" s="13">
        <v>2</v>
      </c>
      <c r="F8561" s="14"/>
      <c r="G8561" s="14"/>
      <c r="H8561" s="14"/>
      <c r="I8561" s="14"/>
    </row>
    <row r="8562" ht="20.7" customHeight="1">
      <c r="A8562" s="10">
        <v>45778</v>
      </c>
      <c r="B8562" t="s" s="11">
        <v>8</v>
      </c>
      <c r="C8562" t="s" s="12">
        <v>8</v>
      </c>
      <c r="D8562" s="15" cm="1">
        <f t="array" ref="D8562">SUM(D8560:D8561)</f>
        <v>2</v>
      </c>
      <c r="E8562" s="15" cm="1">
        <f t="array" ref="E8562">SUM(E8560:E8561)</f>
        <v>2</v>
      </c>
      <c r="F8562" s="16" cm="1">
        <f t="array" ref="F8562">SUM(F8560:F8561)</f>
        <v>0</v>
      </c>
      <c r="G8562" s="16" cm="1">
        <f t="array" ref="G8562">SUM(G8560:G8561)</f>
        <v>0</v>
      </c>
      <c r="H8562" s="16" cm="1">
        <f t="array" ref="H8562">SUM(H8560:H8561)</f>
        <v>0</v>
      </c>
      <c r="I8562" s="16" cm="1">
        <f t="array" ref="I8562">SUM(I8560:I8561)</f>
        <v>0</v>
      </c>
    </row>
    <row r="8563" ht="20.65" customHeight="1">
      <c r="A8563" s="10">
        <v>45778</v>
      </c>
      <c r="B8563" t="s" s="11">
        <v>107</v>
      </c>
      <c r="C8563" t="s" s="12">
        <v>1154</v>
      </c>
      <c r="D8563" s="17">
        <v>18000</v>
      </c>
      <c r="E8563" s="17"/>
      <c r="F8563" s="18"/>
      <c r="G8563" s="18"/>
      <c r="H8563" s="18"/>
      <c r="I8563" s="18"/>
    </row>
    <row r="8564" ht="20.65" customHeight="1">
      <c r="A8564" s="10">
        <v>45778</v>
      </c>
      <c r="B8564" t="s" s="11">
        <v>91</v>
      </c>
      <c r="C8564" t="s" s="12">
        <v>1154</v>
      </c>
      <c r="D8564" s="13"/>
      <c r="E8564" s="13">
        <v>18000</v>
      </c>
      <c r="F8564" s="14"/>
      <c r="G8564" s="14"/>
      <c r="H8564" s="14"/>
      <c r="I8564" s="14"/>
    </row>
    <row r="8565" ht="20.7" customHeight="1">
      <c r="A8565" s="10">
        <v>45778</v>
      </c>
      <c r="B8565" t="s" s="11">
        <v>8</v>
      </c>
      <c r="C8565" t="s" s="12">
        <v>8</v>
      </c>
      <c r="D8565" s="15" cm="1">
        <f t="array" ref="D8565">SUM(D8563:D8564)</f>
        <v>18000</v>
      </c>
      <c r="E8565" s="15" cm="1">
        <f t="array" ref="E8565">SUM(E8563:E8564)</f>
        <v>18000</v>
      </c>
      <c r="F8565" s="16" cm="1">
        <f t="array" ref="F8565">SUM(F8563:F8564)</f>
        <v>0</v>
      </c>
      <c r="G8565" s="16" cm="1">
        <f t="array" ref="G8565">SUM(G8563:G8564)</f>
        <v>0</v>
      </c>
      <c r="H8565" s="16" cm="1">
        <f t="array" ref="H8565">SUM(H8563:H8564)</f>
        <v>0</v>
      </c>
      <c r="I8565" s="16" cm="1">
        <f t="array" ref="I8565">SUM(I8563:I8564)</f>
        <v>0</v>
      </c>
    </row>
    <row r="8566" ht="20.35" customHeight="1">
      <c r="A8566" s="10">
        <v>45778</v>
      </c>
      <c r="B8566" t="s" s="11">
        <v>1155</v>
      </c>
      <c r="C8566" t="s" s="12">
        <v>961</v>
      </c>
      <c r="D8566" s="17"/>
      <c r="E8566" s="17"/>
      <c r="F8566" s="18"/>
      <c r="G8566" s="18"/>
      <c r="H8566" s="18">
        <v>495.02</v>
      </c>
      <c r="I8566" s="18"/>
    </row>
    <row r="8567" ht="20.35" customHeight="1">
      <c r="A8567" s="10">
        <v>45778</v>
      </c>
      <c r="B8567" t="s" s="11">
        <v>1156</v>
      </c>
      <c r="C8567" t="s" s="12">
        <v>961</v>
      </c>
      <c r="D8567" s="13"/>
      <c r="E8567" s="13"/>
      <c r="F8567" s="14"/>
      <c r="G8567" s="14"/>
      <c r="H8567" s="14"/>
      <c r="I8567" s="14">
        <v>495.02</v>
      </c>
    </row>
    <row r="8568" ht="20.7" customHeight="1">
      <c r="A8568" s="10">
        <v>45778</v>
      </c>
      <c r="B8568" t="s" s="11">
        <v>8</v>
      </c>
      <c r="C8568" t="s" s="12">
        <v>8</v>
      </c>
      <c r="D8568" s="15" cm="1">
        <f t="array" ref="D8568">SUM(D8566:D8567)</f>
        <v>0</v>
      </c>
      <c r="E8568" s="15" cm="1">
        <f t="array" ref="E8568">SUM(E8566:E8567)</f>
        <v>0</v>
      </c>
      <c r="F8568" s="16" cm="1">
        <f t="array" ref="F8568">SUM(F8566:F8567)</f>
        <v>0</v>
      </c>
      <c r="G8568" s="16" cm="1">
        <f t="array" ref="G8568">SUM(G8566:G8567)</f>
        <v>0</v>
      </c>
      <c r="H8568" s="16" cm="1">
        <f t="array" ref="H8568">SUM(H8566:H8567)</f>
        <v>495.02</v>
      </c>
      <c r="I8568" s="16" cm="1">
        <f t="array" ref="I8568">SUM(I8566:I8567)</f>
        <v>495.02</v>
      </c>
    </row>
    <row r="8569" ht="20.35" customHeight="1">
      <c r="A8569" s="10">
        <v>45778</v>
      </c>
      <c r="B8569" t="s" s="11">
        <v>93</v>
      </c>
      <c r="C8569" t="s" s="12">
        <v>273</v>
      </c>
      <c r="D8569" s="17">
        <v>16400</v>
      </c>
      <c r="E8569" s="17"/>
      <c r="F8569" s="18"/>
      <c r="G8569" s="18"/>
      <c r="H8569" s="18"/>
      <c r="I8569" s="18"/>
    </row>
    <row r="8570" ht="20.05" customHeight="1">
      <c r="A8570" s="10">
        <v>45778</v>
      </c>
      <c r="B8570" t="s" s="11">
        <v>91</v>
      </c>
      <c r="C8570" t="s" s="12">
        <v>273</v>
      </c>
      <c r="D8570" s="19"/>
      <c r="E8570" s="19">
        <v>2600</v>
      </c>
      <c r="F8570" s="20"/>
      <c r="G8570" s="20"/>
      <c r="H8570" s="20"/>
      <c r="I8570" s="20"/>
    </row>
    <row r="8571" ht="20.35" customHeight="1">
      <c r="A8571" s="10">
        <v>45778</v>
      </c>
      <c r="B8571" t="s" s="11">
        <v>89</v>
      </c>
      <c r="C8571" t="s" s="12">
        <v>273</v>
      </c>
      <c r="D8571" s="13"/>
      <c r="E8571" s="13">
        <v>13800</v>
      </c>
      <c r="F8571" s="14"/>
      <c r="G8571" s="14"/>
      <c r="H8571" s="14"/>
      <c r="I8571" s="14"/>
    </row>
    <row r="8572" ht="20.7" customHeight="1">
      <c r="A8572" s="10">
        <v>45778</v>
      </c>
      <c r="B8572" t="s" s="11">
        <v>8</v>
      </c>
      <c r="C8572" t="s" s="12">
        <v>8</v>
      </c>
      <c r="D8572" s="15" cm="1">
        <f t="array" ref="D8572">SUM(D8569:D8571)</f>
        <v>16400</v>
      </c>
      <c r="E8572" s="15" cm="1">
        <f t="array" ref="E8572">SUM(E8569:E8571)</f>
        <v>16400</v>
      </c>
      <c r="F8572" s="16" cm="1">
        <f t="array" ref="F8572">SUM(F8569:F8571)</f>
        <v>0</v>
      </c>
      <c r="G8572" s="16" cm="1">
        <f t="array" ref="G8572">SUM(G8569:G8571)</f>
        <v>0</v>
      </c>
      <c r="H8572" s="16" cm="1">
        <f t="array" ref="H8572">SUM(H8570:H8571)</f>
        <v>0</v>
      </c>
      <c r="I8572" s="16" cm="1">
        <f t="array" ref="I8572">SUM(I8570:I8571)</f>
        <v>0</v>
      </c>
    </row>
    <row r="8573" ht="20.65" customHeight="1">
      <c r="A8573" s="10">
        <v>45779</v>
      </c>
      <c r="B8573" t="s" s="11">
        <v>843</v>
      </c>
      <c r="C8573" t="s" s="12">
        <v>820</v>
      </c>
      <c r="D8573" s="17">
        <v>1</v>
      </c>
      <c r="E8573" s="17"/>
      <c r="F8573" s="18"/>
      <c r="G8573" s="18"/>
      <c r="H8573" s="18"/>
      <c r="I8573" s="18"/>
    </row>
    <row r="8574" ht="20.65" customHeight="1">
      <c r="A8574" s="10">
        <v>45779</v>
      </c>
      <c r="B8574" t="s" s="11">
        <v>7</v>
      </c>
      <c r="C8574" t="s" s="12">
        <v>820</v>
      </c>
      <c r="D8574" s="13"/>
      <c r="E8574" s="13">
        <v>1</v>
      </c>
      <c r="F8574" s="14"/>
      <c r="G8574" s="14"/>
      <c r="H8574" s="14"/>
      <c r="I8574" s="14"/>
    </row>
    <row r="8575" ht="20.7" customHeight="1">
      <c r="A8575" s="10">
        <v>45779</v>
      </c>
      <c r="B8575" t="s" s="11">
        <v>8</v>
      </c>
      <c r="C8575" t="s" s="12">
        <v>8</v>
      </c>
      <c r="D8575" s="15" cm="1">
        <f t="array" ref="D8575">SUM(D8573:D8574)</f>
        <v>1</v>
      </c>
      <c r="E8575" s="15" cm="1">
        <f t="array" ref="E8575">SUM(E8573:E8574)</f>
        <v>1</v>
      </c>
      <c r="F8575" s="16" cm="1">
        <f t="array" ref="F8575">SUM(F8573:F8574)</f>
        <v>0</v>
      </c>
      <c r="G8575" s="16" cm="1">
        <f t="array" ref="G8575">SUM(G8573:G8574)</f>
        <v>0</v>
      </c>
      <c r="H8575" s="16" cm="1">
        <f t="array" ref="H8575">SUM(H8573:H8574)</f>
        <v>0</v>
      </c>
      <c r="I8575" s="16" cm="1">
        <f t="array" ref="I8575">SUM(I8573:I8574)</f>
        <v>0</v>
      </c>
    </row>
    <row r="8576" ht="20.65" customHeight="1">
      <c r="A8576" s="10">
        <v>45779</v>
      </c>
      <c r="B8576" t="s" s="11">
        <v>814</v>
      </c>
      <c r="C8576" t="s" s="12">
        <v>820</v>
      </c>
      <c r="D8576" s="17">
        <v>101</v>
      </c>
      <c r="E8576" s="17"/>
      <c r="F8576" s="18"/>
      <c r="G8576" s="18"/>
      <c r="H8576" s="18"/>
      <c r="I8576" s="18"/>
    </row>
    <row r="8577" ht="20.65" customHeight="1">
      <c r="A8577" s="10">
        <v>45779</v>
      </c>
      <c r="B8577" t="s" s="11">
        <v>7</v>
      </c>
      <c r="C8577" t="s" s="12">
        <v>820</v>
      </c>
      <c r="D8577" s="13"/>
      <c r="E8577" s="13">
        <v>101</v>
      </c>
      <c r="F8577" s="14"/>
      <c r="G8577" s="14"/>
      <c r="H8577" s="14"/>
      <c r="I8577" s="14"/>
    </row>
    <row r="8578" ht="20.7" customHeight="1">
      <c r="A8578" s="10">
        <v>45779</v>
      </c>
      <c r="B8578" t="s" s="11">
        <v>8</v>
      </c>
      <c r="C8578" t="s" s="12">
        <v>8</v>
      </c>
      <c r="D8578" s="15" cm="1">
        <f t="array" ref="D8578">SUM(D8576:D8577)</f>
        <v>101</v>
      </c>
      <c r="E8578" s="15" cm="1">
        <f t="array" ref="E8578">SUM(E8576:E8577)</f>
        <v>101</v>
      </c>
      <c r="F8578" s="16" cm="1">
        <f t="array" ref="F8578">SUM(F8576:F8577)</f>
        <v>0</v>
      </c>
      <c r="G8578" s="16" cm="1">
        <f t="array" ref="G8578">SUM(G8576:G8577)</f>
        <v>0</v>
      </c>
      <c r="H8578" s="16" cm="1">
        <f t="array" ref="H8578">SUM(H8576:H8577)</f>
        <v>0</v>
      </c>
      <c r="I8578" s="16" cm="1">
        <f t="array" ref="I8578">SUM(I8576:I8577)</f>
        <v>0</v>
      </c>
    </row>
    <row r="8579" ht="20.35" customHeight="1">
      <c r="A8579" s="10">
        <v>45779</v>
      </c>
      <c r="B8579" t="s" s="11">
        <v>93</v>
      </c>
      <c r="C8579" t="s" s="12">
        <v>96</v>
      </c>
      <c r="D8579" s="17"/>
      <c r="E8579" s="17">
        <v>66400</v>
      </c>
      <c r="F8579" s="18"/>
      <c r="G8579" s="18"/>
      <c r="H8579" s="18"/>
      <c r="I8579" s="18"/>
    </row>
    <row r="8580" ht="20.35" customHeight="1">
      <c r="A8580" s="10">
        <v>45779</v>
      </c>
      <c r="B8580" t="s" s="11">
        <v>5</v>
      </c>
      <c r="C8580" t="s" s="12">
        <v>96</v>
      </c>
      <c r="D8580" s="13">
        <v>66400</v>
      </c>
      <c r="E8580" s="13"/>
      <c r="F8580" s="14"/>
      <c r="G8580" s="14"/>
      <c r="H8580" s="14"/>
      <c r="I8580" s="14"/>
    </row>
    <row r="8581" ht="20.7" customHeight="1">
      <c r="A8581" s="10">
        <v>45779</v>
      </c>
      <c r="B8581" t="s" s="11">
        <v>8</v>
      </c>
      <c r="C8581" t="s" s="12">
        <v>8</v>
      </c>
      <c r="D8581" s="15" cm="1">
        <f t="array" ref="D8581">SUM(D8579:D8580)</f>
        <v>66400</v>
      </c>
      <c r="E8581" s="15" cm="1">
        <f t="array" ref="E8581">SUM(E8579:E8580)</f>
        <v>66400</v>
      </c>
      <c r="F8581" s="16" cm="1">
        <f t="array" ref="F8581">SUM(F8579:F8580)</f>
        <v>0</v>
      </c>
      <c r="G8581" s="16" cm="1">
        <f t="array" ref="G8581">SUM(G8579:G8580)</f>
        <v>0</v>
      </c>
      <c r="H8581" s="16" cm="1">
        <f t="array" ref="H8581">SUM(H8579:H8580)</f>
        <v>0</v>
      </c>
      <c r="I8581" s="16" cm="1">
        <f t="array" ref="I8581">SUM(I8579:I8580)</f>
        <v>0</v>
      </c>
    </row>
    <row r="8582" ht="20.65" customHeight="1">
      <c r="A8582" s="10">
        <v>45780</v>
      </c>
      <c r="B8582" t="s" s="11">
        <v>843</v>
      </c>
      <c r="C8582" t="s" s="12">
        <v>820</v>
      </c>
      <c r="D8582" s="17">
        <v>1</v>
      </c>
      <c r="E8582" s="17"/>
      <c r="F8582" s="18"/>
      <c r="G8582" s="18"/>
      <c r="H8582" s="18"/>
      <c r="I8582" s="18"/>
    </row>
    <row r="8583" ht="20.65" customHeight="1">
      <c r="A8583" s="10">
        <v>45780</v>
      </c>
      <c r="B8583" t="s" s="11">
        <v>7</v>
      </c>
      <c r="C8583" t="s" s="12">
        <v>820</v>
      </c>
      <c r="D8583" s="13"/>
      <c r="E8583" s="13">
        <v>1</v>
      </c>
      <c r="F8583" s="14"/>
      <c r="G8583" s="14"/>
      <c r="H8583" s="14"/>
      <c r="I8583" s="14"/>
    </row>
    <row r="8584" ht="20.7" customHeight="1">
      <c r="A8584" s="10">
        <v>45780</v>
      </c>
      <c r="B8584" t="s" s="11">
        <v>8</v>
      </c>
      <c r="C8584" t="s" s="12">
        <v>8</v>
      </c>
      <c r="D8584" s="15" cm="1">
        <f t="array" ref="D8584">SUM(D8582:D8583)</f>
        <v>1</v>
      </c>
      <c r="E8584" s="15" cm="1">
        <f t="array" ref="E8584">SUM(E8582:E8583)</f>
        <v>1</v>
      </c>
      <c r="F8584" s="16" cm="1">
        <f t="array" ref="F8584">SUM(F8582:F8583)</f>
        <v>0</v>
      </c>
      <c r="G8584" s="16" cm="1">
        <f t="array" ref="G8584">SUM(G8582:G8583)</f>
        <v>0</v>
      </c>
      <c r="H8584" s="16" cm="1">
        <f t="array" ref="H8584">SUM(H8582:H8583)</f>
        <v>0</v>
      </c>
      <c r="I8584" s="16" cm="1">
        <f t="array" ref="I8584">SUM(I8582:I8583)</f>
        <v>0</v>
      </c>
    </row>
    <row r="8585" ht="20.65" customHeight="1">
      <c r="A8585" s="10">
        <v>45780</v>
      </c>
      <c r="B8585" t="s" s="11">
        <v>814</v>
      </c>
      <c r="C8585" t="s" s="12">
        <v>820</v>
      </c>
      <c r="D8585" s="17">
        <v>101</v>
      </c>
      <c r="E8585" s="17"/>
      <c r="F8585" s="18"/>
      <c r="G8585" s="18"/>
      <c r="H8585" s="18"/>
      <c r="I8585" s="18"/>
    </row>
    <row r="8586" ht="20.65" customHeight="1">
      <c r="A8586" s="10">
        <v>45780</v>
      </c>
      <c r="B8586" t="s" s="11">
        <v>7</v>
      </c>
      <c r="C8586" t="s" s="12">
        <v>820</v>
      </c>
      <c r="D8586" s="13"/>
      <c r="E8586" s="13">
        <v>101</v>
      </c>
      <c r="F8586" s="14"/>
      <c r="G8586" s="14"/>
      <c r="H8586" s="14"/>
      <c r="I8586" s="14"/>
    </row>
    <row r="8587" ht="20.7" customHeight="1">
      <c r="A8587" s="10">
        <v>45780</v>
      </c>
      <c r="B8587" t="s" s="11">
        <v>8</v>
      </c>
      <c r="C8587" t="s" s="12">
        <v>8</v>
      </c>
      <c r="D8587" s="15" cm="1">
        <f t="array" ref="D8587">SUM(D8585:D8586)</f>
        <v>101</v>
      </c>
      <c r="E8587" s="15" cm="1">
        <f t="array" ref="E8587">SUM(E8585:E8586)</f>
        <v>101</v>
      </c>
      <c r="F8587" s="16" cm="1">
        <f t="array" ref="F8587">SUM(F8585:F8586)</f>
        <v>0</v>
      </c>
      <c r="G8587" s="16" cm="1">
        <f t="array" ref="G8587">SUM(G8585:G8586)</f>
        <v>0</v>
      </c>
      <c r="H8587" s="16" cm="1">
        <f t="array" ref="H8587">SUM(H8585:H8586)</f>
        <v>0</v>
      </c>
      <c r="I8587" s="16" cm="1">
        <f t="array" ref="I8587">SUM(I8585:I8586)</f>
        <v>0</v>
      </c>
    </row>
    <row r="8588" ht="20.35" customHeight="1">
      <c r="A8588" s="10">
        <v>45780</v>
      </c>
      <c r="B8588" t="s" s="11">
        <v>5</v>
      </c>
      <c r="C8588" t="s" s="12">
        <v>604</v>
      </c>
      <c r="D8588" s="17"/>
      <c r="E8588" s="17">
        <v>10000</v>
      </c>
      <c r="F8588" s="18"/>
      <c r="G8588" s="18"/>
      <c r="H8588" s="18"/>
      <c r="I8588" s="18"/>
    </row>
    <row r="8589" ht="20.35" customHeight="1">
      <c r="A8589" s="10">
        <v>45780</v>
      </c>
      <c r="B8589" t="s" s="11">
        <v>93</v>
      </c>
      <c r="C8589" t="s" s="12">
        <v>604</v>
      </c>
      <c r="D8589" s="13">
        <v>10000</v>
      </c>
      <c r="E8589" s="13"/>
      <c r="F8589" s="14"/>
      <c r="G8589" s="14"/>
      <c r="H8589" s="14"/>
      <c r="I8589" s="14"/>
    </row>
    <row r="8590" ht="20.7" customHeight="1">
      <c r="A8590" s="10">
        <v>45780</v>
      </c>
      <c r="B8590" t="s" s="11">
        <v>8</v>
      </c>
      <c r="C8590" t="s" s="12">
        <v>8</v>
      </c>
      <c r="D8590" s="15" cm="1">
        <f t="array" ref="D8590">SUM(D8588:D8589)</f>
        <v>10000</v>
      </c>
      <c r="E8590" s="15" cm="1">
        <f t="array" ref="E8590">SUM(E8588:E8589)</f>
        <v>10000</v>
      </c>
      <c r="F8590" s="16" cm="1">
        <f t="array" ref="F8590">SUM(F8588:F8589)</f>
        <v>0</v>
      </c>
      <c r="G8590" s="16" cm="1">
        <f t="array" ref="G8590">SUM(G8588:G8589)</f>
        <v>0</v>
      </c>
      <c r="H8590" s="16" cm="1">
        <f t="array" ref="H8590">SUM(H8588:H8589)</f>
        <v>0</v>
      </c>
      <c r="I8590" s="16" cm="1">
        <f t="array" ref="I8590">SUM(I8588:I8589)</f>
        <v>0</v>
      </c>
    </row>
    <row r="8591" ht="20.35" customHeight="1">
      <c r="A8591" s="10">
        <v>45780</v>
      </c>
      <c r="B8591" t="s" s="11">
        <v>93</v>
      </c>
      <c r="C8591" t="s" s="12">
        <v>13</v>
      </c>
      <c r="D8591" s="17"/>
      <c r="E8591" s="17">
        <v>8900</v>
      </c>
      <c r="F8591" s="18"/>
      <c r="G8591" s="18"/>
      <c r="H8591" s="18"/>
      <c r="I8591" s="18"/>
    </row>
    <row r="8592" ht="20.35" customHeight="1">
      <c r="A8592" s="10">
        <v>45780</v>
      </c>
      <c r="B8592" t="s" s="11">
        <v>10</v>
      </c>
      <c r="C8592" t="s" s="12">
        <v>13</v>
      </c>
      <c r="D8592" s="13">
        <v>8900</v>
      </c>
      <c r="E8592" s="13"/>
      <c r="F8592" s="14"/>
      <c r="G8592" s="14"/>
      <c r="H8592" s="14"/>
      <c r="I8592" s="14"/>
    </row>
    <row r="8593" ht="20.7" customHeight="1">
      <c r="A8593" s="10">
        <v>45780</v>
      </c>
      <c r="B8593" t="s" s="11">
        <v>8</v>
      </c>
      <c r="C8593" t="s" s="12">
        <v>8</v>
      </c>
      <c r="D8593" s="15" cm="1">
        <f t="array" ref="D8593">SUM(D8591:D8592)</f>
        <v>8900</v>
      </c>
      <c r="E8593" s="15" cm="1">
        <f t="array" ref="E8593">SUM(E8591:E8592)</f>
        <v>8900</v>
      </c>
      <c r="F8593" s="16" cm="1">
        <f t="array" ref="F8593">SUM(F8591:F8592)</f>
        <v>0</v>
      </c>
      <c r="G8593" s="16" cm="1">
        <f t="array" ref="G8593">SUM(G8591:G8592)</f>
        <v>0</v>
      </c>
      <c r="H8593" s="16" cm="1">
        <f t="array" ref="H8593">SUM(H8591:H8592)</f>
        <v>0</v>
      </c>
      <c r="I8593" s="16" cm="1">
        <f t="array" ref="I8593">SUM(I8591:I8592)</f>
        <v>0</v>
      </c>
    </row>
    <row r="8594" ht="21.25" customHeight="1">
      <c r="A8594" s="10">
        <v>45780</v>
      </c>
      <c r="B8594" t="s" s="11">
        <v>5</v>
      </c>
      <c r="C8594" t="s" s="12">
        <v>1157</v>
      </c>
      <c r="D8594" s="17"/>
      <c r="E8594" s="17">
        <v>21000</v>
      </c>
      <c r="F8594" s="18"/>
      <c r="G8594" s="18"/>
      <c r="H8594" s="18"/>
      <c r="I8594" s="18"/>
    </row>
    <row r="8595" ht="21.25" customHeight="1">
      <c r="A8595" s="10">
        <v>45780</v>
      </c>
      <c r="B8595" t="s" s="11">
        <v>10</v>
      </c>
      <c r="C8595" t="s" s="12">
        <v>1157</v>
      </c>
      <c r="D8595" s="13">
        <v>21000</v>
      </c>
      <c r="E8595" s="13"/>
      <c r="F8595" s="14"/>
      <c r="G8595" s="14"/>
      <c r="H8595" s="14"/>
      <c r="I8595" s="14"/>
    </row>
    <row r="8596" ht="20.7" customHeight="1">
      <c r="A8596" s="10">
        <v>45780</v>
      </c>
      <c r="B8596" t="s" s="11">
        <v>8</v>
      </c>
      <c r="C8596" t="s" s="12">
        <v>8</v>
      </c>
      <c r="D8596" s="15" cm="1">
        <f t="array" ref="D8596">SUM(D8594:D8595)</f>
        <v>21000</v>
      </c>
      <c r="E8596" s="15" cm="1">
        <f t="array" ref="E8596">SUM(E8594:E8595)</f>
        <v>21000</v>
      </c>
      <c r="F8596" s="16" cm="1">
        <f t="array" ref="F8596">SUM(F8594:F8595)</f>
        <v>0</v>
      </c>
      <c r="G8596" s="16" cm="1">
        <f t="array" ref="G8596">SUM(G8594:G8595)</f>
        <v>0</v>
      </c>
      <c r="H8596" s="16" cm="1">
        <f t="array" ref="H8596">SUM(H8594:H8595)</f>
        <v>0</v>
      </c>
      <c r="I8596" s="16" cm="1">
        <f t="array" ref="I8596">SUM(I8594:I8595)</f>
        <v>0</v>
      </c>
    </row>
    <row r="8597" ht="20.35" customHeight="1">
      <c r="A8597" s="10">
        <v>45780</v>
      </c>
      <c r="B8597" t="s" s="11">
        <v>5</v>
      </c>
      <c r="C8597" t="s" s="12">
        <v>1158</v>
      </c>
      <c r="D8597" s="17"/>
      <c r="E8597" s="17">
        <v>19600</v>
      </c>
      <c r="F8597" s="18"/>
      <c r="G8597" s="18"/>
      <c r="H8597" s="18"/>
      <c r="I8597" s="18"/>
    </row>
    <row r="8598" ht="20.35" customHeight="1">
      <c r="A8598" s="10">
        <v>45780</v>
      </c>
      <c r="B8598" t="s" s="11">
        <v>10</v>
      </c>
      <c r="C8598" t="s" s="12">
        <v>1158</v>
      </c>
      <c r="D8598" s="13">
        <v>19600</v>
      </c>
      <c r="E8598" s="13"/>
      <c r="F8598" s="14"/>
      <c r="G8598" s="14"/>
      <c r="H8598" s="14"/>
      <c r="I8598" s="14"/>
    </row>
    <row r="8599" ht="20.7" customHeight="1">
      <c r="A8599" s="10">
        <v>45780</v>
      </c>
      <c r="B8599" t="s" s="11">
        <v>8</v>
      </c>
      <c r="C8599" t="s" s="12">
        <v>8</v>
      </c>
      <c r="D8599" s="15" cm="1">
        <f t="array" ref="D8599">SUM(D8597:D8598)</f>
        <v>19600</v>
      </c>
      <c r="E8599" s="15" cm="1">
        <f t="array" ref="E8599">SUM(E8597:E8598)</f>
        <v>19600</v>
      </c>
      <c r="F8599" s="16" cm="1">
        <f t="array" ref="F8599">SUM(F8597:F8598)</f>
        <v>0</v>
      </c>
      <c r="G8599" s="16" cm="1">
        <f t="array" ref="G8599">SUM(G8597:G8598)</f>
        <v>0</v>
      </c>
      <c r="H8599" s="16" cm="1">
        <f t="array" ref="H8599">SUM(H8597:H8598)</f>
        <v>0</v>
      </c>
      <c r="I8599" s="16" cm="1">
        <f t="array" ref="I8599">SUM(I8597:I8598)</f>
        <v>0</v>
      </c>
    </row>
    <row r="8600" ht="20.35" customHeight="1">
      <c r="A8600" s="10">
        <v>45780</v>
      </c>
      <c r="B8600" t="s" s="11">
        <v>18</v>
      </c>
      <c r="C8600" t="s" s="12">
        <v>17</v>
      </c>
      <c r="D8600" s="17"/>
      <c r="E8600" s="17">
        <v>500</v>
      </c>
      <c r="F8600" s="18"/>
      <c r="G8600" s="18"/>
      <c r="H8600" s="18"/>
      <c r="I8600" s="18"/>
    </row>
    <row r="8601" ht="20.35" customHeight="1">
      <c r="A8601" s="10">
        <v>45780</v>
      </c>
      <c r="B8601" t="s" s="11">
        <v>5</v>
      </c>
      <c r="C8601" t="s" s="12">
        <v>17</v>
      </c>
      <c r="D8601" s="13">
        <v>500</v>
      </c>
      <c r="E8601" s="13"/>
      <c r="F8601" s="14"/>
      <c r="G8601" s="14"/>
      <c r="H8601" s="14"/>
      <c r="I8601" s="14"/>
    </row>
    <row r="8602" ht="20.7" customHeight="1">
      <c r="A8602" s="10">
        <v>45780</v>
      </c>
      <c r="B8602" t="s" s="11">
        <v>8</v>
      </c>
      <c r="C8602" t="s" s="12">
        <v>8</v>
      </c>
      <c r="D8602" s="15" cm="1">
        <f t="array" ref="D8602">SUM(D8600:D8601)</f>
        <v>500</v>
      </c>
      <c r="E8602" s="15" cm="1">
        <f t="array" ref="E8602">SUM(E8600:E8601)</f>
        <v>500</v>
      </c>
      <c r="F8602" s="16" cm="1">
        <f t="array" ref="F8602">SUM(F8600:F8601)</f>
        <v>0</v>
      </c>
      <c r="G8602" s="16" cm="1">
        <f t="array" ref="G8602">SUM(G8600:G8601)</f>
        <v>0</v>
      </c>
      <c r="H8602" s="16" cm="1">
        <f t="array" ref="H8602">SUM(H8600:H8601)</f>
        <v>0</v>
      </c>
      <c r="I8602" s="16" cm="1">
        <f t="array" ref="I8602">SUM(I8600:I8601)</f>
        <v>0</v>
      </c>
    </row>
    <row r="8603" ht="21.25" customHeight="1">
      <c r="A8603" s="10">
        <v>45780</v>
      </c>
      <c r="B8603" t="s" s="11">
        <v>5</v>
      </c>
      <c r="C8603" t="s" s="12">
        <v>1157</v>
      </c>
      <c r="D8603" s="17"/>
      <c r="E8603" s="17">
        <v>10000</v>
      </c>
      <c r="F8603" s="18"/>
      <c r="G8603" s="18"/>
      <c r="H8603" s="18"/>
      <c r="I8603" s="18"/>
    </row>
    <row r="8604" ht="21.25" customHeight="1">
      <c r="A8604" s="10">
        <v>45780</v>
      </c>
      <c r="B8604" t="s" s="11">
        <v>10</v>
      </c>
      <c r="C8604" t="s" s="12">
        <v>1157</v>
      </c>
      <c r="D8604" s="13">
        <v>10000</v>
      </c>
      <c r="E8604" s="13"/>
      <c r="F8604" s="14"/>
      <c r="G8604" s="14"/>
      <c r="H8604" s="14"/>
      <c r="I8604" s="14"/>
    </row>
    <row r="8605" ht="20.7" customHeight="1">
      <c r="A8605" s="10">
        <v>45780</v>
      </c>
      <c r="B8605" t="s" s="11">
        <v>8</v>
      </c>
      <c r="C8605" t="s" s="12">
        <v>8</v>
      </c>
      <c r="D8605" s="15" cm="1">
        <f t="array" ref="D8605">SUM(D8603:D8604)</f>
        <v>10000</v>
      </c>
      <c r="E8605" s="15" cm="1">
        <f t="array" ref="E8605">SUM(E8603:E8604)</f>
        <v>10000</v>
      </c>
      <c r="F8605" s="16" cm="1">
        <f t="array" ref="F8605">SUM(F8603:F8604)</f>
        <v>0</v>
      </c>
      <c r="G8605" s="16" cm="1">
        <f t="array" ref="G8605">SUM(G8603:G8604)</f>
        <v>0</v>
      </c>
      <c r="H8605" s="16" cm="1">
        <f t="array" ref="H8605">SUM(H8603:H8604)</f>
        <v>0</v>
      </c>
      <c r="I8605" s="16" cm="1">
        <f t="array" ref="I8605">SUM(I8603:I8604)</f>
        <v>0</v>
      </c>
    </row>
    <row r="8606" ht="21.25" customHeight="1">
      <c r="A8606" s="10">
        <v>45780</v>
      </c>
      <c r="B8606" t="s" s="11">
        <v>5</v>
      </c>
      <c r="C8606" t="s" s="12">
        <v>1157</v>
      </c>
      <c r="D8606" s="17"/>
      <c r="E8606" s="17">
        <v>25300</v>
      </c>
      <c r="F8606" s="18"/>
      <c r="G8606" s="18"/>
      <c r="H8606" s="18"/>
      <c r="I8606" s="18"/>
    </row>
    <row r="8607" ht="21.25" customHeight="1">
      <c r="A8607" s="10">
        <v>45780</v>
      </c>
      <c r="B8607" t="s" s="11">
        <v>10</v>
      </c>
      <c r="C8607" t="s" s="12">
        <v>1157</v>
      </c>
      <c r="D8607" s="13">
        <v>25300</v>
      </c>
      <c r="E8607" s="13"/>
      <c r="F8607" s="14"/>
      <c r="G8607" s="14"/>
      <c r="H8607" s="14"/>
      <c r="I8607" s="14"/>
    </row>
    <row r="8608" ht="20.7" customHeight="1">
      <c r="A8608" s="10">
        <v>45780</v>
      </c>
      <c r="B8608" t="s" s="11">
        <v>8</v>
      </c>
      <c r="C8608" t="s" s="12">
        <v>8</v>
      </c>
      <c r="D8608" s="15" cm="1">
        <f t="array" ref="D8608">SUM(D8606:D8607)</f>
        <v>25300</v>
      </c>
      <c r="E8608" s="15" cm="1">
        <f t="array" ref="E8608">SUM(E8606:E8607)</f>
        <v>25300</v>
      </c>
      <c r="F8608" s="16" cm="1">
        <f t="array" ref="F8608">SUM(F8606:F8607)</f>
        <v>0</v>
      </c>
      <c r="G8608" s="16" cm="1">
        <f t="array" ref="G8608">SUM(G8606:G8607)</f>
        <v>0</v>
      </c>
      <c r="H8608" s="16" cm="1">
        <f t="array" ref="H8608">SUM(H8606:H8607)</f>
        <v>0</v>
      </c>
      <c r="I8608" s="16" cm="1">
        <f t="array" ref="I8608">SUM(I8606:I8607)</f>
        <v>0</v>
      </c>
    </row>
    <row r="8609" ht="20.65" customHeight="1">
      <c r="A8609" s="10">
        <v>45781</v>
      </c>
      <c r="B8609" t="s" s="11">
        <v>843</v>
      </c>
      <c r="C8609" t="s" s="12">
        <v>820</v>
      </c>
      <c r="D8609" s="17">
        <v>1</v>
      </c>
      <c r="E8609" s="17"/>
      <c r="F8609" s="18"/>
      <c r="G8609" s="18"/>
      <c r="H8609" s="18"/>
      <c r="I8609" s="18"/>
    </row>
    <row r="8610" ht="20.65" customHeight="1">
      <c r="A8610" s="10">
        <v>45781</v>
      </c>
      <c r="B8610" t="s" s="11">
        <v>7</v>
      </c>
      <c r="C8610" t="s" s="12">
        <v>820</v>
      </c>
      <c r="D8610" s="13"/>
      <c r="E8610" s="13">
        <v>1</v>
      </c>
      <c r="F8610" s="14"/>
      <c r="G8610" s="14"/>
      <c r="H8610" s="14"/>
      <c r="I8610" s="14"/>
    </row>
    <row r="8611" ht="20.7" customHeight="1">
      <c r="A8611" s="10">
        <v>45781</v>
      </c>
      <c r="B8611" t="s" s="11">
        <v>8</v>
      </c>
      <c r="C8611" t="s" s="12">
        <v>8</v>
      </c>
      <c r="D8611" s="15" cm="1">
        <f t="array" ref="D8611">SUM(D8609:D8610)</f>
        <v>1</v>
      </c>
      <c r="E8611" s="15" cm="1">
        <f t="array" ref="E8611">SUM(E8609:E8610)</f>
        <v>1</v>
      </c>
      <c r="F8611" s="16" cm="1">
        <f t="array" ref="F8611">SUM(F8609:F8610)</f>
        <v>0</v>
      </c>
      <c r="G8611" s="16" cm="1">
        <f t="array" ref="G8611">SUM(G8609:G8610)</f>
        <v>0</v>
      </c>
      <c r="H8611" s="16" cm="1">
        <f t="array" ref="H8611">SUM(H8609:H8610)</f>
        <v>0</v>
      </c>
      <c r="I8611" s="16" cm="1">
        <f t="array" ref="I8611">SUM(I8609:I8610)</f>
        <v>0</v>
      </c>
    </row>
    <row r="8612" ht="20.65" customHeight="1">
      <c r="A8612" s="10">
        <v>45781</v>
      </c>
      <c r="B8612" t="s" s="11">
        <v>814</v>
      </c>
      <c r="C8612" t="s" s="12">
        <v>820</v>
      </c>
      <c r="D8612" s="17">
        <v>101</v>
      </c>
      <c r="E8612" s="17"/>
      <c r="F8612" s="18"/>
      <c r="G8612" s="18"/>
      <c r="H8612" s="18"/>
      <c r="I8612" s="18"/>
    </row>
    <row r="8613" ht="20.65" customHeight="1">
      <c r="A8613" s="10">
        <v>45781</v>
      </c>
      <c r="B8613" t="s" s="11">
        <v>7</v>
      </c>
      <c r="C8613" t="s" s="12">
        <v>820</v>
      </c>
      <c r="D8613" s="13"/>
      <c r="E8613" s="13">
        <v>101</v>
      </c>
      <c r="F8613" s="14"/>
      <c r="G8613" s="14"/>
      <c r="H8613" s="14"/>
      <c r="I8613" s="14"/>
    </row>
    <row r="8614" ht="20.7" customHeight="1">
      <c r="A8614" s="10">
        <v>45781</v>
      </c>
      <c r="B8614" t="s" s="11">
        <v>8</v>
      </c>
      <c r="C8614" t="s" s="12">
        <v>8</v>
      </c>
      <c r="D8614" s="15" cm="1">
        <f t="array" ref="D8614">SUM(D8612:D8613)</f>
        <v>101</v>
      </c>
      <c r="E8614" s="15" cm="1">
        <f t="array" ref="E8614">SUM(E8612:E8613)</f>
        <v>101</v>
      </c>
      <c r="F8614" s="16" cm="1">
        <f t="array" ref="F8614">SUM(F8612:F8613)</f>
        <v>0</v>
      </c>
      <c r="G8614" s="16" cm="1">
        <f t="array" ref="G8614">SUM(G8612:G8613)</f>
        <v>0</v>
      </c>
      <c r="H8614" s="16" cm="1">
        <f t="array" ref="H8614">SUM(H8612:H8613)</f>
        <v>0</v>
      </c>
      <c r="I8614" s="16" cm="1">
        <f t="array" ref="I8614">SUM(I8612:I8613)</f>
        <v>0</v>
      </c>
    </row>
    <row r="8615" ht="21.25" customHeight="1">
      <c r="A8615" s="10">
        <v>45781</v>
      </c>
      <c r="B8615" t="s" s="11">
        <v>5</v>
      </c>
      <c r="C8615" t="s" s="12">
        <v>799</v>
      </c>
      <c r="D8615" s="17">
        <v>2</v>
      </c>
      <c r="E8615" s="17"/>
      <c r="F8615" s="18"/>
      <c r="G8615" s="18"/>
      <c r="H8615" s="18"/>
      <c r="I8615" s="18"/>
    </row>
    <row r="8616" ht="21.25" customHeight="1">
      <c r="A8616" s="10">
        <v>45781</v>
      </c>
      <c r="B8616" t="s" s="11">
        <v>18</v>
      </c>
      <c r="C8616" t="s" s="12">
        <v>799</v>
      </c>
      <c r="D8616" s="13"/>
      <c r="E8616" s="13">
        <v>2</v>
      </c>
      <c r="F8616" s="14"/>
      <c r="G8616" s="14"/>
      <c r="H8616" s="14"/>
      <c r="I8616" s="14"/>
    </row>
    <row r="8617" ht="20.7" customHeight="1">
      <c r="A8617" s="10">
        <v>45781</v>
      </c>
      <c r="B8617" t="s" s="11">
        <v>8</v>
      </c>
      <c r="C8617" t="s" s="12">
        <v>8</v>
      </c>
      <c r="D8617" s="15" cm="1">
        <f t="array" ref="D8617">SUM(D8615:D8616)</f>
        <v>2</v>
      </c>
      <c r="E8617" s="15" cm="1">
        <f t="array" ref="E8617">SUM(E8615:E8616)</f>
        <v>2</v>
      </c>
      <c r="F8617" s="16" cm="1">
        <f t="array" ref="F8617">SUM(F8615:F8616)</f>
        <v>0</v>
      </c>
      <c r="G8617" s="16" cm="1">
        <f t="array" ref="G8617">SUM(G8615:G8616)</f>
        <v>0</v>
      </c>
      <c r="H8617" s="16" cm="1">
        <f t="array" ref="H8617">SUM(H8615:H8616)</f>
        <v>0</v>
      </c>
      <c r="I8617" s="16" cm="1">
        <f t="array" ref="I8617">SUM(I8615:I8616)</f>
        <v>0</v>
      </c>
    </row>
    <row r="8618" ht="21.25" customHeight="1">
      <c r="A8618" s="10">
        <v>45781</v>
      </c>
      <c r="B8618" t="s" s="11">
        <v>5</v>
      </c>
      <c r="C8618" t="s" s="12">
        <v>799</v>
      </c>
      <c r="D8618" s="17">
        <v>1</v>
      </c>
      <c r="E8618" s="17"/>
      <c r="F8618" s="18"/>
      <c r="G8618" s="18"/>
      <c r="H8618" s="18"/>
      <c r="I8618" s="18"/>
    </row>
    <row r="8619" ht="21.25" customHeight="1">
      <c r="A8619" s="10">
        <v>45781</v>
      </c>
      <c r="B8619" t="s" s="11">
        <v>18</v>
      </c>
      <c r="C8619" t="s" s="12">
        <v>799</v>
      </c>
      <c r="D8619" s="13"/>
      <c r="E8619" s="13">
        <v>1</v>
      </c>
      <c r="F8619" s="14"/>
      <c r="G8619" s="14"/>
      <c r="H8619" s="14"/>
      <c r="I8619" s="14"/>
    </row>
    <row r="8620" ht="20.7" customHeight="1">
      <c r="A8620" s="10">
        <v>45781</v>
      </c>
      <c r="B8620" t="s" s="11">
        <v>8</v>
      </c>
      <c r="C8620" t="s" s="12">
        <v>8</v>
      </c>
      <c r="D8620" s="15" cm="1">
        <f t="array" ref="D8620">SUM(D8618:D8619)</f>
        <v>1</v>
      </c>
      <c r="E8620" s="15" cm="1">
        <f t="array" ref="E8620">SUM(E8618:E8619)</f>
        <v>1</v>
      </c>
      <c r="F8620" s="16" cm="1">
        <f t="array" ref="F8620">SUM(F8618:F8619)</f>
        <v>0</v>
      </c>
      <c r="G8620" s="16" cm="1">
        <f t="array" ref="G8620">SUM(G8618:G8619)</f>
        <v>0</v>
      </c>
      <c r="H8620" s="16" cm="1">
        <f t="array" ref="H8620">SUM(H8618:H8619)</f>
        <v>0</v>
      </c>
      <c r="I8620" s="16" cm="1">
        <f t="array" ref="I8620">SUM(I8618:I8619)</f>
        <v>0</v>
      </c>
    </row>
    <row r="8621" ht="21.25" customHeight="1">
      <c r="A8621" s="10">
        <v>45781</v>
      </c>
      <c r="B8621" t="s" s="11">
        <v>5</v>
      </c>
      <c r="C8621" t="s" s="12">
        <v>799</v>
      </c>
      <c r="D8621" s="17">
        <v>11</v>
      </c>
      <c r="E8621" s="17"/>
      <c r="F8621" s="18"/>
      <c r="G8621" s="18"/>
      <c r="H8621" s="18"/>
      <c r="I8621" s="18"/>
    </row>
    <row r="8622" ht="21.25" customHeight="1">
      <c r="A8622" s="10">
        <v>45781</v>
      </c>
      <c r="B8622" t="s" s="11">
        <v>18</v>
      </c>
      <c r="C8622" t="s" s="12">
        <v>799</v>
      </c>
      <c r="D8622" s="13"/>
      <c r="E8622" s="13">
        <v>11</v>
      </c>
      <c r="F8622" s="14"/>
      <c r="G8622" s="14"/>
      <c r="H8622" s="14"/>
      <c r="I8622" s="14"/>
    </row>
    <row r="8623" ht="20.7" customHeight="1">
      <c r="A8623" s="10">
        <v>45781</v>
      </c>
      <c r="B8623" t="s" s="11">
        <v>8</v>
      </c>
      <c r="C8623" t="s" s="12">
        <v>8</v>
      </c>
      <c r="D8623" s="15" cm="1">
        <f t="array" ref="D8623">SUM(D8621:D8622)</f>
        <v>11</v>
      </c>
      <c r="E8623" s="15" cm="1">
        <f t="array" ref="E8623">SUM(E8621:E8622)</f>
        <v>11</v>
      </c>
      <c r="F8623" s="16" cm="1">
        <f t="array" ref="F8623">SUM(F8621:F8622)</f>
        <v>0</v>
      </c>
      <c r="G8623" s="16" cm="1">
        <f t="array" ref="G8623">SUM(G8621:G8622)</f>
        <v>0</v>
      </c>
      <c r="H8623" s="16" cm="1">
        <f t="array" ref="H8623">SUM(H8621:H8622)</f>
        <v>0</v>
      </c>
      <c r="I8623" s="16" cm="1">
        <f t="array" ref="I8623">SUM(I8621:I8622)</f>
        <v>0</v>
      </c>
    </row>
    <row r="8624" ht="21.25" customHeight="1">
      <c r="A8624" s="10">
        <v>45781</v>
      </c>
      <c r="B8624" t="s" s="11">
        <v>5</v>
      </c>
      <c r="C8624" t="s" s="12">
        <v>799</v>
      </c>
      <c r="D8624" s="17">
        <v>2</v>
      </c>
      <c r="E8624" s="17"/>
      <c r="F8624" s="18"/>
      <c r="G8624" s="18"/>
      <c r="H8624" s="18"/>
      <c r="I8624" s="18"/>
    </row>
    <row r="8625" ht="21.25" customHeight="1">
      <c r="A8625" s="10">
        <v>45781</v>
      </c>
      <c r="B8625" t="s" s="11">
        <v>18</v>
      </c>
      <c r="C8625" t="s" s="12">
        <v>799</v>
      </c>
      <c r="D8625" s="13"/>
      <c r="E8625" s="13">
        <v>2</v>
      </c>
      <c r="F8625" s="14"/>
      <c r="G8625" s="14"/>
      <c r="H8625" s="14"/>
      <c r="I8625" s="14"/>
    </row>
    <row r="8626" ht="20.7" customHeight="1">
      <c r="A8626" s="10">
        <v>45781</v>
      </c>
      <c r="B8626" t="s" s="11">
        <v>8</v>
      </c>
      <c r="C8626" t="s" s="12">
        <v>8</v>
      </c>
      <c r="D8626" s="15" cm="1">
        <f t="array" ref="D8626">SUM(D8624:D8625)</f>
        <v>2</v>
      </c>
      <c r="E8626" s="15" cm="1">
        <f t="array" ref="E8626">SUM(E8624:E8625)</f>
        <v>2</v>
      </c>
      <c r="F8626" s="16" cm="1">
        <f t="array" ref="F8626">SUM(F8624:F8625)</f>
        <v>0</v>
      </c>
      <c r="G8626" s="16" cm="1">
        <f t="array" ref="G8626">SUM(G8624:G8625)</f>
        <v>0</v>
      </c>
      <c r="H8626" s="16" cm="1">
        <f t="array" ref="H8626">SUM(H8624:H8625)</f>
        <v>0</v>
      </c>
      <c r="I8626" s="16" cm="1">
        <f t="array" ref="I8626">SUM(I8624:I8625)</f>
        <v>0</v>
      </c>
    </row>
    <row r="8627" ht="20.35" customHeight="1">
      <c r="A8627" s="10">
        <v>45781</v>
      </c>
      <c r="B8627" t="s" s="11">
        <v>107</v>
      </c>
      <c r="C8627" t="s" s="12">
        <v>209</v>
      </c>
      <c r="D8627" s="17"/>
      <c r="E8627" s="17">
        <v>38557</v>
      </c>
      <c r="F8627" s="18"/>
      <c r="G8627" s="18"/>
      <c r="H8627" s="18"/>
      <c r="I8627" s="18"/>
    </row>
    <row r="8628" ht="20.35" customHeight="1">
      <c r="A8628" s="10">
        <v>45781</v>
      </c>
      <c r="B8628" t="s" s="11">
        <v>5</v>
      </c>
      <c r="C8628" t="s" s="12">
        <v>209</v>
      </c>
      <c r="D8628" s="13">
        <v>38557</v>
      </c>
      <c r="E8628" s="13"/>
      <c r="F8628" s="14"/>
      <c r="G8628" s="14"/>
      <c r="H8628" s="14"/>
      <c r="I8628" s="14"/>
    </row>
    <row r="8629" ht="20.7" customHeight="1">
      <c r="A8629" s="10">
        <v>45781</v>
      </c>
      <c r="B8629" t="s" s="11">
        <v>8</v>
      </c>
      <c r="C8629" t="s" s="12">
        <v>8</v>
      </c>
      <c r="D8629" s="15" cm="1">
        <f t="array" ref="D8629">SUM(D8627:D8628)</f>
        <v>38557</v>
      </c>
      <c r="E8629" s="15" cm="1">
        <f t="array" ref="E8629">SUM(E8627:E8628)</f>
        <v>38557</v>
      </c>
      <c r="F8629" s="16" cm="1">
        <f t="array" ref="F8629">SUM(F8627:F8628)</f>
        <v>0</v>
      </c>
      <c r="G8629" s="16" cm="1">
        <f t="array" ref="G8629">SUM(G8627:G8628)</f>
        <v>0</v>
      </c>
      <c r="H8629" s="16" cm="1">
        <f t="array" ref="H8629">SUM(H8627:H8628)</f>
        <v>0</v>
      </c>
      <c r="I8629" s="16" cm="1">
        <f t="array" ref="I8629">SUM(I8627:I8628)</f>
        <v>0</v>
      </c>
    </row>
    <row r="8630" ht="20.35" customHeight="1">
      <c r="A8630" s="10">
        <v>45781</v>
      </c>
      <c r="B8630" t="s" s="11">
        <v>843</v>
      </c>
      <c r="C8630" t="s" s="12">
        <v>96</v>
      </c>
      <c r="D8630" s="17"/>
      <c r="E8630" s="17">
        <v>20000</v>
      </c>
      <c r="F8630" s="18"/>
      <c r="G8630" s="18"/>
      <c r="H8630" s="18"/>
      <c r="I8630" s="18"/>
    </row>
    <row r="8631" ht="20.35" customHeight="1">
      <c r="A8631" s="10">
        <v>45781</v>
      </c>
      <c r="B8631" t="s" s="11">
        <v>5</v>
      </c>
      <c r="C8631" t="s" s="12">
        <v>96</v>
      </c>
      <c r="D8631" s="13">
        <v>20000</v>
      </c>
      <c r="E8631" s="13"/>
      <c r="F8631" s="14"/>
      <c r="G8631" s="14"/>
      <c r="H8631" s="14"/>
      <c r="I8631" s="14"/>
    </row>
    <row r="8632" ht="20.7" customHeight="1">
      <c r="A8632" s="10">
        <v>45781</v>
      </c>
      <c r="B8632" t="s" s="11">
        <v>8</v>
      </c>
      <c r="C8632" t="s" s="12">
        <v>8</v>
      </c>
      <c r="D8632" s="15" cm="1">
        <f t="array" ref="D8632">SUM(D8630:D8631)</f>
        <v>20000</v>
      </c>
      <c r="E8632" s="15" cm="1">
        <f t="array" ref="E8632">SUM(E8630:E8631)</f>
        <v>20000</v>
      </c>
      <c r="F8632" s="16" cm="1">
        <f t="array" ref="F8632">SUM(F8630:F8631)</f>
        <v>0</v>
      </c>
      <c r="G8632" s="16" cm="1">
        <f t="array" ref="G8632">SUM(G8630:G8631)</f>
        <v>0</v>
      </c>
      <c r="H8632" s="16" cm="1">
        <f t="array" ref="H8632">SUM(H8630:H8631)</f>
        <v>0</v>
      </c>
      <c r="I8632" s="16" cm="1">
        <f t="array" ref="I8632">SUM(I8630:I8631)</f>
        <v>0</v>
      </c>
    </row>
    <row r="8633" ht="20.35" customHeight="1">
      <c r="A8633" s="10">
        <v>45781</v>
      </c>
      <c r="B8633" t="s" s="11">
        <v>814</v>
      </c>
      <c r="C8633" t="s" s="12">
        <v>96</v>
      </c>
      <c r="D8633" s="17"/>
      <c r="E8633" s="17">
        <v>20000</v>
      </c>
      <c r="F8633" s="18"/>
      <c r="G8633" s="18"/>
      <c r="H8633" s="18"/>
      <c r="I8633" s="18"/>
    </row>
    <row r="8634" ht="20.35" customHeight="1">
      <c r="A8634" s="10">
        <v>45781</v>
      </c>
      <c r="B8634" t="s" s="11">
        <v>5</v>
      </c>
      <c r="C8634" t="s" s="12">
        <v>96</v>
      </c>
      <c r="D8634" s="13">
        <v>20000</v>
      </c>
      <c r="E8634" s="13"/>
      <c r="F8634" s="14"/>
      <c r="G8634" s="14"/>
      <c r="H8634" s="14"/>
      <c r="I8634" s="14"/>
    </row>
    <row r="8635" ht="20.7" customHeight="1">
      <c r="A8635" s="10">
        <v>45781</v>
      </c>
      <c r="B8635" t="s" s="11">
        <v>8</v>
      </c>
      <c r="C8635" t="s" s="12">
        <v>8</v>
      </c>
      <c r="D8635" s="15" cm="1">
        <f t="array" ref="D8635">SUM(D8633:D8634)</f>
        <v>20000</v>
      </c>
      <c r="E8635" s="15" cm="1">
        <f t="array" ref="E8635">SUM(E8633:E8634)</f>
        <v>20000</v>
      </c>
      <c r="F8635" s="16" cm="1">
        <f t="array" ref="F8635">SUM(F8633:F8634)</f>
        <v>0</v>
      </c>
      <c r="G8635" s="16" cm="1">
        <f t="array" ref="G8635">SUM(G8633:G8634)</f>
        <v>0</v>
      </c>
      <c r="H8635" s="16" cm="1">
        <f t="array" ref="H8635">SUM(H8633:H8634)</f>
        <v>0</v>
      </c>
      <c r="I8635" s="16" cm="1">
        <f t="array" ref="I8635">SUM(I8633:I8634)</f>
        <v>0</v>
      </c>
    </row>
    <row r="8636" ht="20.35" customHeight="1">
      <c r="A8636" s="10">
        <v>45781</v>
      </c>
      <c r="B8636" t="s" s="11">
        <v>5</v>
      </c>
      <c r="C8636" t="s" s="12">
        <v>182</v>
      </c>
      <c r="D8636" s="17"/>
      <c r="E8636" s="17">
        <v>80000</v>
      </c>
      <c r="F8636" s="18"/>
      <c r="G8636" s="18"/>
      <c r="H8636" s="18"/>
      <c r="I8636" s="18"/>
    </row>
    <row r="8637" ht="20.35" customHeight="1">
      <c r="A8637" s="10">
        <v>45781</v>
      </c>
      <c r="B8637" t="s" s="11">
        <v>10</v>
      </c>
      <c r="C8637" t="s" s="12">
        <v>182</v>
      </c>
      <c r="D8637" s="13">
        <v>80000</v>
      </c>
      <c r="E8637" s="13"/>
      <c r="F8637" s="14"/>
      <c r="G8637" s="14"/>
      <c r="H8637" s="14"/>
      <c r="I8637" s="14"/>
    </row>
    <row r="8638" ht="20.7" customHeight="1">
      <c r="A8638" s="10">
        <v>45781</v>
      </c>
      <c r="B8638" t="s" s="11">
        <v>8</v>
      </c>
      <c r="C8638" t="s" s="12">
        <v>8</v>
      </c>
      <c r="D8638" s="15" cm="1">
        <f t="array" ref="D8638">SUM(D8636:D8637)</f>
        <v>80000</v>
      </c>
      <c r="E8638" s="15" cm="1">
        <f t="array" ref="E8638">SUM(E8636:E8637)</f>
        <v>80000</v>
      </c>
      <c r="F8638" s="16" cm="1">
        <f t="array" ref="F8638">SUM(F8636:F8637)</f>
        <v>0</v>
      </c>
      <c r="G8638" s="16" cm="1">
        <f t="array" ref="G8638">SUM(G8636:G8637)</f>
        <v>0</v>
      </c>
      <c r="H8638" s="16" cm="1">
        <f t="array" ref="H8638">SUM(H8636:H8637)</f>
        <v>0</v>
      </c>
      <c r="I8638" s="16" cm="1">
        <f t="array" ref="I8638">SUM(I8636:I8637)</f>
        <v>0</v>
      </c>
    </row>
    <row r="8639" ht="21.25" customHeight="1">
      <c r="A8639" s="10">
        <v>45781</v>
      </c>
      <c r="B8639" t="s" s="11">
        <v>5</v>
      </c>
      <c r="C8639" t="s" s="12">
        <v>1159</v>
      </c>
      <c r="D8639" s="17"/>
      <c r="E8639" s="17">
        <v>6900</v>
      </c>
      <c r="F8639" s="18"/>
      <c r="G8639" s="18"/>
      <c r="H8639" s="18"/>
      <c r="I8639" s="18"/>
    </row>
    <row r="8640" ht="20.9" customHeight="1">
      <c r="A8640" s="10">
        <v>45781</v>
      </c>
      <c r="B8640" t="s" s="11">
        <v>12</v>
      </c>
      <c r="C8640" t="s" s="12">
        <v>1159</v>
      </c>
      <c r="D8640" s="19">
        <v>3450</v>
      </c>
      <c r="E8640" s="19"/>
      <c r="F8640" s="20"/>
      <c r="G8640" s="20"/>
      <c r="H8640" s="20"/>
      <c r="I8640" s="20"/>
    </row>
    <row r="8641" ht="21.25" customHeight="1">
      <c r="A8641" s="10">
        <v>45781</v>
      </c>
      <c r="B8641" t="s" s="11">
        <v>89</v>
      </c>
      <c r="C8641" t="s" s="12">
        <v>1159</v>
      </c>
      <c r="D8641" s="13">
        <v>3450</v>
      </c>
      <c r="E8641" s="13"/>
      <c r="F8641" s="14"/>
      <c r="G8641" s="14"/>
      <c r="H8641" s="14"/>
      <c r="I8641" s="14"/>
    </row>
    <row r="8642" ht="20.7" customHeight="1">
      <c r="A8642" s="10">
        <v>45781</v>
      </c>
      <c r="B8642" t="s" s="11">
        <v>8</v>
      </c>
      <c r="C8642" t="s" s="12">
        <v>8</v>
      </c>
      <c r="D8642" s="15" cm="1">
        <f t="array" ref="D8642">SUM(D8639:D8641)</f>
        <v>6900</v>
      </c>
      <c r="E8642" s="15" cm="1">
        <f t="array" ref="E8642">SUM(E8639:E8641)</f>
        <v>6900</v>
      </c>
      <c r="F8642" s="16" cm="1">
        <f t="array" ref="F8642">SUM(F8639:F8641)</f>
        <v>0</v>
      </c>
      <c r="G8642" s="16" cm="1">
        <f t="array" ref="G8642">SUM(G8639:G8641)</f>
        <v>0</v>
      </c>
      <c r="H8642" s="16" cm="1">
        <f t="array" ref="H8642">SUM(H8640:H8641)</f>
        <v>0</v>
      </c>
      <c r="I8642" s="16" cm="1">
        <f t="array" ref="I8642">SUM(I8640:I8641)</f>
        <v>0</v>
      </c>
    </row>
    <row r="8643" ht="20.35" customHeight="1">
      <c r="A8643" s="10">
        <v>45781</v>
      </c>
      <c r="B8643" t="s" s="11">
        <v>843</v>
      </c>
      <c r="C8643" t="s" s="12">
        <v>96</v>
      </c>
      <c r="D8643" s="17"/>
      <c r="E8643" s="17">
        <v>10000</v>
      </c>
      <c r="F8643" s="18"/>
      <c r="G8643" s="18"/>
      <c r="H8643" s="18"/>
      <c r="I8643" s="18"/>
    </row>
    <row r="8644" ht="20.35" customHeight="1">
      <c r="A8644" s="10">
        <v>45781</v>
      </c>
      <c r="B8644" t="s" s="11">
        <v>5</v>
      </c>
      <c r="C8644" t="s" s="12">
        <v>96</v>
      </c>
      <c r="D8644" s="13">
        <v>10000</v>
      </c>
      <c r="E8644" s="13"/>
      <c r="F8644" s="14"/>
      <c r="G8644" s="14"/>
      <c r="H8644" s="14"/>
      <c r="I8644" s="14"/>
    </row>
    <row r="8645" ht="20.7" customHeight="1">
      <c r="A8645" s="10">
        <v>45781</v>
      </c>
      <c r="B8645" t="s" s="11">
        <v>8</v>
      </c>
      <c r="C8645" t="s" s="12">
        <v>8</v>
      </c>
      <c r="D8645" s="15" cm="1">
        <f t="array" ref="D8645">SUM(D8643:D8644)</f>
        <v>10000</v>
      </c>
      <c r="E8645" s="15" cm="1">
        <f t="array" ref="E8645">SUM(E8643:E8644)</f>
        <v>10000</v>
      </c>
      <c r="F8645" s="16" cm="1">
        <f t="array" ref="F8645">SUM(F8643:F8644)</f>
        <v>0</v>
      </c>
      <c r="G8645" s="16" cm="1">
        <f t="array" ref="G8645">SUM(G8643:G8644)</f>
        <v>0</v>
      </c>
      <c r="H8645" s="16" cm="1">
        <f t="array" ref="H8645">SUM(H8643:H8644)</f>
        <v>0</v>
      </c>
      <c r="I8645" s="16" cm="1">
        <f t="array" ref="I8645">SUM(I8643:I8644)</f>
        <v>0</v>
      </c>
    </row>
    <row r="8646" ht="20.35" customHeight="1">
      <c r="A8646" s="10">
        <v>45781</v>
      </c>
      <c r="B8646" t="s" s="11">
        <v>843</v>
      </c>
      <c r="C8646" t="s" s="12">
        <v>96</v>
      </c>
      <c r="D8646" s="17"/>
      <c r="E8646" s="17">
        <v>8700</v>
      </c>
      <c r="F8646" s="18"/>
      <c r="G8646" s="18"/>
      <c r="H8646" s="18"/>
      <c r="I8646" s="18"/>
    </row>
    <row r="8647" ht="20.35" customHeight="1">
      <c r="A8647" s="10">
        <v>45781</v>
      </c>
      <c r="B8647" t="s" s="11">
        <v>5</v>
      </c>
      <c r="C8647" t="s" s="12">
        <v>96</v>
      </c>
      <c r="D8647" s="13">
        <v>8700</v>
      </c>
      <c r="E8647" s="13"/>
      <c r="F8647" s="14"/>
      <c r="G8647" s="14"/>
      <c r="H8647" s="14"/>
      <c r="I8647" s="14"/>
    </row>
    <row r="8648" ht="20.7" customHeight="1">
      <c r="A8648" s="10">
        <v>45781</v>
      </c>
      <c r="B8648" t="s" s="11">
        <v>8</v>
      </c>
      <c r="C8648" t="s" s="12">
        <v>8</v>
      </c>
      <c r="D8648" s="15" cm="1">
        <f t="array" ref="D8648">SUM(D8646:D8647)</f>
        <v>8700</v>
      </c>
      <c r="E8648" s="15" cm="1">
        <f t="array" ref="E8648">SUM(E8646:E8647)</f>
        <v>8700</v>
      </c>
      <c r="F8648" s="16" cm="1">
        <f t="array" ref="F8648">SUM(F8646:F8647)</f>
        <v>0</v>
      </c>
      <c r="G8648" s="16" cm="1">
        <f t="array" ref="G8648">SUM(G8646:G8647)</f>
        <v>0</v>
      </c>
      <c r="H8648" s="16" cm="1">
        <f t="array" ref="H8648">SUM(H8646:H8647)</f>
        <v>0</v>
      </c>
      <c r="I8648" s="16" cm="1">
        <f t="array" ref="I8648">SUM(I8646:I8647)</f>
        <v>0</v>
      </c>
    </row>
    <row r="8649" ht="20.65" customHeight="1">
      <c r="A8649" s="10">
        <v>45781</v>
      </c>
      <c r="B8649" t="s" s="11">
        <v>5</v>
      </c>
      <c r="C8649" t="s" s="12">
        <v>1160</v>
      </c>
      <c r="D8649" s="17"/>
      <c r="E8649" s="17">
        <v>22000</v>
      </c>
      <c r="F8649" s="18"/>
      <c r="G8649" s="18"/>
      <c r="H8649" s="18"/>
      <c r="I8649" s="18"/>
    </row>
    <row r="8650" ht="20.65" customHeight="1">
      <c r="A8650" s="10">
        <v>45781</v>
      </c>
      <c r="B8650" t="s" s="11">
        <v>12</v>
      </c>
      <c r="C8650" t="s" s="12">
        <v>1160</v>
      </c>
      <c r="D8650" s="13">
        <v>22000</v>
      </c>
      <c r="E8650" s="13"/>
      <c r="F8650" s="14"/>
      <c r="G8650" s="14"/>
      <c r="H8650" s="14"/>
      <c r="I8650" s="14"/>
    </row>
    <row r="8651" ht="20.7" customHeight="1">
      <c r="A8651" s="10">
        <v>45781</v>
      </c>
      <c r="B8651" t="s" s="11">
        <v>8</v>
      </c>
      <c r="C8651" t="s" s="12">
        <v>8</v>
      </c>
      <c r="D8651" s="15" cm="1">
        <f t="array" ref="D8651">SUM(D8649:D8650)</f>
        <v>22000</v>
      </c>
      <c r="E8651" s="15" cm="1">
        <f t="array" ref="E8651">SUM(E8649:E8650)</f>
        <v>22000</v>
      </c>
      <c r="F8651" s="16" cm="1">
        <f t="array" ref="F8651">SUM(F8649:F8650)</f>
        <v>0</v>
      </c>
      <c r="G8651" s="16" cm="1">
        <f t="array" ref="G8651">SUM(G8649:G8650)</f>
        <v>0</v>
      </c>
      <c r="H8651" s="16" cm="1">
        <f t="array" ref="H8651">SUM(H8649:H8650)</f>
        <v>0</v>
      </c>
      <c r="I8651" s="16" cm="1">
        <f t="array" ref="I8651">SUM(I8649:I8650)</f>
        <v>0</v>
      </c>
    </row>
    <row r="8652" ht="20.65" customHeight="1">
      <c r="A8652" s="10">
        <v>45781</v>
      </c>
      <c r="B8652" t="s" s="11">
        <v>5</v>
      </c>
      <c r="C8652" t="s" s="12">
        <v>1160</v>
      </c>
      <c r="D8652" s="17"/>
      <c r="E8652" s="17">
        <v>1000</v>
      </c>
      <c r="F8652" s="18"/>
      <c r="G8652" s="18"/>
      <c r="H8652" s="18"/>
      <c r="I8652" s="18"/>
    </row>
    <row r="8653" ht="20.65" customHeight="1">
      <c r="A8653" s="10">
        <v>45781</v>
      </c>
      <c r="B8653" t="s" s="11">
        <v>12</v>
      </c>
      <c r="C8653" t="s" s="12">
        <v>1160</v>
      </c>
      <c r="D8653" s="13">
        <v>1000</v>
      </c>
      <c r="E8653" s="13"/>
      <c r="F8653" s="14"/>
      <c r="G8653" s="14"/>
      <c r="H8653" s="14"/>
      <c r="I8653" s="14"/>
    </row>
    <row r="8654" ht="20.7" customHeight="1">
      <c r="A8654" s="10">
        <v>45781</v>
      </c>
      <c r="B8654" t="s" s="11">
        <v>8</v>
      </c>
      <c r="C8654" t="s" s="12">
        <v>8</v>
      </c>
      <c r="D8654" s="15" cm="1">
        <f t="array" ref="D8654">SUM(D8652:D8653)</f>
        <v>1000</v>
      </c>
      <c r="E8654" s="15" cm="1">
        <f t="array" ref="E8654">SUM(E8652:E8653)</f>
        <v>1000</v>
      </c>
      <c r="F8654" s="16" cm="1">
        <f t="array" ref="F8654">SUM(F8652:F8653)</f>
        <v>0</v>
      </c>
      <c r="G8654" s="16" cm="1">
        <f t="array" ref="G8654">SUM(G8652:G8653)</f>
        <v>0</v>
      </c>
      <c r="H8654" s="16" cm="1">
        <f t="array" ref="H8654">SUM(H8652:H8653)</f>
        <v>0</v>
      </c>
      <c r="I8654" s="16" cm="1">
        <f t="array" ref="I8654">SUM(I8652:I8653)</f>
        <v>0</v>
      </c>
    </row>
    <row r="8655" ht="21.25" customHeight="1">
      <c r="A8655" s="10">
        <v>45781</v>
      </c>
      <c r="B8655" t="s" s="11">
        <v>89</v>
      </c>
      <c r="C8655" t="s" s="12">
        <v>1159</v>
      </c>
      <c r="D8655" s="17"/>
      <c r="E8655" s="17">
        <v>3450</v>
      </c>
      <c r="F8655" s="18"/>
      <c r="G8655" s="18"/>
      <c r="H8655" s="18"/>
      <c r="I8655" s="18"/>
    </row>
    <row r="8656" ht="21.25" customHeight="1">
      <c r="A8656" s="10">
        <v>45781</v>
      </c>
      <c r="B8656" t="s" s="11">
        <v>93</v>
      </c>
      <c r="C8656" t="s" s="12">
        <v>1159</v>
      </c>
      <c r="D8656" s="13">
        <v>3450</v>
      </c>
      <c r="E8656" s="13"/>
      <c r="F8656" s="14"/>
      <c r="G8656" s="14"/>
      <c r="H8656" s="14"/>
      <c r="I8656" s="14"/>
    </row>
    <row r="8657" ht="20.7" customHeight="1">
      <c r="A8657" s="10">
        <v>45781</v>
      </c>
      <c r="B8657" t="s" s="11">
        <v>8</v>
      </c>
      <c r="C8657" t="s" s="12">
        <v>8</v>
      </c>
      <c r="D8657" s="15" cm="1">
        <f t="array" ref="D8657">SUM(D8655:D8656)</f>
        <v>3450</v>
      </c>
      <c r="E8657" s="15" cm="1">
        <f t="array" ref="E8657">SUM(E8655:E8656)</f>
        <v>3450</v>
      </c>
      <c r="F8657" s="16" cm="1">
        <f t="array" ref="F8657">SUM(F8655:F8656)</f>
        <v>0</v>
      </c>
      <c r="G8657" s="16" cm="1">
        <f t="array" ref="G8657">SUM(G8655:G8656)</f>
        <v>0</v>
      </c>
      <c r="H8657" s="16" cm="1">
        <f t="array" ref="H8657">SUM(H8655:H8656)</f>
        <v>0</v>
      </c>
      <c r="I8657" s="16" cm="1">
        <f t="array" ref="I8657">SUM(I8655:I8656)</f>
        <v>0</v>
      </c>
    </row>
    <row r="8658" ht="21.25" customHeight="1">
      <c r="A8658" s="10">
        <v>45781</v>
      </c>
      <c r="B8658" t="s" s="11">
        <v>21</v>
      </c>
      <c r="C8658" t="s" s="12">
        <v>1161</v>
      </c>
      <c r="D8658" s="17"/>
      <c r="E8658" s="17">
        <v>1500</v>
      </c>
      <c r="F8658" s="18"/>
      <c r="G8658" s="18"/>
      <c r="H8658" s="18"/>
      <c r="I8658" s="18"/>
    </row>
    <row r="8659" ht="21.25" customHeight="1">
      <c r="A8659" s="10">
        <v>45781</v>
      </c>
      <c r="B8659" t="s" s="11">
        <v>16</v>
      </c>
      <c r="C8659" t="s" s="12">
        <v>1161</v>
      </c>
      <c r="D8659" s="13">
        <v>1500</v>
      </c>
      <c r="E8659" s="13"/>
      <c r="F8659" s="14"/>
      <c r="G8659" s="14"/>
      <c r="H8659" s="14"/>
      <c r="I8659" s="14"/>
    </row>
    <row r="8660" ht="20.7" customHeight="1">
      <c r="A8660" s="10">
        <v>45781</v>
      </c>
      <c r="B8660" t="s" s="11">
        <v>8</v>
      </c>
      <c r="C8660" t="s" s="12">
        <v>8</v>
      </c>
      <c r="D8660" s="15" cm="1">
        <f t="array" ref="D8660">SUM(D8658:D8659)</f>
        <v>1500</v>
      </c>
      <c r="E8660" s="15" cm="1">
        <f t="array" ref="E8660">SUM(E8658:E8659)</f>
        <v>1500</v>
      </c>
      <c r="F8660" s="16" cm="1">
        <f t="array" ref="F8660">SUM(F8658:F8659)</f>
        <v>0</v>
      </c>
      <c r="G8660" s="16" cm="1">
        <f t="array" ref="G8660">SUM(G8658:G8659)</f>
        <v>0</v>
      </c>
      <c r="H8660" s="16" cm="1">
        <f t="array" ref="H8660">SUM(H8658:H8659)</f>
        <v>0</v>
      </c>
      <c r="I8660" s="16" cm="1">
        <f t="array" ref="I8660">SUM(I8658:I8659)</f>
        <v>0</v>
      </c>
    </row>
    <row r="8661" ht="20.65" customHeight="1">
      <c r="A8661" s="10">
        <v>45782</v>
      </c>
      <c r="B8661" t="s" s="11">
        <v>814</v>
      </c>
      <c r="C8661" t="s" s="12">
        <v>820</v>
      </c>
      <c r="D8661" s="17">
        <v>100</v>
      </c>
      <c r="E8661" s="17"/>
      <c r="F8661" s="18"/>
      <c r="G8661" s="18"/>
      <c r="H8661" s="18"/>
      <c r="I8661" s="18"/>
    </row>
    <row r="8662" ht="20.65" customHeight="1">
      <c r="A8662" s="10">
        <v>45782</v>
      </c>
      <c r="B8662" t="s" s="11">
        <v>7</v>
      </c>
      <c r="C8662" t="s" s="12">
        <v>820</v>
      </c>
      <c r="D8662" s="13"/>
      <c r="E8662" s="13">
        <v>100</v>
      </c>
      <c r="F8662" s="14"/>
      <c r="G8662" s="14"/>
      <c r="H8662" s="14"/>
      <c r="I8662" s="14"/>
    </row>
    <row r="8663" ht="20.7" customHeight="1">
      <c r="A8663" s="10">
        <v>45782</v>
      </c>
      <c r="B8663" t="s" s="11">
        <v>8</v>
      </c>
      <c r="C8663" t="s" s="12">
        <v>8</v>
      </c>
      <c r="D8663" s="15" cm="1">
        <f t="array" ref="D8663">SUM(D8661:D8662)</f>
        <v>100</v>
      </c>
      <c r="E8663" s="15" cm="1">
        <f t="array" ref="E8663">SUM(E8661:E8662)</f>
        <v>100</v>
      </c>
      <c r="F8663" s="16" cm="1">
        <f t="array" ref="F8663">SUM(F8661:F8662)</f>
        <v>0</v>
      </c>
      <c r="G8663" s="16" cm="1">
        <f t="array" ref="G8663">SUM(G8661:G8662)</f>
        <v>0</v>
      </c>
      <c r="H8663" s="16" cm="1">
        <f t="array" ref="H8663">SUM(H8661:H8662)</f>
        <v>0</v>
      </c>
      <c r="I8663" s="16" cm="1">
        <f t="array" ref="I8663">SUM(I8661:I8662)</f>
        <v>0</v>
      </c>
    </row>
    <row r="8664" ht="21.25" customHeight="1">
      <c r="A8664" s="10">
        <v>45782</v>
      </c>
      <c r="B8664" t="s" s="11">
        <v>21</v>
      </c>
      <c r="C8664" t="s" s="12">
        <v>1162</v>
      </c>
      <c r="D8664" s="17"/>
      <c r="E8664" s="17">
        <v>1500</v>
      </c>
      <c r="F8664" s="18"/>
      <c r="G8664" s="18"/>
      <c r="H8664" s="18"/>
      <c r="I8664" s="18"/>
    </row>
    <row r="8665" ht="21.25" customHeight="1">
      <c r="A8665" s="10">
        <v>45782</v>
      </c>
      <c r="B8665" t="s" s="11">
        <v>16</v>
      </c>
      <c r="C8665" t="s" s="12">
        <v>1162</v>
      </c>
      <c r="D8665" s="13">
        <v>1500</v>
      </c>
      <c r="E8665" s="13"/>
      <c r="F8665" s="14"/>
      <c r="G8665" s="14"/>
      <c r="H8665" s="14"/>
      <c r="I8665" s="14"/>
    </row>
    <row r="8666" ht="20.7" customHeight="1">
      <c r="A8666" s="10">
        <v>45782</v>
      </c>
      <c r="B8666" t="s" s="11">
        <v>8</v>
      </c>
      <c r="C8666" t="s" s="12">
        <v>8</v>
      </c>
      <c r="D8666" s="15" cm="1">
        <f t="array" ref="D8666">SUM(D8664:D8665)</f>
        <v>1500</v>
      </c>
      <c r="E8666" s="15" cm="1">
        <f t="array" ref="E8666">SUM(E8664:E8665)</f>
        <v>1500</v>
      </c>
      <c r="F8666" s="16" cm="1">
        <f t="array" ref="F8666">SUM(F8664:F8665)</f>
        <v>0</v>
      </c>
      <c r="G8666" s="16" cm="1">
        <f t="array" ref="G8666">SUM(G8664:G8665)</f>
        <v>0</v>
      </c>
      <c r="H8666" s="16" cm="1">
        <f t="array" ref="H8666">SUM(H8664:H8665)</f>
        <v>0</v>
      </c>
      <c r="I8666" s="16" cm="1">
        <f t="array" ref="I8666">SUM(I8664:I8665)</f>
        <v>0</v>
      </c>
    </row>
    <row r="8667" ht="20.65" customHeight="1">
      <c r="A8667" s="10">
        <v>45783</v>
      </c>
      <c r="B8667" t="s" s="11">
        <v>814</v>
      </c>
      <c r="C8667" t="s" s="12">
        <v>820</v>
      </c>
      <c r="D8667" s="17">
        <v>100</v>
      </c>
      <c r="E8667" s="17"/>
      <c r="F8667" s="18"/>
      <c r="G8667" s="18"/>
      <c r="H8667" s="18"/>
      <c r="I8667" s="18"/>
    </row>
    <row r="8668" ht="20.65" customHeight="1">
      <c r="A8668" s="10">
        <v>45783</v>
      </c>
      <c r="B8668" t="s" s="11">
        <v>7</v>
      </c>
      <c r="C8668" t="s" s="12">
        <v>820</v>
      </c>
      <c r="D8668" s="13"/>
      <c r="E8668" s="13">
        <v>100</v>
      </c>
      <c r="F8668" s="14"/>
      <c r="G8668" s="14"/>
      <c r="H8668" s="14"/>
      <c r="I8668" s="14"/>
    </row>
    <row r="8669" ht="20.7" customHeight="1">
      <c r="A8669" s="10">
        <v>45783</v>
      </c>
      <c r="B8669" t="s" s="11">
        <v>8</v>
      </c>
      <c r="C8669" t="s" s="12">
        <v>8</v>
      </c>
      <c r="D8669" s="15" cm="1">
        <f t="array" ref="D8669">SUM(D8667:D8668)</f>
        <v>100</v>
      </c>
      <c r="E8669" s="15" cm="1">
        <f t="array" ref="E8669">SUM(E8667:E8668)</f>
        <v>100</v>
      </c>
      <c r="F8669" s="16" cm="1">
        <f t="array" ref="F8669">SUM(F8667:F8668)</f>
        <v>0</v>
      </c>
      <c r="G8669" s="16" cm="1">
        <f t="array" ref="G8669">SUM(G8667:G8668)</f>
        <v>0</v>
      </c>
      <c r="H8669" s="16" cm="1">
        <f t="array" ref="H8669">SUM(H8667:H8668)</f>
        <v>0</v>
      </c>
      <c r="I8669" s="16" cm="1">
        <f t="array" ref="I8669">SUM(I8667:I8668)</f>
        <v>0</v>
      </c>
    </row>
    <row r="8670" ht="20.35" customHeight="1">
      <c r="A8670" s="10">
        <v>45783</v>
      </c>
      <c r="B8670" t="s" s="11">
        <v>814</v>
      </c>
      <c r="C8670" t="s" s="12">
        <v>96</v>
      </c>
      <c r="D8670" s="17"/>
      <c r="E8670" s="17">
        <v>20000</v>
      </c>
      <c r="F8670" s="18"/>
      <c r="G8670" s="18"/>
      <c r="H8670" s="18"/>
      <c r="I8670" s="18"/>
    </row>
    <row r="8671" ht="20.35" customHeight="1">
      <c r="A8671" s="10">
        <v>45783</v>
      </c>
      <c r="B8671" t="s" s="11">
        <v>5</v>
      </c>
      <c r="C8671" t="s" s="12">
        <v>96</v>
      </c>
      <c r="D8671" s="13">
        <v>20000</v>
      </c>
      <c r="E8671" s="13"/>
      <c r="F8671" s="14"/>
      <c r="G8671" s="14"/>
      <c r="H8671" s="14"/>
      <c r="I8671" s="14"/>
    </row>
    <row r="8672" ht="20.7" customHeight="1">
      <c r="A8672" s="10">
        <v>45783</v>
      </c>
      <c r="B8672" t="s" s="11">
        <v>8</v>
      </c>
      <c r="C8672" t="s" s="12">
        <v>8</v>
      </c>
      <c r="D8672" s="15" cm="1">
        <f t="array" ref="D8672">SUM(D8670:D8671)</f>
        <v>20000</v>
      </c>
      <c r="E8672" s="15" cm="1">
        <f t="array" ref="E8672">SUM(E8670:E8671)</f>
        <v>20000</v>
      </c>
      <c r="F8672" s="16" cm="1">
        <f t="array" ref="F8672">SUM(F8670:F8671)</f>
        <v>0</v>
      </c>
      <c r="G8672" s="16" cm="1">
        <f t="array" ref="G8672">SUM(G8670:G8671)</f>
        <v>0</v>
      </c>
      <c r="H8672" s="16" cm="1">
        <f t="array" ref="H8672">SUM(H8670:H8671)</f>
        <v>0</v>
      </c>
      <c r="I8672" s="16" cm="1">
        <f t="array" ref="I8672">SUM(I8670:I8671)</f>
        <v>0</v>
      </c>
    </row>
    <row r="8673" ht="20.35" customHeight="1">
      <c r="A8673" s="10">
        <v>45783</v>
      </c>
      <c r="B8673" t="s" s="11">
        <v>5</v>
      </c>
      <c r="C8673" t="s" s="12">
        <v>439</v>
      </c>
      <c r="D8673" s="17"/>
      <c r="E8673" s="17">
        <v>24015</v>
      </c>
      <c r="F8673" s="18"/>
      <c r="G8673" s="18"/>
      <c r="H8673" s="18"/>
      <c r="I8673" s="18"/>
    </row>
    <row r="8674" ht="20.35" customHeight="1">
      <c r="A8674" s="10">
        <v>45783</v>
      </c>
      <c r="B8674" t="s" s="11">
        <v>121</v>
      </c>
      <c r="C8674" t="s" s="12">
        <v>439</v>
      </c>
      <c r="D8674" s="13">
        <v>24015</v>
      </c>
      <c r="E8674" s="13"/>
      <c r="F8674" s="14"/>
      <c r="G8674" s="14"/>
      <c r="H8674" s="14"/>
      <c r="I8674" s="14"/>
    </row>
    <row r="8675" ht="20.7" customHeight="1">
      <c r="A8675" s="10">
        <v>45783</v>
      </c>
      <c r="B8675" t="s" s="11">
        <v>8</v>
      </c>
      <c r="C8675" t="s" s="12">
        <v>8</v>
      </c>
      <c r="D8675" s="15" cm="1">
        <f t="array" ref="D8675">SUM(D8673:D8674)</f>
        <v>24015</v>
      </c>
      <c r="E8675" s="15" cm="1">
        <f t="array" ref="E8675">SUM(E8673:E8674)</f>
        <v>24015</v>
      </c>
      <c r="F8675" s="16" cm="1">
        <f t="array" ref="F8675">SUM(F8673:F8674)</f>
        <v>0</v>
      </c>
      <c r="G8675" s="16" cm="1">
        <f t="array" ref="G8675">SUM(G8673:G8674)</f>
        <v>0</v>
      </c>
      <c r="H8675" s="16" cm="1">
        <f t="array" ref="H8675">SUM(H8673:H8674)</f>
        <v>0</v>
      </c>
      <c r="I8675" s="16" cm="1">
        <f t="array" ref="I8675">SUM(I8673:I8674)</f>
        <v>0</v>
      </c>
    </row>
    <row r="8676" ht="20.35" customHeight="1">
      <c r="A8676" s="10">
        <v>45783</v>
      </c>
      <c r="B8676" t="s" s="11">
        <v>121</v>
      </c>
      <c r="C8676" t="s" s="12">
        <v>1163</v>
      </c>
      <c r="D8676" s="17"/>
      <c r="E8676" s="17">
        <v>14400</v>
      </c>
      <c r="F8676" s="18"/>
      <c r="G8676" s="18"/>
      <c r="H8676" s="18"/>
      <c r="I8676" s="18"/>
    </row>
    <row r="8677" ht="20.05" customHeight="1">
      <c r="A8677" s="10">
        <v>45783</v>
      </c>
      <c r="B8677" t="s" s="11">
        <v>12</v>
      </c>
      <c r="C8677" t="s" s="12">
        <v>1163</v>
      </c>
      <c r="D8677" s="19">
        <v>7200</v>
      </c>
      <c r="E8677" s="19"/>
      <c r="F8677" s="20"/>
      <c r="G8677" s="20"/>
      <c r="H8677" s="20"/>
      <c r="I8677" s="20"/>
    </row>
    <row r="8678" ht="20.35" customHeight="1">
      <c r="A8678" s="10">
        <v>45783</v>
      </c>
      <c r="B8678" t="s" s="11">
        <v>10</v>
      </c>
      <c r="C8678" t="s" s="12">
        <v>1163</v>
      </c>
      <c r="D8678" s="13">
        <v>7200</v>
      </c>
      <c r="E8678" s="13"/>
      <c r="F8678" s="14"/>
      <c r="G8678" s="14"/>
      <c r="H8678" s="14"/>
      <c r="I8678" s="14"/>
    </row>
    <row r="8679" ht="20.7" customHeight="1">
      <c r="A8679" s="10">
        <v>45783</v>
      </c>
      <c r="B8679" t="s" s="11">
        <v>8</v>
      </c>
      <c r="C8679" t="s" s="12">
        <v>8</v>
      </c>
      <c r="D8679" s="15" cm="1">
        <f t="array" ref="D8679">SUM(D8676:D8678)</f>
        <v>14400</v>
      </c>
      <c r="E8679" s="15" cm="1">
        <f t="array" ref="E8679">SUM(E8676:E8678)</f>
        <v>14400</v>
      </c>
      <c r="F8679" s="16" cm="1">
        <f t="array" ref="F8679">SUM(F8676:F8678)</f>
        <v>0</v>
      </c>
      <c r="G8679" s="16" cm="1">
        <f t="array" ref="G8679">SUM(G8676:G8678)</f>
        <v>0</v>
      </c>
      <c r="H8679" s="16" cm="1">
        <f t="array" ref="H8679">SUM(H8677:H8678)</f>
        <v>0</v>
      </c>
      <c r="I8679" s="16" cm="1">
        <f t="array" ref="I8679">SUM(I8677:I8678)</f>
        <v>0</v>
      </c>
    </row>
    <row r="8680" ht="20.35" customHeight="1">
      <c r="A8680" s="10">
        <v>45783</v>
      </c>
      <c r="B8680" t="s" s="11">
        <v>814</v>
      </c>
      <c r="C8680" t="s" s="12">
        <v>96</v>
      </c>
      <c r="D8680" s="17"/>
      <c r="E8680" s="17">
        <v>24900</v>
      </c>
      <c r="F8680" s="18"/>
      <c r="G8680" s="18"/>
      <c r="H8680" s="18"/>
      <c r="I8680" s="18"/>
    </row>
    <row r="8681" ht="20.35" customHeight="1">
      <c r="A8681" s="10">
        <v>45783</v>
      </c>
      <c r="B8681" t="s" s="11">
        <v>5</v>
      </c>
      <c r="C8681" t="s" s="12">
        <v>96</v>
      </c>
      <c r="D8681" s="13">
        <v>24900</v>
      </c>
      <c r="E8681" s="13"/>
      <c r="F8681" s="14"/>
      <c r="G8681" s="14"/>
      <c r="H8681" s="14"/>
      <c r="I8681" s="14"/>
    </row>
    <row r="8682" ht="20.7" customHeight="1">
      <c r="A8682" s="10">
        <v>45783</v>
      </c>
      <c r="B8682" t="s" s="11">
        <v>8</v>
      </c>
      <c r="C8682" t="s" s="12">
        <v>8</v>
      </c>
      <c r="D8682" s="15" cm="1">
        <f t="array" ref="D8682">SUM(D8680:D8681)</f>
        <v>24900</v>
      </c>
      <c r="E8682" s="15" cm="1">
        <f t="array" ref="E8682">SUM(E8680:E8681)</f>
        <v>24900</v>
      </c>
      <c r="F8682" s="16" cm="1">
        <f t="array" ref="F8682">SUM(F8680:F8681)</f>
        <v>0</v>
      </c>
      <c r="G8682" s="16" cm="1">
        <f t="array" ref="G8682">SUM(G8680:G8681)</f>
        <v>0</v>
      </c>
      <c r="H8682" s="16" cm="1">
        <f t="array" ref="H8682">SUM(H8680:H8681)</f>
        <v>0</v>
      </c>
      <c r="I8682" s="16" cm="1">
        <f t="array" ref="I8682">SUM(I8680:I8681)</f>
        <v>0</v>
      </c>
    </row>
    <row r="8683" ht="20.35" customHeight="1">
      <c r="A8683" s="10">
        <v>45783</v>
      </c>
      <c r="B8683" t="s" s="11">
        <v>5</v>
      </c>
      <c r="C8683" t="s" s="12">
        <v>1164</v>
      </c>
      <c r="D8683" s="17"/>
      <c r="E8683" s="17">
        <v>24900</v>
      </c>
      <c r="F8683" s="18"/>
      <c r="G8683" s="18"/>
      <c r="H8683" s="18"/>
      <c r="I8683" s="18"/>
    </row>
    <row r="8684" ht="20.35" customHeight="1">
      <c r="A8684" s="10">
        <v>45783</v>
      </c>
      <c r="B8684" t="s" s="11">
        <v>10</v>
      </c>
      <c r="C8684" t="s" s="12">
        <v>1164</v>
      </c>
      <c r="D8684" s="13">
        <v>24900</v>
      </c>
      <c r="E8684" s="13"/>
      <c r="F8684" s="14"/>
      <c r="G8684" s="14"/>
      <c r="H8684" s="14"/>
      <c r="I8684" s="14"/>
    </row>
    <row r="8685" ht="20.7" customHeight="1">
      <c r="A8685" s="10">
        <v>45783</v>
      </c>
      <c r="B8685" t="s" s="11">
        <v>8</v>
      </c>
      <c r="C8685" t="s" s="12">
        <v>8</v>
      </c>
      <c r="D8685" s="15" cm="1">
        <f t="array" ref="D8685">SUM(D8683:D8684)</f>
        <v>24900</v>
      </c>
      <c r="E8685" s="15" cm="1">
        <f t="array" ref="E8685">SUM(E8683:E8684)</f>
        <v>24900</v>
      </c>
      <c r="F8685" s="16" cm="1">
        <f t="array" ref="F8685">SUM(F8683:F8684)</f>
        <v>0</v>
      </c>
      <c r="G8685" s="16" cm="1">
        <f t="array" ref="G8685">SUM(G8683:G8684)</f>
        <v>0</v>
      </c>
      <c r="H8685" s="16" cm="1">
        <f t="array" ref="H8685">SUM(H8683:H8684)</f>
        <v>0</v>
      </c>
      <c r="I8685" s="16" cm="1">
        <f t="array" ref="I8685">SUM(I8683:I8684)</f>
        <v>0</v>
      </c>
    </row>
    <row r="8686" ht="21.25" customHeight="1">
      <c r="A8686" s="10">
        <v>45783</v>
      </c>
      <c r="B8686" t="s" s="11">
        <v>21</v>
      </c>
      <c r="C8686" t="s" s="12">
        <v>1165</v>
      </c>
      <c r="D8686" s="17"/>
      <c r="E8686" s="17">
        <v>1500</v>
      </c>
      <c r="F8686" s="18"/>
      <c r="G8686" s="18"/>
      <c r="H8686" s="18"/>
      <c r="I8686" s="18"/>
    </row>
    <row r="8687" ht="21.25" customHeight="1">
      <c r="A8687" s="10">
        <v>45783</v>
      </c>
      <c r="B8687" t="s" s="11">
        <v>16</v>
      </c>
      <c r="C8687" t="s" s="12">
        <v>1165</v>
      </c>
      <c r="D8687" s="13">
        <v>1500</v>
      </c>
      <c r="E8687" s="13"/>
      <c r="F8687" s="14"/>
      <c r="G8687" s="14"/>
      <c r="H8687" s="14"/>
      <c r="I8687" s="14"/>
    </row>
    <row r="8688" ht="20.7" customHeight="1">
      <c r="A8688" s="10">
        <v>45783</v>
      </c>
      <c r="B8688" t="s" s="11">
        <v>8</v>
      </c>
      <c r="C8688" t="s" s="12">
        <v>8</v>
      </c>
      <c r="D8688" s="15" cm="1">
        <f t="array" ref="D8688">SUM(D8686:D8687)</f>
        <v>1500</v>
      </c>
      <c r="E8688" s="15" cm="1">
        <f t="array" ref="E8688">SUM(E8686:E8687)</f>
        <v>1500</v>
      </c>
      <c r="F8688" s="16" cm="1">
        <f t="array" ref="F8688">SUM(F8686:F8687)</f>
        <v>0</v>
      </c>
      <c r="G8688" s="16" cm="1">
        <f t="array" ref="G8688">SUM(G8686:G8687)</f>
        <v>0</v>
      </c>
      <c r="H8688" s="16" cm="1">
        <f t="array" ref="H8688">SUM(H8686:H8687)</f>
        <v>0</v>
      </c>
      <c r="I8688" s="16" cm="1">
        <f t="array" ref="I8688">SUM(I8686:I8687)</f>
        <v>0</v>
      </c>
    </row>
    <row r="8689" ht="20.65" customHeight="1">
      <c r="A8689" s="10">
        <v>45784</v>
      </c>
      <c r="B8689" t="s" s="11">
        <v>814</v>
      </c>
      <c r="C8689" t="s" s="12">
        <v>820</v>
      </c>
      <c r="D8689" s="17">
        <v>98</v>
      </c>
      <c r="E8689" s="17"/>
      <c r="F8689" s="18"/>
      <c r="G8689" s="18"/>
      <c r="H8689" s="18"/>
      <c r="I8689" s="18"/>
    </row>
    <row r="8690" ht="20.65" customHeight="1">
      <c r="A8690" s="10">
        <v>45784</v>
      </c>
      <c r="B8690" t="s" s="11">
        <v>7</v>
      </c>
      <c r="C8690" t="s" s="12">
        <v>820</v>
      </c>
      <c r="D8690" s="13"/>
      <c r="E8690" s="13">
        <v>98</v>
      </c>
      <c r="F8690" s="14"/>
      <c r="G8690" s="14"/>
      <c r="H8690" s="14"/>
      <c r="I8690" s="14"/>
    </row>
    <row r="8691" ht="20.7" customHeight="1">
      <c r="A8691" s="10">
        <v>45784</v>
      </c>
      <c r="B8691" t="s" s="11">
        <v>8</v>
      </c>
      <c r="C8691" t="s" s="12">
        <v>8</v>
      </c>
      <c r="D8691" s="15" cm="1">
        <f t="array" ref="D8691">SUM(D8689:D8690)</f>
        <v>98</v>
      </c>
      <c r="E8691" s="15" cm="1">
        <f t="array" ref="E8691">SUM(E8689:E8690)</f>
        <v>98</v>
      </c>
      <c r="F8691" s="16" cm="1">
        <f t="array" ref="F8691">SUM(F8689:F8690)</f>
        <v>0</v>
      </c>
      <c r="G8691" s="16" cm="1">
        <f t="array" ref="G8691">SUM(G8689:G8690)</f>
        <v>0</v>
      </c>
      <c r="H8691" s="16" cm="1">
        <f t="array" ref="H8691">SUM(H8689:H8690)</f>
        <v>0</v>
      </c>
      <c r="I8691" s="16" cm="1">
        <f t="array" ref="I8691">SUM(I8689:I8690)</f>
        <v>0</v>
      </c>
    </row>
    <row r="8692" ht="20.35" customHeight="1">
      <c r="A8692" s="10">
        <v>45784</v>
      </c>
      <c r="B8692" t="s" s="11">
        <v>121</v>
      </c>
      <c r="C8692" t="s" s="12">
        <v>96</v>
      </c>
      <c r="D8692" s="17"/>
      <c r="E8692" s="17">
        <v>7890</v>
      </c>
      <c r="F8692" s="18"/>
      <c r="G8692" s="18"/>
      <c r="H8692" s="18"/>
      <c r="I8692" s="18"/>
    </row>
    <row r="8693" ht="20.35" customHeight="1">
      <c r="A8693" s="10">
        <v>45784</v>
      </c>
      <c r="B8693" t="s" s="11">
        <v>5</v>
      </c>
      <c r="C8693" t="s" s="12">
        <v>96</v>
      </c>
      <c r="D8693" s="13">
        <v>7890</v>
      </c>
      <c r="E8693" s="13"/>
      <c r="F8693" s="14"/>
      <c r="G8693" s="14"/>
      <c r="H8693" s="14"/>
      <c r="I8693" s="14"/>
    </row>
    <row r="8694" ht="20.7" customHeight="1">
      <c r="A8694" s="10">
        <v>45784</v>
      </c>
      <c r="B8694" t="s" s="11">
        <v>8</v>
      </c>
      <c r="C8694" t="s" s="12">
        <v>8</v>
      </c>
      <c r="D8694" s="15" cm="1">
        <f t="array" ref="D8694">SUM(D8692:D8693)</f>
        <v>7890</v>
      </c>
      <c r="E8694" s="15" cm="1">
        <f t="array" ref="E8694">SUM(E8692:E8693)</f>
        <v>7890</v>
      </c>
      <c r="F8694" s="16" cm="1">
        <f t="array" ref="F8694">SUM(F8692:F8693)</f>
        <v>0</v>
      </c>
      <c r="G8694" s="16" cm="1">
        <f t="array" ref="G8694">SUM(G8692:G8693)</f>
        <v>0</v>
      </c>
      <c r="H8694" s="16" cm="1">
        <f t="array" ref="H8694">SUM(H8692:H8693)</f>
        <v>0</v>
      </c>
      <c r="I8694" s="16" cm="1">
        <f t="array" ref="I8694">SUM(I8692:I8693)</f>
        <v>0</v>
      </c>
    </row>
    <row r="8695" ht="21.25" customHeight="1">
      <c r="A8695" s="10">
        <v>45784</v>
      </c>
      <c r="B8695" t="s" s="11">
        <v>10</v>
      </c>
      <c r="C8695" t="s" s="12">
        <v>253</v>
      </c>
      <c r="D8695" s="17">
        <v>7890</v>
      </c>
      <c r="E8695" s="17"/>
      <c r="F8695" s="18"/>
      <c r="G8695" s="18"/>
      <c r="H8695" s="18"/>
      <c r="I8695" s="18"/>
    </row>
    <row r="8696" ht="21.25" customHeight="1">
      <c r="A8696" s="10">
        <v>45784</v>
      </c>
      <c r="B8696" t="s" s="11">
        <v>5</v>
      </c>
      <c r="C8696" t="s" s="12">
        <v>253</v>
      </c>
      <c r="D8696" s="21"/>
      <c r="E8696" s="13">
        <v>7890</v>
      </c>
      <c r="F8696" s="14"/>
      <c r="G8696" s="14"/>
      <c r="H8696" s="14"/>
      <c r="I8696" s="14"/>
    </row>
    <row r="8697" ht="20.7" customHeight="1">
      <c r="A8697" s="10">
        <v>45784</v>
      </c>
      <c r="B8697" t="s" s="11">
        <v>8</v>
      </c>
      <c r="C8697" t="s" s="12">
        <v>8</v>
      </c>
      <c r="D8697" s="15" cm="1">
        <f t="array" ref="D8697">SUM(D8695:D8696)</f>
        <v>7890</v>
      </c>
      <c r="E8697" s="15" cm="1">
        <f t="array" ref="E8697">SUM(E8695:E8696)</f>
        <v>7890</v>
      </c>
      <c r="F8697" s="16" cm="1">
        <f t="array" ref="F8697">SUM(F8695:F8696)</f>
        <v>0</v>
      </c>
      <c r="G8697" s="16" cm="1">
        <f t="array" ref="G8697">SUM(G8695:G8696)</f>
        <v>0</v>
      </c>
      <c r="H8697" s="16" cm="1">
        <f t="array" ref="H8697">SUM(H8695:H8696)</f>
        <v>0</v>
      </c>
      <c r="I8697" s="16" cm="1">
        <f t="array" ref="I8697">SUM(I8695:I8696)</f>
        <v>0</v>
      </c>
    </row>
    <row r="8698" ht="20.35" customHeight="1">
      <c r="A8698" s="10">
        <v>45784</v>
      </c>
      <c r="B8698" t="s" s="11">
        <v>814</v>
      </c>
      <c r="C8698" t="s" s="12">
        <v>96</v>
      </c>
      <c r="D8698" s="17"/>
      <c r="E8698" s="17">
        <v>18000</v>
      </c>
      <c r="F8698" s="18"/>
      <c r="G8698" s="18"/>
      <c r="H8698" s="18"/>
      <c r="I8698" s="18"/>
    </row>
    <row r="8699" ht="20.35" customHeight="1">
      <c r="A8699" s="10">
        <v>45784</v>
      </c>
      <c r="B8699" t="s" s="11">
        <v>5</v>
      </c>
      <c r="C8699" t="s" s="12">
        <v>96</v>
      </c>
      <c r="D8699" s="13">
        <v>18000</v>
      </c>
      <c r="E8699" s="13"/>
      <c r="F8699" s="14"/>
      <c r="G8699" s="14"/>
      <c r="H8699" s="14"/>
      <c r="I8699" s="14"/>
    </row>
    <row r="8700" ht="20.7" customHeight="1">
      <c r="A8700" s="10">
        <v>45784</v>
      </c>
      <c r="B8700" t="s" s="11">
        <v>8</v>
      </c>
      <c r="C8700" t="s" s="12">
        <v>8</v>
      </c>
      <c r="D8700" s="15" cm="1">
        <f t="array" ref="D8700">SUM(D8698:D8699)</f>
        <v>18000</v>
      </c>
      <c r="E8700" s="15" cm="1">
        <f t="array" ref="E8700">SUM(E8698:E8699)</f>
        <v>18000</v>
      </c>
      <c r="F8700" s="16" cm="1">
        <f t="array" ref="F8700">SUM(F8698:F8699)</f>
        <v>0</v>
      </c>
      <c r="G8700" s="16" cm="1">
        <f t="array" ref="G8700">SUM(G8698:G8699)</f>
        <v>0</v>
      </c>
      <c r="H8700" s="16" cm="1">
        <f t="array" ref="H8700">SUM(H8698:H8699)</f>
        <v>0</v>
      </c>
      <c r="I8700" s="16" cm="1">
        <f t="array" ref="I8700">SUM(I8698:I8699)</f>
        <v>0</v>
      </c>
    </row>
    <row r="8701" ht="20.35" customHeight="1">
      <c r="A8701" s="10">
        <v>45784</v>
      </c>
      <c r="B8701" t="s" s="11">
        <v>5</v>
      </c>
      <c r="C8701" t="s" s="12">
        <v>439</v>
      </c>
      <c r="D8701" s="17"/>
      <c r="E8701" s="17">
        <v>18000</v>
      </c>
      <c r="F8701" s="18"/>
      <c r="G8701" s="18"/>
      <c r="H8701" s="18"/>
      <c r="I8701" s="18"/>
    </row>
    <row r="8702" ht="20.35" customHeight="1">
      <c r="A8702" s="10">
        <v>45784</v>
      </c>
      <c r="B8702" t="s" s="11">
        <v>121</v>
      </c>
      <c r="C8702" t="s" s="12">
        <v>439</v>
      </c>
      <c r="D8702" s="13">
        <v>18000</v>
      </c>
      <c r="E8702" s="13"/>
      <c r="F8702" s="14"/>
      <c r="G8702" s="14"/>
      <c r="H8702" s="14"/>
      <c r="I8702" s="14"/>
    </row>
    <row r="8703" ht="20.7" customHeight="1">
      <c r="A8703" s="10">
        <v>45784</v>
      </c>
      <c r="B8703" t="s" s="11">
        <v>8</v>
      </c>
      <c r="C8703" t="s" s="12">
        <v>8</v>
      </c>
      <c r="D8703" s="15" cm="1">
        <f t="array" ref="D8703">SUM(D8701:D8702)</f>
        <v>18000</v>
      </c>
      <c r="E8703" s="15" cm="1">
        <f t="array" ref="E8703">SUM(E8701:E8702)</f>
        <v>18000</v>
      </c>
      <c r="F8703" s="16" cm="1">
        <f t="array" ref="F8703">SUM(F8701:F8702)</f>
        <v>0</v>
      </c>
      <c r="G8703" s="16" cm="1">
        <f t="array" ref="G8703">SUM(G8701:G8702)</f>
        <v>0</v>
      </c>
      <c r="H8703" s="16" cm="1">
        <f t="array" ref="H8703">SUM(H8701:H8702)</f>
        <v>0</v>
      </c>
      <c r="I8703" s="16" cm="1">
        <f t="array" ref="I8703">SUM(I8701:I8702)</f>
        <v>0</v>
      </c>
    </row>
    <row r="8704" ht="20.35" customHeight="1">
      <c r="A8704" s="10">
        <v>45784</v>
      </c>
      <c r="B8704" t="s" s="11">
        <v>121</v>
      </c>
      <c r="C8704" t="s" s="12">
        <v>604</v>
      </c>
      <c r="D8704" s="17"/>
      <c r="E8704" s="17">
        <v>10650</v>
      </c>
      <c r="F8704" s="18"/>
      <c r="G8704" s="18"/>
      <c r="H8704" s="18"/>
      <c r="I8704" s="18"/>
    </row>
    <row r="8705" ht="20.35" customHeight="1">
      <c r="A8705" s="10">
        <v>45784</v>
      </c>
      <c r="B8705" t="s" s="11">
        <v>93</v>
      </c>
      <c r="C8705" t="s" s="12">
        <v>604</v>
      </c>
      <c r="D8705" s="13">
        <v>10650</v>
      </c>
      <c r="E8705" s="13"/>
      <c r="F8705" s="14"/>
      <c r="G8705" s="14"/>
      <c r="H8705" s="14"/>
      <c r="I8705" s="14"/>
    </row>
    <row r="8706" ht="20.7" customHeight="1">
      <c r="A8706" s="10">
        <v>45784</v>
      </c>
      <c r="B8706" t="s" s="11">
        <v>8</v>
      </c>
      <c r="C8706" t="s" s="12">
        <v>8</v>
      </c>
      <c r="D8706" s="15" cm="1">
        <f t="array" ref="D8706">SUM(D8704:D8705)</f>
        <v>10650</v>
      </c>
      <c r="E8706" s="15" cm="1">
        <f t="array" ref="E8706">SUM(E8704:E8705)</f>
        <v>10650</v>
      </c>
      <c r="F8706" s="16" cm="1">
        <f t="array" ref="F8706">SUM(F8704:F8705)</f>
        <v>0</v>
      </c>
      <c r="G8706" s="16" cm="1">
        <f t="array" ref="G8706">SUM(G8704:G8705)</f>
        <v>0</v>
      </c>
      <c r="H8706" s="16" cm="1">
        <f t="array" ref="H8706">SUM(H8704:H8705)</f>
        <v>0</v>
      </c>
      <c r="I8706" s="16" cm="1">
        <f t="array" ref="I8706">SUM(I8704:I8705)</f>
        <v>0</v>
      </c>
    </row>
    <row r="8707" ht="20.35" customHeight="1">
      <c r="A8707" s="10">
        <v>45784</v>
      </c>
      <c r="B8707" t="s" s="11">
        <v>93</v>
      </c>
      <c r="C8707" t="s" s="12">
        <v>407</v>
      </c>
      <c r="D8707" s="17"/>
      <c r="E8707" s="17">
        <v>15200</v>
      </c>
      <c r="F8707" s="18"/>
      <c r="G8707" s="18"/>
      <c r="H8707" s="18"/>
      <c r="I8707" s="18"/>
    </row>
    <row r="8708" ht="20.35" customHeight="1">
      <c r="A8708" s="10">
        <v>45784</v>
      </c>
      <c r="B8708" t="s" s="11">
        <v>12</v>
      </c>
      <c r="C8708" t="s" s="12">
        <v>407</v>
      </c>
      <c r="D8708" s="13">
        <v>15200</v>
      </c>
      <c r="E8708" s="13"/>
      <c r="F8708" s="14"/>
      <c r="G8708" s="14"/>
      <c r="H8708" s="14"/>
      <c r="I8708" s="14"/>
    </row>
    <row r="8709" ht="20.7" customHeight="1">
      <c r="A8709" s="10">
        <v>45784</v>
      </c>
      <c r="B8709" t="s" s="11">
        <v>8</v>
      </c>
      <c r="C8709" t="s" s="12">
        <v>8</v>
      </c>
      <c r="D8709" s="15" cm="1">
        <f t="array" ref="D8709">SUM(D8707:D8708)</f>
        <v>15200</v>
      </c>
      <c r="E8709" s="15" cm="1">
        <f t="array" ref="E8709">SUM(E8707:E8708)</f>
        <v>15200</v>
      </c>
      <c r="F8709" s="16" cm="1">
        <f t="array" ref="F8709">SUM(F8707:F8708)</f>
        <v>0</v>
      </c>
      <c r="G8709" s="16" cm="1">
        <f t="array" ref="G8709">SUM(G8707:G8708)</f>
        <v>0</v>
      </c>
      <c r="H8709" s="16" cm="1">
        <f t="array" ref="H8709">SUM(H8707:H8708)</f>
        <v>0</v>
      </c>
      <c r="I8709" s="16" cm="1">
        <f t="array" ref="I8709">SUM(I8707:I8708)</f>
        <v>0</v>
      </c>
    </row>
    <row r="8710" ht="20.35" customHeight="1">
      <c r="A8710" s="10">
        <v>45784</v>
      </c>
      <c r="B8710" t="s" s="11">
        <v>814</v>
      </c>
      <c r="C8710" t="s" s="12">
        <v>96</v>
      </c>
      <c r="D8710" s="17"/>
      <c r="E8710" s="17">
        <v>18000</v>
      </c>
      <c r="F8710" s="18"/>
      <c r="G8710" s="18"/>
      <c r="H8710" s="18"/>
      <c r="I8710" s="18"/>
    </row>
    <row r="8711" ht="20.35" customHeight="1">
      <c r="A8711" s="10">
        <v>45784</v>
      </c>
      <c r="B8711" t="s" s="11">
        <v>5</v>
      </c>
      <c r="C8711" t="s" s="12">
        <v>96</v>
      </c>
      <c r="D8711" s="13">
        <v>18000</v>
      </c>
      <c r="E8711" s="13"/>
      <c r="F8711" s="14"/>
      <c r="G8711" s="14"/>
      <c r="H8711" s="14"/>
      <c r="I8711" s="14"/>
    </row>
    <row r="8712" ht="20.7" customHeight="1">
      <c r="A8712" s="10">
        <v>45784</v>
      </c>
      <c r="B8712" t="s" s="11">
        <v>8</v>
      </c>
      <c r="C8712" t="s" s="12">
        <v>8</v>
      </c>
      <c r="D8712" s="15" cm="1">
        <f t="array" ref="D8712">SUM(D8710:D8711)</f>
        <v>18000</v>
      </c>
      <c r="E8712" s="15" cm="1">
        <f t="array" ref="E8712">SUM(E8710:E8711)</f>
        <v>18000</v>
      </c>
      <c r="F8712" s="16" cm="1">
        <f t="array" ref="F8712">SUM(F8710:F8711)</f>
        <v>0</v>
      </c>
      <c r="G8712" s="16" cm="1">
        <f t="array" ref="G8712">SUM(G8710:G8711)</f>
        <v>0</v>
      </c>
      <c r="H8712" s="16" cm="1">
        <f t="array" ref="H8712">SUM(H8710:H8711)</f>
        <v>0</v>
      </c>
      <c r="I8712" s="16" cm="1">
        <f t="array" ref="I8712">SUM(I8710:I8711)</f>
        <v>0</v>
      </c>
    </row>
    <row r="8713" ht="20.35" customHeight="1">
      <c r="A8713" s="10">
        <v>45784</v>
      </c>
      <c r="B8713" t="s" s="11">
        <v>5</v>
      </c>
      <c r="C8713" t="s" s="12">
        <v>439</v>
      </c>
      <c r="D8713" s="17"/>
      <c r="E8713" s="17">
        <v>18000</v>
      </c>
      <c r="F8713" s="18"/>
      <c r="G8713" s="18"/>
      <c r="H8713" s="18"/>
      <c r="I8713" s="18"/>
    </row>
    <row r="8714" ht="20.35" customHeight="1">
      <c r="A8714" s="10">
        <v>45784</v>
      </c>
      <c r="B8714" t="s" s="11">
        <v>121</v>
      </c>
      <c r="C8714" t="s" s="12">
        <v>439</v>
      </c>
      <c r="D8714" s="13">
        <v>18000</v>
      </c>
      <c r="E8714" s="13"/>
      <c r="F8714" s="14"/>
      <c r="G8714" s="14"/>
      <c r="H8714" s="14"/>
      <c r="I8714" s="14"/>
    </row>
    <row r="8715" ht="20.7" customHeight="1">
      <c r="A8715" s="10">
        <v>45784</v>
      </c>
      <c r="B8715" t="s" s="11">
        <v>8</v>
      </c>
      <c r="C8715" t="s" s="12">
        <v>8</v>
      </c>
      <c r="D8715" s="15" cm="1">
        <f t="array" ref="D8715">SUM(D8713:D8714)</f>
        <v>18000</v>
      </c>
      <c r="E8715" s="15" cm="1">
        <f t="array" ref="E8715">SUM(E8713:E8714)</f>
        <v>18000</v>
      </c>
      <c r="F8715" s="16" cm="1">
        <f t="array" ref="F8715">SUM(F8713:F8714)</f>
        <v>0</v>
      </c>
      <c r="G8715" s="16" cm="1">
        <f t="array" ref="G8715">SUM(G8713:G8714)</f>
        <v>0</v>
      </c>
      <c r="H8715" s="16" cm="1">
        <f t="array" ref="H8715">SUM(H8713:H8714)</f>
        <v>0</v>
      </c>
      <c r="I8715" s="16" cm="1">
        <f t="array" ref="I8715">SUM(I8713:I8714)</f>
        <v>0</v>
      </c>
    </row>
    <row r="8716" ht="20.35" customHeight="1">
      <c r="A8716" s="10">
        <v>45784</v>
      </c>
      <c r="B8716" t="s" s="11">
        <v>121</v>
      </c>
      <c r="C8716" t="s" s="12">
        <v>407</v>
      </c>
      <c r="D8716" s="17"/>
      <c r="E8716" s="17">
        <v>5500</v>
      </c>
      <c r="F8716" s="18"/>
      <c r="G8716" s="18"/>
      <c r="H8716" s="18"/>
      <c r="I8716" s="18"/>
    </row>
    <row r="8717" ht="20.35" customHeight="1">
      <c r="A8717" s="10">
        <v>45784</v>
      </c>
      <c r="B8717" t="s" s="11">
        <v>12</v>
      </c>
      <c r="C8717" t="s" s="12">
        <v>407</v>
      </c>
      <c r="D8717" s="13">
        <v>5500</v>
      </c>
      <c r="E8717" s="13"/>
      <c r="F8717" s="14"/>
      <c r="G8717" s="14"/>
      <c r="H8717" s="14"/>
      <c r="I8717" s="14"/>
    </row>
    <row r="8718" ht="20.7" customHeight="1">
      <c r="A8718" s="10">
        <v>45784</v>
      </c>
      <c r="B8718" t="s" s="11">
        <v>8</v>
      </c>
      <c r="C8718" t="s" s="12">
        <v>8</v>
      </c>
      <c r="D8718" s="15" cm="1">
        <f t="array" ref="D8718">SUM(D8716:D8717)</f>
        <v>5500</v>
      </c>
      <c r="E8718" s="15" cm="1">
        <f t="array" ref="E8718">SUM(E8716:E8717)</f>
        <v>5500</v>
      </c>
      <c r="F8718" s="16" cm="1">
        <f t="array" ref="F8718">SUM(F8716:F8717)</f>
        <v>0</v>
      </c>
      <c r="G8718" s="16" cm="1">
        <f t="array" ref="G8718">SUM(G8716:G8717)</f>
        <v>0</v>
      </c>
      <c r="H8718" s="16" cm="1">
        <f t="array" ref="H8718">SUM(H8716:H8717)</f>
        <v>0</v>
      </c>
      <c r="I8718" s="16" cm="1">
        <f t="array" ref="I8718">SUM(I8716:I8717)</f>
        <v>0</v>
      </c>
    </row>
    <row r="8719" ht="20.65" customHeight="1">
      <c r="A8719" s="10">
        <v>45785</v>
      </c>
      <c r="B8719" t="s" s="11">
        <v>814</v>
      </c>
      <c r="C8719" t="s" s="12">
        <v>820</v>
      </c>
      <c r="D8719" s="17">
        <v>96</v>
      </c>
      <c r="E8719" s="17"/>
      <c r="F8719" s="18"/>
      <c r="G8719" s="18"/>
      <c r="H8719" s="18"/>
      <c r="I8719" s="18"/>
    </row>
    <row r="8720" ht="20.65" customHeight="1">
      <c r="A8720" s="10">
        <v>45785</v>
      </c>
      <c r="B8720" t="s" s="11">
        <v>7</v>
      </c>
      <c r="C8720" t="s" s="12">
        <v>820</v>
      </c>
      <c r="D8720" s="13"/>
      <c r="E8720" s="13">
        <v>96</v>
      </c>
      <c r="F8720" s="14"/>
      <c r="G8720" s="14"/>
      <c r="H8720" s="14"/>
      <c r="I8720" s="14"/>
    </row>
    <row r="8721" ht="20.7" customHeight="1">
      <c r="A8721" s="10">
        <v>45785</v>
      </c>
      <c r="B8721" t="s" s="11">
        <v>8</v>
      </c>
      <c r="C8721" t="s" s="12">
        <v>8</v>
      </c>
      <c r="D8721" s="15" cm="1">
        <f t="array" ref="D8721">SUM(D8719:D8720)</f>
        <v>96</v>
      </c>
      <c r="E8721" s="15" cm="1">
        <f t="array" ref="E8721">SUM(E8719:E8720)</f>
        <v>96</v>
      </c>
      <c r="F8721" s="16" cm="1">
        <f t="array" ref="F8721">SUM(F8719:F8720)</f>
        <v>0</v>
      </c>
      <c r="G8721" s="16" cm="1">
        <f t="array" ref="G8721">SUM(G8719:G8720)</f>
        <v>0</v>
      </c>
      <c r="H8721" s="16" cm="1">
        <f t="array" ref="H8721">SUM(H8719:H8720)</f>
        <v>0</v>
      </c>
      <c r="I8721" s="16" cm="1">
        <f t="array" ref="I8721">SUM(I8719:I8720)</f>
        <v>0</v>
      </c>
    </row>
    <row r="8722" ht="20.35" customHeight="1">
      <c r="A8722" s="10">
        <v>45785</v>
      </c>
      <c r="B8722" t="s" s="11">
        <v>814</v>
      </c>
      <c r="C8722" t="s" s="12">
        <v>96</v>
      </c>
      <c r="D8722" s="17"/>
      <c r="E8722" s="17">
        <v>240000</v>
      </c>
      <c r="F8722" s="18"/>
      <c r="G8722" s="18"/>
      <c r="H8722" s="18"/>
      <c r="I8722" s="18"/>
    </row>
    <row r="8723" ht="20.35" customHeight="1">
      <c r="A8723" s="10">
        <v>45785</v>
      </c>
      <c r="B8723" t="s" s="11">
        <v>5</v>
      </c>
      <c r="C8723" t="s" s="12">
        <v>96</v>
      </c>
      <c r="D8723" s="13">
        <v>240000</v>
      </c>
      <c r="E8723" s="13"/>
      <c r="F8723" s="14"/>
      <c r="G8723" s="14"/>
      <c r="H8723" s="14"/>
      <c r="I8723" s="14"/>
    </row>
    <row r="8724" ht="20.7" customHeight="1">
      <c r="A8724" s="10">
        <v>45785</v>
      </c>
      <c r="B8724" t="s" s="11">
        <v>8</v>
      </c>
      <c r="C8724" t="s" s="12">
        <v>8</v>
      </c>
      <c r="D8724" s="15" cm="1">
        <f t="array" ref="D8724">SUM(D8722:D8723)</f>
        <v>240000</v>
      </c>
      <c r="E8724" s="15" cm="1">
        <f t="array" ref="E8724">SUM(E8722:E8723)</f>
        <v>240000</v>
      </c>
      <c r="F8724" s="16" cm="1">
        <f t="array" ref="F8724">SUM(F8722:F8723)</f>
        <v>0</v>
      </c>
      <c r="G8724" s="16" cm="1">
        <f t="array" ref="G8724">SUM(G8722:G8723)</f>
        <v>0</v>
      </c>
      <c r="H8724" s="16" cm="1">
        <f t="array" ref="H8724">SUM(H8722:H8723)</f>
        <v>0</v>
      </c>
      <c r="I8724" s="16" cm="1">
        <f t="array" ref="I8724">SUM(I8722:I8723)</f>
        <v>0</v>
      </c>
    </row>
    <row r="8725" ht="21.25" customHeight="1">
      <c r="A8725" s="10">
        <v>45785</v>
      </c>
      <c r="B8725" t="s" s="11">
        <v>5</v>
      </c>
      <c r="C8725" t="s" s="12">
        <v>1166</v>
      </c>
      <c r="D8725" s="17"/>
      <c r="E8725" s="17">
        <v>120000</v>
      </c>
      <c r="F8725" s="18"/>
      <c r="G8725" s="18"/>
      <c r="H8725" s="18"/>
      <c r="I8725" s="18"/>
    </row>
    <row r="8726" ht="21.25" customHeight="1">
      <c r="A8726" s="10">
        <v>45785</v>
      </c>
      <c r="B8726" t="s" s="11">
        <v>89</v>
      </c>
      <c r="C8726" t="s" s="12">
        <v>1166</v>
      </c>
      <c r="D8726" s="13">
        <v>120000</v>
      </c>
      <c r="E8726" s="13"/>
      <c r="F8726" s="14"/>
      <c r="G8726" s="14"/>
      <c r="H8726" s="14"/>
      <c r="I8726" s="14"/>
    </row>
    <row r="8727" ht="20.7" customHeight="1">
      <c r="A8727" s="10">
        <v>45785</v>
      </c>
      <c r="B8727" t="s" s="11">
        <v>8</v>
      </c>
      <c r="C8727" t="s" s="12">
        <v>8</v>
      </c>
      <c r="D8727" s="15" cm="1">
        <f t="array" ref="D8727">SUM(D8725:D8726)</f>
        <v>120000</v>
      </c>
      <c r="E8727" s="15" cm="1">
        <f t="array" ref="E8727">SUM(E8725:E8726)</f>
        <v>120000</v>
      </c>
      <c r="F8727" s="16" cm="1">
        <f t="array" ref="F8727">SUM(F8725:F8726)</f>
        <v>0</v>
      </c>
      <c r="G8727" s="16" cm="1">
        <f t="array" ref="G8727">SUM(G8725:G8726)</f>
        <v>0</v>
      </c>
      <c r="H8727" s="16" cm="1">
        <f t="array" ref="H8727">SUM(H8725:H8726)</f>
        <v>0</v>
      </c>
      <c r="I8727" s="16" cm="1">
        <f t="array" ref="I8727">SUM(I8725:I8726)</f>
        <v>0</v>
      </c>
    </row>
    <row r="8728" ht="21.25" customHeight="1">
      <c r="A8728" s="10">
        <v>45785</v>
      </c>
      <c r="B8728" t="s" s="11">
        <v>5</v>
      </c>
      <c r="C8728" t="s" s="12">
        <v>799</v>
      </c>
      <c r="D8728" s="17">
        <v>1</v>
      </c>
      <c r="E8728" s="17"/>
      <c r="F8728" s="18"/>
      <c r="G8728" s="18"/>
      <c r="H8728" s="18"/>
      <c r="I8728" s="18"/>
    </row>
    <row r="8729" ht="21.25" customHeight="1">
      <c r="A8729" s="10">
        <v>45785</v>
      </c>
      <c r="B8729" t="s" s="11">
        <v>18</v>
      </c>
      <c r="C8729" t="s" s="12">
        <v>799</v>
      </c>
      <c r="D8729" s="13"/>
      <c r="E8729" s="13">
        <v>1</v>
      </c>
      <c r="F8729" s="14"/>
      <c r="G8729" s="14"/>
      <c r="H8729" s="14"/>
      <c r="I8729" s="14"/>
    </row>
    <row r="8730" ht="20.7" customHeight="1">
      <c r="A8730" s="10">
        <v>45785</v>
      </c>
      <c r="B8730" t="s" s="11">
        <v>8</v>
      </c>
      <c r="C8730" t="s" s="12">
        <v>8</v>
      </c>
      <c r="D8730" s="15" cm="1">
        <f t="array" ref="D8730">SUM(D8728:D8729)</f>
        <v>1</v>
      </c>
      <c r="E8730" s="15" cm="1">
        <f t="array" ref="E8730">SUM(E8728:E8729)</f>
        <v>1</v>
      </c>
      <c r="F8730" s="16" cm="1">
        <f t="array" ref="F8730">SUM(F8728:F8729)</f>
        <v>0</v>
      </c>
      <c r="G8730" s="16" cm="1">
        <f t="array" ref="G8730">SUM(G8728:G8729)</f>
        <v>0</v>
      </c>
      <c r="H8730" s="16" cm="1">
        <f t="array" ref="H8730">SUM(H8728:H8729)</f>
        <v>0</v>
      </c>
      <c r="I8730" s="16" cm="1">
        <f t="array" ref="I8730">SUM(I8728:I8729)</f>
        <v>0</v>
      </c>
    </row>
    <row r="8731" ht="21.25" customHeight="1">
      <c r="A8731" s="10">
        <v>45785</v>
      </c>
      <c r="B8731" t="s" s="11">
        <v>5</v>
      </c>
      <c r="C8731" t="s" s="12">
        <v>799</v>
      </c>
      <c r="D8731" s="17">
        <v>1</v>
      </c>
      <c r="E8731" s="17"/>
      <c r="F8731" s="18"/>
      <c r="G8731" s="18"/>
      <c r="H8731" s="18"/>
      <c r="I8731" s="18"/>
    </row>
    <row r="8732" ht="21.25" customHeight="1">
      <c r="A8732" s="10">
        <v>45785</v>
      </c>
      <c r="B8732" t="s" s="11">
        <v>18</v>
      </c>
      <c r="C8732" t="s" s="12">
        <v>799</v>
      </c>
      <c r="D8732" s="13"/>
      <c r="E8732" s="13">
        <v>1</v>
      </c>
      <c r="F8732" s="14"/>
      <c r="G8732" s="14"/>
      <c r="H8732" s="14"/>
      <c r="I8732" s="14"/>
    </row>
    <row r="8733" ht="20.7" customHeight="1">
      <c r="A8733" s="10">
        <v>45785</v>
      </c>
      <c r="B8733" t="s" s="11">
        <v>8</v>
      </c>
      <c r="C8733" t="s" s="12">
        <v>8</v>
      </c>
      <c r="D8733" s="15" cm="1">
        <f t="array" ref="D8733">SUM(D8731:D8732)</f>
        <v>1</v>
      </c>
      <c r="E8733" s="15" cm="1">
        <f t="array" ref="E8733">SUM(E8731:E8732)</f>
        <v>1</v>
      </c>
      <c r="F8733" s="16" cm="1">
        <f t="array" ref="F8733">SUM(F8731:F8732)</f>
        <v>0</v>
      </c>
      <c r="G8733" s="16" cm="1">
        <f t="array" ref="G8733">SUM(G8731:G8732)</f>
        <v>0</v>
      </c>
      <c r="H8733" s="16" cm="1">
        <f t="array" ref="H8733">SUM(H8731:H8732)</f>
        <v>0</v>
      </c>
      <c r="I8733" s="16" cm="1">
        <f t="array" ref="I8733">SUM(I8731:I8732)</f>
        <v>0</v>
      </c>
    </row>
    <row r="8734" ht="21.25" customHeight="1">
      <c r="A8734" s="10">
        <v>45785</v>
      </c>
      <c r="B8734" t="s" s="11">
        <v>5</v>
      </c>
      <c r="C8734" t="s" s="12">
        <v>1166</v>
      </c>
      <c r="D8734" s="17"/>
      <c r="E8734" s="17">
        <v>120000</v>
      </c>
      <c r="F8734" s="18"/>
      <c r="G8734" s="18"/>
      <c r="H8734" s="18"/>
      <c r="I8734" s="18"/>
    </row>
    <row r="8735" ht="21.25" customHeight="1">
      <c r="A8735" s="10">
        <v>45785</v>
      </c>
      <c r="B8735" t="s" s="11">
        <v>89</v>
      </c>
      <c r="C8735" t="s" s="12">
        <v>1166</v>
      </c>
      <c r="D8735" s="13">
        <v>120000</v>
      </c>
      <c r="E8735" s="13"/>
      <c r="F8735" s="14"/>
      <c r="G8735" s="14"/>
      <c r="H8735" s="14"/>
      <c r="I8735" s="14"/>
    </row>
    <row r="8736" ht="20.7" customHeight="1">
      <c r="A8736" s="10">
        <v>45785</v>
      </c>
      <c r="B8736" t="s" s="11">
        <v>8</v>
      </c>
      <c r="C8736" t="s" s="12">
        <v>8</v>
      </c>
      <c r="D8736" s="15" cm="1">
        <f t="array" ref="D8736">SUM(D8734:D8735)</f>
        <v>120000</v>
      </c>
      <c r="E8736" s="15" cm="1">
        <f t="array" ref="E8736">SUM(E8734:E8735)</f>
        <v>120000</v>
      </c>
      <c r="F8736" s="16" cm="1">
        <f t="array" ref="F8736">SUM(F8734:F8735)</f>
        <v>0</v>
      </c>
      <c r="G8736" s="16" cm="1">
        <f t="array" ref="G8736">SUM(G8734:G8735)</f>
        <v>0</v>
      </c>
      <c r="H8736" s="16" cm="1">
        <f t="array" ref="H8736">SUM(H8734:H8735)</f>
        <v>0</v>
      </c>
      <c r="I8736" s="16" cm="1">
        <f t="array" ref="I8736">SUM(I8734:I8735)</f>
        <v>0</v>
      </c>
    </row>
    <row r="8737" ht="20.35" customHeight="1">
      <c r="A8737" s="10">
        <v>45785</v>
      </c>
      <c r="B8737" t="s" s="11">
        <v>5</v>
      </c>
      <c r="C8737" t="s" s="12">
        <v>96</v>
      </c>
      <c r="D8737" s="17">
        <v>26358</v>
      </c>
      <c r="E8737" s="17"/>
      <c r="F8737" s="18"/>
      <c r="G8737" s="18"/>
      <c r="H8737" s="18"/>
      <c r="I8737" s="18"/>
    </row>
    <row r="8738" ht="20.35" customHeight="1">
      <c r="A8738" s="10">
        <v>45785</v>
      </c>
      <c r="B8738" t="s" s="11">
        <v>121</v>
      </c>
      <c r="C8738" t="s" s="12">
        <v>96</v>
      </c>
      <c r="D8738" s="13"/>
      <c r="E8738" s="13">
        <v>26358</v>
      </c>
      <c r="F8738" s="14"/>
      <c r="G8738" s="14"/>
      <c r="H8738" s="14"/>
      <c r="I8738" s="14"/>
    </row>
    <row r="8739" ht="20.7" customHeight="1">
      <c r="A8739" s="10">
        <v>45785</v>
      </c>
      <c r="B8739" t="s" s="11">
        <v>8</v>
      </c>
      <c r="C8739" t="s" s="12">
        <v>8</v>
      </c>
      <c r="D8739" s="15" cm="1">
        <f t="array" ref="D8739">SUM(D8737:D8738)</f>
        <v>26358</v>
      </c>
      <c r="E8739" s="15" cm="1">
        <f t="array" ref="E8739">SUM(E8737:E8738)</f>
        <v>26358</v>
      </c>
      <c r="F8739" s="16" cm="1">
        <f t="array" ref="F8739">SUM(F8737:F8738)</f>
        <v>0</v>
      </c>
      <c r="G8739" s="16" cm="1">
        <f t="array" ref="G8739">SUM(G8737:G8738)</f>
        <v>0</v>
      </c>
      <c r="H8739" s="16" cm="1">
        <f t="array" ref="H8739">SUM(H8737:H8738)</f>
        <v>0</v>
      </c>
      <c r="I8739" s="16" cm="1">
        <f t="array" ref="I8739">SUM(I8737:I8738)</f>
        <v>0</v>
      </c>
    </row>
    <row r="8740" ht="20.35" customHeight="1">
      <c r="A8740" s="10">
        <v>45785</v>
      </c>
      <c r="B8740" t="s" s="11">
        <v>93</v>
      </c>
      <c r="C8740" t="s" s="12">
        <v>916</v>
      </c>
      <c r="D8740" s="17"/>
      <c r="E8740" s="17">
        <v>3900</v>
      </c>
      <c r="F8740" s="18"/>
      <c r="G8740" s="18"/>
      <c r="H8740" s="18"/>
      <c r="I8740" s="18"/>
    </row>
    <row r="8741" ht="20.35" customHeight="1">
      <c r="A8741" s="10">
        <v>45785</v>
      </c>
      <c r="B8741" t="s" s="11">
        <v>12</v>
      </c>
      <c r="C8741" t="s" s="12">
        <v>916</v>
      </c>
      <c r="D8741" s="13">
        <v>3900</v>
      </c>
      <c r="E8741" s="13"/>
      <c r="F8741" s="14"/>
      <c r="G8741" s="14"/>
      <c r="H8741" s="14"/>
      <c r="I8741" s="14"/>
    </row>
    <row r="8742" ht="20.7" customHeight="1">
      <c r="A8742" s="10">
        <v>45785</v>
      </c>
      <c r="B8742" t="s" s="11">
        <v>8</v>
      </c>
      <c r="C8742" t="s" s="12">
        <v>8</v>
      </c>
      <c r="D8742" s="15" cm="1">
        <f t="array" ref="D8742">SUM(D8740:D8741)</f>
        <v>3900</v>
      </c>
      <c r="E8742" s="15" cm="1">
        <f t="array" ref="E8742">SUM(E8740:E8741)</f>
        <v>3900</v>
      </c>
      <c r="F8742" s="16" cm="1">
        <f t="array" ref="F8742">SUM(F8740:F8741)</f>
        <v>0</v>
      </c>
      <c r="G8742" s="16" cm="1">
        <f t="array" ref="G8742">SUM(G8740:G8741)</f>
        <v>0</v>
      </c>
      <c r="H8742" s="16" cm="1">
        <f t="array" ref="H8742">SUM(H8740:H8741)</f>
        <v>0</v>
      </c>
      <c r="I8742" s="16" cm="1">
        <f t="array" ref="I8742">SUM(I8740:I8741)</f>
        <v>0</v>
      </c>
    </row>
    <row r="8743" ht="20.35" customHeight="1">
      <c r="A8743" s="10">
        <v>45785</v>
      </c>
      <c r="B8743" t="s" s="11">
        <v>5</v>
      </c>
      <c r="C8743" t="s" s="12">
        <v>604</v>
      </c>
      <c r="D8743" s="17"/>
      <c r="E8743" s="17">
        <v>10000</v>
      </c>
      <c r="F8743" s="18"/>
      <c r="G8743" s="18"/>
      <c r="H8743" s="18"/>
      <c r="I8743" s="18"/>
    </row>
    <row r="8744" ht="20.35" customHeight="1">
      <c r="A8744" s="10">
        <v>45785</v>
      </c>
      <c r="B8744" t="s" s="11">
        <v>93</v>
      </c>
      <c r="C8744" t="s" s="12">
        <v>604</v>
      </c>
      <c r="D8744" s="13">
        <v>10000</v>
      </c>
      <c r="E8744" s="13"/>
      <c r="F8744" s="14"/>
      <c r="G8744" s="14"/>
      <c r="H8744" s="14"/>
      <c r="I8744" s="14"/>
    </row>
    <row r="8745" ht="20.7" customHeight="1">
      <c r="A8745" s="10">
        <v>45785</v>
      </c>
      <c r="B8745" t="s" s="11">
        <v>8</v>
      </c>
      <c r="C8745" t="s" s="12">
        <v>8</v>
      </c>
      <c r="D8745" s="15" cm="1">
        <f t="array" ref="D8745">SUM(D8743:D8744)</f>
        <v>10000</v>
      </c>
      <c r="E8745" s="15" cm="1">
        <f t="array" ref="E8745">SUM(E8743:E8744)</f>
        <v>10000</v>
      </c>
      <c r="F8745" s="16" cm="1">
        <f t="array" ref="F8745">SUM(F8743:F8744)</f>
        <v>0</v>
      </c>
      <c r="G8745" s="16" cm="1">
        <f t="array" ref="G8745">SUM(G8743:G8744)</f>
        <v>0</v>
      </c>
      <c r="H8745" s="16" cm="1">
        <f t="array" ref="H8745">SUM(H8743:H8744)</f>
        <v>0</v>
      </c>
      <c r="I8745" s="16" cm="1">
        <f t="array" ref="I8745">SUM(I8743:I8744)</f>
        <v>0</v>
      </c>
    </row>
    <row r="8746" ht="20.35" customHeight="1">
      <c r="A8746" s="10">
        <v>45785</v>
      </c>
      <c r="B8746" t="s" s="11">
        <v>5</v>
      </c>
      <c r="C8746" t="s" s="12">
        <v>439</v>
      </c>
      <c r="D8746" s="17"/>
      <c r="E8746" s="17">
        <v>8800</v>
      </c>
      <c r="F8746" s="18"/>
      <c r="G8746" s="18"/>
      <c r="H8746" s="18"/>
      <c r="I8746" s="18"/>
    </row>
    <row r="8747" ht="20.35" customHeight="1">
      <c r="A8747" s="10">
        <v>45785</v>
      </c>
      <c r="B8747" t="s" s="11">
        <v>121</v>
      </c>
      <c r="C8747" t="s" s="12">
        <v>439</v>
      </c>
      <c r="D8747" s="13">
        <v>8800</v>
      </c>
      <c r="E8747" s="13"/>
      <c r="F8747" s="14"/>
      <c r="G8747" s="14"/>
      <c r="H8747" s="14"/>
      <c r="I8747" s="14"/>
    </row>
    <row r="8748" ht="20.7" customHeight="1">
      <c r="A8748" s="10">
        <v>45785</v>
      </c>
      <c r="B8748" t="s" s="11">
        <v>8</v>
      </c>
      <c r="C8748" t="s" s="12">
        <v>8</v>
      </c>
      <c r="D8748" s="15" cm="1">
        <f t="array" ref="D8748">SUM(D8746:D8747)</f>
        <v>8800</v>
      </c>
      <c r="E8748" s="15" cm="1">
        <f t="array" ref="E8748">SUM(E8746:E8747)</f>
        <v>8800</v>
      </c>
      <c r="F8748" s="16" cm="1">
        <f t="array" ref="F8748">SUM(F8746:F8747)</f>
        <v>0</v>
      </c>
      <c r="G8748" s="16" cm="1">
        <f t="array" ref="G8748">SUM(G8746:G8747)</f>
        <v>0</v>
      </c>
      <c r="H8748" s="16" cm="1">
        <f t="array" ref="H8748">SUM(H8746:H8747)</f>
        <v>0</v>
      </c>
      <c r="I8748" s="16" cm="1">
        <f t="array" ref="I8748">SUM(I8746:I8747)</f>
        <v>0</v>
      </c>
    </row>
    <row r="8749" ht="21.25" customHeight="1">
      <c r="A8749" s="10">
        <v>45785</v>
      </c>
      <c r="B8749" t="s" s="11">
        <v>121</v>
      </c>
      <c r="C8749" t="s" s="12">
        <v>1085</v>
      </c>
      <c r="D8749" s="17"/>
      <c r="E8749" s="17">
        <v>6000</v>
      </c>
      <c r="F8749" s="18"/>
      <c r="G8749" s="18"/>
      <c r="H8749" s="18"/>
      <c r="I8749" s="18"/>
    </row>
    <row r="8750" ht="21.25" customHeight="1">
      <c r="A8750" s="10">
        <v>45785</v>
      </c>
      <c r="B8750" t="s" s="11">
        <v>21</v>
      </c>
      <c r="C8750" t="s" s="12">
        <v>1085</v>
      </c>
      <c r="D8750" s="13">
        <v>6000</v>
      </c>
      <c r="E8750" s="13"/>
      <c r="F8750" s="14"/>
      <c r="G8750" s="14"/>
      <c r="H8750" s="14"/>
      <c r="I8750" s="14"/>
    </row>
    <row r="8751" ht="20.7" customHeight="1">
      <c r="A8751" s="10">
        <v>45785</v>
      </c>
      <c r="B8751" t="s" s="11">
        <v>8</v>
      </c>
      <c r="C8751" t="s" s="12">
        <v>8</v>
      </c>
      <c r="D8751" s="15" cm="1">
        <f t="array" ref="D8751">SUM(D8749:D8750)</f>
        <v>6000</v>
      </c>
      <c r="E8751" s="15" cm="1">
        <f t="array" ref="E8751">SUM(E8749:E8750)</f>
        <v>6000</v>
      </c>
      <c r="F8751" s="16" cm="1">
        <f t="array" ref="F8751">SUM(F8749:F8750)</f>
        <v>0</v>
      </c>
      <c r="G8751" s="16" cm="1">
        <f t="array" ref="G8751">SUM(G8749:G8750)</f>
        <v>0</v>
      </c>
      <c r="H8751" s="16" cm="1">
        <f t="array" ref="H8751">SUM(H8749:H8750)</f>
        <v>0</v>
      </c>
      <c r="I8751" s="16" cm="1">
        <f t="array" ref="I8751">SUM(I8749:I8750)</f>
        <v>0</v>
      </c>
    </row>
    <row r="8752" ht="21.25" customHeight="1">
      <c r="A8752" s="10">
        <v>45785</v>
      </c>
      <c r="B8752" t="s" s="11">
        <v>121</v>
      </c>
      <c r="C8752" t="s" s="12">
        <v>1085</v>
      </c>
      <c r="D8752" s="17"/>
      <c r="E8752" s="17">
        <v>2800</v>
      </c>
      <c r="F8752" s="18"/>
      <c r="G8752" s="18"/>
      <c r="H8752" s="18"/>
      <c r="I8752" s="18"/>
    </row>
    <row r="8753" ht="21.25" customHeight="1">
      <c r="A8753" s="10">
        <v>45785</v>
      </c>
      <c r="B8753" t="s" s="11">
        <v>21</v>
      </c>
      <c r="C8753" t="s" s="12">
        <v>1085</v>
      </c>
      <c r="D8753" s="13">
        <v>2800</v>
      </c>
      <c r="E8753" s="13"/>
      <c r="F8753" s="14"/>
      <c r="G8753" s="14"/>
      <c r="H8753" s="14"/>
      <c r="I8753" s="14"/>
    </row>
    <row r="8754" ht="20.7" customHeight="1">
      <c r="A8754" s="10">
        <v>45785</v>
      </c>
      <c r="B8754" t="s" s="11">
        <v>8</v>
      </c>
      <c r="C8754" t="s" s="12">
        <v>8</v>
      </c>
      <c r="D8754" s="15" cm="1">
        <f t="array" ref="D8754">SUM(D8752:D8753)</f>
        <v>2800</v>
      </c>
      <c r="E8754" s="15" cm="1">
        <f t="array" ref="E8754">SUM(E8752:E8753)</f>
        <v>2800</v>
      </c>
      <c r="F8754" s="16" cm="1">
        <f t="array" ref="F8754">SUM(F8752:F8753)</f>
        <v>0</v>
      </c>
      <c r="G8754" s="16" cm="1">
        <f t="array" ref="G8754">SUM(G8752:G8753)</f>
        <v>0</v>
      </c>
      <c r="H8754" s="16" cm="1">
        <f t="array" ref="H8754">SUM(H8752:H8753)</f>
        <v>0</v>
      </c>
      <c r="I8754" s="16" cm="1">
        <f t="array" ref="I8754">SUM(I8752:I8753)</f>
        <v>0</v>
      </c>
    </row>
    <row r="8755" ht="21.25" customHeight="1">
      <c r="A8755" s="10">
        <v>45785</v>
      </c>
      <c r="B8755" t="s" s="11">
        <v>5</v>
      </c>
      <c r="C8755" t="s" s="12">
        <v>1166</v>
      </c>
      <c r="D8755" s="17">
        <v>240000</v>
      </c>
      <c r="E8755" s="17"/>
      <c r="F8755" s="18"/>
      <c r="G8755" s="18"/>
      <c r="H8755" s="18"/>
      <c r="I8755" s="18"/>
    </row>
    <row r="8756" ht="21.25" customHeight="1">
      <c r="A8756" s="10">
        <v>45785</v>
      </c>
      <c r="B8756" t="s" s="11">
        <v>89</v>
      </c>
      <c r="C8756" t="s" s="12">
        <v>1166</v>
      </c>
      <c r="D8756" s="13"/>
      <c r="E8756" s="13">
        <v>240000</v>
      </c>
      <c r="F8756" s="14"/>
      <c r="G8756" s="14"/>
      <c r="H8756" s="14"/>
      <c r="I8756" s="14"/>
    </row>
    <row r="8757" ht="20.7" customHeight="1">
      <c r="A8757" s="10">
        <v>45785</v>
      </c>
      <c r="B8757" t="s" s="11">
        <v>8</v>
      </c>
      <c r="C8757" t="s" s="12">
        <v>8</v>
      </c>
      <c r="D8757" s="15" cm="1">
        <f t="array" ref="D8757">SUM(D8755:D8756)</f>
        <v>240000</v>
      </c>
      <c r="E8757" s="15" cm="1">
        <f t="array" ref="E8757">SUM(E8755:E8756)</f>
        <v>240000</v>
      </c>
      <c r="F8757" s="16" cm="1">
        <f t="array" ref="F8757">SUM(F8755:F8756)</f>
        <v>0</v>
      </c>
      <c r="G8757" s="16" cm="1">
        <f t="array" ref="G8757">SUM(G8755:G8756)</f>
        <v>0</v>
      </c>
      <c r="H8757" s="16" cm="1">
        <f t="array" ref="H8757">SUM(H8755:H8756)</f>
        <v>0</v>
      </c>
      <c r="I8757" s="16" cm="1">
        <f t="array" ref="I8757">SUM(I8755:I8756)</f>
        <v>0</v>
      </c>
    </row>
    <row r="8758" ht="20.35" customHeight="1">
      <c r="A8758" s="10">
        <v>45785</v>
      </c>
      <c r="B8758" t="s" s="11">
        <v>93</v>
      </c>
      <c r="C8758" t="s" s="12">
        <v>1167</v>
      </c>
      <c r="D8758" s="17"/>
      <c r="E8758" s="17">
        <v>15000</v>
      </c>
      <c r="F8758" s="18"/>
      <c r="G8758" s="18"/>
      <c r="H8758" s="18"/>
      <c r="I8758" s="18"/>
    </row>
    <row r="8759" ht="20.35" customHeight="1">
      <c r="A8759" s="10">
        <v>45785</v>
      </c>
      <c r="B8759" t="s" s="11">
        <v>12</v>
      </c>
      <c r="C8759" t="s" s="12">
        <v>1167</v>
      </c>
      <c r="D8759" s="13">
        <v>15000</v>
      </c>
      <c r="E8759" s="13"/>
      <c r="F8759" s="14"/>
      <c r="G8759" s="14"/>
      <c r="H8759" s="14"/>
      <c r="I8759" s="14"/>
    </row>
    <row r="8760" ht="20.7" customHeight="1">
      <c r="A8760" s="10">
        <v>45785</v>
      </c>
      <c r="B8760" t="s" s="11">
        <v>8</v>
      </c>
      <c r="C8760" t="s" s="12">
        <v>8</v>
      </c>
      <c r="D8760" s="15" cm="1">
        <f t="array" ref="D8760">SUM(D8758:D8759)</f>
        <v>15000</v>
      </c>
      <c r="E8760" s="15" cm="1">
        <f t="array" ref="E8760">SUM(E8758:E8759)</f>
        <v>15000</v>
      </c>
      <c r="F8760" s="16" cm="1">
        <f t="array" ref="F8760">SUM(F8758:F8759)</f>
        <v>0</v>
      </c>
      <c r="G8760" s="16" cm="1">
        <f t="array" ref="G8760">SUM(G8758:G8759)</f>
        <v>0</v>
      </c>
      <c r="H8760" s="16" cm="1">
        <f t="array" ref="H8760">SUM(H8758:H8759)</f>
        <v>0</v>
      </c>
      <c r="I8760" s="16" cm="1">
        <f t="array" ref="I8760">SUM(I8758:I8759)</f>
        <v>0</v>
      </c>
    </row>
    <row r="8761" ht="20.35" customHeight="1">
      <c r="A8761" s="10">
        <v>45785</v>
      </c>
      <c r="B8761" t="s" s="11">
        <v>5</v>
      </c>
      <c r="C8761" t="s" s="12">
        <v>604</v>
      </c>
      <c r="D8761" s="17"/>
      <c r="E8761" s="17">
        <v>10000</v>
      </c>
      <c r="F8761" s="18"/>
      <c r="G8761" s="18"/>
      <c r="H8761" s="18"/>
      <c r="I8761" s="18"/>
    </row>
    <row r="8762" ht="20.35" customHeight="1">
      <c r="A8762" s="10">
        <v>45785</v>
      </c>
      <c r="B8762" t="s" s="11">
        <v>93</v>
      </c>
      <c r="C8762" t="s" s="12">
        <v>604</v>
      </c>
      <c r="D8762" s="13">
        <v>10000</v>
      </c>
      <c r="E8762" s="13"/>
      <c r="F8762" s="14"/>
      <c r="G8762" s="14"/>
      <c r="H8762" s="14"/>
      <c r="I8762" s="14"/>
    </row>
    <row r="8763" ht="20.7" customHeight="1">
      <c r="A8763" s="10">
        <v>45785</v>
      </c>
      <c r="B8763" t="s" s="11">
        <v>8</v>
      </c>
      <c r="C8763" t="s" s="12">
        <v>8</v>
      </c>
      <c r="D8763" s="15" cm="1">
        <f t="array" ref="D8763">SUM(D8761:D8762)</f>
        <v>10000</v>
      </c>
      <c r="E8763" s="15" cm="1">
        <f t="array" ref="E8763">SUM(E8761:E8762)</f>
        <v>10000</v>
      </c>
      <c r="F8763" s="16" cm="1">
        <f t="array" ref="F8763">SUM(F8761:F8762)</f>
        <v>0</v>
      </c>
      <c r="G8763" s="16" cm="1">
        <f t="array" ref="G8763">SUM(G8761:G8762)</f>
        <v>0</v>
      </c>
      <c r="H8763" s="16" cm="1">
        <f t="array" ref="H8763">SUM(H8761:H8762)</f>
        <v>0</v>
      </c>
      <c r="I8763" s="16" cm="1">
        <f t="array" ref="I8763">SUM(I8761:I8762)</f>
        <v>0</v>
      </c>
    </row>
    <row r="8764" ht="20.35" customHeight="1">
      <c r="A8764" s="10">
        <v>45785</v>
      </c>
      <c r="B8764" t="s" s="11">
        <v>5</v>
      </c>
      <c r="C8764" t="s" s="12">
        <v>867</v>
      </c>
      <c r="D8764" s="17"/>
      <c r="E8764" s="17">
        <v>200000</v>
      </c>
      <c r="F8764" s="18"/>
      <c r="G8764" s="18"/>
      <c r="H8764" s="18"/>
      <c r="I8764" s="18"/>
    </row>
    <row r="8765" ht="20.35" customHeight="1">
      <c r="A8765" s="10">
        <v>45785</v>
      </c>
      <c r="B8765" t="s" s="11">
        <v>814</v>
      </c>
      <c r="C8765" t="s" s="12">
        <v>867</v>
      </c>
      <c r="D8765" s="13">
        <v>200000</v>
      </c>
      <c r="E8765" s="13"/>
      <c r="F8765" s="14"/>
      <c r="G8765" s="14"/>
      <c r="H8765" s="14"/>
      <c r="I8765" s="14"/>
    </row>
    <row r="8766" ht="20.7" customHeight="1">
      <c r="A8766" s="10">
        <v>45785</v>
      </c>
      <c r="B8766" t="s" s="11">
        <v>8</v>
      </c>
      <c r="C8766" t="s" s="12">
        <v>8</v>
      </c>
      <c r="D8766" s="15" cm="1">
        <f t="array" ref="D8766">SUM(D8764:D8765)</f>
        <v>200000</v>
      </c>
      <c r="E8766" s="15" cm="1">
        <f t="array" ref="E8766">SUM(E8764:E8765)</f>
        <v>200000</v>
      </c>
      <c r="F8766" s="16" cm="1">
        <f t="array" ref="F8766">SUM(F8764:F8765)</f>
        <v>0</v>
      </c>
      <c r="G8766" s="16" cm="1">
        <f t="array" ref="G8766">SUM(G8764:G8765)</f>
        <v>0</v>
      </c>
      <c r="H8766" s="16" cm="1">
        <f t="array" ref="H8766">SUM(H8764:H8765)</f>
        <v>0</v>
      </c>
      <c r="I8766" s="16" cm="1">
        <f t="array" ref="I8766">SUM(I8764:I8765)</f>
        <v>0</v>
      </c>
    </row>
    <row r="8767" ht="20.65" customHeight="1">
      <c r="A8767" s="10">
        <v>45786</v>
      </c>
      <c r="B8767" t="s" s="11">
        <v>814</v>
      </c>
      <c r="C8767" t="s" s="12">
        <v>820</v>
      </c>
      <c r="D8767" s="17">
        <v>94</v>
      </c>
      <c r="E8767" s="17"/>
      <c r="F8767" s="18"/>
      <c r="G8767" s="18"/>
      <c r="H8767" s="18"/>
      <c r="I8767" s="18"/>
    </row>
    <row r="8768" ht="20.65" customHeight="1">
      <c r="A8768" s="10">
        <v>45786</v>
      </c>
      <c r="B8768" t="s" s="11">
        <v>7</v>
      </c>
      <c r="C8768" t="s" s="12">
        <v>820</v>
      </c>
      <c r="D8768" s="13"/>
      <c r="E8768" s="13">
        <v>94</v>
      </c>
      <c r="F8768" s="14"/>
      <c r="G8768" s="14"/>
      <c r="H8768" s="14"/>
      <c r="I8768" s="14"/>
    </row>
    <row r="8769" ht="20.7" customHeight="1">
      <c r="A8769" s="10">
        <v>45786</v>
      </c>
      <c r="B8769" t="s" s="11">
        <v>8</v>
      </c>
      <c r="C8769" t="s" s="12">
        <v>8</v>
      </c>
      <c r="D8769" s="15" cm="1">
        <f t="array" ref="D8769">SUM(D8767:D8768)</f>
        <v>94</v>
      </c>
      <c r="E8769" s="15" cm="1">
        <f t="array" ref="E8769">SUM(E8767:E8768)</f>
        <v>94</v>
      </c>
      <c r="F8769" s="16" cm="1">
        <f t="array" ref="F8769">SUM(F8767:F8768)</f>
        <v>0</v>
      </c>
      <c r="G8769" s="16" cm="1">
        <f t="array" ref="G8769">SUM(G8767:G8768)</f>
        <v>0</v>
      </c>
      <c r="H8769" s="16" cm="1">
        <f t="array" ref="H8769">SUM(H8767:H8768)</f>
        <v>0</v>
      </c>
      <c r="I8769" s="16" cm="1">
        <f t="array" ref="I8769">SUM(I8767:I8768)</f>
        <v>0</v>
      </c>
    </row>
    <row r="8770" ht="20.35" customHeight="1">
      <c r="A8770" s="10">
        <v>45786</v>
      </c>
      <c r="B8770" t="s" s="11">
        <v>5</v>
      </c>
      <c r="C8770" t="s" s="12">
        <v>974</v>
      </c>
      <c r="D8770" s="17"/>
      <c r="E8770" s="17">
        <v>2000</v>
      </c>
      <c r="F8770" s="18"/>
      <c r="G8770" s="18"/>
      <c r="H8770" s="18"/>
      <c r="I8770" s="18"/>
    </row>
    <row r="8771" ht="20.35" customHeight="1">
      <c r="A8771" s="10">
        <v>45786</v>
      </c>
      <c r="B8771" t="s" s="11">
        <v>12</v>
      </c>
      <c r="C8771" t="s" s="12">
        <v>974</v>
      </c>
      <c r="D8771" s="13">
        <v>2000</v>
      </c>
      <c r="E8771" s="13"/>
      <c r="F8771" s="14"/>
      <c r="G8771" s="14"/>
      <c r="H8771" s="14"/>
      <c r="I8771" s="14"/>
    </row>
    <row r="8772" ht="20.7" customHeight="1">
      <c r="A8772" s="10">
        <v>45786</v>
      </c>
      <c r="B8772" t="s" s="11">
        <v>8</v>
      </c>
      <c r="C8772" t="s" s="12">
        <v>8</v>
      </c>
      <c r="D8772" s="15" cm="1">
        <f t="array" ref="D8772">SUM(D8770:D8771)</f>
        <v>2000</v>
      </c>
      <c r="E8772" s="15" cm="1">
        <f t="array" ref="E8772">SUM(E8770:E8771)</f>
        <v>2000</v>
      </c>
      <c r="F8772" s="16" cm="1">
        <f t="array" ref="F8772">SUM(F8770:F8771)</f>
        <v>0</v>
      </c>
      <c r="G8772" s="16" cm="1">
        <f t="array" ref="G8772">SUM(G8770:G8771)</f>
        <v>0</v>
      </c>
      <c r="H8772" s="16" cm="1">
        <f t="array" ref="H8772">SUM(H8770:H8771)</f>
        <v>0</v>
      </c>
      <c r="I8772" s="16" cm="1">
        <f t="array" ref="I8772">SUM(I8770:I8771)</f>
        <v>0</v>
      </c>
    </row>
    <row r="8773" ht="21.25" customHeight="1">
      <c r="A8773" s="10">
        <v>45786</v>
      </c>
      <c r="B8773" t="s" s="11">
        <v>5</v>
      </c>
      <c r="C8773" t="s" s="12">
        <v>1168</v>
      </c>
      <c r="D8773" s="17"/>
      <c r="E8773" s="17">
        <v>21100</v>
      </c>
      <c r="F8773" s="18"/>
      <c r="G8773" s="18"/>
      <c r="H8773" s="18"/>
      <c r="I8773" s="18"/>
    </row>
    <row r="8774" ht="20.9" customHeight="1">
      <c r="A8774" s="10">
        <v>45786</v>
      </c>
      <c r="B8774" t="s" s="11">
        <v>12</v>
      </c>
      <c r="C8774" t="s" s="12">
        <v>1168</v>
      </c>
      <c r="D8774" s="19">
        <v>10550</v>
      </c>
      <c r="E8774" s="19"/>
      <c r="F8774" s="20"/>
      <c r="G8774" s="20"/>
      <c r="H8774" s="20"/>
      <c r="I8774" s="20"/>
    </row>
    <row r="8775" ht="21.25" customHeight="1">
      <c r="A8775" s="10">
        <v>45786</v>
      </c>
      <c r="B8775" t="s" s="11">
        <v>10</v>
      </c>
      <c r="C8775" t="s" s="12">
        <v>1168</v>
      </c>
      <c r="D8775" s="13">
        <v>10550</v>
      </c>
      <c r="E8775" s="13"/>
      <c r="F8775" s="14"/>
      <c r="G8775" s="14"/>
      <c r="H8775" s="14"/>
      <c r="I8775" s="14"/>
    </row>
    <row r="8776" ht="20.7" customHeight="1">
      <c r="A8776" s="10">
        <v>45786</v>
      </c>
      <c r="B8776" t="s" s="11">
        <v>8</v>
      </c>
      <c r="C8776" t="s" s="12">
        <v>8</v>
      </c>
      <c r="D8776" s="15" cm="1">
        <f t="array" ref="D8776">SUM(D8773:D8775)</f>
        <v>21100</v>
      </c>
      <c r="E8776" s="15" cm="1">
        <f t="array" ref="E8776">SUM(E8773:E8775)</f>
        <v>21100</v>
      </c>
      <c r="F8776" s="16" cm="1">
        <f t="array" ref="F8776">SUM(F8773:F8775)</f>
        <v>0</v>
      </c>
      <c r="G8776" s="16" cm="1">
        <f t="array" ref="G8776">SUM(G8773:G8775)</f>
        <v>0</v>
      </c>
      <c r="H8776" s="16" cm="1">
        <f t="array" ref="H8776">SUM(H8774:H8775)</f>
        <v>0</v>
      </c>
      <c r="I8776" s="16" cm="1">
        <f t="array" ref="I8776">SUM(I8774:I8775)</f>
        <v>0</v>
      </c>
    </row>
    <row r="8777" ht="20.35" customHeight="1">
      <c r="A8777" s="10">
        <v>45786</v>
      </c>
      <c r="B8777" t="s" s="11">
        <v>814</v>
      </c>
      <c r="C8777" t="s" s="12">
        <v>96</v>
      </c>
      <c r="D8777" s="17"/>
      <c r="E8777" s="17">
        <v>60000</v>
      </c>
      <c r="F8777" s="18"/>
      <c r="G8777" s="18"/>
      <c r="H8777" s="18"/>
      <c r="I8777" s="18"/>
    </row>
    <row r="8778" ht="20.35" customHeight="1">
      <c r="A8778" s="10">
        <v>45786</v>
      </c>
      <c r="B8778" t="s" s="11">
        <v>5</v>
      </c>
      <c r="C8778" t="s" s="12">
        <v>96</v>
      </c>
      <c r="D8778" s="13">
        <v>60000</v>
      </c>
      <c r="E8778" s="13"/>
      <c r="F8778" s="14"/>
      <c r="G8778" s="14"/>
      <c r="H8778" s="14"/>
      <c r="I8778" s="14"/>
    </row>
    <row r="8779" ht="20.7" customHeight="1">
      <c r="A8779" s="10">
        <v>45786</v>
      </c>
      <c r="B8779" t="s" s="11">
        <v>8</v>
      </c>
      <c r="C8779" t="s" s="12">
        <v>8</v>
      </c>
      <c r="D8779" s="15" cm="1">
        <f t="array" ref="D8779">SUM(D8777:D8778)</f>
        <v>60000</v>
      </c>
      <c r="E8779" s="15" cm="1">
        <f t="array" ref="E8779">SUM(E8777:E8778)</f>
        <v>60000</v>
      </c>
      <c r="F8779" s="16" cm="1">
        <f t="array" ref="F8779">SUM(F8777:F8778)</f>
        <v>0</v>
      </c>
      <c r="G8779" s="16" cm="1">
        <f t="array" ref="G8779">SUM(G8777:G8778)</f>
        <v>0</v>
      </c>
      <c r="H8779" s="16" cm="1">
        <f t="array" ref="H8779">SUM(H8777:H8778)</f>
        <v>0</v>
      </c>
      <c r="I8779" s="16" cm="1">
        <f t="array" ref="I8779">SUM(I8777:I8778)</f>
        <v>0</v>
      </c>
    </row>
    <row r="8780" ht="21.25" customHeight="1">
      <c r="A8780" s="10">
        <v>45786</v>
      </c>
      <c r="B8780" t="s" s="11">
        <v>21</v>
      </c>
      <c r="C8780" t="s" s="12">
        <v>1169</v>
      </c>
      <c r="D8780" s="17"/>
      <c r="E8780" s="17">
        <v>2900</v>
      </c>
      <c r="F8780" s="18"/>
      <c r="G8780" s="18"/>
      <c r="H8780" s="18"/>
      <c r="I8780" s="18"/>
    </row>
    <row r="8781" ht="21.25" customHeight="1">
      <c r="A8781" s="10">
        <v>45786</v>
      </c>
      <c r="B8781" t="s" s="11">
        <v>16</v>
      </c>
      <c r="C8781" t="s" s="12">
        <v>1169</v>
      </c>
      <c r="D8781" s="13">
        <v>2900</v>
      </c>
      <c r="E8781" s="13"/>
      <c r="F8781" s="14"/>
      <c r="G8781" s="14"/>
      <c r="H8781" s="14"/>
      <c r="I8781" s="14"/>
    </row>
    <row r="8782" ht="20.7" customHeight="1">
      <c r="A8782" s="10">
        <v>45786</v>
      </c>
      <c r="B8782" t="s" s="11">
        <v>8</v>
      </c>
      <c r="C8782" t="s" s="12">
        <v>8</v>
      </c>
      <c r="D8782" s="15" cm="1">
        <f t="array" ref="D8782">SUM(D8780:D8781)</f>
        <v>2900</v>
      </c>
      <c r="E8782" s="15" cm="1">
        <f t="array" ref="E8782">SUM(E8780:E8781)</f>
        <v>2900</v>
      </c>
      <c r="F8782" s="16" cm="1">
        <f t="array" ref="F8782">SUM(F8780:F8781)</f>
        <v>0</v>
      </c>
      <c r="G8782" s="16" cm="1">
        <f t="array" ref="G8782">SUM(G8780:G8781)</f>
        <v>0</v>
      </c>
      <c r="H8782" s="16" cm="1">
        <f t="array" ref="H8782">SUM(H8780:H8781)</f>
        <v>0</v>
      </c>
      <c r="I8782" s="16" cm="1">
        <f t="array" ref="I8782">SUM(I8780:I8781)</f>
        <v>0</v>
      </c>
    </row>
    <row r="8783" ht="20.35" customHeight="1">
      <c r="A8783" s="10">
        <v>45786</v>
      </c>
      <c r="B8783" t="s" s="11">
        <v>5</v>
      </c>
      <c r="C8783" t="s" s="12">
        <v>1170</v>
      </c>
      <c r="D8783" s="17"/>
      <c r="E8783" s="17">
        <v>49000</v>
      </c>
      <c r="F8783" s="18"/>
      <c r="G8783" s="18"/>
      <c r="H8783" s="18"/>
      <c r="I8783" s="18"/>
    </row>
    <row r="8784" ht="20.05" customHeight="1">
      <c r="A8784" s="10">
        <v>45786</v>
      </c>
      <c r="B8784" t="s" s="11">
        <v>12</v>
      </c>
      <c r="C8784" t="s" s="12">
        <v>1170</v>
      </c>
      <c r="D8784" s="19">
        <v>17000</v>
      </c>
      <c r="E8784" s="19"/>
      <c r="F8784" s="20"/>
      <c r="G8784" s="20"/>
      <c r="H8784" s="20"/>
      <c r="I8784" s="20"/>
    </row>
    <row r="8785" ht="20.35" customHeight="1">
      <c r="A8785" s="10">
        <v>45786</v>
      </c>
      <c r="B8785" t="s" s="11">
        <v>10</v>
      </c>
      <c r="C8785" t="s" s="12">
        <v>1170</v>
      </c>
      <c r="D8785" s="13">
        <v>32000</v>
      </c>
      <c r="E8785" s="13"/>
      <c r="F8785" s="14"/>
      <c r="G8785" s="14"/>
      <c r="H8785" s="14"/>
      <c r="I8785" s="14"/>
    </row>
    <row r="8786" ht="20.7" customHeight="1">
      <c r="A8786" s="10">
        <v>45786</v>
      </c>
      <c r="B8786" t="s" s="11">
        <v>8</v>
      </c>
      <c r="C8786" t="s" s="12">
        <v>8</v>
      </c>
      <c r="D8786" s="15" cm="1">
        <f t="array" ref="D8786">SUM(D8783:D8785)</f>
        <v>49000</v>
      </c>
      <c r="E8786" s="15" cm="1">
        <f t="array" ref="E8786">SUM(E8783:E8785)</f>
        <v>49000</v>
      </c>
      <c r="F8786" s="16" cm="1">
        <f t="array" ref="F8786">SUM(F8783:F8785)</f>
        <v>0</v>
      </c>
      <c r="G8786" s="16" cm="1">
        <f t="array" ref="G8786">SUM(G8783:G8785)</f>
        <v>0</v>
      </c>
      <c r="H8786" s="16" cm="1">
        <f t="array" ref="H8786">SUM(H8784:H8785)</f>
        <v>0</v>
      </c>
      <c r="I8786" s="16" cm="1">
        <f t="array" ref="I8786">SUM(I8784:I8785)</f>
        <v>0</v>
      </c>
    </row>
    <row r="8787" ht="20.65" customHeight="1">
      <c r="A8787" s="10">
        <v>45787</v>
      </c>
      <c r="B8787" t="s" s="11">
        <v>814</v>
      </c>
      <c r="C8787" t="s" s="12">
        <v>820</v>
      </c>
      <c r="D8787" s="17">
        <v>91</v>
      </c>
      <c r="E8787" s="17"/>
      <c r="F8787" s="18"/>
      <c r="G8787" s="18"/>
      <c r="H8787" s="18"/>
      <c r="I8787" s="18"/>
    </row>
    <row r="8788" ht="20.65" customHeight="1">
      <c r="A8788" s="10">
        <v>45787</v>
      </c>
      <c r="B8788" t="s" s="11">
        <v>7</v>
      </c>
      <c r="C8788" t="s" s="12">
        <v>820</v>
      </c>
      <c r="D8788" s="13"/>
      <c r="E8788" s="13">
        <v>91</v>
      </c>
      <c r="F8788" s="14"/>
      <c r="G8788" s="14"/>
      <c r="H8788" s="14"/>
      <c r="I8788" s="14"/>
    </row>
    <row r="8789" ht="20.7" customHeight="1">
      <c r="A8789" s="10">
        <v>45787</v>
      </c>
      <c r="B8789" t="s" s="11">
        <v>8</v>
      </c>
      <c r="C8789" t="s" s="12">
        <v>8</v>
      </c>
      <c r="D8789" s="15" cm="1">
        <f t="array" ref="D8789">SUM(D8787:D8788)</f>
        <v>91</v>
      </c>
      <c r="E8789" s="15" cm="1">
        <f t="array" ref="E8789">SUM(E8787:E8788)</f>
        <v>91</v>
      </c>
      <c r="F8789" s="16" cm="1">
        <f t="array" ref="F8789">SUM(F8787:F8788)</f>
        <v>0</v>
      </c>
      <c r="G8789" s="16" cm="1">
        <f t="array" ref="G8789">SUM(G8787:G8788)</f>
        <v>0</v>
      </c>
      <c r="H8789" s="16" cm="1">
        <f t="array" ref="H8789">SUM(H8787:H8788)</f>
        <v>0</v>
      </c>
      <c r="I8789" s="16" cm="1">
        <f t="array" ref="I8789">SUM(I8787:I8788)</f>
        <v>0</v>
      </c>
    </row>
    <row r="8790" ht="20.35" customHeight="1">
      <c r="A8790" s="10">
        <v>45787</v>
      </c>
      <c r="B8790" t="s" s="11">
        <v>814</v>
      </c>
      <c r="C8790" t="s" s="12">
        <v>96</v>
      </c>
      <c r="D8790" s="17"/>
      <c r="E8790" s="17">
        <v>20000</v>
      </c>
      <c r="F8790" s="18"/>
      <c r="G8790" s="18"/>
      <c r="H8790" s="18"/>
      <c r="I8790" s="18"/>
    </row>
    <row r="8791" ht="20.35" customHeight="1">
      <c r="A8791" s="10">
        <v>45787</v>
      </c>
      <c r="B8791" t="s" s="11">
        <v>5</v>
      </c>
      <c r="C8791" t="s" s="12">
        <v>96</v>
      </c>
      <c r="D8791" s="13">
        <v>20000</v>
      </c>
      <c r="E8791" s="13"/>
      <c r="F8791" s="14"/>
      <c r="G8791" s="14"/>
      <c r="H8791" s="14"/>
      <c r="I8791" s="14"/>
    </row>
    <row r="8792" ht="20.7" customHeight="1">
      <c r="A8792" s="10">
        <v>45787</v>
      </c>
      <c r="B8792" t="s" s="11">
        <v>8</v>
      </c>
      <c r="C8792" t="s" s="12">
        <v>8</v>
      </c>
      <c r="D8792" s="15" cm="1">
        <f t="array" ref="D8792">SUM(D8790:D8791)</f>
        <v>20000</v>
      </c>
      <c r="E8792" s="15" cm="1">
        <f t="array" ref="E8792">SUM(E8790:E8791)</f>
        <v>20000</v>
      </c>
      <c r="F8792" s="16" cm="1">
        <f t="array" ref="F8792">SUM(F8790:F8791)</f>
        <v>0</v>
      </c>
      <c r="G8792" s="16" cm="1">
        <f t="array" ref="G8792">SUM(G8790:G8791)</f>
        <v>0</v>
      </c>
      <c r="H8792" s="16" cm="1">
        <f t="array" ref="H8792">SUM(H8790:H8791)</f>
        <v>0</v>
      </c>
      <c r="I8792" s="16" cm="1">
        <f t="array" ref="I8792">SUM(I8790:I8791)</f>
        <v>0</v>
      </c>
    </row>
    <row r="8793" ht="21.25" customHeight="1">
      <c r="A8793" s="10">
        <v>45787</v>
      </c>
      <c r="B8793" t="s" s="11">
        <v>5</v>
      </c>
      <c r="C8793" t="s" s="12">
        <v>1171</v>
      </c>
      <c r="D8793" s="17"/>
      <c r="E8793" s="17">
        <v>21000</v>
      </c>
      <c r="F8793" s="18"/>
      <c r="G8793" s="18"/>
      <c r="H8793" s="18"/>
      <c r="I8793" s="18"/>
    </row>
    <row r="8794" ht="20.9" customHeight="1">
      <c r="A8794" s="10">
        <v>45787</v>
      </c>
      <c r="B8794" t="s" s="11">
        <v>12</v>
      </c>
      <c r="C8794" t="s" s="12">
        <v>1171</v>
      </c>
      <c r="D8794" s="19">
        <v>10500</v>
      </c>
      <c r="E8794" s="19"/>
      <c r="F8794" s="20"/>
      <c r="G8794" s="20"/>
      <c r="H8794" s="20"/>
      <c r="I8794" s="20"/>
    </row>
    <row r="8795" ht="21.25" customHeight="1">
      <c r="A8795" s="10">
        <v>45787</v>
      </c>
      <c r="B8795" t="s" s="11">
        <v>10</v>
      </c>
      <c r="C8795" t="s" s="12">
        <v>1171</v>
      </c>
      <c r="D8795" s="13">
        <v>10500</v>
      </c>
      <c r="E8795" s="13"/>
      <c r="F8795" s="14"/>
      <c r="G8795" s="14"/>
      <c r="H8795" s="14"/>
      <c r="I8795" s="14"/>
    </row>
    <row r="8796" ht="20.7" customHeight="1">
      <c r="A8796" s="10">
        <v>45787</v>
      </c>
      <c r="B8796" t="s" s="11">
        <v>8</v>
      </c>
      <c r="C8796" t="s" s="12">
        <v>8</v>
      </c>
      <c r="D8796" s="15" cm="1">
        <f t="array" ref="D8796">SUM(D8793:D8795)</f>
        <v>21000</v>
      </c>
      <c r="E8796" s="15" cm="1">
        <f t="array" ref="E8796">SUM(E8793:E8795)</f>
        <v>21000</v>
      </c>
      <c r="F8796" s="16" cm="1">
        <f t="array" ref="F8796">SUM(F8793:F8795)</f>
        <v>0</v>
      </c>
      <c r="G8796" s="16" cm="1">
        <f t="array" ref="G8796">SUM(G8793:G8795)</f>
        <v>0</v>
      </c>
      <c r="H8796" s="16" cm="1">
        <f t="array" ref="H8796">SUM(H8794:H8795)</f>
        <v>0</v>
      </c>
      <c r="I8796" s="16" cm="1">
        <f t="array" ref="I8796">SUM(I8794:I8795)</f>
        <v>0</v>
      </c>
    </row>
    <row r="8797" ht="20.65" customHeight="1">
      <c r="A8797" s="10">
        <v>45788</v>
      </c>
      <c r="B8797" t="s" s="11">
        <v>814</v>
      </c>
      <c r="C8797" t="s" s="12">
        <v>820</v>
      </c>
      <c r="D8797" s="17">
        <v>90</v>
      </c>
      <c r="E8797" s="17"/>
      <c r="F8797" s="18"/>
      <c r="G8797" s="18"/>
      <c r="H8797" s="18"/>
      <c r="I8797" s="18"/>
    </row>
    <row r="8798" ht="20.65" customHeight="1">
      <c r="A8798" s="10">
        <v>45788</v>
      </c>
      <c r="B8798" t="s" s="11">
        <v>7</v>
      </c>
      <c r="C8798" t="s" s="12">
        <v>820</v>
      </c>
      <c r="D8798" s="13"/>
      <c r="E8798" s="13">
        <v>90</v>
      </c>
      <c r="F8798" s="14"/>
      <c r="G8798" s="14"/>
      <c r="H8798" s="14"/>
      <c r="I8798" s="14"/>
    </row>
    <row r="8799" ht="20.7" customHeight="1">
      <c r="A8799" s="10">
        <v>45788</v>
      </c>
      <c r="B8799" t="s" s="11">
        <v>8</v>
      </c>
      <c r="C8799" t="s" s="12">
        <v>8</v>
      </c>
      <c r="D8799" s="15" cm="1">
        <f t="array" ref="D8799">SUM(D8797:D8798)</f>
        <v>90</v>
      </c>
      <c r="E8799" s="15" cm="1">
        <f t="array" ref="E8799">SUM(E8797:E8798)</f>
        <v>90</v>
      </c>
      <c r="F8799" s="16" cm="1">
        <f t="array" ref="F8799">SUM(F8797:F8798)</f>
        <v>0</v>
      </c>
      <c r="G8799" s="16" cm="1">
        <f t="array" ref="G8799">SUM(G8797:G8798)</f>
        <v>0</v>
      </c>
      <c r="H8799" s="16" cm="1">
        <f t="array" ref="H8799">SUM(H8797:H8798)</f>
        <v>0</v>
      </c>
      <c r="I8799" s="16" cm="1">
        <f t="array" ref="I8799">SUM(I8797:I8798)</f>
        <v>0</v>
      </c>
    </row>
    <row r="8800" ht="20.65" customHeight="1">
      <c r="A8800" s="10">
        <v>45788</v>
      </c>
      <c r="B8800" t="s" s="11">
        <v>5</v>
      </c>
      <c r="C8800" t="s" s="12">
        <v>1172</v>
      </c>
      <c r="D8800" s="17"/>
      <c r="E8800" s="17">
        <v>6900</v>
      </c>
      <c r="F8800" s="18"/>
      <c r="G8800" s="18"/>
      <c r="H8800" s="18"/>
      <c r="I8800" s="18"/>
    </row>
    <row r="8801" ht="20.65" customHeight="1">
      <c r="A8801" s="10">
        <v>45788</v>
      </c>
      <c r="B8801" t="s" s="11">
        <v>12</v>
      </c>
      <c r="C8801" t="s" s="12">
        <v>1172</v>
      </c>
      <c r="D8801" s="13">
        <v>6900</v>
      </c>
      <c r="E8801" s="13"/>
      <c r="F8801" s="14"/>
      <c r="G8801" s="14"/>
      <c r="H8801" s="14"/>
      <c r="I8801" s="14"/>
    </row>
    <row r="8802" ht="20.7" customHeight="1">
      <c r="A8802" s="10">
        <v>45788</v>
      </c>
      <c r="B8802" t="s" s="11">
        <v>8</v>
      </c>
      <c r="C8802" t="s" s="12">
        <v>8</v>
      </c>
      <c r="D8802" s="15" cm="1">
        <f t="array" ref="D8802">SUM(D8800:D8801)</f>
        <v>6900</v>
      </c>
      <c r="E8802" s="15" cm="1">
        <f t="array" ref="E8802">SUM(E8800:E8801)</f>
        <v>6900</v>
      </c>
      <c r="F8802" s="16" cm="1">
        <f t="array" ref="F8802">SUM(F8800:F8801)</f>
        <v>0</v>
      </c>
      <c r="G8802" s="16" cm="1">
        <f t="array" ref="G8802">SUM(G8800:G8801)</f>
        <v>0</v>
      </c>
      <c r="H8802" s="16" cm="1">
        <f t="array" ref="H8802">SUM(H8800:H8801)</f>
        <v>0</v>
      </c>
      <c r="I8802" s="16" cm="1">
        <f t="array" ref="I8802">SUM(I8800:I8801)</f>
        <v>0</v>
      </c>
    </row>
    <row r="8803" ht="20.65" customHeight="1">
      <c r="A8803" s="10">
        <v>45788</v>
      </c>
      <c r="B8803" t="s" s="11">
        <v>5</v>
      </c>
      <c r="C8803" t="s" s="12">
        <v>1172</v>
      </c>
      <c r="D8803" s="17"/>
      <c r="E8803" s="17">
        <v>4900</v>
      </c>
      <c r="F8803" s="18"/>
      <c r="G8803" s="18"/>
      <c r="H8803" s="18"/>
      <c r="I8803" s="18"/>
    </row>
    <row r="8804" ht="20.65" customHeight="1">
      <c r="A8804" s="10">
        <v>45788</v>
      </c>
      <c r="B8804" t="s" s="11">
        <v>12</v>
      </c>
      <c r="C8804" t="s" s="12">
        <v>1172</v>
      </c>
      <c r="D8804" s="13">
        <v>4900</v>
      </c>
      <c r="E8804" s="13"/>
      <c r="F8804" s="14"/>
      <c r="G8804" s="14"/>
      <c r="H8804" s="14"/>
      <c r="I8804" s="14"/>
    </row>
    <row r="8805" ht="20.7" customHeight="1">
      <c r="A8805" s="10">
        <v>45788</v>
      </c>
      <c r="B8805" t="s" s="11">
        <v>8</v>
      </c>
      <c r="C8805" t="s" s="12">
        <v>8</v>
      </c>
      <c r="D8805" s="15" cm="1">
        <f t="array" ref="D8805">SUM(D8803:D8804)</f>
        <v>4900</v>
      </c>
      <c r="E8805" s="15" cm="1">
        <f t="array" ref="E8805">SUM(E8803:E8804)</f>
        <v>4900</v>
      </c>
      <c r="F8805" s="16" cm="1">
        <f t="array" ref="F8805">SUM(F8803:F8804)</f>
        <v>0</v>
      </c>
      <c r="G8805" s="16" cm="1">
        <f t="array" ref="G8805">SUM(G8803:G8804)</f>
        <v>0</v>
      </c>
      <c r="H8805" s="16" cm="1">
        <f t="array" ref="H8805">SUM(H8803:H8804)</f>
        <v>0</v>
      </c>
      <c r="I8805" s="16" cm="1">
        <f t="array" ref="I8805">SUM(I8803:I8804)</f>
        <v>0</v>
      </c>
    </row>
    <row r="8806" ht="20.35" customHeight="1">
      <c r="A8806" s="10">
        <v>45788</v>
      </c>
      <c r="B8806" t="s" s="11">
        <v>814</v>
      </c>
      <c r="C8806" t="s" s="12">
        <v>96</v>
      </c>
      <c r="D8806" s="17"/>
      <c r="E8806" s="17">
        <v>110000</v>
      </c>
      <c r="F8806" s="18"/>
      <c r="G8806" s="18"/>
      <c r="H8806" s="18"/>
      <c r="I8806" s="18"/>
    </row>
    <row r="8807" ht="20.35" customHeight="1">
      <c r="A8807" s="10">
        <v>45788</v>
      </c>
      <c r="B8807" t="s" s="11">
        <v>5</v>
      </c>
      <c r="C8807" t="s" s="12">
        <v>96</v>
      </c>
      <c r="D8807" s="13">
        <v>110000</v>
      </c>
      <c r="E8807" s="13"/>
      <c r="F8807" s="14"/>
      <c r="G8807" s="14"/>
      <c r="H8807" s="14"/>
      <c r="I8807" s="14"/>
    </row>
    <row r="8808" ht="20.7" customHeight="1">
      <c r="A8808" s="10">
        <v>45788</v>
      </c>
      <c r="B8808" t="s" s="11">
        <v>8</v>
      </c>
      <c r="C8808" t="s" s="12">
        <v>8</v>
      </c>
      <c r="D8808" s="15" cm="1">
        <f t="array" ref="D8808">SUM(D8806:D8807)</f>
        <v>110000</v>
      </c>
      <c r="E8808" s="15" cm="1">
        <f t="array" ref="E8808">SUM(E8806:E8807)</f>
        <v>110000</v>
      </c>
      <c r="F8808" s="16" cm="1">
        <f t="array" ref="F8808">SUM(F8806:F8807)</f>
        <v>0</v>
      </c>
      <c r="G8808" s="16" cm="1">
        <f t="array" ref="G8808">SUM(G8806:G8807)</f>
        <v>0</v>
      </c>
      <c r="H8808" s="16" cm="1">
        <f t="array" ref="H8808">SUM(H8806:H8807)</f>
        <v>0</v>
      </c>
      <c r="I8808" s="16" cm="1">
        <f t="array" ref="I8808">SUM(I8806:I8807)</f>
        <v>0</v>
      </c>
    </row>
    <row r="8809" ht="20.35" customHeight="1">
      <c r="A8809" s="10">
        <v>45788</v>
      </c>
      <c r="B8809" t="s" s="11">
        <v>814</v>
      </c>
      <c r="C8809" t="s" s="12">
        <v>867</v>
      </c>
      <c r="D8809" s="17">
        <v>50000</v>
      </c>
      <c r="E8809" s="17"/>
      <c r="F8809" s="18"/>
      <c r="G8809" s="18"/>
      <c r="H8809" s="18"/>
      <c r="I8809" s="18"/>
    </row>
    <row r="8810" ht="20.35" customHeight="1">
      <c r="A8810" s="10">
        <v>45788</v>
      </c>
      <c r="B8810" t="s" s="11">
        <v>5</v>
      </c>
      <c r="C8810" t="s" s="12">
        <v>867</v>
      </c>
      <c r="D8810" s="13"/>
      <c r="E8810" s="13">
        <v>50000</v>
      </c>
      <c r="F8810" s="14"/>
      <c r="G8810" s="14"/>
      <c r="H8810" s="14"/>
      <c r="I8810" s="14"/>
    </row>
    <row r="8811" ht="20.7" customHeight="1">
      <c r="A8811" s="10">
        <v>45788</v>
      </c>
      <c r="B8811" t="s" s="11">
        <v>8</v>
      </c>
      <c r="C8811" t="s" s="12">
        <v>8</v>
      </c>
      <c r="D8811" s="15" cm="1">
        <f t="array" ref="D8811">SUM(D8809:D8810)</f>
        <v>50000</v>
      </c>
      <c r="E8811" s="15" cm="1">
        <f t="array" ref="E8811">SUM(E8809:E8810)</f>
        <v>50000</v>
      </c>
      <c r="F8811" s="16" cm="1">
        <f t="array" ref="F8811">SUM(F8809:F8810)</f>
        <v>0</v>
      </c>
      <c r="G8811" s="16" cm="1">
        <f t="array" ref="G8811">SUM(G8809:G8810)</f>
        <v>0</v>
      </c>
      <c r="H8811" s="16" cm="1">
        <f t="array" ref="H8811">SUM(H8809:H8810)</f>
        <v>0</v>
      </c>
      <c r="I8811" s="16" cm="1">
        <f t="array" ref="I8811">SUM(I8809:I8810)</f>
        <v>0</v>
      </c>
    </row>
    <row r="8812" ht="20.35" customHeight="1">
      <c r="A8812" s="10">
        <v>45788</v>
      </c>
      <c r="B8812" t="s" s="11">
        <v>814</v>
      </c>
      <c r="C8812" t="s" s="12">
        <v>96</v>
      </c>
      <c r="D8812" s="17"/>
      <c r="E8812" s="17">
        <v>110000</v>
      </c>
      <c r="F8812" s="18"/>
      <c r="G8812" s="18"/>
      <c r="H8812" s="18"/>
      <c r="I8812" s="18"/>
    </row>
    <row r="8813" ht="20.35" customHeight="1">
      <c r="A8813" s="10">
        <v>45788</v>
      </c>
      <c r="B8813" t="s" s="11">
        <v>5</v>
      </c>
      <c r="C8813" t="s" s="12">
        <v>96</v>
      </c>
      <c r="D8813" s="13">
        <v>110000</v>
      </c>
      <c r="E8813" s="13"/>
      <c r="F8813" s="14"/>
      <c r="G8813" s="14"/>
      <c r="H8813" s="14"/>
      <c r="I8813" s="14"/>
    </row>
    <row r="8814" ht="20.7" customHeight="1">
      <c r="A8814" s="10">
        <v>45788</v>
      </c>
      <c r="B8814" t="s" s="11">
        <v>8</v>
      </c>
      <c r="C8814" t="s" s="12">
        <v>8</v>
      </c>
      <c r="D8814" s="15" cm="1">
        <f t="array" ref="D8814">SUM(D8812:D8813)</f>
        <v>110000</v>
      </c>
      <c r="E8814" s="15" cm="1">
        <f t="array" ref="E8814">SUM(E8812:E8813)</f>
        <v>110000</v>
      </c>
      <c r="F8814" s="16" cm="1">
        <f t="array" ref="F8814">SUM(F8812:F8813)</f>
        <v>0</v>
      </c>
      <c r="G8814" s="16" cm="1">
        <f t="array" ref="G8814">SUM(G8812:G8813)</f>
        <v>0</v>
      </c>
      <c r="H8814" s="16" cm="1">
        <f t="array" ref="H8814">SUM(H8812:H8813)</f>
        <v>0</v>
      </c>
      <c r="I8814" s="16" cm="1">
        <f t="array" ref="I8814">SUM(I8812:I8813)</f>
        <v>0</v>
      </c>
    </row>
    <row r="8815" ht="21.25" customHeight="1">
      <c r="A8815" s="10">
        <v>45788</v>
      </c>
      <c r="B8815" t="s" s="11">
        <v>5</v>
      </c>
      <c r="C8815" t="s" s="12">
        <v>1173</v>
      </c>
      <c r="D8815" s="17"/>
      <c r="E8815" s="17">
        <v>159000</v>
      </c>
      <c r="F8815" s="18"/>
      <c r="G8815" s="18"/>
      <c r="H8815" s="18"/>
      <c r="I8815" s="18"/>
    </row>
    <row r="8816" ht="21.25" customHeight="1">
      <c r="A8816" s="10">
        <v>45788</v>
      </c>
      <c r="B8816" t="s" s="11">
        <v>10</v>
      </c>
      <c r="C8816" t="s" s="12">
        <v>1173</v>
      </c>
      <c r="D8816" s="13">
        <v>159000</v>
      </c>
      <c r="E8816" s="13"/>
      <c r="F8816" s="14"/>
      <c r="G8816" s="14"/>
      <c r="H8816" s="14"/>
      <c r="I8816" s="14"/>
    </row>
    <row r="8817" ht="20.7" customHeight="1">
      <c r="A8817" s="10">
        <v>45788</v>
      </c>
      <c r="B8817" t="s" s="11">
        <v>8</v>
      </c>
      <c r="C8817" t="s" s="12">
        <v>8</v>
      </c>
      <c r="D8817" s="15" cm="1">
        <f t="array" ref="D8817">SUM(D8815:D8816)</f>
        <v>159000</v>
      </c>
      <c r="E8817" s="15" cm="1">
        <f t="array" ref="E8817">SUM(E8815:E8816)</f>
        <v>159000</v>
      </c>
      <c r="F8817" s="16" cm="1">
        <f t="array" ref="F8817">SUM(F8815:F8816)</f>
        <v>0</v>
      </c>
      <c r="G8817" s="16" cm="1">
        <f t="array" ref="G8817">SUM(G8815:G8816)</f>
        <v>0</v>
      </c>
      <c r="H8817" s="16" cm="1">
        <f t="array" ref="H8817">SUM(H8815:H8816)</f>
        <v>0</v>
      </c>
      <c r="I8817" s="16" cm="1">
        <f t="array" ref="I8817">SUM(I8815:I8816)</f>
        <v>0</v>
      </c>
    </row>
    <row r="8818" ht="20.65" customHeight="1">
      <c r="A8818" s="10">
        <v>45788</v>
      </c>
      <c r="B8818" t="s" s="11">
        <v>5</v>
      </c>
      <c r="C8818" t="s" s="12">
        <v>1174</v>
      </c>
      <c r="D8818" s="17"/>
      <c r="E8818" s="17">
        <v>3000</v>
      </c>
      <c r="F8818" s="18"/>
      <c r="G8818" s="18"/>
      <c r="H8818" s="18"/>
      <c r="I8818" s="18"/>
    </row>
    <row r="8819" ht="20.65" customHeight="1">
      <c r="A8819" s="10">
        <v>45788</v>
      </c>
      <c r="B8819" t="s" s="11">
        <v>86</v>
      </c>
      <c r="C8819" t="s" s="12">
        <v>1174</v>
      </c>
      <c r="D8819" s="13">
        <v>3000</v>
      </c>
      <c r="E8819" s="13"/>
      <c r="F8819" s="14"/>
      <c r="G8819" s="14"/>
      <c r="H8819" s="14"/>
      <c r="I8819" s="14"/>
    </row>
    <row r="8820" ht="20.7" customHeight="1">
      <c r="A8820" s="10">
        <v>45788</v>
      </c>
      <c r="B8820" t="s" s="11">
        <v>8</v>
      </c>
      <c r="C8820" t="s" s="12">
        <v>8</v>
      </c>
      <c r="D8820" s="15" cm="1">
        <f t="array" ref="D8820">SUM(D8818:D8819)</f>
        <v>3000</v>
      </c>
      <c r="E8820" s="15" cm="1">
        <f t="array" ref="E8820">SUM(E8818:E8819)</f>
        <v>3000</v>
      </c>
      <c r="F8820" s="16" cm="1">
        <f t="array" ref="F8820">SUM(F8818:F8819)</f>
        <v>0</v>
      </c>
      <c r="G8820" s="16" cm="1">
        <f t="array" ref="G8820">SUM(G8818:G8819)</f>
        <v>0</v>
      </c>
      <c r="H8820" s="16" cm="1">
        <f t="array" ref="H8820">SUM(H8818:H8819)</f>
        <v>0</v>
      </c>
      <c r="I8820" s="16" cm="1">
        <f t="array" ref="I8820">SUM(I8818:I8819)</f>
        <v>0</v>
      </c>
    </row>
    <row r="8821" ht="20.35" customHeight="1">
      <c r="A8821" s="10">
        <v>45788</v>
      </c>
      <c r="B8821" t="s" s="11">
        <v>5</v>
      </c>
      <c r="C8821" t="s" s="12">
        <v>17</v>
      </c>
      <c r="D8821" s="17">
        <v>100</v>
      </c>
      <c r="E8821" s="17"/>
      <c r="F8821" s="18"/>
      <c r="G8821" s="18"/>
      <c r="H8821" s="18"/>
      <c r="I8821" s="18"/>
    </row>
    <row r="8822" ht="20.35" customHeight="1">
      <c r="A8822" s="10">
        <v>45788</v>
      </c>
      <c r="B8822" t="s" s="11">
        <v>18</v>
      </c>
      <c r="C8822" t="s" s="12">
        <v>17</v>
      </c>
      <c r="D8822" s="13"/>
      <c r="E8822" s="13">
        <v>100</v>
      </c>
      <c r="F8822" s="14"/>
      <c r="G8822" s="14"/>
      <c r="H8822" s="14"/>
      <c r="I8822" s="14"/>
    </row>
    <row r="8823" ht="20.7" customHeight="1">
      <c r="A8823" s="10">
        <v>45788</v>
      </c>
      <c r="B8823" t="s" s="11">
        <v>8</v>
      </c>
      <c r="C8823" t="s" s="12">
        <v>8</v>
      </c>
      <c r="D8823" s="15" cm="1">
        <f t="array" ref="D8823">SUM(D8821:D8822)</f>
        <v>100</v>
      </c>
      <c r="E8823" s="15" cm="1">
        <f t="array" ref="E8823">SUM(E8821:E8822)</f>
        <v>100</v>
      </c>
      <c r="F8823" s="16" cm="1">
        <f t="array" ref="F8823">SUM(F8821:F8822)</f>
        <v>0</v>
      </c>
      <c r="G8823" s="16" cm="1">
        <f t="array" ref="G8823">SUM(G8821:G8822)</f>
        <v>0</v>
      </c>
      <c r="H8823" s="16" cm="1">
        <f t="array" ref="H8823">SUM(H8821:H8822)</f>
        <v>0</v>
      </c>
      <c r="I8823" s="16" cm="1">
        <f t="array" ref="I8823">SUM(I8821:I8822)</f>
        <v>0</v>
      </c>
    </row>
    <row r="8824" ht="21.25" customHeight="1">
      <c r="A8824" s="10">
        <v>45788</v>
      </c>
      <c r="B8824" t="s" s="11">
        <v>5</v>
      </c>
      <c r="C8824" t="s" s="12">
        <v>799</v>
      </c>
      <c r="D8824" s="17">
        <v>1</v>
      </c>
      <c r="E8824" s="17"/>
      <c r="F8824" s="18"/>
      <c r="G8824" s="18"/>
      <c r="H8824" s="18"/>
      <c r="I8824" s="18"/>
    </row>
    <row r="8825" ht="21.25" customHeight="1">
      <c r="A8825" s="10">
        <v>45788</v>
      </c>
      <c r="B8825" t="s" s="11">
        <v>18</v>
      </c>
      <c r="C8825" t="s" s="12">
        <v>799</v>
      </c>
      <c r="D8825" s="13"/>
      <c r="E8825" s="13">
        <v>1</v>
      </c>
      <c r="F8825" s="14"/>
      <c r="G8825" s="14"/>
      <c r="H8825" s="14"/>
      <c r="I8825" s="14"/>
    </row>
    <row r="8826" ht="20.7" customHeight="1">
      <c r="A8826" s="10">
        <v>45788</v>
      </c>
      <c r="B8826" t="s" s="11">
        <v>8</v>
      </c>
      <c r="C8826" t="s" s="12">
        <v>8</v>
      </c>
      <c r="D8826" s="15" cm="1">
        <f t="array" ref="D8826">SUM(D8824:D8825)</f>
        <v>1</v>
      </c>
      <c r="E8826" s="15" cm="1">
        <f t="array" ref="E8826">SUM(E8824:E8825)</f>
        <v>1</v>
      </c>
      <c r="F8826" s="16" cm="1">
        <f t="array" ref="F8826">SUM(F8824:F8825)</f>
        <v>0</v>
      </c>
      <c r="G8826" s="16" cm="1">
        <f t="array" ref="G8826">SUM(G8824:G8825)</f>
        <v>0</v>
      </c>
      <c r="H8826" s="16" cm="1">
        <f t="array" ref="H8826">SUM(H8824:H8825)</f>
        <v>0</v>
      </c>
      <c r="I8826" s="16" cm="1">
        <f t="array" ref="I8826">SUM(I8824:I8825)</f>
        <v>0</v>
      </c>
    </row>
    <row r="8827" ht="21.25" customHeight="1">
      <c r="A8827" s="10">
        <v>45788</v>
      </c>
      <c r="B8827" t="s" s="11">
        <v>5</v>
      </c>
      <c r="C8827" t="s" s="12">
        <v>799</v>
      </c>
      <c r="D8827" s="17">
        <v>1</v>
      </c>
      <c r="E8827" s="17"/>
      <c r="F8827" s="18"/>
      <c r="G8827" s="18"/>
      <c r="H8827" s="18"/>
      <c r="I8827" s="18"/>
    </row>
    <row r="8828" ht="21.25" customHeight="1">
      <c r="A8828" s="10">
        <v>45788</v>
      </c>
      <c r="B8828" t="s" s="11">
        <v>18</v>
      </c>
      <c r="C8828" t="s" s="12">
        <v>799</v>
      </c>
      <c r="D8828" s="13"/>
      <c r="E8828" s="13">
        <v>1</v>
      </c>
      <c r="F8828" s="14"/>
      <c r="G8828" s="14"/>
      <c r="H8828" s="14"/>
      <c r="I8828" s="14"/>
    </row>
    <row r="8829" ht="20.7" customHeight="1">
      <c r="A8829" s="10">
        <v>45788</v>
      </c>
      <c r="B8829" t="s" s="11">
        <v>8</v>
      </c>
      <c r="C8829" t="s" s="12">
        <v>8</v>
      </c>
      <c r="D8829" s="15" cm="1">
        <f t="array" ref="D8829">SUM(D8827:D8828)</f>
        <v>1</v>
      </c>
      <c r="E8829" s="15" cm="1">
        <f t="array" ref="E8829">SUM(E8827:E8828)</f>
        <v>1</v>
      </c>
      <c r="F8829" s="16" cm="1">
        <f t="array" ref="F8829">SUM(F8827:F8828)</f>
        <v>0</v>
      </c>
      <c r="G8829" s="16" cm="1">
        <f t="array" ref="G8829">SUM(G8827:G8828)</f>
        <v>0</v>
      </c>
      <c r="H8829" s="16" cm="1">
        <f t="array" ref="H8829">SUM(H8827:H8828)</f>
        <v>0</v>
      </c>
      <c r="I8829" s="16" cm="1">
        <f t="array" ref="I8829">SUM(I8827:I8828)</f>
        <v>0</v>
      </c>
    </row>
    <row r="8830" ht="21.25" customHeight="1">
      <c r="A8830" s="10">
        <v>45788</v>
      </c>
      <c r="B8830" t="s" s="11">
        <v>5</v>
      </c>
      <c r="C8830" t="s" s="12">
        <v>799</v>
      </c>
      <c r="D8830" s="17">
        <v>1</v>
      </c>
      <c r="E8830" s="17"/>
      <c r="F8830" s="18"/>
      <c r="G8830" s="18"/>
      <c r="H8830" s="18"/>
      <c r="I8830" s="18"/>
    </row>
    <row r="8831" ht="21.25" customHeight="1">
      <c r="A8831" s="10">
        <v>45788</v>
      </c>
      <c r="B8831" t="s" s="11">
        <v>18</v>
      </c>
      <c r="C8831" t="s" s="12">
        <v>799</v>
      </c>
      <c r="D8831" s="13"/>
      <c r="E8831" s="13">
        <v>1</v>
      </c>
      <c r="F8831" s="14"/>
      <c r="G8831" s="14"/>
      <c r="H8831" s="14"/>
      <c r="I8831" s="14"/>
    </row>
    <row r="8832" ht="20.7" customHeight="1">
      <c r="A8832" s="10">
        <v>45788</v>
      </c>
      <c r="B8832" t="s" s="11">
        <v>8</v>
      </c>
      <c r="C8832" t="s" s="12">
        <v>8</v>
      </c>
      <c r="D8832" s="15" cm="1">
        <f t="array" ref="D8832">SUM(D8830:D8831)</f>
        <v>1</v>
      </c>
      <c r="E8832" s="15" cm="1">
        <f t="array" ref="E8832">SUM(E8830:E8831)</f>
        <v>1</v>
      </c>
      <c r="F8832" s="16" cm="1">
        <f t="array" ref="F8832">SUM(F8830:F8831)</f>
        <v>0</v>
      </c>
      <c r="G8832" s="16" cm="1">
        <f t="array" ref="G8832">SUM(G8830:G8831)</f>
        <v>0</v>
      </c>
      <c r="H8832" s="16" cm="1">
        <f t="array" ref="H8832">SUM(H8830:H8831)</f>
        <v>0</v>
      </c>
      <c r="I8832" s="16" cm="1">
        <f t="array" ref="I8832">SUM(I8830:I8831)</f>
        <v>0</v>
      </c>
    </row>
    <row r="8833" ht="21.25" customHeight="1">
      <c r="A8833" s="10">
        <v>45788</v>
      </c>
      <c r="B8833" t="s" s="11">
        <v>5</v>
      </c>
      <c r="C8833" t="s" s="12">
        <v>799</v>
      </c>
      <c r="D8833" s="17">
        <v>8</v>
      </c>
      <c r="E8833" s="17"/>
      <c r="F8833" s="18"/>
      <c r="G8833" s="18"/>
      <c r="H8833" s="18"/>
      <c r="I8833" s="18"/>
    </row>
    <row r="8834" ht="21.25" customHeight="1">
      <c r="A8834" s="10">
        <v>45788</v>
      </c>
      <c r="B8834" t="s" s="11">
        <v>18</v>
      </c>
      <c r="C8834" t="s" s="12">
        <v>799</v>
      </c>
      <c r="D8834" s="13"/>
      <c r="E8834" s="13">
        <v>8</v>
      </c>
      <c r="F8834" s="14"/>
      <c r="G8834" s="14"/>
      <c r="H8834" s="14"/>
      <c r="I8834" s="14"/>
    </row>
    <row r="8835" ht="20.7" customHeight="1">
      <c r="A8835" s="10">
        <v>45788</v>
      </c>
      <c r="B8835" t="s" s="11">
        <v>8</v>
      </c>
      <c r="C8835" t="s" s="12">
        <v>8</v>
      </c>
      <c r="D8835" s="15" cm="1">
        <f t="array" ref="D8835">SUM(D8833:D8834)</f>
        <v>8</v>
      </c>
      <c r="E8835" s="15" cm="1">
        <f t="array" ref="E8835">SUM(E8833:E8834)</f>
        <v>8</v>
      </c>
      <c r="F8835" s="16" cm="1">
        <f t="array" ref="F8835">SUM(F8833:F8834)</f>
        <v>0</v>
      </c>
      <c r="G8835" s="16" cm="1">
        <f t="array" ref="G8835">SUM(G8833:G8834)</f>
        <v>0</v>
      </c>
      <c r="H8835" s="16" cm="1">
        <f t="array" ref="H8835">SUM(H8833:H8834)</f>
        <v>0</v>
      </c>
      <c r="I8835" s="16" cm="1">
        <f t="array" ref="I8835">SUM(I8833:I8834)</f>
        <v>0</v>
      </c>
    </row>
    <row r="8836" ht="21.25" customHeight="1">
      <c r="A8836" s="10">
        <v>45788</v>
      </c>
      <c r="B8836" t="s" s="11">
        <v>21</v>
      </c>
      <c r="C8836" t="s" s="12">
        <v>1175</v>
      </c>
      <c r="D8836" s="17"/>
      <c r="E8836" s="17">
        <v>3200</v>
      </c>
      <c r="F8836" s="18"/>
      <c r="G8836" s="18"/>
      <c r="H8836" s="18"/>
      <c r="I8836" s="18"/>
    </row>
    <row r="8837" ht="21.25" customHeight="1">
      <c r="A8837" s="10">
        <v>45788</v>
      </c>
      <c r="B8837" t="s" s="11">
        <v>16</v>
      </c>
      <c r="C8837" t="s" s="12">
        <v>1175</v>
      </c>
      <c r="D8837" s="13">
        <v>3200</v>
      </c>
      <c r="E8837" s="13"/>
      <c r="F8837" s="14"/>
      <c r="G8837" s="14"/>
      <c r="H8837" s="14"/>
      <c r="I8837" s="14"/>
    </row>
    <row r="8838" ht="20.7" customHeight="1">
      <c r="A8838" s="10">
        <v>45788</v>
      </c>
      <c r="B8838" t="s" s="11">
        <v>8</v>
      </c>
      <c r="C8838" t="s" s="12">
        <v>8</v>
      </c>
      <c r="D8838" s="15" cm="1">
        <f t="array" ref="D8838">SUM(D8836:D8837)</f>
        <v>3200</v>
      </c>
      <c r="E8838" s="15" cm="1">
        <f t="array" ref="E8838">SUM(E8836:E8837)</f>
        <v>3200</v>
      </c>
      <c r="F8838" s="16" cm="1">
        <f t="array" ref="F8838">SUM(F8836:F8837)</f>
        <v>0</v>
      </c>
      <c r="G8838" s="16" cm="1">
        <f t="array" ref="G8838">SUM(G8836:G8837)</f>
        <v>0</v>
      </c>
      <c r="H8838" s="16" cm="1">
        <f t="array" ref="H8838">SUM(H8836:H8837)</f>
        <v>0</v>
      </c>
      <c r="I8838" s="16" cm="1">
        <f t="array" ref="I8838">SUM(I8836:I8837)</f>
        <v>0</v>
      </c>
    </row>
    <row r="8839" ht="20.65" customHeight="1">
      <c r="A8839" s="10">
        <v>45789</v>
      </c>
      <c r="B8839" t="s" s="11">
        <v>814</v>
      </c>
      <c r="C8839" t="s" s="12">
        <v>820</v>
      </c>
      <c r="D8839" s="17">
        <v>82</v>
      </c>
      <c r="E8839" s="17"/>
      <c r="F8839" s="18"/>
      <c r="G8839" s="18"/>
      <c r="H8839" s="18"/>
      <c r="I8839" s="18"/>
    </row>
    <row r="8840" ht="20.65" customHeight="1">
      <c r="A8840" s="10">
        <v>45789</v>
      </c>
      <c r="B8840" t="s" s="11">
        <v>7</v>
      </c>
      <c r="C8840" t="s" s="12">
        <v>820</v>
      </c>
      <c r="D8840" s="13"/>
      <c r="E8840" s="13">
        <v>82</v>
      </c>
      <c r="F8840" s="14"/>
      <c r="G8840" s="14"/>
      <c r="H8840" s="14"/>
      <c r="I8840" s="14"/>
    </row>
    <row r="8841" ht="20.7" customHeight="1">
      <c r="A8841" s="10">
        <v>45789</v>
      </c>
      <c r="B8841" t="s" s="11">
        <v>8</v>
      </c>
      <c r="C8841" t="s" s="12">
        <v>8</v>
      </c>
      <c r="D8841" s="15" cm="1">
        <f t="array" ref="D8841">SUM(D8839:D8840)</f>
        <v>82</v>
      </c>
      <c r="E8841" s="15" cm="1">
        <f t="array" ref="E8841">SUM(E8839:E8840)</f>
        <v>82</v>
      </c>
      <c r="F8841" s="16" cm="1">
        <f t="array" ref="F8841">SUM(F8839:F8840)</f>
        <v>0</v>
      </c>
      <c r="G8841" s="16" cm="1">
        <f t="array" ref="G8841">SUM(G8839:G8840)</f>
        <v>0</v>
      </c>
      <c r="H8841" s="16" cm="1">
        <f t="array" ref="H8841">SUM(H8839:H8840)</f>
        <v>0</v>
      </c>
      <c r="I8841" s="16" cm="1">
        <f t="array" ref="I8841">SUM(I8839:I8840)</f>
        <v>0</v>
      </c>
    </row>
    <row r="8842" ht="20.65" customHeight="1">
      <c r="A8842" s="10">
        <v>45789</v>
      </c>
      <c r="B8842" t="s" s="11">
        <v>5</v>
      </c>
      <c r="C8842" t="s" s="12">
        <v>1176</v>
      </c>
      <c r="D8842" s="17"/>
      <c r="E8842" s="17">
        <v>10000</v>
      </c>
      <c r="F8842" s="18"/>
      <c r="G8842" s="18"/>
      <c r="H8842" s="18"/>
      <c r="I8842" s="18"/>
    </row>
    <row r="8843" ht="20.65" customHeight="1">
      <c r="A8843" s="10">
        <v>45789</v>
      </c>
      <c r="B8843" t="s" s="11">
        <v>12</v>
      </c>
      <c r="C8843" t="s" s="12">
        <v>1176</v>
      </c>
      <c r="D8843" s="13">
        <v>10000</v>
      </c>
      <c r="E8843" s="13"/>
      <c r="F8843" s="14"/>
      <c r="G8843" s="14"/>
      <c r="H8843" s="14"/>
      <c r="I8843" s="14"/>
    </row>
    <row r="8844" ht="20.7" customHeight="1">
      <c r="A8844" s="10">
        <v>45789</v>
      </c>
      <c r="B8844" t="s" s="11">
        <v>8</v>
      </c>
      <c r="C8844" t="s" s="12">
        <v>8</v>
      </c>
      <c r="D8844" s="15" cm="1">
        <f t="array" ref="D8844">SUM(D8842:D8843)</f>
        <v>10000</v>
      </c>
      <c r="E8844" s="15" cm="1">
        <f t="array" ref="E8844">SUM(E8842:E8843)</f>
        <v>10000</v>
      </c>
      <c r="F8844" s="16" cm="1">
        <f t="array" ref="F8844">SUM(F8842:F8843)</f>
        <v>0</v>
      </c>
      <c r="G8844" s="16" cm="1">
        <f t="array" ref="G8844">SUM(G8842:G8843)</f>
        <v>0</v>
      </c>
      <c r="H8844" s="16" cm="1">
        <f t="array" ref="H8844">SUM(H8842:H8843)</f>
        <v>0</v>
      </c>
      <c r="I8844" s="16" cm="1">
        <f t="array" ref="I8844">SUM(I8842:I8843)</f>
        <v>0</v>
      </c>
    </row>
    <row r="8845" ht="21.25" customHeight="1">
      <c r="A8845" s="10">
        <v>45789</v>
      </c>
      <c r="B8845" t="s" s="11">
        <v>5</v>
      </c>
      <c r="C8845" t="s" s="12">
        <v>1177</v>
      </c>
      <c r="D8845" s="17">
        <v>120000</v>
      </c>
      <c r="E8845" s="17"/>
      <c r="F8845" s="18"/>
      <c r="G8845" s="18"/>
      <c r="H8845" s="18"/>
      <c r="I8845" s="18"/>
    </row>
    <row r="8846" ht="21.25" customHeight="1">
      <c r="A8846" s="10">
        <v>45789</v>
      </c>
      <c r="B8846" t="s" s="11">
        <v>21</v>
      </c>
      <c r="C8846" t="s" s="12">
        <v>1177</v>
      </c>
      <c r="D8846" s="13"/>
      <c r="E8846" s="13">
        <v>120000</v>
      </c>
      <c r="F8846" s="14"/>
      <c r="G8846" s="14"/>
      <c r="H8846" s="14"/>
      <c r="I8846" s="14"/>
    </row>
    <row r="8847" ht="20.7" customHeight="1">
      <c r="A8847" s="10">
        <v>45789</v>
      </c>
      <c r="B8847" t="s" s="11">
        <v>8</v>
      </c>
      <c r="C8847" t="s" s="12">
        <v>8</v>
      </c>
      <c r="D8847" s="15" cm="1">
        <f t="array" ref="D8847">SUM(D8845:D8846)</f>
        <v>120000</v>
      </c>
      <c r="E8847" s="15" cm="1">
        <f t="array" ref="E8847">SUM(E8845:E8846)</f>
        <v>120000</v>
      </c>
      <c r="F8847" s="16" cm="1">
        <f t="array" ref="F8847">SUM(F8845:F8846)</f>
        <v>0</v>
      </c>
      <c r="G8847" s="16" cm="1">
        <f t="array" ref="G8847">SUM(G8845:G8846)</f>
        <v>0</v>
      </c>
      <c r="H8847" s="16" cm="1">
        <f t="array" ref="H8847">SUM(H8845:H8846)</f>
        <v>0</v>
      </c>
      <c r="I8847" s="16" cm="1">
        <f t="array" ref="I8847">SUM(I8845:I8846)</f>
        <v>0</v>
      </c>
    </row>
    <row r="8848" ht="21.25" customHeight="1">
      <c r="A8848" s="10">
        <v>45789</v>
      </c>
      <c r="B8848" t="s" s="11">
        <v>5</v>
      </c>
      <c r="C8848" t="s" s="12">
        <v>1177</v>
      </c>
      <c r="D8848" s="17">
        <v>120000</v>
      </c>
      <c r="E8848" s="17"/>
      <c r="F8848" s="18"/>
      <c r="G8848" s="18"/>
      <c r="H8848" s="18"/>
      <c r="I8848" s="18"/>
    </row>
    <row r="8849" ht="21.25" customHeight="1">
      <c r="A8849" s="10">
        <v>45789</v>
      </c>
      <c r="B8849" t="s" s="11">
        <v>21</v>
      </c>
      <c r="C8849" t="s" s="12">
        <v>1177</v>
      </c>
      <c r="D8849" s="13"/>
      <c r="E8849" s="13">
        <v>120000</v>
      </c>
      <c r="F8849" s="14"/>
      <c r="G8849" s="14"/>
      <c r="H8849" s="14"/>
      <c r="I8849" s="14"/>
    </row>
    <row r="8850" ht="20.7" customHeight="1">
      <c r="A8850" s="10">
        <v>45789</v>
      </c>
      <c r="B8850" t="s" s="11">
        <v>8</v>
      </c>
      <c r="C8850" t="s" s="12">
        <v>8</v>
      </c>
      <c r="D8850" s="15" cm="1">
        <f t="array" ref="D8850">SUM(D8848:D8849)</f>
        <v>120000</v>
      </c>
      <c r="E8850" s="15" cm="1">
        <f t="array" ref="E8850">SUM(E8848:E8849)</f>
        <v>120000</v>
      </c>
      <c r="F8850" s="16" cm="1">
        <f t="array" ref="F8850">SUM(F8848:F8849)</f>
        <v>0</v>
      </c>
      <c r="G8850" s="16" cm="1">
        <f t="array" ref="G8850">SUM(G8848:G8849)</f>
        <v>0</v>
      </c>
      <c r="H8850" s="16" cm="1">
        <f t="array" ref="H8850">SUM(H8848:H8849)</f>
        <v>0</v>
      </c>
      <c r="I8850" s="16" cm="1">
        <f t="array" ref="I8850">SUM(I8848:I8849)</f>
        <v>0</v>
      </c>
    </row>
    <row r="8851" ht="21.25" customHeight="1">
      <c r="A8851" s="10">
        <v>45789</v>
      </c>
      <c r="B8851" t="s" s="11">
        <v>5</v>
      </c>
      <c r="C8851" t="s" s="12">
        <v>1178</v>
      </c>
      <c r="D8851" s="17"/>
      <c r="E8851" s="17">
        <v>1</v>
      </c>
      <c r="F8851" s="18"/>
      <c r="G8851" s="18"/>
      <c r="H8851" s="18"/>
      <c r="I8851" s="18"/>
    </row>
    <row r="8852" ht="21.25" customHeight="1">
      <c r="A8852" s="10">
        <v>45789</v>
      </c>
      <c r="B8852" t="s" s="11">
        <v>18</v>
      </c>
      <c r="C8852" t="s" s="12">
        <v>1178</v>
      </c>
      <c r="D8852" s="13">
        <v>1</v>
      </c>
      <c r="E8852" s="13"/>
      <c r="F8852" s="14"/>
      <c r="G8852" s="14"/>
      <c r="H8852" s="14"/>
      <c r="I8852" s="14"/>
    </row>
    <row r="8853" ht="20.7" customHeight="1">
      <c r="A8853" s="10">
        <v>45789</v>
      </c>
      <c r="B8853" t="s" s="11">
        <v>8</v>
      </c>
      <c r="C8853" t="s" s="12">
        <v>8</v>
      </c>
      <c r="D8853" s="15" cm="1">
        <f t="array" ref="D8853">SUM(D8851:D8852)</f>
        <v>1</v>
      </c>
      <c r="E8853" s="15" cm="1">
        <f t="array" ref="E8853">SUM(E8851:E8852)</f>
        <v>1</v>
      </c>
      <c r="F8853" s="16" cm="1">
        <f t="array" ref="F8853">SUM(F8851:F8852)</f>
        <v>0</v>
      </c>
      <c r="G8853" s="16" cm="1">
        <f t="array" ref="G8853">SUM(G8851:G8852)</f>
        <v>0</v>
      </c>
      <c r="H8853" s="16" cm="1">
        <f t="array" ref="H8853">SUM(H8851:H8852)</f>
        <v>0</v>
      </c>
      <c r="I8853" s="16" cm="1">
        <f t="array" ref="I8853">SUM(I8851:I8852)</f>
        <v>0</v>
      </c>
    </row>
    <row r="8854" ht="20.65" customHeight="1">
      <c r="A8854" s="10">
        <v>45789</v>
      </c>
      <c r="B8854" t="s" s="11">
        <v>5</v>
      </c>
      <c r="C8854" t="s" s="12">
        <v>1179</v>
      </c>
      <c r="D8854" s="17"/>
      <c r="E8854" s="17">
        <v>1000</v>
      </c>
      <c r="F8854" s="18"/>
      <c r="G8854" s="18"/>
      <c r="H8854" s="18"/>
      <c r="I8854" s="18"/>
    </row>
    <row r="8855" ht="20.65" customHeight="1">
      <c r="A8855" s="10">
        <v>45789</v>
      </c>
      <c r="B8855" t="s" s="11">
        <v>12</v>
      </c>
      <c r="C8855" t="s" s="12">
        <v>1179</v>
      </c>
      <c r="D8855" s="13">
        <v>1000</v>
      </c>
      <c r="E8855" s="13"/>
      <c r="F8855" s="14"/>
      <c r="G8855" s="14"/>
      <c r="H8855" s="14"/>
      <c r="I8855" s="14"/>
    </row>
    <row r="8856" ht="20.7" customHeight="1">
      <c r="A8856" s="10">
        <v>45789</v>
      </c>
      <c r="B8856" t="s" s="11">
        <v>8</v>
      </c>
      <c r="C8856" t="s" s="12">
        <v>8</v>
      </c>
      <c r="D8856" s="15" cm="1">
        <f t="array" ref="D8856">SUM(D8854:D8855)</f>
        <v>1000</v>
      </c>
      <c r="E8856" s="15" cm="1">
        <f t="array" ref="E8856">SUM(E8854:E8855)</f>
        <v>1000</v>
      </c>
      <c r="F8856" s="16" cm="1">
        <f t="array" ref="F8856">SUM(F8854:F8855)</f>
        <v>0</v>
      </c>
      <c r="G8856" s="16" cm="1">
        <f t="array" ref="G8856">SUM(G8854:G8855)</f>
        <v>0</v>
      </c>
      <c r="H8856" s="16" cm="1">
        <f t="array" ref="H8856">SUM(H8854:H8855)</f>
        <v>0</v>
      </c>
      <c r="I8856" s="16" cm="1">
        <f t="array" ref="I8856">SUM(I8854:I8855)</f>
        <v>0</v>
      </c>
    </row>
    <row r="8857" ht="21.25" customHeight="1">
      <c r="A8857" s="10">
        <v>45789</v>
      </c>
      <c r="B8857" t="s" s="11">
        <v>5</v>
      </c>
      <c r="C8857" t="s" s="12">
        <v>1180</v>
      </c>
      <c r="D8857" s="17"/>
      <c r="E8857" s="17">
        <v>29600</v>
      </c>
      <c r="F8857" s="18"/>
      <c r="G8857" s="18"/>
      <c r="H8857" s="18"/>
      <c r="I8857" s="18"/>
    </row>
    <row r="8858" ht="20.9" customHeight="1">
      <c r="A8858" s="10">
        <v>45789</v>
      </c>
      <c r="B8858" t="s" s="11">
        <v>12</v>
      </c>
      <c r="C8858" t="s" s="12">
        <v>1180</v>
      </c>
      <c r="D8858" s="19">
        <v>14800</v>
      </c>
      <c r="E8858" s="19"/>
      <c r="F8858" s="20"/>
      <c r="G8858" s="20"/>
      <c r="H8858" s="20"/>
      <c r="I8858" s="20"/>
    </row>
    <row r="8859" ht="21.25" customHeight="1">
      <c r="A8859" s="10">
        <v>45789</v>
      </c>
      <c r="B8859" t="s" s="11">
        <v>10</v>
      </c>
      <c r="C8859" t="s" s="12">
        <v>1180</v>
      </c>
      <c r="D8859" s="13">
        <v>14800</v>
      </c>
      <c r="E8859" s="13"/>
      <c r="F8859" s="14"/>
      <c r="G8859" s="14"/>
      <c r="H8859" s="14"/>
      <c r="I8859" s="14"/>
    </row>
    <row r="8860" ht="20.7" customHeight="1">
      <c r="A8860" s="10">
        <v>45789</v>
      </c>
      <c r="B8860" t="s" s="11">
        <v>8</v>
      </c>
      <c r="C8860" t="s" s="12">
        <v>8</v>
      </c>
      <c r="D8860" s="15" cm="1">
        <f t="array" ref="D8860">SUM(D8857:D8859)</f>
        <v>29600</v>
      </c>
      <c r="E8860" s="15" cm="1">
        <f t="array" ref="E8860">SUM(E8857:E8859)</f>
        <v>29600</v>
      </c>
      <c r="F8860" s="16" cm="1">
        <f t="array" ref="F8860">SUM(F8857:F8859)</f>
        <v>0</v>
      </c>
      <c r="G8860" s="16" cm="1">
        <f t="array" ref="G8860">SUM(G8857:G8859)</f>
        <v>0</v>
      </c>
      <c r="H8860" s="16" cm="1">
        <f t="array" ref="H8860">SUM(H8858:H8859)</f>
        <v>0</v>
      </c>
      <c r="I8860" s="16" cm="1">
        <f t="array" ref="I8860">SUM(I8858:I8859)</f>
        <v>0</v>
      </c>
    </row>
    <row r="8861" ht="21.25" customHeight="1">
      <c r="A8861" s="10">
        <v>45789</v>
      </c>
      <c r="B8861" t="s" s="11">
        <v>5</v>
      </c>
      <c r="C8861" t="s" s="12">
        <v>1085</v>
      </c>
      <c r="D8861" s="17"/>
      <c r="E8861" s="17">
        <v>2600</v>
      </c>
      <c r="F8861" s="18"/>
      <c r="G8861" s="18"/>
      <c r="H8861" s="18"/>
      <c r="I8861" s="18"/>
    </row>
    <row r="8862" ht="21.25" customHeight="1">
      <c r="A8862" s="10">
        <v>45789</v>
      </c>
      <c r="B8862" t="s" s="11">
        <v>21</v>
      </c>
      <c r="C8862" t="s" s="12">
        <v>1085</v>
      </c>
      <c r="D8862" s="13">
        <v>2600</v>
      </c>
      <c r="E8862" s="13"/>
      <c r="F8862" s="14"/>
      <c r="G8862" s="14"/>
      <c r="H8862" s="14"/>
      <c r="I8862" s="14"/>
    </row>
    <row r="8863" ht="20.7" customHeight="1">
      <c r="A8863" s="10">
        <v>45789</v>
      </c>
      <c r="B8863" t="s" s="11">
        <v>8</v>
      </c>
      <c r="C8863" t="s" s="12">
        <v>8</v>
      </c>
      <c r="D8863" s="15" cm="1">
        <f t="array" ref="D8863">SUM(D8861:D8862)</f>
        <v>2600</v>
      </c>
      <c r="E8863" s="15" cm="1">
        <f t="array" ref="E8863">SUM(E8861:E8862)</f>
        <v>2600</v>
      </c>
      <c r="F8863" s="16" cm="1">
        <f t="array" ref="F8863">SUM(F8861:F8862)</f>
        <v>0</v>
      </c>
      <c r="G8863" s="16" cm="1">
        <f t="array" ref="G8863">SUM(G8861:G8862)</f>
        <v>0</v>
      </c>
      <c r="H8863" s="16" cm="1">
        <f t="array" ref="H8863">SUM(H8861:H8862)</f>
        <v>0</v>
      </c>
      <c r="I8863" s="16" cm="1">
        <f t="array" ref="I8863">SUM(I8861:I8862)</f>
        <v>0</v>
      </c>
    </row>
    <row r="8864" ht="21.25" customHeight="1">
      <c r="A8864" s="10">
        <v>45789</v>
      </c>
      <c r="B8864" t="s" s="11">
        <v>21</v>
      </c>
      <c r="C8864" t="s" s="12">
        <v>1181</v>
      </c>
      <c r="D8864" s="17"/>
      <c r="E8864" s="17">
        <v>3000</v>
      </c>
      <c r="F8864" s="18"/>
      <c r="G8864" s="18"/>
      <c r="H8864" s="18"/>
      <c r="I8864" s="18"/>
    </row>
    <row r="8865" ht="21.25" customHeight="1">
      <c r="A8865" s="10">
        <v>45789</v>
      </c>
      <c r="B8865" t="s" s="11">
        <v>16</v>
      </c>
      <c r="C8865" t="s" s="12">
        <v>1181</v>
      </c>
      <c r="D8865" s="13">
        <v>3000</v>
      </c>
      <c r="E8865" s="13"/>
      <c r="F8865" s="14"/>
      <c r="G8865" s="14"/>
      <c r="H8865" s="14"/>
      <c r="I8865" s="14"/>
    </row>
    <row r="8866" ht="20.7" customHeight="1">
      <c r="A8866" s="10">
        <v>45789</v>
      </c>
      <c r="B8866" t="s" s="11">
        <v>8</v>
      </c>
      <c r="C8866" t="s" s="12">
        <v>8</v>
      </c>
      <c r="D8866" s="15" cm="1">
        <f t="array" ref="D8866">SUM(D8864:D8865)</f>
        <v>3000</v>
      </c>
      <c r="E8866" s="15" cm="1">
        <f t="array" ref="E8866">SUM(E8864:E8865)</f>
        <v>3000</v>
      </c>
      <c r="F8866" s="16" cm="1">
        <f t="array" ref="F8866">SUM(F8864:F8865)</f>
        <v>0</v>
      </c>
      <c r="G8866" s="16" cm="1">
        <f t="array" ref="G8866">SUM(G8864:G8865)</f>
        <v>0</v>
      </c>
      <c r="H8866" s="16" cm="1">
        <f t="array" ref="H8866">SUM(H8864:H8865)</f>
        <v>0</v>
      </c>
      <c r="I8866" s="16" cm="1">
        <f t="array" ref="I8866">SUM(I8864:I8865)</f>
        <v>0</v>
      </c>
    </row>
    <row r="8867" ht="21.25" customHeight="1">
      <c r="A8867" s="10">
        <v>45789</v>
      </c>
      <c r="B8867" t="s" s="11">
        <v>5</v>
      </c>
      <c r="C8867" t="s" s="12">
        <v>1182</v>
      </c>
      <c r="D8867" s="17"/>
      <c r="E8867" s="17">
        <v>55200</v>
      </c>
      <c r="F8867" s="18"/>
      <c r="G8867" s="18"/>
      <c r="H8867" s="18"/>
      <c r="I8867" s="18"/>
    </row>
    <row r="8868" ht="20.9" customHeight="1">
      <c r="A8868" s="10">
        <v>45789</v>
      </c>
      <c r="B8868" t="s" s="11">
        <v>12</v>
      </c>
      <c r="C8868" t="s" s="12">
        <v>1182</v>
      </c>
      <c r="D8868" s="19">
        <v>27600</v>
      </c>
      <c r="E8868" s="19"/>
      <c r="F8868" s="20"/>
      <c r="G8868" s="20"/>
      <c r="H8868" s="20"/>
      <c r="I8868" s="20"/>
    </row>
    <row r="8869" ht="21.25" customHeight="1">
      <c r="A8869" s="10">
        <v>45789</v>
      </c>
      <c r="B8869" t="s" s="11">
        <v>10</v>
      </c>
      <c r="C8869" t="s" s="12">
        <v>1182</v>
      </c>
      <c r="D8869" s="13">
        <v>27600</v>
      </c>
      <c r="E8869" s="13"/>
      <c r="F8869" s="14"/>
      <c r="G8869" s="14"/>
      <c r="H8869" s="14"/>
      <c r="I8869" s="14"/>
    </row>
    <row r="8870" ht="20.7" customHeight="1">
      <c r="A8870" s="10">
        <v>45789</v>
      </c>
      <c r="B8870" t="s" s="11">
        <v>8</v>
      </c>
      <c r="C8870" t="s" s="12">
        <v>8</v>
      </c>
      <c r="D8870" s="15" cm="1">
        <f t="array" ref="D8870">SUM(D8867:D8869)</f>
        <v>55200</v>
      </c>
      <c r="E8870" s="15" cm="1">
        <f t="array" ref="E8870">SUM(E8867:E8869)</f>
        <v>55200</v>
      </c>
      <c r="F8870" s="16" cm="1">
        <f t="array" ref="F8870">SUM(F8867:F8869)</f>
        <v>0</v>
      </c>
      <c r="G8870" s="16" cm="1">
        <f t="array" ref="G8870">SUM(G8867:G8869)</f>
        <v>0</v>
      </c>
      <c r="H8870" s="16" cm="1">
        <f t="array" ref="H8870">SUM(H8868:H8869)</f>
        <v>0</v>
      </c>
      <c r="I8870" s="16" cm="1">
        <f t="array" ref="I8870">SUM(I8868:I8869)</f>
        <v>0</v>
      </c>
    </row>
    <row r="8871" ht="20.35" customHeight="1">
      <c r="A8871" s="10">
        <v>45789</v>
      </c>
      <c r="B8871" t="s" s="11">
        <v>5</v>
      </c>
      <c r="C8871" t="s" s="12">
        <v>1071</v>
      </c>
      <c r="D8871" s="17"/>
      <c r="E8871" s="17">
        <v>24840</v>
      </c>
      <c r="F8871" s="18"/>
      <c r="G8871" s="18"/>
      <c r="H8871" s="18"/>
      <c r="I8871" s="18"/>
    </row>
    <row r="8872" ht="20.05" customHeight="1">
      <c r="A8872" s="10">
        <v>45789</v>
      </c>
      <c r="B8872" t="s" s="11">
        <v>89</v>
      </c>
      <c r="C8872" t="s" s="12">
        <v>1071</v>
      </c>
      <c r="D8872" s="19">
        <v>12420</v>
      </c>
      <c r="E8872" s="19"/>
      <c r="F8872" s="20"/>
      <c r="G8872" s="20"/>
      <c r="H8872" s="20"/>
      <c r="I8872" s="20"/>
    </row>
    <row r="8873" ht="20.35" customHeight="1">
      <c r="A8873" s="10">
        <v>45789</v>
      </c>
      <c r="B8873" t="s" s="11">
        <v>74</v>
      </c>
      <c r="C8873" t="s" s="12">
        <v>1071</v>
      </c>
      <c r="D8873" s="13">
        <v>12420</v>
      </c>
      <c r="E8873" s="13"/>
      <c r="F8873" s="14"/>
      <c r="G8873" s="14"/>
      <c r="H8873" s="14"/>
      <c r="I8873" s="14"/>
    </row>
    <row r="8874" ht="20.7" customHeight="1">
      <c r="A8874" s="10">
        <v>45789</v>
      </c>
      <c r="B8874" t="s" s="11">
        <v>8</v>
      </c>
      <c r="C8874" t="s" s="12">
        <v>8</v>
      </c>
      <c r="D8874" s="15" cm="1">
        <f t="array" ref="D8874">SUM(D8871:D8873)</f>
        <v>24840</v>
      </c>
      <c r="E8874" s="15" cm="1">
        <f t="array" ref="E8874">SUM(E8871:E8873)</f>
        <v>24840</v>
      </c>
      <c r="F8874" s="16" cm="1">
        <f t="array" ref="F8874">SUM(F8871:F8873)</f>
        <v>0</v>
      </c>
      <c r="G8874" s="16" cm="1">
        <f t="array" ref="G8874">SUM(G8871:G8873)</f>
        <v>0</v>
      </c>
      <c r="H8874" s="16" cm="1">
        <f t="array" ref="H8874">SUM(H8872:H8873)</f>
        <v>0</v>
      </c>
      <c r="I8874" s="16" cm="1">
        <f t="array" ref="I8874">SUM(I8872:I8873)</f>
        <v>0</v>
      </c>
    </row>
    <row r="8875" ht="20.35" customHeight="1">
      <c r="A8875" s="10">
        <v>45789</v>
      </c>
      <c r="B8875" t="s" s="11">
        <v>5</v>
      </c>
      <c r="C8875" t="s" s="12">
        <v>1072</v>
      </c>
      <c r="D8875" s="17"/>
      <c r="E8875" s="17">
        <v>125310</v>
      </c>
      <c r="F8875" s="18"/>
      <c r="G8875" s="18"/>
      <c r="H8875" s="18"/>
      <c r="I8875" s="18"/>
    </row>
    <row r="8876" ht="20.05" customHeight="1">
      <c r="A8876" s="10">
        <v>45789</v>
      </c>
      <c r="B8876" t="s" s="11">
        <v>89</v>
      </c>
      <c r="C8876" t="s" s="12">
        <v>1072</v>
      </c>
      <c r="D8876" s="19">
        <v>62655</v>
      </c>
      <c r="E8876" s="19"/>
      <c r="F8876" s="20"/>
      <c r="G8876" s="20"/>
      <c r="H8876" s="20"/>
      <c r="I8876" s="20"/>
    </row>
    <row r="8877" ht="20.35" customHeight="1">
      <c r="A8877" s="10">
        <v>45789</v>
      </c>
      <c r="B8877" t="s" s="11">
        <v>74</v>
      </c>
      <c r="C8877" t="s" s="12">
        <v>1072</v>
      </c>
      <c r="D8877" s="13">
        <v>62655</v>
      </c>
      <c r="E8877" s="13"/>
      <c r="F8877" s="14"/>
      <c r="G8877" s="14"/>
      <c r="H8877" s="14"/>
      <c r="I8877" s="14"/>
    </row>
    <row r="8878" ht="20.7" customHeight="1">
      <c r="A8878" s="10">
        <v>45789</v>
      </c>
      <c r="B8878" t="s" s="11">
        <v>8</v>
      </c>
      <c r="C8878" t="s" s="12">
        <v>8</v>
      </c>
      <c r="D8878" s="15" cm="1">
        <f t="array" ref="D8878">SUM(D8875:D8877)</f>
        <v>125310</v>
      </c>
      <c r="E8878" s="15" cm="1">
        <f t="array" ref="E8878">SUM(E8875:E8877)</f>
        <v>125310</v>
      </c>
      <c r="F8878" s="16" cm="1">
        <f t="array" ref="F8878">SUM(F8875:F8877)</f>
        <v>0</v>
      </c>
      <c r="G8878" s="16" cm="1">
        <f t="array" ref="G8878">SUM(G8875:G8877)</f>
        <v>0</v>
      </c>
      <c r="H8878" s="16" cm="1">
        <f t="array" ref="H8878">SUM(H8876:H8877)</f>
        <v>0</v>
      </c>
      <c r="I8878" s="16" cm="1">
        <f t="array" ref="I8878">SUM(I8876:I8877)</f>
        <v>0</v>
      </c>
    </row>
    <row r="8879" ht="20.65" customHeight="1">
      <c r="A8879" s="10">
        <v>45790</v>
      </c>
      <c r="B8879" t="s" s="11">
        <v>814</v>
      </c>
      <c r="C8879" t="s" s="12">
        <v>820</v>
      </c>
      <c r="D8879" s="17">
        <v>82</v>
      </c>
      <c r="E8879" s="17"/>
      <c r="F8879" s="18"/>
      <c r="G8879" s="18"/>
      <c r="H8879" s="18"/>
      <c r="I8879" s="18"/>
    </row>
    <row r="8880" ht="20.65" customHeight="1">
      <c r="A8880" s="10">
        <v>45790</v>
      </c>
      <c r="B8880" t="s" s="11">
        <v>7</v>
      </c>
      <c r="C8880" t="s" s="12">
        <v>820</v>
      </c>
      <c r="D8880" s="13"/>
      <c r="E8880" s="13">
        <v>82</v>
      </c>
      <c r="F8880" s="14"/>
      <c r="G8880" s="14"/>
      <c r="H8880" s="14"/>
      <c r="I8880" s="14"/>
    </row>
    <row r="8881" ht="20.7" customHeight="1">
      <c r="A8881" s="10">
        <v>45790</v>
      </c>
      <c r="B8881" t="s" s="11">
        <v>8</v>
      </c>
      <c r="C8881" t="s" s="12">
        <v>8</v>
      </c>
      <c r="D8881" s="15" cm="1">
        <f t="array" ref="D8881">SUM(D8879:D8880)</f>
        <v>82</v>
      </c>
      <c r="E8881" s="15" cm="1">
        <f t="array" ref="E8881">SUM(E8879:E8880)</f>
        <v>82</v>
      </c>
      <c r="F8881" s="16" cm="1">
        <f t="array" ref="F8881">SUM(F8879:F8880)</f>
        <v>0</v>
      </c>
      <c r="G8881" s="16" cm="1">
        <f t="array" ref="G8881">SUM(G8879:G8880)</f>
        <v>0</v>
      </c>
      <c r="H8881" s="16" cm="1">
        <f t="array" ref="H8881">SUM(H8879:H8880)</f>
        <v>0</v>
      </c>
      <c r="I8881" s="16" cm="1">
        <f t="array" ref="I8881">SUM(I8879:I8880)</f>
        <v>0</v>
      </c>
    </row>
    <row r="8882" ht="20.35" customHeight="1">
      <c r="A8882" s="10">
        <v>45790</v>
      </c>
      <c r="B8882" t="s" s="11">
        <v>814</v>
      </c>
      <c r="C8882" t="s" s="12">
        <v>96</v>
      </c>
      <c r="D8882" s="17"/>
      <c r="E8882" s="17">
        <v>360000</v>
      </c>
      <c r="F8882" s="18"/>
      <c r="G8882" s="18"/>
      <c r="H8882" s="18"/>
      <c r="I8882" s="18"/>
    </row>
    <row r="8883" ht="20.35" customHeight="1">
      <c r="A8883" s="10">
        <v>45790</v>
      </c>
      <c r="B8883" t="s" s="11">
        <v>5</v>
      </c>
      <c r="C8883" t="s" s="12">
        <v>96</v>
      </c>
      <c r="D8883" s="13">
        <v>360000</v>
      </c>
      <c r="E8883" s="13"/>
      <c r="F8883" s="14"/>
      <c r="G8883" s="14"/>
      <c r="H8883" s="14"/>
      <c r="I8883" s="14"/>
    </row>
    <row r="8884" ht="20.7" customHeight="1">
      <c r="A8884" s="10">
        <v>45790</v>
      </c>
      <c r="B8884" t="s" s="11">
        <v>8</v>
      </c>
      <c r="C8884" t="s" s="12">
        <v>8</v>
      </c>
      <c r="D8884" s="15" cm="1">
        <f t="array" ref="D8884">SUM(D8882:D8883)</f>
        <v>360000</v>
      </c>
      <c r="E8884" s="15" cm="1">
        <f t="array" ref="E8884">SUM(E8882:E8883)</f>
        <v>360000</v>
      </c>
      <c r="F8884" s="16" cm="1">
        <f t="array" ref="F8884">SUM(F8882:F8883)</f>
        <v>0</v>
      </c>
      <c r="G8884" s="16" cm="1">
        <f t="array" ref="G8884">SUM(G8882:G8883)</f>
        <v>0</v>
      </c>
      <c r="H8884" s="16" cm="1">
        <f t="array" ref="H8884">SUM(H8882:H8883)</f>
        <v>0</v>
      </c>
      <c r="I8884" s="16" cm="1">
        <f t="array" ref="I8884">SUM(I8882:I8883)</f>
        <v>0</v>
      </c>
    </row>
    <row r="8885" ht="21.25" customHeight="1">
      <c r="A8885" s="10">
        <v>45790</v>
      </c>
      <c r="B8885" t="s" s="11">
        <v>5</v>
      </c>
      <c r="C8885" t="s" s="12">
        <v>1177</v>
      </c>
      <c r="D8885" s="17"/>
      <c r="E8885" s="17">
        <v>240000</v>
      </c>
      <c r="F8885" s="18"/>
      <c r="G8885" s="18"/>
      <c r="H8885" s="18"/>
      <c r="I8885" s="18"/>
    </row>
    <row r="8886" ht="21.25" customHeight="1">
      <c r="A8886" s="10">
        <v>45790</v>
      </c>
      <c r="B8886" t="s" s="11">
        <v>21</v>
      </c>
      <c r="C8886" t="s" s="12">
        <v>1177</v>
      </c>
      <c r="D8886" s="13">
        <v>240000</v>
      </c>
      <c r="E8886" s="13"/>
      <c r="F8886" s="14"/>
      <c r="G8886" s="14"/>
      <c r="H8886" s="14"/>
      <c r="I8886" s="14"/>
    </row>
    <row r="8887" ht="20.7" customHeight="1">
      <c r="A8887" s="10">
        <v>45790</v>
      </c>
      <c r="B8887" t="s" s="11">
        <v>8</v>
      </c>
      <c r="C8887" t="s" s="12">
        <v>8</v>
      </c>
      <c r="D8887" s="15" cm="1">
        <f t="array" ref="D8887">SUM(D8885:D8886)</f>
        <v>240000</v>
      </c>
      <c r="E8887" s="15" cm="1">
        <f t="array" ref="E8887">SUM(E8885:E8886)</f>
        <v>240000</v>
      </c>
      <c r="F8887" s="16" cm="1">
        <f t="array" ref="F8887">SUM(F8885:F8886)</f>
        <v>0</v>
      </c>
      <c r="G8887" s="16" cm="1">
        <f t="array" ref="G8887">SUM(G8885:G8886)</f>
        <v>0</v>
      </c>
      <c r="H8887" s="16" cm="1">
        <f t="array" ref="H8887">SUM(H8885:H8886)</f>
        <v>0</v>
      </c>
      <c r="I8887" s="16" cm="1">
        <f t="array" ref="I8887">SUM(I8885:I8886)</f>
        <v>0</v>
      </c>
    </row>
    <row r="8888" ht="20.35" customHeight="1">
      <c r="A8888" s="10">
        <v>45790</v>
      </c>
      <c r="B8888" t="s" s="11">
        <v>28</v>
      </c>
      <c r="C8888" t="s" s="12">
        <v>1183</v>
      </c>
      <c r="D8888" s="17">
        <v>50000</v>
      </c>
      <c r="E8888" s="17"/>
      <c r="F8888" s="18"/>
      <c r="G8888" s="18"/>
      <c r="H8888" s="18"/>
      <c r="I8888" s="18"/>
    </row>
    <row r="8889" ht="20.35" customHeight="1">
      <c r="A8889" s="10">
        <v>45790</v>
      </c>
      <c r="B8889" t="s" s="11">
        <v>21</v>
      </c>
      <c r="C8889" t="s" s="12">
        <v>1183</v>
      </c>
      <c r="D8889" s="13"/>
      <c r="E8889" s="13">
        <v>50000</v>
      </c>
      <c r="F8889" s="14"/>
      <c r="G8889" s="14"/>
      <c r="H8889" s="14"/>
      <c r="I8889" s="14"/>
    </row>
    <row r="8890" ht="20.7" customHeight="1">
      <c r="A8890" s="10">
        <v>45790</v>
      </c>
      <c r="B8890" t="s" s="11">
        <v>8</v>
      </c>
      <c r="C8890" t="s" s="12">
        <v>8</v>
      </c>
      <c r="D8890" s="15" cm="1">
        <f t="array" ref="D8890">SUM(D8888:D8889)</f>
        <v>50000</v>
      </c>
      <c r="E8890" s="15" cm="1">
        <f t="array" ref="E8890">SUM(E8888:E8889)</f>
        <v>50000</v>
      </c>
      <c r="F8890" s="16" cm="1">
        <f t="array" ref="F8890">SUM(F8888:F8889)</f>
        <v>0</v>
      </c>
      <c r="G8890" s="16" cm="1">
        <f t="array" ref="G8890">SUM(G8888:G8889)</f>
        <v>0</v>
      </c>
      <c r="H8890" s="16" cm="1">
        <f t="array" ref="H8890">SUM(H8888:H8889)</f>
        <v>0</v>
      </c>
      <c r="I8890" s="16" cm="1">
        <f t="array" ref="I8890">SUM(I8888:I8889)</f>
        <v>0</v>
      </c>
    </row>
    <row r="8891" ht="20.35" customHeight="1">
      <c r="A8891" s="10">
        <v>45790</v>
      </c>
      <c r="B8891" t="s" s="11">
        <v>5</v>
      </c>
      <c r="C8891" t="s" s="12">
        <v>1183</v>
      </c>
      <c r="D8891" s="17"/>
      <c r="E8891" s="17">
        <v>50000</v>
      </c>
      <c r="F8891" s="18"/>
      <c r="G8891" s="18"/>
      <c r="H8891" s="18"/>
      <c r="I8891" s="18"/>
    </row>
    <row r="8892" ht="20.35" customHeight="1">
      <c r="A8892" s="10">
        <v>45790</v>
      </c>
      <c r="B8892" t="s" s="11">
        <v>21</v>
      </c>
      <c r="C8892" t="s" s="12">
        <v>1183</v>
      </c>
      <c r="D8892" s="13">
        <v>50000</v>
      </c>
      <c r="E8892" s="13"/>
      <c r="F8892" s="14"/>
      <c r="G8892" s="14"/>
      <c r="H8892" s="14"/>
      <c r="I8892" s="14"/>
    </row>
    <row r="8893" ht="20.7" customHeight="1">
      <c r="A8893" s="10">
        <v>45790</v>
      </c>
      <c r="B8893" t="s" s="11">
        <v>8</v>
      </c>
      <c r="C8893" t="s" s="12">
        <v>8</v>
      </c>
      <c r="D8893" s="15" cm="1">
        <f t="array" ref="D8893">SUM(D8891:D8892)</f>
        <v>50000</v>
      </c>
      <c r="E8893" s="15" cm="1">
        <f t="array" ref="E8893">SUM(E8891:E8892)</f>
        <v>50000</v>
      </c>
      <c r="F8893" s="16" cm="1">
        <f t="array" ref="F8893">SUM(F8891:F8892)</f>
        <v>0</v>
      </c>
      <c r="G8893" s="16" cm="1">
        <f t="array" ref="G8893">SUM(G8891:G8892)</f>
        <v>0</v>
      </c>
      <c r="H8893" s="16" cm="1">
        <f t="array" ref="H8893">SUM(H8891:H8892)</f>
        <v>0</v>
      </c>
      <c r="I8893" s="16" cm="1">
        <f t="array" ref="I8893">SUM(I8891:I8892)</f>
        <v>0</v>
      </c>
    </row>
    <row r="8894" ht="20.65" customHeight="1">
      <c r="A8894" s="10">
        <v>45790</v>
      </c>
      <c r="B8894" t="s" s="11">
        <v>5</v>
      </c>
      <c r="C8894" t="s" s="12">
        <v>1184</v>
      </c>
      <c r="D8894" s="17"/>
      <c r="E8894" s="17">
        <v>6000</v>
      </c>
      <c r="F8894" s="18"/>
      <c r="G8894" s="18"/>
      <c r="H8894" s="18"/>
      <c r="I8894" s="18"/>
    </row>
    <row r="8895" ht="20.65" customHeight="1">
      <c r="A8895" s="10">
        <v>45790</v>
      </c>
      <c r="B8895" t="s" s="11">
        <v>12</v>
      </c>
      <c r="C8895" t="s" s="12">
        <v>1184</v>
      </c>
      <c r="D8895" s="13">
        <v>6000</v>
      </c>
      <c r="E8895" s="13"/>
      <c r="F8895" s="14"/>
      <c r="G8895" s="14"/>
      <c r="H8895" s="14"/>
      <c r="I8895" s="14"/>
    </row>
    <row r="8896" ht="20.7" customHeight="1">
      <c r="A8896" s="10">
        <v>45790</v>
      </c>
      <c r="B8896" t="s" s="11">
        <v>8</v>
      </c>
      <c r="C8896" t="s" s="12">
        <v>8</v>
      </c>
      <c r="D8896" s="15" cm="1">
        <f t="array" ref="D8896">SUM(D8894:D8895)</f>
        <v>6000</v>
      </c>
      <c r="E8896" s="15" cm="1">
        <f t="array" ref="E8896">SUM(E8894:E8895)</f>
        <v>6000</v>
      </c>
      <c r="F8896" s="16" cm="1">
        <f t="array" ref="F8896">SUM(F8894:F8895)</f>
        <v>0</v>
      </c>
      <c r="G8896" s="16" cm="1">
        <f t="array" ref="G8896">SUM(G8894:G8895)</f>
        <v>0</v>
      </c>
      <c r="H8896" s="16" cm="1">
        <f t="array" ref="H8896">SUM(H8894:H8895)</f>
        <v>0</v>
      </c>
      <c r="I8896" s="16" cm="1">
        <f t="array" ref="I8896">SUM(I8894:I8895)</f>
        <v>0</v>
      </c>
    </row>
    <row r="8897" ht="20.65" customHeight="1">
      <c r="A8897" s="10">
        <v>45790</v>
      </c>
      <c r="B8897" t="s" s="11">
        <v>5</v>
      </c>
      <c r="C8897" t="s" s="12">
        <v>1185</v>
      </c>
      <c r="D8897" s="17"/>
      <c r="E8897" s="17">
        <v>5000</v>
      </c>
      <c r="F8897" s="18"/>
      <c r="G8897" s="18"/>
      <c r="H8897" s="18"/>
      <c r="I8897" s="18"/>
    </row>
    <row r="8898" ht="20.65" customHeight="1">
      <c r="A8898" s="10">
        <v>45790</v>
      </c>
      <c r="B8898" t="s" s="11">
        <v>12</v>
      </c>
      <c r="C8898" t="s" s="12">
        <v>1185</v>
      </c>
      <c r="D8898" s="13">
        <v>5000</v>
      </c>
      <c r="E8898" s="13"/>
      <c r="F8898" s="14"/>
      <c r="G8898" s="14"/>
      <c r="H8898" s="14"/>
      <c r="I8898" s="14"/>
    </row>
    <row r="8899" ht="20.7" customHeight="1">
      <c r="A8899" s="10">
        <v>45790</v>
      </c>
      <c r="B8899" t="s" s="11">
        <v>8</v>
      </c>
      <c r="C8899" t="s" s="12">
        <v>8</v>
      </c>
      <c r="D8899" s="15" cm="1">
        <f t="array" ref="D8899">SUM(D8897:D8898)</f>
        <v>5000</v>
      </c>
      <c r="E8899" s="15" cm="1">
        <f t="array" ref="E8899">SUM(E8897:E8898)</f>
        <v>5000</v>
      </c>
      <c r="F8899" s="16" cm="1">
        <f t="array" ref="F8899">SUM(F8897:F8898)</f>
        <v>0</v>
      </c>
      <c r="G8899" s="16" cm="1">
        <f t="array" ref="G8899">SUM(G8897:G8898)</f>
        <v>0</v>
      </c>
      <c r="H8899" s="16" cm="1">
        <f t="array" ref="H8899">SUM(H8897:H8898)</f>
        <v>0</v>
      </c>
      <c r="I8899" s="16" cm="1">
        <f t="array" ref="I8899">SUM(I8897:I8898)</f>
        <v>0</v>
      </c>
    </row>
    <row r="8900" ht="20.65" customHeight="1">
      <c r="A8900" s="10">
        <v>45790</v>
      </c>
      <c r="B8900" t="s" s="11">
        <v>5</v>
      </c>
      <c r="C8900" t="s" s="12">
        <v>1186</v>
      </c>
      <c r="D8900" s="17">
        <v>1500000</v>
      </c>
      <c r="E8900" s="17"/>
      <c r="F8900" s="18"/>
      <c r="G8900" s="18"/>
      <c r="H8900" s="18"/>
      <c r="I8900" s="18"/>
    </row>
    <row r="8901" ht="20.65" customHeight="1">
      <c r="A8901" s="10">
        <v>45790</v>
      </c>
      <c r="B8901" t="s" s="11">
        <v>91</v>
      </c>
      <c r="C8901" t="s" s="12">
        <v>1186</v>
      </c>
      <c r="D8901" s="13"/>
      <c r="E8901" s="13">
        <v>1500000</v>
      </c>
      <c r="F8901" s="14"/>
      <c r="G8901" s="14"/>
      <c r="H8901" s="14"/>
      <c r="I8901" s="14"/>
    </row>
    <row r="8902" ht="20.7" customHeight="1">
      <c r="A8902" s="10">
        <v>45790</v>
      </c>
      <c r="B8902" t="s" s="11">
        <v>8</v>
      </c>
      <c r="C8902" t="s" s="12">
        <v>8</v>
      </c>
      <c r="D8902" s="15" cm="1">
        <f t="array" ref="D8902">SUM(D8900:D8901)</f>
        <v>1500000</v>
      </c>
      <c r="E8902" s="15" cm="1">
        <f t="array" ref="E8902">SUM(E8900:E8901)</f>
        <v>1500000</v>
      </c>
      <c r="F8902" s="16" cm="1">
        <f t="array" ref="F8902">SUM(F8900:F8901)</f>
        <v>0</v>
      </c>
      <c r="G8902" s="16" cm="1">
        <f t="array" ref="G8902">SUM(G8900:G8901)</f>
        <v>0</v>
      </c>
      <c r="H8902" s="16" cm="1">
        <f t="array" ref="H8902">SUM(H8900:H8901)</f>
        <v>0</v>
      </c>
      <c r="I8902" s="16" cm="1">
        <f t="array" ref="I8902">SUM(I8900:I8901)</f>
        <v>0</v>
      </c>
    </row>
    <row r="8903" ht="20.65" customHeight="1">
      <c r="A8903" s="10">
        <v>45790</v>
      </c>
      <c r="B8903" t="s" s="11">
        <v>5</v>
      </c>
      <c r="C8903" t="s" s="12">
        <v>1187</v>
      </c>
      <c r="D8903" s="17"/>
      <c r="E8903" s="17">
        <v>11000</v>
      </c>
      <c r="F8903" s="18"/>
      <c r="G8903" s="18"/>
      <c r="H8903" s="18"/>
      <c r="I8903" s="18"/>
    </row>
    <row r="8904" ht="20.65" customHeight="1">
      <c r="A8904" s="10">
        <v>45790</v>
      </c>
      <c r="B8904" t="s" s="11">
        <v>12</v>
      </c>
      <c r="C8904" t="s" s="12">
        <v>1187</v>
      </c>
      <c r="D8904" s="13">
        <v>11000</v>
      </c>
      <c r="E8904" s="13"/>
      <c r="F8904" s="14"/>
      <c r="G8904" s="14"/>
      <c r="H8904" s="14"/>
      <c r="I8904" s="14"/>
    </row>
    <row r="8905" ht="20.7" customHeight="1">
      <c r="A8905" s="10">
        <v>45790</v>
      </c>
      <c r="B8905" t="s" s="11">
        <v>8</v>
      </c>
      <c r="C8905" t="s" s="12">
        <v>8</v>
      </c>
      <c r="D8905" s="15" cm="1">
        <f t="array" ref="D8905">SUM(D8903:D8904)</f>
        <v>11000</v>
      </c>
      <c r="E8905" s="15" cm="1">
        <f t="array" ref="E8905">SUM(E8903:E8904)</f>
        <v>11000</v>
      </c>
      <c r="F8905" s="16" cm="1">
        <f t="array" ref="F8905">SUM(F8903:F8904)</f>
        <v>0</v>
      </c>
      <c r="G8905" s="16" cm="1">
        <f t="array" ref="G8905">SUM(G8903:G8904)</f>
        <v>0</v>
      </c>
      <c r="H8905" s="16" cm="1">
        <f t="array" ref="H8905">SUM(H8903:H8904)</f>
        <v>0</v>
      </c>
      <c r="I8905" s="16" cm="1">
        <f t="array" ref="I8905">SUM(I8903:I8904)</f>
        <v>0</v>
      </c>
    </row>
    <row r="8906" ht="20.65" customHeight="1">
      <c r="A8906" s="10">
        <v>45790</v>
      </c>
      <c r="B8906" t="s" s="11">
        <v>5</v>
      </c>
      <c r="C8906" t="s" s="12">
        <v>1188</v>
      </c>
      <c r="D8906" s="17"/>
      <c r="E8906" s="17">
        <v>1900</v>
      </c>
      <c r="F8906" s="18"/>
      <c r="G8906" s="18"/>
      <c r="H8906" s="18"/>
      <c r="I8906" s="18"/>
    </row>
    <row r="8907" ht="20.65" customHeight="1">
      <c r="A8907" s="10">
        <v>45790</v>
      </c>
      <c r="B8907" t="s" s="11">
        <v>86</v>
      </c>
      <c r="C8907" t="s" s="12">
        <v>1188</v>
      </c>
      <c r="D8907" s="13">
        <v>1900</v>
      </c>
      <c r="E8907" s="13"/>
      <c r="F8907" s="14"/>
      <c r="G8907" s="14"/>
      <c r="H8907" s="14"/>
      <c r="I8907" s="14"/>
    </row>
    <row r="8908" ht="20.7" customHeight="1">
      <c r="A8908" s="10">
        <v>45790</v>
      </c>
      <c r="B8908" t="s" s="11">
        <v>8</v>
      </c>
      <c r="C8908" t="s" s="12">
        <v>8</v>
      </c>
      <c r="D8908" s="15" cm="1">
        <f t="array" ref="D8908">SUM(D8906:D8907)</f>
        <v>1900</v>
      </c>
      <c r="E8908" s="15" cm="1">
        <f t="array" ref="E8908">SUM(E8906:E8907)</f>
        <v>1900</v>
      </c>
      <c r="F8908" s="16" cm="1">
        <f t="array" ref="F8908">SUM(F8906:F8907)</f>
        <v>0</v>
      </c>
      <c r="G8908" s="16" cm="1">
        <f t="array" ref="G8908">SUM(G8906:G8907)</f>
        <v>0</v>
      </c>
      <c r="H8908" s="16" cm="1">
        <f t="array" ref="H8908">SUM(H8906:H8907)</f>
        <v>0</v>
      </c>
      <c r="I8908" s="16" cm="1">
        <f t="array" ref="I8908">SUM(I8906:I8907)</f>
        <v>0</v>
      </c>
    </row>
    <row r="8909" ht="21.25" customHeight="1">
      <c r="A8909" s="10">
        <v>45790</v>
      </c>
      <c r="B8909" t="s" s="11">
        <v>21</v>
      </c>
      <c r="C8909" t="s" s="12">
        <v>1189</v>
      </c>
      <c r="D8909" s="17"/>
      <c r="E8909" s="17">
        <v>3200</v>
      </c>
      <c r="F8909" s="18"/>
      <c r="G8909" s="18"/>
      <c r="H8909" s="18"/>
      <c r="I8909" s="18"/>
    </row>
    <row r="8910" ht="21.25" customHeight="1">
      <c r="A8910" s="10">
        <v>45790</v>
      </c>
      <c r="B8910" t="s" s="11">
        <v>16</v>
      </c>
      <c r="C8910" t="s" s="12">
        <v>1189</v>
      </c>
      <c r="D8910" s="13">
        <v>3200</v>
      </c>
      <c r="E8910" s="13"/>
      <c r="F8910" s="14"/>
      <c r="G8910" s="14"/>
      <c r="H8910" s="14"/>
      <c r="I8910" s="14"/>
    </row>
    <row r="8911" ht="20.7" customHeight="1">
      <c r="A8911" s="10">
        <v>45790</v>
      </c>
      <c r="B8911" t="s" s="11">
        <v>8</v>
      </c>
      <c r="C8911" t="s" s="12">
        <v>8</v>
      </c>
      <c r="D8911" s="15" cm="1">
        <f t="array" ref="D8911">SUM(D8909:D8910)</f>
        <v>3200</v>
      </c>
      <c r="E8911" s="15" cm="1">
        <f t="array" ref="E8911">SUM(E8909:E8910)</f>
        <v>3200</v>
      </c>
      <c r="F8911" s="16" cm="1">
        <f t="array" ref="F8911">SUM(F8909:F8910)</f>
        <v>0</v>
      </c>
      <c r="G8911" s="16" cm="1">
        <f t="array" ref="G8911">SUM(G8909:G8910)</f>
        <v>0</v>
      </c>
      <c r="H8911" s="16" cm="1">
        <f t="array" ref="H8911">SUM(H8909:H8910)</f>
        <v>0</v>
      </c>
      <c r="I8911" s="16" cm="1">
        <f t="array" ref="I8911">SUM(I8909:I8910)</f>
        <v>0</v>
      </c>
    </row>
    <row r="8912" ht="20.35" customHeight="1">
      <c r="A8912" s="10">
        <v>45790</v>
      </c>
      <c r="B8912" t="s" s="11">
        <v>1155</v>
      </c>
      <c r="C8912" t="s" s="12">
        <v>1190</v>
      </c>
      <c r="D8912" s="17"/>
      <c r="E8912" s="17"/>
      <c r="F8912" s="18"/>
      <c r="G8912" s="18"/>
      <c r="H8912" s="18"/>
      <c r="I8912" s="18">
        <v>297.79</v>
      </c>
    </row>
    <row r="8913" ht="20.35" customHeight="1">
      <c r="A8913" s="10">
        <v>45790</v>
      </c>
      <c r="B8913" t="s" s="11">
        <v>1191</v>
      </c>
      <c r="C8913" t="s" s="12">
        <v>1190</v>
      </c>
      <c r="D8913" s="13"/>
      <c r="E8913" s="13"/>
      <c r="F8913" s="14"/>
      <c r="G8913" s="14"/>
      <c r="H8913" s="14">
        <v>297.79</v>
      </c>
      <c r="I8913" s="14"/>
    </row>
    <row r="8914" ht="20.7" customHeight="1">
      <c r="A8914" s="10">
        <v>45790</v>
      </c>
      <c r="B8914" t="s" s="11">
        <v>8</v>
      </c>
      <c r="C8914" t="s" s="12">
        <v>8</v>
      </c>
      <c r="D8914" s="15" cm="1">
        <f t="array" ref="D8914">SUM(D8912:D8913)</f>
        <v>0</v>
      </c>
      <c r="E8914" s="15" cm="1">
        <f t="array" ref="E8914">SUM(E8912:E8913)</f>
        <v>0</v>
      </c>
      <c r="F8914" s="16" cm="1">
        <f t="array" ref="F8914">SUM(F8912:F8913)</f>
        <v>0</v>
      </c>
      <c r="G8914" s="16" cm="1">
        <f t="array" ref="G8914">SUM(G8912:G8913)</f>
        <v>0</v>
      </c>
      <c r="H8914" s="16" cm="1">
        <f t="array" ref="H8914">SUM(H8912:H8913)</f>
        <v>297.79</v>
      </c>
      <c r="I8914" s="16" cm="1">
        <f t="array" ref="I8914">SUM(I8912:I8913)</f>
        <v>297.79</v>
      </c>
    </row>
    <row r="8915" ht="21.25" customHeight="1">
      <c r="A8915" s="10">
        <v>45790</v>
      </c>
      <c r="B8915" t="s" s="11">
        <v>5</v>
      </c>
      <c r="C8915" t="s" s="12">
        <v>1192</v>
      </c>
      <c r="D8915" s="17"/>
      <c r="E8915" s="17">
        <v>75000</v>
      </c>
      <c r="F8915" s="18"/>
      <c r="G8915" s="18"/>
      <c r="H8915" s="18"/>
      <c r="I8915" s="18"/>
    </row>
    <row r="8916" ht="20.9" customHeight="1">
      <c r="A8916" s="10">
        <v>45790</v>
      </c>
      <c r="B8916" t="s" s="11">
        <v>12</v>
      </c>
      <c r="C8916" t="s" s="12">
        <v>1192</v>
      </c>
      <c r="D8916" s="19">
        <v>37500</v>
      </c>
      <c r="E8916" s="19"/>
      <c r="F8916" s="20"/>
      <c r="G8916" s="20"/>
      <c r="H8916" s="20"/>
      <c r="I8916" s="20"/>
    </row>
    <row r="8917" ht="21.25" customHeight="1">
      <c r="A8917" s="10">
        <v>45790</v>
      </c>
      <c r="B8917" t="s" s="11">
        <v>10</v>
      </c>
      <c r="C8917" t="s" s="12">
        <v>1192</v>
      </c>
      <c r="D8917" s="13">
        <v>37500</v>
      </c>
      <c r="E8917" s="13"/>
      <c r="F8917" s="14"/>
      <c r="G8917" s="14"/>
      <c r="H8917" s="14"/>
      <c r="I8917" s="14"/>
    </row>
    <row r="8918" ht="20.7" customHeight="1">
      <c r="A8918" s="10">
        <v>45790</v>
      </c>
      <c r="B8918" t="s" s="11">
        <v>8</v>
      </c>
      <c r="C8918" t="s" s="12">
        <v>8</v>
      </c>
      <c r="D8918" s="15" cm="1">
        <f t="array" ref="D8918">SUM(D8915:D8917)</f>
        <v>75000</v>
      </c>
      <c r="E8918" s="15" cm="1">
        <f t="array" ref="E8918">SUM(E8915:E8917)</f>
        <v>75000</v>
      </c>
      <c r="F8918" s="16" cm="1">
        <f t="array" ref="F8918">SUM(F8915:F8917)</f>
        <v>0</v>
      </c>
      <c r="G8918" s="16" cm="1">
        <f t="array" ref="G8918">SUM(G8915:G8917)</f>
        <v>0</v>
      </c>
      <c r="H8918" s="16" cm="1">
        <f t="array" ref="H8918">SUM(H8916:H8917)</f>
        <v>0</v>
      </c>
      <c r="I8918" s="16" cm="1">
        <f t="array" ref="I8918">SUM(I8916:I8917)</f>
        <v>0</v>
      </c>
    </row>
    <row r="8919" ht="20.65" customHeight="1">
      <c r="A8919" s="10">
        <v>45791</v>
      </c>
      <c r="B8919" t="s" s="11">
        <v>814</v>
      </c>
      <c r="C8919" t="s" s="12">
        <v>820</v>
      </c>
      <c r="D8919" s="17">
        <v>64</v>
      </c>
      <c r="E8919" s="17"/>
      <c r="F8919" s="18"/>
      <c r="G8919" s="18"/>
      <c r="H8919" s="18"/>
      <c r="I8919" s="18"/>
    </row>
    <row r="8920" ht="20.65" customHeight="1">
      <c r="A8920" s="10">
        <v>45791</v>
      </c>
      <c r="B8920" t="s" s="11">
        <v>7</v>
      </c>
      <c r="C8920" t="s" s="12">
        <v>820</v>
      </c>
      <c r="D8920" s="13"/>
      <c r="E8920" s="13">
        <v>64</v>
      </c>
      <c r="F8920" s="14"/>
      <c r="G8920" s="14"/>
      <c r="H8920" s="14"/>
      <c r="I8920" s="14"/>
    </row>
    <row r="8921" ht="20.7" customHeight="1">
      <c r="A8921" s="10">
        <v>45791</v>
      </c>
      <c r="B8921" t="s" s="11">
        <v>8</v>
      </c>
      <c r="C8921" t="s" s="12">
        <v>8</v>
      </c>
      <c r="D8921" s="15" cm="1">
        <f t="array" ref="D8921">SUM(D8919:D8920)</f>
        <v>64</v>
      </c>
      <c r="E8921" s="15" cm="1">
        <f t="array" ref="E8921">SUM(E8919:E8920)</f>
        <v>64</v>
      </c>
      <c r="F8921" s="16" cm="1">
        <f t="array" ref="F8921">SUM(F8919:F8920)</f>
        <v>0</v>
      </c>
      <c r="G8921" s="16" cm="1">
        <f t="array" ref="G8921">SUM(G8919:G8920)</f>
        <v>0</v>
      </c>
      <c r="H8921" s="16" cm="1">
        <f t="array" ref="H8921">SUM(H8919:H8920)</f>
        <v>0</v>
      </c>
      <c r="I8921" s="16" cm="1">
        <f t="array" ref="I8921">SUM(I8919:I8920)</f>
        <v>0</v>
      </c>
    </row>
    <row r="8922" ht="20.65" customHeight="1">
      <c r="A8922" s="10">
        <v>45791</v>
      </c>
      <c r="B8922" t="s" s="11">
        <v>5</v>
      </c>
      <c r="C8922" t="s" s="12">
        <v>1193</v>
      </c>
      <c r="D8922" s="17"/>
      <c r="E8922" s="17">
        <v>40000</v>
      </c>
      <c r="F8922" s="18"/>
      <c r="G8922" s="18"/>
      <c r="H8922" s="18"/>
      <c r="I8922" s="18"/>
    </row>
    <row r="8923" ht="20.65" customHeight="1">
      <c r="A8923" s="10">
        <v>45791</v>
      </c>
      <c r="B8923" t="s" s="11">
        <v>10</v>
      </c>
      <c r="C8923" t="s" s="12">
        <v>1193</v>
      </c>
      <c r="D8923" s="13">
        <v>40000</v>
      </c>
      <c r="E8923" s="13"/>
      <c r="F8923" s="14"/>
      <c r="G8923" s="14"/>
      <c r="H8923" s="14"/>
      <c r="I8923" s="14"/>
    </row>
    <row r="8924" ht="20.7" customHeight="1">
      <c r="A8924" s="10">
        <v>45791</v>
      </c>
      <c r="B8924" t="s" s="11">
        <v>8</v>
      </c>
      <c r="C8924" t="s" s="12">
        <v>8</v>
      </c>
      <c r="D8924" s="15" cm="1">
        <f t="array" ref="D8924">SUM(D8922:D8923)</f>
        <v>40000</v>
      </c>
      <c r="E8924" s="15" cm="1">
        <f t="array" ref="E8924">SUM(E8922:E8923)</f>
        <v>40000</v>
      </c>
      <c r="F8924" s="16" cm="1">
        <f t="array" ref="F8924">SUM(F8922:F8923)</f>
        <v>0</v>
      </c>
      <c r="G8924" s="16" cm="1">
        <f t="array" ref="G8924">SUM(G8922:G8923)</f>
        <v>0</v>
      </c>
      <c r="H8924" s="16" cm="1">
        <f t="array" ref="H8924">SUM(H8922:H8923)</f>
        <v>0</v>
      </c>
      <c r="I8924" s="16" cm="1">
        <f t="array" ref="I8924">SUM(I8922:I8923)</f>
        <v>0</v>
      </c>
    </row>
    <row r="8925" ht="20.65" customHeight="1">
      <c r="A8925" s="10">
        <v>45791</v>
      </c>
      <c r="B8925" t="s" s="11">
        <v>5</v>
      </c>
      <c r="C8925" t="s" s="12">
        <v>1194</v>
      </c>
      <c r="D8925" s="17"/>
      <c r="E8925" s="17">
        <v>20000</v>
      </c>
      <c r="F8925" s="18"/>
      <c r="G8925" s="18"/>
      <c r="H8925" s="18"/>
      <c r="I8925" s="18"/>
    </row>
    <row r="8926" ht="20.65" customHeight="1">
      <c r="A8926" s="10">
        <v>45791</v>
      </c>
      <c r="B8926" t="s" s="11">
        <v>10</v>
      </c>
      <c r="C8926" t="s" s="12">
        <v>1194</v>
      </c>
      <c r="D8926" s="13">
        <v>20000</v>
      </c>
      <c r="E8926" s="13"/>
      <c r="F8926" s="14"/>
      <c r="G8926" s="14"/>
      <c r="H8926" s="14"/>
      <c r="I8926" s="14"/>
    </row>
    <row r="8927" ht="20.7" customHeight="1">
      <c r="A8927" s="10">
        <v>45791</v>
      </c>
      <c r="B8927" t="s" s="11">
        <v>8</v>
      </c>
      <c r="C8927" t="s" s="12">
        <v>8</v>
      </c>
      <c r="D8927" s="15" cm="1">
        <f t="array" ref="D8927">SUM(D8925:D8926)</f>
        <v>20000</v>
      </c>
      <c r="E8927" s="15" cm="1">
        <f t="array" ref="E8927">SUM(E8925:E8926)</f>
        <v>20000</v>
      </c>
      <c r="F8927" s="16" cm="1">
        <f t="array" ref="F8927">SUM(F8925:F8926)</f>
        <v>0</v>
      </c>
      <c r="G8927" s="16" cm="1">
        <f t="array" ref="G8927">SUM(G8925:G8926)</f>
        <v>0</v>
      </c>
      <c r="H8927" s="16" cm="1">
        <f t="array" ref="H8927">SUM(H8925:H8926)</f>
        <v>0</v>
      </c>
      <c r="I8927" s="16" cm="1">
        <f t="array" ref="I8927">SUM(I8925:I8926)</f>
        <v>0</v>
      </c>
    </row>
    <row r="8928" ht="20.35" customHeight="1">
      <c r="A8928" s="10">
        <v>45791</v>
      </c>
      <c r="B8928" t="s" s="11">
        <v>5</v>
      </c>
      <c r="C8928" t="s" s="12">
        <v>439</v>
      </c>
      <c r="D8928" s="17"/>
      <c r="E8928" s="17">
        <v>80000</v>
      </c>
      <c r="F8928" s="18"/>
      <c r="G8928" s="18"/>
      <c r="H8928" s="18"/>
      <c r="I8928" s="18"/>
    </row>
    <row r="8929" ht="20.35" customHeight="1">
      <c r="A8929" s="10">
        <v>45791</v>
      </c>
      <c r="B8929" t="s" s="11">
        <v>121</v>
      </c>
      <c r="C8929" t="s" s="12">
        <v>439</v>
      </c>
      <c r="D8929" s="13">
        <v>80000</v>
      </c>
      <c r="E8929" s="13"/>
      <c r="F8929" s="14"/>
      <c r="G8929" s="14"/>
      <c r="H8929" s="14"/>
      <c r="I8929" s="14"/>
    </row>
    <row r="8930" ht="20.7" customHeight="1">
      <c r="A8930" s="10">
        <v>45791</v>
      </c>
      <c r="B8930" t="s" s="11">
        <v>8</v>
      </c>
      <c r="C8930" t="s" s="12">
        <v>8</v>
      </c>
      <c r="D8930" s="15" cm="1">
        <f t="array" ref="D8930">SUM(D8928:D8929)</f>
        <v>80000</v>
      </c>
      <c r="E8930" s="15" cm="1">
        <f t="array" ref="E8930">SUM(E8928:E8929)</f>
        <v>80000</v>
      </c>
      <c r="F8930" s="16" cm="1">
        <f t="array" ref="F8930">SUM(F8928:F8929)</f>
        <v>0</v>
      </c>
      <c r="G8930" s="16" cm="1">
        <f t="array" ref="G8930">SUM(G8928:G8929)</f>
        <v>0</v>
      </c>
      <c r="H8930" s="16" cm="1">
        <f t="array" ref="H8930">SUM(H8928:H8929)</f>
        <v>0</v>
      </c>
      <c r="I8930" s="16" cm="1">
        <f t="array" ref="I8930">SUM(I8928:I8929)</f>
        <v>0</v>
      </c>
    </row>
    <row r="8931" ht="21.25" customHeight="1">
      <c r="A8931" s="10">
        <v>45791</v>
      </c>
      <c r="B8931" t="s" s="11">
        <v>121</v>
      </c>
      <c r="C8931" t="s" s="12">
        <v>1195</v>
      </c>
      <c r="D8931" s="17"/>
      <c r="E8931" s="17">
        <v>61000</v>
      </c>
      <c r="F8931" s="18"/>
      <c r="G8931" s="18"/>
      <c r="H8931" s="18"/>
      <c r="I8931" s="18"/>
    </row>
    <row r="8932" ht="20.9" customHeight="1">
      <c r="A8932" s="10">
        <v>45791</v>
      </c>
      <c r="B8932" t="s" s="11">
        <v>12</v>
      </c>
      <c r="C8932" t="s" s="12">
        <v>1195</v>
      </c>
      <c r="D8932" s="19">
        <v>30500</v>
      </c>
      <c r="E8932" s="19"/>
      <c r="F8932" s="20"/>
      <c r="G8932" s="20"/>
      <c r="H8932" s="20"/>
      <c r="I8932" s="20"/>
    </row>
    <row r="8933" ht="21.25" customHeight="1">
      <c r="A8933" s="10">
        <v>45791</v>
      </c>
      <c r="B8933" t="s" s="11">
        <v>10</v>
      </c>
      <c r="C8933" t="s" s="12">
        <v>1195</v>
      </c>
      <c r="D8933" s="13">
        <v>30500</v>
      </c>
      <c r="E8933" s="13"/>
      <c r="F8933" s="14"/>
      <c r="G8933" s="14"/>
      <c r="H8933" s="14"/>
      <c r="I8933" s="14"/>
    </row>
    <row r="8934" ht="20.7" customHeight="1">
      <c r="A8934" s="10">
        <v>45791</v>
      </c>
      <c r="B8934" t="s" s="11">
        <v>8</v>
      </c>
      <c r="C8934" t="s" s="12">
        <v>8</v>
      </c>
      <c r="D8934" s="15" cm="1">
        <f t="array" ref="D8934">SUM(D8931:D8933)</f>
        <v>61000</v>
      </c>
      <c r="E8934" s="15" cm="1">
        <f t="array" ref="E8934">SUM(E8931:E8933)</f>
        <v>61000</v>
      </c>
      <c r="F8934" s="16" cm="1">
        <f t="array" ref="F8934">SUM(F8931:F8933)</f>
        <v>0</v>
      </c>
      <c r="G8934" s="16" cm="1">
        <f t="array" ref="G8934">SUM(G8931:G8933)</f>
        <v>0</v>
      </c>
      <c r="H8934" s="16" cm="1">
        <f t="array" ref="H8934">SUM(H8932:H8933)</f>
        <v>0</v>
      </c>
      <c r="I8934" s="16" cm="1">
        <f t="array" ref="I8934">SUM(I8932:I8933)</f>
        <v>0</v>
      </c>
    </row>
    <row r="8935" ht="21.25" customHeight="1">
      <c r="A8935" s="10">
        <v>45791</v>
      </c>
      <c r="B8935" t="s" s="11">
        <v>5</v>
      </c>
      <c r="C8935" t="s" s="12">
        <v>1196</v>
      </c>
      <c r="D8935" s="17"/>
      <c r="E8935" s="17">
        <v>331650</v>
      </c>
      <c r="F8935" s="18"/>
      <c r="G8935" s="18"/>
      <c r="H8935" s="18"/>
      <c r="I8935" s="18"/>
    </row>
    <row r="8936" ht="21.25" customHeight="1">
      <c r="A8936" s="10">
        <v>45791</v>
      </c>
      <c r="B8936" t="s" s="11">
        <v>10</v>
      </c>
      <c r="C8936" t="s" s="12">
        <v>1196</v>
      </c>
      <c r="D8936" s="13">
        <v>331650</v>
      </c>
      <c r="E8936" s="13"/>
      <c r="F8936" s="14"/>
      <c r="G8936" s="14"/>
      <c r="H8936" s="14"/>
      <c r="I8936" s="14"/>
    </row>
    <row r="8937" ht="20.7" customHeight="1">
      <c r="A8937" s="10">
        <v>45791</v>
      </c>
      <c r="B8937" t="s" s="11">
        <v>8</v>
      </c>
      <c r="C8937" t="s" s="12">
        <v>8</v>
      </c>
      <c r="D8937" s="15" cm="1">
        <f t="array" ref="D8937">SUM(D8935:D8936)</f>
        <v>331650</v>
      </c>
      <c r="E8937" s="15" cm="1">
        <f t="array" ref="E8937">SUM(E8935:E8936)</f>
        <v>331650</v>
      </c>
      <c r="F8937" s="16" cm="1">
        <f t="array" ref="F8937">SUM(F8935:F8936)</f>
        <v>0</v>
      </c>
      <c r="G8937" s="16" cm="1">
        <f t="array" ref="G8937">SUM(G8935:G8936)</f>
        <v>0</v>
      </c>
      <c r="H8937" s="16" cm="1">
        <f t="array" ref="H8937">SUM(H8935:H8936)</f>
        <v>0</v>
      </c>
      <c r="I8937" s="16" cm="1">
        <f t="array" ref="I8937">SUM(I8935:I8936)</f>
        <v>0</v>
      </c>
    </row>
    <row r="8938" ht="20.35" customHeight="1">
      <c r="A8938" s="10">
        <v>45791</v>
      </c>
      <c r="B8938" t="s" s="11">
        <v>5</v>
      </c>
      <c r="C8938" t="s" s="12">
        <v>17</v>
      </c>
      <c r="D8938" s="17">
        <v>500</v>
      </c>
      <c r="E8938" s="17"/>
      <c r="F8938" s="18"/>
      <c r="G8938" s="18"/>
      <c r="H8938" s="18"/>
      <c r="I8938" s="18"/>
    </row>
    <row r="8939" ht="20.35" customHeight="1">
      <c r="A8939" s="10">
        <v>45791</v>
      </c>
      <c r="B8939" t="s" s="11">
        <v>18</v>
      </c>
      <c r="C8939" t="s" s="12">
        <v>17</v>
      </c>
      <c r="D8939" s="13"/>
      <c r="E8939" s="13">
        <v>500</v>
      </c>
      <c r="F8939" s="14"/>
      <c r="G8939" s="14"/>
      <c r="H8939" s="14"/>
      <c r="I8939" s="14"/>
    </row>
    <row r="8940" ht="20.7" customHeight="1">
      <c r="A8940" s="10">
        <v>45791</v>
      </c>
      <c r="B8940" t="s" s="11">
        <v>8</v>
      </c>
      <c r="C8940" t="s" s="12">
        <v>8</v>
      </c>
      <c r="D8940" s="15" cm="1">
        <f t="array" ref="D8940">SUM(D8938:D8939)</f>
        <v>500</v>
      </c>
      <c r="E8940" s="15" cm="1">
        <f t="array" ref="E8940">SUM(E8938:E8939)</f>
        <v>500</v>
      </c>
      <c r="F8940" s="16" cm="1">
        <f t="array" ref="F8940">SUM(F8938:F8939)</f>
        <v>0</v>
      </c>
      <c r="G8940" s="16" cm="1">
        <f t="array" ref="G8940">SUM(G8938:G8939)</f>
        <v>0</v>
      </c>
      <c r="H8940" s="16" cm="1">
        <f t="array" ref="H8940">SUM(H8938:H8939)</f>
        <v>0</v>
      </c>
      <c r="I8940" s="16" cm="1">
        <f t="array" ref="I8940">SUM(I8938:I8939)</f>
        <v>0</v>
      </c>
    </row>
    <row r="8941" ht="21.25" customHeight="1">
      <c r="A8941" s="10">
        <v>45791</v>
      </c>
      <c r="B8941" t="s" s="11">
        <v>121</v>
      </c>
      <c r="C8941" t="s" s="12">
        <v>1085</v>
      </c>
      <c r="D8941" s="17"/>
      <c r="E8941" s="17">
        <v>6000</v>
      </c>
      <c r="F8941" s="18"/>
      <c r="G8941" s="18"/>
      <c r="H8941" s="18"/>
      <c r="I8941" s="18"/>
    </row>
    <row r="8942" ht="21.25" customHeight="1">
      <c r="A8942" s="10">
        <v>45791</v>
      </c>
      <c r="B8942" t="s" s="11">
        <v>21</v>
      </c>
      <c r="C8942" t="s" s="12">
        <v>1085</v>
      </c>
      <c r="D8942" s="13">
        <v>6000</v>
      </c>
      <c r="E8942" s="13"/>
      <c r="F8942" s="14"/>
      <c r="G8942" s="14"/>
      <c r="H8942" s="14"/>
      <c r="I8942" s="14"/>
    </row>
    <row r="8943" ht="20.7" customHeight="1">
      <c r="A8943" s="10">
        <v>45791</v>
      </c>
      <c r="B8943" t="s" s="11">
        <v>8</v>
      </c>
      <c r="C8943" t="s" s="12">
        <v>8</v>
      </c>
      <c r="D8943" s="15" cm="1">
        <f t="array" ref="D8943">SUM(D8941:D8942)</f>
        <v>6000</v>
      </c>
      <c r="E8943" s="15" cm="1">
        <f t="array" ref="E8943">SUM(E8941:E8942)</f>
        <v>6000</v>
      </c>
      <c r="F8943" s="16" cm="1">
        <f t="array" ref="F8943">SUM(F8941:F8942)</f>
        <v>0</v>
      </c>
      <c r="G8943" s="16" cm="1">
        <f t="array" ref="G8943">SUM(G8941:G8942)</f>
        <v>0</v>
      </c>
      <c r="H8943" s="16" cm="1">
        <f t="array" ref="H8943">SUM(H8941:H8942)</f>
        <v>0</v>
      </c>
      <c r="I8943" s="16" cm="1">
        <f t="array" ref="I8943">SUM(I8941:I8942)</f>
        <v>0</v>
      </c>
    </row>
    <row r="8944" ht="21.25" customHeight="1">
      <c r="A8944" s="10">
        <v>45791</v>
      </c>
      <c r="B8944" t="s" s="11">
        <v>5</v>
      </c>
      <c r="C8944" t="s" s="12">
        <v>799</v>
      </c>
      <c r="D8944" s="17">
        <v>10</v>
      </c>
      <c r="E8944" s="17"/>
      <c r="F8944" s="18"/>
      <c r="G8944" s="18"/>
      <c r="H8944" s="18"/>
      <c r="I8944" s="18"/>
    </row>
    <row r="8945" ht="21.25" customHeight="1">
      <c r="A8945" s="10">
        <v>45791</v>
      </c>
      <c r="B8945" t="s" s="11">
        <v>18</v>
      </c>
      <c r="C8945" t="s" s="12">
        <v>799</v>
      </c>
      <c r="D8945" s="13"/>
      <c r="E8945" s="13">
        <v>10</v>
      </c>
      <c r="F8945" s="14"/>
      <c r="G8945" s="14"/>
      <c r="H8945" s="14"/>
      <c r="I8945" s="14"/>
    </row>
    <row r="8946" ht="20.7" customHeight="1">
      <c r="A8946" s="10">
        <v>45791</v>
      </c>
      <c r="B8946" t="s" s="11">
        <v>8</v>
      </c>
      <c r="C8946" t="s" s="12">
        <v>8</v>
      </c>
      <c r="D8946" s="15" cm="1">
        <f t="array" ref="D8946">SUM(D8944:D8945)</f>
        <v>10</v>
      </c>
      <c r="E8946" s="15" cm="1">
        <f t="array" ref="E8946">SUM(E8944:E8945)</f>
        <v>10</v>
      </c>
      <c r="F8946" s="16" cm="1">
        <f t="array" ref="F8946">SUM(F8944:F8945)</f>
        <v>0</v>
      </c>
      <c r="G8946" s="16" cm="1">
        <f t="array" ref="G8946">SUM(G8944:G8945)</f>
        <v>0</v>
      </c>
      <c r="H8946" s="16" cm="1">
        <f t="array" ref="H8946">SUM(H8944:H8945)</f>
        <v>0</v>
      </c>
      <c r="I8946" s="16" cm="1">
        <f t="array" ref="I8946">SUM(I8944:I8945)</f>
        <v>0</v>
      </c>
    </row>
    <row r="8947" ht="20.65" customHeight="1">
      <c r="A8947" s="10">
        <v>45792</v>
      </c>
      <c r="B8947" t="s" s="11">
        <v>814</v>
      </c>
      <c r="C8947" t="s" s="12">
        <v>820</v>
      </c>
      <c r="D8947" s="17">
        <v>64</v>
      </c>
      <c r="E8947" s="17"/>
      <c r="F8947" s="18"/>
      <c r="G8947" s="18"/>
      <c r="H8947" s="18"/>
      <c r="I8947" s="18"/>
    </row>
    <row r="8948" ht="20.65" customHeight="1">
      <c r="A8948" s="10">
        <v>45792</v>
      </c>
      <c r="B8948" t="s" s="11">
        <v>7</v>
      </c>
      <c r="C8948" t="s" s="12">
        <v>820</v>
      </c>
      <c r="D8948" s="13"/>
      <c r="E8948" s="13">
        <v>64</v>
      </c>
      <c r="F8948" s="14"/>
      <c r="G8948" s="14"/>
      <c r="H8948" s="14"/>
      <c r="I8948" s="14"/>
    </row>
    <row r="8949" ht="20.7" customHeight="1">
      <c r="A8949" s="10">
        <v>45792</v>
      </c>
      <c r="B8949" t="s" s="11">
        <v>8</v>
      </c>
      <c r="C8949" t="s" s="12">
        <v>8</v>
      </c>
      <c r="D8949" s="15" cm="1">
        <f t="array" ref="D8949">SUM(D8947:D8948)</f>
        <v>64</v>
      </c>
      <c r="E8949" s="15" cm="1">
        <f t="array" ref="E8949">SUM(E8947:E8948)</f>
        <v>64</v>
      </c>
      <c r="F8949" s="16" cm="1">
        <f t="array" ref="F8949">SUM(F8947:F8948)</f>
        <v>0</v>
      </c>
      <c r="G8949" s="16" cm="1">
        <f t="array" ref="G8949">SUM(G8947:G8948)</f>
        <v>0</v>
      </c>
      <c r="H8949" s="16" cm="1">
        <f t="array" ref="H8949">SUM(H8947:H8948)</f>
        <v>0</v>
      </c>
      <c r="I8949" s="16" cm="1">
        <f t="array" ref="I8949">SUM(I8947:I8948)</f>
        <v>0</v>
      </c>
    </row>
    <row r="8950" ht="20.35" customHeight="1">
      <c r="A8950" s="10">
        <v>45792</v>
      </c>
      <c r="B8950" t="s" s="11">
        <v>5</v>
      </c>
      <c r="C8950" t="s" s="12">
        <v>439</v>
      </c>
      <c r="D8950" s="17"/>
      <c r="E8950" s="17">
        <v>20000</v>
      </c>
      <c r="F8950" s="18"/>
      <c r="G8950" s="18"/>
      <c r="H8950" s="18"/>
      <c r="I8950" s="18"/>
    </row>
    <row r="8951" ht="20.35" customHeight="1">
      <c r="A8951" s="10">
        <v>45792</v>
      </c>
      <c r="B8951" t="s" s="11">
        <v>121</v>
      </c>
      <c r="C8951" t="s" s="12">
        <v>439</v>
      </c>
      <c r="D8951" s="13">
        <v>20000</v>
      </c>
      <c r="E8951" s="13"/>
      <c r="F8951" s="14"/>
      <c r="G8951" s="14"/>
      <c r="H8951" s="14"/>
      <c r="I8951" s="14"/>
    </row>
    <row r="8952" ht="20.7" customHeight="1">
      <c r="A8952" s="10">
        <v>45792</v>
      </c>
      <c r="B8952" t="s" s="11">
        <v>8</v>
      </c>
      <c r="C8952" t="s" s="12">
        <v>8</v>
      </c>
      <c r="D8952" s="15" cm="1">
        <f t="array" ref="D8952">SUM(D8950:D8951)</f>
        <v>20000</v>
      </c>
      <c r="E8952" s="15" cm="1">
        <f t="array" ref="E8952">SUM(E8950:E8951)</f>
        <v>20000</v>
      </c>
      <c r="F8952" s="16" cm="1">
        <f t="array" ref="F8952">SUM(F8950:F8951)</f>
        <v>0</v>
      </c>
      <c r="G8952" s="16" cm="1">
        <f t="array" ref="G8952">SUM(G8950:G8951)</f>
        <v>0</v>
      </c>
      <c r="H8952" s="16" cm="1">
        <f t="array" ref="H8952">SUM(H8950:H8951)</f>
        <v>0</v>
      </c>
      <c r="I8952" s="16" cm="1">
        <f t="array" ref="I8952">SUM(I8950:I8951)</f>
        <v>0</v>
      </c>
    </row>
    <row r="8953" ht="21.25" customHeight="1">
      <c r="A8953" s="10">
        <v>45792</v>
      </c>
      <c r="B8953" t="s" s="11">
        <v>121</v>
      </c>
      <c r="C8953" t="s" s="12">
        <v>1197</v>
      </c>
      <c r="D8953" s="17"/>
      <c r="E8953" s="17">
        <v>30000</v>
      </c>
      <c r="F8953" s="18"/>
      <c r="G8953" s="18"/>
      <c r="H8953" s="18"/>
      <c r="I8953" s="18"/>
    </row>
    <row r="8954" ht="20.9" customHeight="1">
      <c r="A8954" s="10">
        <v>45792</v>
      </c>
      <c r="B8954" t="s" s="11">
        <v>12</v>
      </c>
      <c r="C8954" t="s" s="12">
        <v>1197</v>
      </c>
      <c r="D8954" s="19">
        <v>15000</v>
      </c>
      <c r="E8954" s="19"/>
      <c r="F8954" s="20"/>
      <c r="G8954" s="20"/>
      <c r="H8954" s="20"/>
      <c r="I8954" s="20"/>
    </row>
    <row r="8955" ht="21.25" customHeight="1">
      <c r="A8955" s="10">
        <v>45792</v>
      </c>
      <c r="B8955" t="s" s="11">
        <v>89</v>
      </c>
      <c r="C8955" t="s" s="12">
        <v>1197</v>
      </c>
      <c r="D8955" s="13">
        <v>15000</v>
      </c>
      <c r="E8955" s="13"/>
      <c r="F8955" s="14"/>
      <c r="G8955" s="14"/>
      <c r="H8955" s="14"/>
      <c r="I8955" s="14"/>
    </row>
    <row r="8956" ht="20.7" customHeight="1">
      <c r="A8956" s="10">
        <v>45792</v>
      </c>
      <c r="B8956" t="s" s="11">
        <v>8</v>
      </c>
      <c r="C8956" t="s" s="12">
        <v>8</v>
      </c>
      <c r="D8956" s="15" cm="1">
        <f t="array" ref="D8956">SUM(D8953:D8955)</f>
        <v>30000</v>
      </c>
      <c r="E8956" s="15" cm="1">
        <f t="array" ref="E8956">SUM(E8953:E8955)</f>
        <v>30000</v>
      </c>
      <c r="F8956" s="16" cm="1">
        <f t="array" ref="F8956">SUM(F8953:F8955)</f>
        <v>0</v>
      </c>
      <c r="G8956" s="16" cm="1">
        <f t="array" ref="G8956">SUM(G8953:G8955)</f>
        <v>0</v>
      </c>
      <c r="H8956" s="16" cm="1">
        <f t="array" ref="H8956">SUM(H8954:H8955)</f>
        <v>0</v>
      </c>
      <c r="I8956" s="16" cm="1">
        <f t="array" ref="I8956">SUM(I8954:I8955)</f>
        <v>0</v>
      </c>
    </row>
    <row r="8957" ht="21.25" customHeight="1">
      <c r="A8957" s="10">
        <v>45792</v>
      </c>
      <c r="B8957" t="s" s="11">
        <v>93</v>
      </c>
      <c r="C8957" t="s" s="12">
        <v>1197</v>
      </c>
      <c r="D8957" s="17">
        <v>15000</v>
      </c>
      <c r="E8957" s="17"/>
      <c r="F8957" s="18"/>
      <c r="G8957" s="18"/>
      <c r="H8957" s="18"/>
      <c r="I8957" s="18"/>
    </row>
    <row r="8958" ht="21.25" customHeight="1">
      <c r="A8958" s="10">
        <v>45792</v>
      </c>
      <c r="B8958" t="s" s="11">
        <v>89</v>
      </c>
      <c r="C8958" t="s" s="12">
        <v>1197</v>
      </c>
      <c r="D8958" s="13"/>
      <c r="E8958" s="13">
        <v>15000</v>
      </c>
      <c r="F8958" s="14"/>
      <c r="G8958" s="14"/>
      <c r="H8958" s="14"/>
      <c r="I8958" s="14"/>
    </row>
    <row r="8959" ht="20.7" customHeight="1">
      <c r="A8959" s="10">
        <v>45792</v>
      </c>
      <c r="B8959" t="s" s="11">
        <v>8</v>
      </c>
      <c r="C8959" t="s" s="12">
        <v>8</v>
      </c>
      <c r="D8959" s="15" cm="1">
        <f t="array" ref="D8959">SUM(D8957:D8958)</f>
        <v>15000</v>
      </c>
      <c r="E8959" s="15" cm="1">
        <f t="array" ref="E8959">SUM(E8957:E8958)</f>
        <v>15000</v>
      </c>
      <c r="F8959" s="16" cm="1">
        <f t="array" ref="F8959">SUM(F8957:F8958)</f>
        <v>0</v>
      </c>
      <c r="G8959" s="16" cm="1">
        <f t="array" ref="G8959">SUM(G8957:G8958)</f>
        <v>0</v>
      </c>
      <c r="H8959" s="16" cm="1">
        <f t="array" ref="H8959">SUM(H8957:H8958)</f>
        <v>0</v>
      </c>
      <c r="I8959" s="16" cm="1">
        <f t="array" ref="I8959">SUM(I8957:I8958)</f>
        <v>0</v>
      </c>
    </row>
    <row r="8960" ht="20.65" customHeight="1">
      <c r="A8960" s="10">
        <v>45792</v>
      </c>
      <c r="B8960" t="s" s="11">
        <v>5</v>
      </c>
      <c r="C8960" t="s" s="12">
        <v>738</v>
      </c>
      <c r="D8960" s="17"/>
      <c r="E8960" s="17">
        <v>200000</v>
      </c>
      <c r="F8960" s="18"/>
      <c r="G8960" s="18"/>
      <c r="H8960" s="18"/>
      <c r="I8960" s="18"/>
    </row>
    <row r="8961" ht="20.65" customHeight="1">
      <c r="A8961" s="10">
        <v>45792</v>
      </c>
      <c r="B8961" t="s" s="11">
        <v>89</v>
      </c>
      <c r="C8961" t="s" s="12">
        <v>738</v>
      </c>
      <c r="D8961" s="13">
        <v>200000</v>
      </c>
      <c r="E8961" s="13"/>
      <c r="F8961" s="14"/>
      <c r="G8961" s="14"/>
      <c r="H8961" s="14"/>
      <c r="I8961" s="14"/>
    </row>
    <row r="8962" ht="20.7" customHeight="1">
      <c r="A8962" s="10">
        <v>45792</v>
      </c>
      <c r="B8962" t="s" s="11">
        <v>8</v>
      </c>
      <c r="C8962" t="s" s="12">
        <v>8</v>
      </c>
      <c r="D8962" s="15" cm="1">
        <f t="array" ref="D8962">SUM(D8960:D8961)</f>
        <v>200000</v>
      </c>
      <c r="E8962" s="15" cm="1">
        <f t="array" ref="E8962">SUM(E8960:E8961)</f>
        <v>200000</v>
      </c>
      <c r="F8962" s="16" cm="1">
        <f t="array" ref="F8962">SUM(F8960:F8961)</f>
        <v>0</v>
      </c>
      <c r="G8962" s="16" cm="1">
        <f t="array" ref="G8962">SUM(G8960:G8961)</f>
        <v>0</v>
      </c>
      <c r="H8962" s="16" cm="1">
        <f t="array" ref="H8962">SUM(H8960:H8961)</f>
        <v>0</v>
      </c>
      <c r="I8962" s="16" cm="1">
        <f t="array" ref="I8962">SUM(I8960:I8961)</f>
        <v>0</v>
      </c>
    </row>
    <row r="8963" ht="20.35" customHeight="1">
      <c r="A8963" s="10">
        <v>45792</v>
      </c>
      <c r="B8963" t="s" s="11">
        <v>10</v>
      </c>
      <c r="C8963" t="s" s="12">
        <v>1198</v>
      </c>
      <c r="D8963" s="17">
        <v>15600</v>
      </c>
      <c r="E8963" s="17"/>
      <c r="F8963" s="18"/>
      <c r="G8963" s="18"/>
      <c r="H8963" s="18"/>
      <c r="I8963" s="18"/>
    </row>
    <row r="8964" ht="20.35" customHeight="1">
      <c r="A8964" s="10">
        <v>45792</v>
      </c>
      <c r="B8964" t="s" s="11">
        <v>89</v>
      </c>
      <c r="C8964" t="s" s="12">
        <v>1198</v>
      </c>
      <c r="D8964" s="13"/>
      <c r="E8964" s="13">
        <v>15600</v>
      </c>
      <c r="F8964" s="14"/>
      <c r="G8964" s="14"/>
      <c r="H8964" s="14"/>
      <c r="I8964" s="14"/>
    </row>
    <row r="8965" ht="20.7" customHeight="1">
      <c r="A8965" s="10">
        <v>45792</v>
      </c>
      <c r="B8965" t="s" s="11">
        <v>8</v>
      </c>
      <c r="C8965" t="s" s="12">
        <v>8</v>
      </c>
      <c r="D8965" s="15" cm="1">
        <f t="array" ref="D8965">SUM(D8963:D8964)</f>
        <v>15600</v>
      </c>
      <c r="E8965" s="15" cm="1">
        <f t="array" ref="E8965">SUM(E8963:E8964)</f>
        <v>15600</v>
      </c>
      <c r="F8965" s="16" cm="1">
        <f t="array" ref="F8965">SUM(F8963:F8964)</f>
        <v>0</v>
      </c>
      <c r="G8965" s="16" cm="1">
        <f t="array" ref="G8965">SUM(G8963:G8964)</f>
        <v>0</v>
      </c>
      <c r="H8965" s="16" cm="1">
        <f t="array" ref="H8965">SUM(H8963:H8964)</f>
        <v>0</v>
      </c>
      <c r="I8965" s="16" cm="1">
        <f t="array" ref="I8965">SUM(I8963:I8964)</f>
        <v>0</v>
      </c>
    </row>
    <row r="8966" ht="20.35" customHeight="1">
      <c r="A8966" s="10">
        <v>45792</v>
      </c>
      <c r="B8966" t="s" s="11">
        <v>21</v>
      </c>
      <c r="C8966" t="s" s="12">
        <v>1199</v>
      </c>
      <c r="D8966" s="17">
        <v>22865</v>
      </c>
      <c r="E8966" s="17"/>
      <c r="F8966" s="18"/>
      <c r="G8966" s="18"/>
      <c r="H8966" s="18"/>
      <c r="I8966" s="18"/>
    </row>
    <row r="8967" ht="20.35" customHeight="1">
      <c r="A8967" s="10">
        <v>45792</v>
      </c>
      <c r="B8967" t="s" s="11">
        <v>91</v>
      </c>
      <c r="C8967" t="s" s="12">
        <v>1199</v>
      </c>
      <c r="D8967" s="13"/>
      <c r="E8967" s="13">
        <v>22865</v>
      </c>
      <c r="F8967" s="14"/>
      <c r="G8967" s="14"/>
      <c r="H8967" s="14"/>
      <c r="I8967" s="14"/>
    </row>
    <row r="8968" ht="20.7" customHeight="1">
      <c r="A8968" s="10">
        <v>45792</v>
      </c>
      <c r="B8968" t="s" s="11">
        <v>8</v>
      </c>
      <c r="C8968" t="s" s="12">
        <v>8</v>
      </c>
      <c r="D8968" s="15" cm="1">
        <f t="array" ref="D8968">SUM(D8966:D8967)</f>
        <v>22865</v>
      </c>
      <c r="E8968" s="15" cm="1">
        <f t="array" ref="E8968">SUM(E8966:E8967)</f>
        <v>22865</v>
      </c>
      <c r="F8968" s="16" cm="1">
        <f t="array" ref="F8968">SUM(F8966:F8967)</f>
        <v>0</v>
      </c>
      <c r="G8968" s="16" cm="1">
        <f t="array" ref="G8968">SUM(G8966:G8967)</f>
        <v>0</v>
      </c>
      <c r="H8968" s="16" cm="1">
        <f t="array" ref="H8968">SUM(H8966:H8967)</f>
        <v>0</v>
      </c>
      <c r="I8968" s="16" cm="1">
        <f t="array" ref="I8968">SUM(I8966:I8967)</f>
        <v>0</v>
      </c>
    </row>
    <row r="8969" ht="20.35" customHeight="1">
      <c r="A8969" s="10">
        <v>45792</v>
      </c>
      <c r="B8969" t="s" s="11">
        <v>89</v>
      </c>
      <c r="C8969" t="s" s="12">
        <v>1200</v>
      </c>
      <c r="D8969" s="17"/>
      <c r="E8969" s="17">
        <v>109137</v>
      </c>
      <c r="F8969" s="18"/>
      <c r="G8969" s="18"/>
      <c r="H8969" s="18"/>
      <c r="I8969" s="18"/>
    </row>
    <row r="8970" ht="20.35" customHeight="1">
      <c r="A8970" s="10">
        <v>45792</v>
      </c>
      <c r="B8970" t="s" s="11">
        <v>84</v>
      </c>
      <c r="C8970" t="s" s="12">
        <v>1200</v>
      </c>
      <c r="D8970" s="13">
        <v>109137</v>
      </c>
      <c r="E8970" s="13"/>
      <c r="F8970" s="14"/>
      <c r="G8970" s="14"/>
      <c r="H8970" s="14"/>
      <c r="I8970" s="14"/>
    </row>
    <row r="8971" ht="20.7" customHeight="1">
      <c r="A8971" s="10">
        <v>45792</v>
      </c>
      <c r="B8971" t="s" s="11">
        <v>8</v>
      </c>
      <c r="C8971" t="s" s="12">
        <v>8</v>
      </c>
      <c r="D8971" s="15" cm="1">
        <f t="array" ref="D8971">SUM(D8969:D8970)</f>
        <v>109137</v>
      </c>
      <c r="E8971" s="15" cm="1">
        <f t="array" ref="E8971">SUM(E8969:E8970)</f>
        <v>109137</v>
      </c>
      <c r="F8971" s="16" cm="1">
        <f t="array" ref="F8971">SUM(F8969:F8970)</f>
        <v>0</v>
      </c>
      <c r="G8971" s="16" cm="1">
        <f t="array" ref="G8971">SUM(G8969:G8970)</f>
        <v>0</v>
      </c>
      <c r="H8971" s="16" cm="1">
        <f t="array" ref="H8971">SUM(H8969:H8970)</f>
        <v>0</v>
      </c>
      <c r="I8971" s="16" cm="1">
        <f t="array" ref="I8971">SUM(I8969:I8970)</f>
        <v>0</v>
      </c>
    </row>
    <row r="8972" ht="21.25" customHeight="1">
      <c r="A8972" s="10">
        <v>45792</v>
      </c>
      <c r="B8972" t="s" s="11">
        <v>5</v>
      </c>
      <c r="C8972" t="s" s="12">
        <v>1018</v>
      </c>
      <c r="D8972" s="17"/>
      <c r="E8972" s="17">
        <v>10000</v>
      </c>
      <c r="F8972" s="18"/>
      <c r="G8972" s="18"/>
      <c r="H8972" s="18"/>
      <c r="I8972" s="18"/>
    </row>
    <row r="8973" ht="21.25" customHeight="1">
      <c r="A8973" s="10">
        <v>45792</v>
      </c>
      <c r="B8973" t="s" s="11">
        <v>786</v>
      </c>
      <c r="C8973" t="s" s="12">
        <v>1018</v>
      </c>
      <c r="D8973" s="13">
        <v>10000</v>
      </c>
      <c r="E8973" s="13"/>
      <c r="F8973" s="14"/>
      <c r="G8973" s="14"/>
      <c r="H8973" s="14"/>
      <c r="I8973" s="14"/>
    </row>
    <row r="8974" ht="20.7" customHeight="1">
      <c r="A8974" s="10">
        <v>45792</v>
      </c>
      <c r="B8974" t="s" s="11">
        <v>8</v>
      </c>
      <c r="C8974" t="s" s="12">
        <v>8</v>
      </c>
      <c r="D8974" s="15" cm="1">
        <f t="array" ref="D8974">SUM(D8972:D8973)</f>
        <v>10000</v>
      </c>
      <c r="E8974" s="15" cm="1">
        <f t="array" ref="E8974">SUM(E8972:E8973)</f>
        <v>10000</v>
      </c>
      <c r="F8974" s="16" cm="1">
        <f t="array" ref="F8974">SUM(F8972:F8973)</f>
        <v>0</v>
      </c>
      <c r="G8974" s="16" cm="1">
        <f t="array" ref="G8974">SUM(G8972:G8973)</f>
        <v>0</v>
      </c>
      <c r="H8974" s="16" cm="1">
        <f t="array" ref="H8974">SUM(H8972:H8973)</f>
        <v>0</v>
      </c>
      <c r="I8974" s="16" cm="1">
        <f t="array" ref="I8974">SUM(I8972:I8973)</f>
        <v>0</v>
      </c>
    </row>
    <row r="8975" ht="21.25" customHeight="1">
      <c r="A8975" s="10">
        <v>45792</v>
      </c>
      <c r="B8975" t="s" s="11">
        <v>5</v>
      </c>
      <c r="C8975" t="s" s="12">
        <v>952</v>
      </c>
      <c r="D8975" s="17"/>
      <c r="E8975" s="17">
        <v>10000</v>
      </c>
      <c r="F8975" s="18"/>
      <c r="G8975" s="18"/>
      <c r="H8975" s="18"/>
      <c r="I8975" s="18"/>
    </row>
    <row r="8976" ht="21.25" customHeight="1">
      <c r="A8976" s="10">
        <v>45792</v>
      </c>
      <c r="B8976" t="s" s="11">
        <v>788</v>
      </c>
      <c r="C8976" t="s" s="12">
        <v>952</v>
      </c>
      <c r="D8976" s="13">
        <v>10000</v>
      </c>
      <c r="E8976" s="13"/>
      <c r="F8976" s="14"/>
      <c r="G8976" s="14"/>
      <c r="H8976" s="14"/>
      <c r="I8976" s="14"/>
    </row>
    <row r="8977" ht="20.7" customHeight="1">
      <c r="A8977" s="10">
        <v>45792</v>
      </c>
      <c r="B8977" t="s" s="11">
        <v>8</v>
      </c>
      <c r="C8977" t="s" s="12">
        <v>8</v>
      </c>
      <c r="D8977" s="15" cm="1">
        <f t="array" ref="D8977">SUM(D8975:D8976)</f>
        <v>10000</v>
      </c>
      <c r="E8977" s="15" cm="1">
        <f t="array" ref="E8977">SUM(E8975:E8976)</f>
        <v>10000</v>
      </c>
      <c r="F8977" s="16" cm="1">
        <f t="array" ref="F8977">SUM(F8975:F8976)</f>
        <v>0</v>
      </c>
      <c r="G8977" s="16" cm="1">
        <f t="array" ref="G8977">SUM(G8975:G8976)</f>
        <v>0</v>
      </c>
      <c r="H8977" s="16" cm="1">
        <f t="array" ref="H8977">SUM(H8975:H8976)</f>
        <v>0</v>
      </c>
      <c r="I8977" s="16" cm="1">
        <f t="array" ref="I8977">SUM(I8975:I8976)</f>
        <v>0</v>
      </c>
    </row>
    <row r="8978" ht="21.25" customHeight="1">
      <c r="A8978" s="10">
        <v>45792</v>
      </c>
      <c r="B8978" t="s" s="11">
        <v>5</v>
      </c>
      <c r="C8978" t="s" s="12">
        <v>986</v>
      </c>
      <c r="D8978" s="17"/>
      <c r="E8978" s="17">
        <v>10000</v>
      </c>
      <c r="F8978" s="18"/>
      <c r="G8978" s="18"/>
      <c r="H8978" s="18"/>
      <c r="I8978" s="18"/>
    </row>
    <row r="8979" ht="21.25" customHeight="1">
      <c r="A8979" s="10">
        <v>45792</v>
      </c>
      <c r="B8979" t="s" s="11">
        <v>790</v>
      </c>
      <c r="C8979" t="s" s="12">
        <v>986</v>
      </c>
      <c r="D8979" s="13">
        <v>10000</v>
      </c>
      <c r="E8979" s="13"/>
      <c r="F8979" s="14"/>
      <c r="G8979" s="14"/>
      <c r="H8979" s="14"/>
      <c r="I8979" s="14"/>
    </row>
    <row r="8980" ht="20.7" customHeight="1">
      <c r="A8980" s="10">
        <v>45792</v>
      </c>
      <c r="B8980" t="s" s="11">
        <v>8</v>
      </c>
      <c r="C8980" t="s" s="12">
        <v>8</v>
      </c>
      <c r="D8980" s="15" cm="1">
        <f t="array" ref="D8980">SUM(D8978:D8979)</f>
        <v>10000</v>
      </c>
      <c r="E8980" s="15" cm="1">
        <f t="array" ref="E8980">SUM(E8978:E8979)</f>
        <v>10000</v>
      </c>
      <c r="F8980" s="16" cm="1">
        <f t="array" ref="F8980">SUM(F8978:F8979)</f>
        <v>0</v>
      </c>
      <c r="G8980" s="16" cm="1">
        <f t="array" ref="G8980">SUM(G8978:G8979)</f>
        <v>0</v>
      </c>
      <c r="H8980" s="16" cm="1">
        <f t="array" ref="H8980">SUM(H8978:H8979)</f>
        <v>0</v>
      </c>
      <c r="I8980" s="16" cm="1">
        <f t="array" ref="I8980">SUM(I8978:I8979)</f>
        <v>0</v>
      </c>
    </row>
    <row r="8981" ht="21.25" customHeight="1">
      <c r="A8981" s="10">
        <v>45792</v>
      </c>
      <c r="B8981" t="s" s="11">
        <v>5</v>
      </c>
      <c r="C8981" t="s" s="12">
        <v>1125</v>
      </c>
      <c r="D8981" s="17"/>
      <c r="E8981" s="17">
        <v>10000</v>
      </c>
      <c r="F8981" s="18"/>
      <c r="G8981" s="18"/>
      <c r="H8981" s="18"/>
      <c r="I8981" s="18"/>
    </row>
    <row r="8982" ht="21.25" customHeight="1">
      <c r="A8982" s="10">
        <v>45792</v>
      </c>
      <c r="B8982" t="s" s="11">
        <v>1126</v>
      </c>
      <c r="C8982" t="s" s="12">
        <v>1125</v>
      </c>
      <c r="D8982" s="13">
        <v>10000</v>
      </c>
      <c r="E8982" s="13"/>
      <c r="F8982" s="14"/>
      <c r="G8982" s="14"/>
      <c r="H8982" s="14"/>
      <c r="I8982" s="14"/>
    </row>
    <row r="8983" ht="20.7" customHeight="1">
      <c r="A8983" s="10">
        <v>45792</v>
      </c>
      <c r="B8983" t="s" s="11">
        <v>8</v>
      </c>
      <c r="C8983" t="s" s="12">
        <v>8</v>
      </c>
      <c r="D8983" s="15" cm="1">
        <f t="array" ref="D8983">SUM(D8981:D8982)</f>
        <v>10000</v>
      </c>
      <c r="E8983" s="15" cm="1">
        <f t="array" ref="E8983">SUM(E8981:E8982)</f>
        <v>10000</v>
      </c>
      <c r="F8983" s="16" cm="1">
        <f t="array" ref="F8983">SUM(F8981:F8982)</f>
        <v>0</v>
      </c>
      <c r="G8983" s="16" cm="1">
        <f t="array" ref="G8983">SUM(G8981:G8982)</f>
        <v>0</v>
      </c>
      <c r="H8983" s="16" cm="1">
        <f t="array" ref="H8983">SUM(H8981:H8982)</f>
        <v>0</v>
      </c>
      <c r="I8983" s="16" cm="1">
        <f t="array" ref="I8983">SUM(I8981:I8982)</f>
        <v>0</v>
      </c>
    </row>
    <row r="8984" ht="20.35" customHeight="1">
      <c r="A8984" s="10">
        <v>45792</v>
      </c>
      <c r="B8984" t="s" s="11">
        <v>28</v>
      </c>
      <c r="C8984" t="s" s="12">
        <v>1201</v>
      </c>
      <c r="D8984" s="17"/>
      <c r="E8984" s="17">
        <v>19590</v>
      </c>
      <c r="F8984" s="18"/>
      <c r="G8984" s="18"/>
      <c r="H8984" s="18"/>
      <c r="I8984" s="18"/>
    </row>
    <row r="8985" ht="20.35" customHeight="1">
      <c r="A8985" s="10">
        <v>45792</v>
      </c>
      <c r="B8985" t="s" s="11">
        <v>84</v>
      </c>
      <c r="C8985" t="s" s="12">
        <v>1201</v>
      </c>
      <c r="D8985" s="13">
        <v>19590</v>
      </c>
      <c r="E8985" s="13"/>
      <c r="F8985" s="14"/>
      <c r="G8985" s="14"/>
      <c r="H8985" s="14"/>
      <c r="I8985" s="14"/>
    </row>
    <row r="8986" ht="20.7" customHeight="1">
      <c r="A8986" s="10">
        <v>45792</v>
      </c>
      <c r="B8986" t="s" s="11">
        <v>8</v>
      </c>
      <c r="C8986" t="s" s="12">
        <v>8</v>
      </c>
      <c r="D8986" s="15" cm="1">
        <f t="array" ref="D8986">SUM(D8984:D8985)</f>
        <v>19590</v>
      </c>
      <c r="E8986" s="15" cm="1">
        <f t="array" ref="E8986">SUM(E8984:E8985)</f>
        <v>19590</v>
      </c>
      <c r="F8986" s="16" cm="1">
        <f t="array" ref="F8986">SUM(F8984:F8985)</f>
        <v>0</v>
      </c>
      <c r="G8986" s="16" cm="1">
        <f t="array" ref="G8986">SUM(G8984:G8985)</f>
        <v>0</v>
      </c>
      <c r="H8986" s="16" cm="1">
        <f t="array" ref="H8986">SUM(H8984:H8985)</f>
        <v>0</v>
      </c>
      <c r="I8986" s="16" cm="1">
        <f t="array" ref="I8986">SUM(I8984:I8985)</f>
        <v>0</v>
      </c>
    </row>
    <row r="8987" ht="20.35" customHeight="1">
      <c r="A8987" s="10">
        <v>45792</v>
      </c>
      <c r="B8987" t="s" s="11">
        <v>5</v>
      </c>
      <c r="C8987" t="s" s="12">
        <v>439</v>
      </c>
      <c r="D8987" s="17"/>
      <c r="E8987" s="17">
        <v>10000</v>
      </c>
      <c r="F8987" s="18"/>
      <c r="G8987" s="18"/>
      <c r="H8987" s="18"/>
      <c r="I8987" s="18"/>
    </row>
    <row r="8988" ht="20.35" customHeight="1">
      <c r="A8988" s="10">
        <v>45792</v>
      </c>
      <c r="B8988" t="s" s="11">
        <v>121</v>
      </c>
      <c r="C8988" t="s" s="12">
        <v>439</v>
      </c>
      <c r="D8988" s="13">
        <v>10000</v>
      </c>
      <c r="E8988" s="13"/>
      <c r="F8988" s="14"/>
      <c r="G8988" s="14"/>
      <c r="H8988" s="14"/>
      <c r="I8988" s="14"/>
    </row>
    <row r="8989" ht="20.7" customHeight="1">
      <c r="A8989" s="10">
        <v>45792</v>
      </c>
      <c r="B8989" t="s" s="11">
        <v>8</v>
      </c>
      <c r="C8989" t="s" s="12">
        <v>8</v>
      </c>
      <c r="D8989" s="15" cm="1">
        <f t="array" ref="D8989">SUM(D8987:D8988)</f>
        <v>10000</v>
      </c>
      <c r="E8989" s="15" cm="1">
        <f t="array" ref="E8989">SUM(E8987:E8988)</f>
        <v>10000</v>
      </c>
      <c r="F8989" s="16" cm="1">
        <f t="array" ref="F8989">SUM(F8987:F8988)</f>
        <v>0</v>
      </c>
      <c r="G8989" s="16" cm="1">
        <f t="array" ref="G8989">SUM(G8987:G8988)</f>
        <v>0</v>
      </c>
      <c r="H8989" s="16" cm="1">
        <f t="array" ref="H8989">SUM(H8987:H8988)</f>
        <v>0</v>
      </c>
      <c r="I8989" s="16" cm="1">
        <f t="array" ref="I8989">SUM(I8987:I8988)</f>
        <v>0</v>
      </c>
    </row>
    <row r="8990" ht="21.25" customHeight="1">
      <c r="A8990" s="10">
        <v>45792</v>
      </c>
      <c r="B8990" t="s" s="11">
        <v>21</v>
      </c>
      <c r="C8990" t="s" s="12">
        <v>940</v>
      </c>
      <c r="D8990" s="17"/>
      <c r="E8990" s="17">
        <v>1500</v>
      </c>
      <c r="F8990" s="18"/>
      <c r="G8990" s="18"/>
      <c r="H8990" s="18"/>
      <c r="I8990" s="18"/>
    </row>
    <row r="8991" ht="21.25" customHeight="1">
      <c r="A8991" s="10">
        <v>45792</v>
      </c>
      <c r="B8991" t="s" s="11">
        <v>16</v>
      </c>
      <c r="C8991" t="s" s="12">
        <v>940</v>
      </c>
      <c r="D8991" s="13">
        <v>1500</v>
      </c>
      <c r="E8991" s="13"/>
      <c r="F8991" s="14"/>
      <c r="G8991" s="14"/>
      <c r="H8991" s="14"/>
      <c r="I8991" s="14"/>
    </row>
    <row r="8992" ht="20.7" customHeight="1">
      <c r="A8992" s="10">
        <v>45792</v>
      </c>
      <c r="B8992" t="s" s="11">
        <v>8</v>
      </c>
      <c r="C8992" t="s" s="12">
        <v>8</v>
      </c>
      <c r="D8992" s="15" cm="1">
        <f t="array" ref="D8992">SUM(D8990:D8991)</f>
        <v>1500</v>
      </c>
      <c r="E8992" s="15" cm="1">
        <f t="array" ref="E8992">SUM(E8990:E8991)</f>
        <v>1500</v>
      </c>
      <c r="F8992" s="16" cm="1">
        <f t="array" ref="F8992">SUM(F8990:F8991)</f>
        <v>0</v>
      </c>
      <c r="G8992" s="16" cm="1">
        <f t="array" ref="G8992">SUM(G8990:G8991)</f>
        <v>0</v>
      </c>
      <c r="H8992" s="16" cm="1">
        <f t="array" ref="H8992">SUM(H8990:H8991)</f>
        <v>0</v>
      </c>
      <c r="I8992" s="16" cm="1">
        <f t="array" ref="I8992">SUM(I8990:I8991)</f>
        <v>0</v>
      </c>
    </row>
    <row r="8993" ht="20.65" customHeight="1">
      <c r="A8993" s="10">
        <v>45793</v>
      </c>
      <c r="B8993" t="s" s="11">
        <v>814</v>
      </c>
      <c r="C8993" t="s" s="12">
        <v>820</v>
      </c>
      <c r="D8993" s="17">
        <v>64</v>
      </c>
      <c r="E8993" s="17"/>
      <c r="F8993" s="18"/>
      <c r="G8993" s="18"/>
      <c r="H8993" s="18"/>
      <c r="I8993" s="18"/>
    </row>
    <row r="8994" ht="20.65" customHeight="1">
      <c r="A8994" s="10">
        <v>45793</v>
      </c>
      <c r="B8994" t="s" s="11">
        <v>7</v>
      </c>
      <c r="C8994" t="s" s="12">
        <v>820</v>
      </c>
      <c r="D8994" s="13"/>
      <c r="E8994" s="13">
        <v>64</v>
      </c>
      <c r="F8994" s="14"/>
      <c r="G8994" s="14"/>
      <c r="H8994" s="14"/>
      <c r="I8994" s="14"/>
    </row>
    <row r="8995" ht="20.7" customHeight="1">
      <c r="A8995" s="10">
        <v>45793</v>
      </c>
      <c r="B8995" t="s" s="11">
        <v>8</v>
      </c>
      <c r="C8995" t="s" s="12">
        <v>8</v>
      </c>
      <c r="D8995" s="15" cm="1">
        <f t="array" ref="D8995">SUM(D8993:D8994)</f>
        <v>64</v>
      </c>
      <c r="E8995" s="15" cm="1">
        <f t="array" ref="E8995">SUM(E8993:E8994)</f>
        <v>64</v>
      </c>
      <c r="F8995" s="16" cm="1">
        <f t="array" ref="F8995">SUM(F8993:F8994)</f>
        <v>0</v>
      </c>
      <c r="G8995" s="16" cm="1">
        <f t="array" ref="G8995">SUM(G8993:G8994)</f>
        <v>0</v>
      </c>
      <c r="H8995" s="16" cm="1">
        <f t="array" ref="H8995">SUM(H8993:H8994)</f>
        <v>0</v>
      </c>
      <c r="I8995" s="16" cm="1">
        <f t="array" ref="I8995">SUM(I8993:I8994)</f>
        <v>0</v>
      </c>
    </row>
    <row r="8996" ht="20.35" customHeight="1">
      <c r="A8996" s="10">
        <v>45793</v>
      </c>
      <c r="B8996" t="s" s="11">
        <v>121</v>
      </c>
      <c r="C8996" t="s" s="12">
        <v>1202</v>
      </c>
      <c r="D8996" s="17"/>
      <c r="E8996" s="17">
        <v>6500</v>
      </c>
      <c r="F8996" s="18"/>
      <c r="G8996" s="18"/>
      <c r="H8996" s="18"/>
      <c r="I8996" s="18"/>
    </row>
    <row r="8997" ht="20.35" customHeight="1">
      <c r="A8997" s="10">
        <v>45793</v>
      </c>
      <c r="B8997" t="s" s="11">
        <v>10</v>
      </c>
      <c r="C8997" t="s" s="12">
        <v>1202</v>
      </c>
      <c r="D8997" s="13">
        <v>6500</v>
      </c>
      <c r="E8997" s="13"/>
      <c r="F8997" s="14"/>
      <c r="G8997" s="14"/>
      <c r="H8997" s="14"/>
      <c r="I8997" s="14"/>
    </row>
    <row r="8998" ht="20.7" customHeight="1">
      <c r="A8998" s="10">
        <v>45793</v>
      </c>
      <c r="B8998" t="s" s="11">
        <v>8</v>
      </c>
      <c r="C8998" t="s" s="12">
        <v>8</v>
      </c>
      <c r="D8998" s="15" cm="1">
        <f t="array" ref="D8998">SUM(D8996:D8997)</f>
        <v>6500</v>
      </c>
      <c r="E8998" s="15" cm="1">
        <f t="array" ref="E8998">SUM(E8996:E8997)</f>
        <v>6500</v>
      </c>
      <c r="F8998" s="16" cm="1">
        <f t="array" ref="F8998">SUM(F8996:F8997)</f>
        <v>0</v>
      </c>
      <c r="G8998" s="16" cm="1">
        <f t="array" ref="G8998">SUM(G8996:G8997)</f>
        <v>0</v>
      </c>
      <c r="H8998" s="16" cm="1">
        <f t="array" ref="H8998">SUM(H8996:H8997)</f>
        <v>0</v>
      </c>
      <c r="I8998" s="16" cm="1">
        <f t="array" ref="I8998">SUM(I8996:I8997)</f>
        <v>0</v>
      </c>
    </row>
    <row r="8999" ht="20.35" customHeight="1">
      <c r="A8999" s="10">
        <v>45793</v>
      </c>
      <c r="B8999" t="s" s="11">
        <v>5</v>
      </c>
      <c r="C8999" t="s" s="12">
        <v>439</v>
      </c>
      <c r="D8999" s="17"/>
      <c r="E8999" s="17">
        <v>8500</v>
      </c>
      <c r="F8999" s="18"/>
      <c r="G8999" s="18"/>
      <c r="H8999" s="18"/>
      <c r="I8999" s="18"/>
    </row>
    <row r="9000" ht="20.35" customHeight="1">
      <c r="A9000" s="10">
        <v>45793</v>
      </c>
      <c r="B9000" t="s" s="11">
        <v>121</v>
      </c>
      <c r="C9000" t="s" s="12">
        <v>439</v>
      </c>
      <c r="D9000" s="13">
        <v>8500</v>
      </c>
      <c r="E9000" s="13"/>
      <c r="F9000" s="14"/>
      <c r="G9000" s="14"/>
      <c r="H9000" s="14"/>
      <c r="I9000" s="14"/>
    </row>
    <row r="9001" ht="20.7" customHeight="1">
      <c r="A9001" s="10">
        <v>45793</v>
      </c>
      <c r="B9001" t="s" s="11">
        <v>8</v>
      </c>
      <c r="C9001" t="s" s="12">
        <v>8</v>
      </c>
      <c r="D9001" s="15" cm="1">
        <f t="array" ref="D9001">SUM(D8999:D9000)</f>
        <v>8500</v>
      </c>
      <c r="E9001" s="15" cm="1">
        <f t="array" ref="E9001">SUM(E8999:E9000)</f>
        <v>8500</v>
      </c>
      <c r="F9001" s="16" cm="1">
        <f t="array" ref="F9001">SUM(F8999:F9000)</f>
        <v>0</v>
      </c>
      <c r="G9001" s="16" cm="1">
        <f t="array" ref="G9001">SUM(G8999:G9000)</f>
        <v>0</v>
      </c>
      <c r="H9001" s="16" cm="1">
        <f t="array" ref="H9001">SUM(H8999:H9000)</f>
        <v>0</v>
      </c>
      <c r="I9001" s="16" cm="1">
        <f t="array" ref="I9001">SUM(I8999:I9000)</f>
        <v>0</v>
      </c>
    </row>
    <row r="9002" ht="20.35" customHeight="1">
      <c r="A9002" s="10">
        <v>45793</v>
      </c>
      <c r="B9002" t="s" s="11">
        <v>121</v>
      </c>
      <c r="C9002" t="s" s="12">
        <v>1203</v>
      </c>
      <c r="D9002" s="17"/>
      <c r="E9002" s="17">
        <v>15000</v>
      </c>
      <c r="F9002" s="18"/>
      <c r="G9002" s="18"/>
      <c r="H9002" s="18"/>
      <c r="I9002" s="18"/>
    </row>
    <row r="9003" ht="20.35" customHeight="1">
      <c r="A9003" s="10">
        <v>45793</v>
      </c>
      <c r="B9003" t="s" s="11">
        <v>10</v>
      </c>
      <c r="C9003" t="s" s="12">
        <v>1203</v>
      </c>
      <c r="D9003" s="13">
        <v>15000</v>
      </c>
      <c r="E9003" s="13"/>
      <c r="F9003" s="14"/>
      <c r="G9003" s="14"/>
      <c r="H9003" s="14"/>
      <c r="I9003" s="14"/>
    </row>
    <row r="9004" ht="20.7" customHeight="1">
      <c r="A9004" s="10">
        <v>45793</v>
      </c>
      <c r="B9004" t="s" s="11">
        <v>8</v>
      </c>
      <c r="C9004" t="s" s="12">
        <v>8</v>
      </c>
      <c r="D9004" s="15" cm="1">
        <f t="array" ref="D9004">SUM(D9002:D9003)</f>
        <v>15000</v>
      </c>
      <c r="E9004" s="15" cm="1">
        <f t="array" ref="E9004">SUM(E9002:E9003)</f>
        <v>15000</v>
      </c>
      <c r="F9004" s="16" cm="1">
        <f t="array" ref="F9004">SUM(F9002:F9003)</f>
        <v>0</v>
      </c>
      <c r="G9004" s="16" cm="1">
        <f t="array" ref="G9004">SUM(G9002:G9003)</f>
        <v>0</v>
      </c>
      <c r="H9004" s="16" cm="1">
        <f t="array" ref="H9004">SUM(H9002:H9003)</f>
        <v>0</v>
      </c>
      <c r="I9004" s="16" cm="1">
        <f t="array" ref="I9004">SUM(I9002:I9003)</f>
        <v>0</v>
      </c>
    </row>
    <row r="9005" ht="20.35" customHeight="1">
      <c r="A9005" s="10">
        <v>45793</v>
      </c>
      <c r="B9005" t="s" s="11">
        <v>121</v>
      </c>
      <c r="C9005" t="s" s="12">
        <v>17</v>
      </c>
      <c r="D9005" s="17">
        <v>75</v>
      </c>
      <c r="E9005" s="17"/>
      <c r="F9005" s="18"/>
      <c r="G9005" s="18"/>
      <c r="H9005" s="18"/>
      <c r="I9005" s="18"/>
    </row>
    <row r="9006" ht="20.35" customHeight="1">
      <c r="A9006" s="10">
        <v>45793</v>
      </c>
      <c r="B9006" t="s" s="11">
        <v>18</v>
      </c>
      <c r="C9006" t="s" s="12">
        <v>17</v>
      </c>
      <c r="D9006" s="13"/>
      <c r="E9006" s="13">
        <v>75</v>
      </c>
      <c r="F9006" s="14"/>
      <c r="G9006" s="14"/>
      <c r="H9006" s="14"/>
      <c r="I9006" s="14"/>
    </row>
    <row r="9007" ht="20.7" customHeight="1">
      <c r="A9007" s="10">
        <v>45793</v>
      </c>
      <c r="B9007" t="s" s="11">
        <v>8</v>
      </c>
      <c r="C9007" t="s" s="12">
        <v>8</v>
      </c>
      <c r="D9007" s="15" cm="1">
        <f t="array" ref="D9007">SUM(D9005:D9006)</f>
        <v>75</v>
      </c>
      <c r="E9007" s="15" cm="1">
        <f t="array" ref="E9007">SUM(E9005:E9006)</f>
        <v>75</v>
      </c>
      <c r="F9007" s="16" cm="1">
        <f t="array" ref="F9007">SUM(F9005:F9006)</f>
        <v>0</v>
      </c>
      <c r="G9007" s="16" cm="1">
        <f t="array" ref="G9007">SUM(G9005:G9006)</f>
        <v>0</v>
      </c>
      <c r="H9007" s="16" cm="1">
        <f t="array" ref="H9007">SUM(H9005:H9006)</f>
        <v>0</v>
      </c>
      <c r="I9007" s="16" cm="1">
        <f t="array" ref="I9007">SUM(I9005:I9006)</f>
        <v>0</v>
      </c>
    </row>
    <row r="9008" ht="20.35" customHeight="1">
      <c r="A9008" s="10">
        <v>45793</v>
      </c>
      <c r="B9008" t="s" s="11">
        <v>5</v>
      </c>
      <c r="C9008" t="s" s="12">
        <v>439</v>
      </c>
      <c r="D9008" s="17"/>
      <c r="E9008" s="17">
        <v>50000</v>
      </c>
      <c r="F9008" s="18"/>
      <c r="G9008" s="18"/>
      <c r="H9008" s="18"/>
      <c r="I9008" s="18"/>
    </row>
    <row r="9009" ht="20.35" customHeight="1">
      <c r="A9009" s="10">
        <v>45793</v>
      </c>
      <c r="B9009" t="s" s="11">
        <v>121</v>
      </c>
      <c r="C9009" t="s" s="12">
        <v>439</v>
      </c>
      <c r="D9009" s="13">
        <v>50000</v>
      </c>
      <c r="E9009" s="13"/>
      <c r="F9009" s="14"/>
      <c r="G9009" s="14"/>
      <c r="H9009" s="14"/>
      <c r="I9009" s="14"/>
    </row>
    <row r="9010" ht="20.7" customHeight="1">
      <c r="A9010" s="10">
        <v>45793</v>
      </c>
      <c r="B9010" t="s" s="11">
        <v>8</v>
      </c>
      <c r="C9010" t="s" s="12">
        <v>8</v>
      </c>
      <c r="D9010" s="15" cm="1">
        <f t="array" ref="D9010">SUM(D9008:D9009)</f>
        <v>50000</v>
      </c>
      <c r="E9010" s="15" cm="1">
        <f t="array" ref="E9010">SUM(E9008:E9009)</f>
        <v>50000</v>
      </c>
      <c r="F9010" s="16" cm="1">
        <f t="array" ref="F9010">SUM(F9008:F9009)</f>
        <v>0</v>
      </c>
      <c r="G9010" s="16" cm="1">
        <f t="array" ref="G9010">SUM(G9008:G9009)</f>
        <v>0</v>
      </c>
      <c r="H9010" s="16" cm="1">
        <f t="array" ref="H9010">SUM(H9008:H9009)</f>
        <v>0</v>
      </c>
      <c r="I9010" s="16" cm="1">
        <f t="array" ref="I9010">SUM(I9008:I9009)</f>
        <v>0</v>
      </c>
    </row>
    <row r="9011" ht="20.35" customHeight="1">
      <c r="A9011" s="10">
        <v>45793</v>
      </c>
      <c r="B9011" t="s" s="11">
        <v>5</v>
      </c>
      <c r="C9011" t="s" s="12">
        <v>1204</v>
      </c>
      <c r="D9011" s="17"/>
      <c r="E9011" s="17">
        <v>35500</v>
      </c>
      <c r="F9011" s="18"/>
      <c r="G9011" s="18"/>
      <c r="H9011" s="18"/>
      <c r="I9011" s="18"/>
    </row>
    <row r="9012" ht="20.05" customHeight="1">
      <c r="A9012" s="10">
        <v>45793</v>
      </c>
      <c r="B9012" t="s" s="11">
        <v>10</v>
      </c>
      <c r="C9012" t="s" s="12">
        <v>1204</v>
      </c>
      <c r="D9012" s="19">
        <v>17750</v>
      </c>
      <c r="E9012" s="19"/>
      <c r="F9012" s="20"/>
      <c r="G9012" s="20"/>
      <c r="H9012" s="20"/>
      <c r="I9012" s="20"/>
    </row>
    <row r="9013" ht="20.35" customHeight="1">
      <c r="A9013" s="10">
        <v>45793</v>
      </c>
      <c r="B9013" t="s" s="11">
        <v>12</v>
      </c>
      <c r="C9013" t="s" s="12">
        <v>1204</v>
      </c>
      <c r="D9013" s="13">
        <v>17750</v>
      </c>
      <c r="E9013" s="13"/>
      <c r="F9013" s="14"/>
      <c r="G9013" s="14"/>
      <c r="H9013" s="14"/>
      <c r="I9013" s="14"/>
    </row>
    <row r="9014" ht="20.7" customHeight="1">
      <c r="A9014" s="10">
        <v>45793</v>
      </c>
      <c r="B9014" t="s" s="11">
        <v>8</v>
      </c>
      <c r="C9014" t="s" s="12">
        <v>8</v>
      </c>
      <c r="D9014" s="15" cm="1">
        <f t="array" ref="D9014">SUM(D9011:D9013)</f>
        <v>35500</v>
      </c>
      <c r="E9014" s="15" cm="1">
        <f t="array" ref="E9014">SUM(E9011:E9013)</f>
        <v>35500</v>
      </c>
      <c r="F9014" s="16" cm="1">
        <f t="array" ref="F9014">SUM(F9011:F9013)</f>
        <v>0</v>
      </c>
      <c r="G9014" s="16" cm="1">
        <f t="array" ref="G9014">SUM(G9011:G9013)</f>
        <v>0</v>
      </c>
      <c r="H9014" s="16" cm="1">
        <f t="array" ref="H9014">SUM(H9011:H9013)</f>
        <v>0</v>
      </c>
      <c r="I9014" s="16" cm="1">
        <f t="array" ref="I9014">SUM(I9011:I9013)</f>
        <v>0</v>
      </c>
    </row>
    <row r="9015" ht="20.35" customHeight="1">
      <c r="A9015" s="10">
        <v>45793</v>
      </c>
      <c r="B9015" t="s" s="11">
        <v>121</v>
      </c>
      <c r="C9015" t="s" s="12">
        <v>1205</v>
      </c>
      <c r="D9015" s="17"/>
      <c r="E9015" s="17">
        <v>10000</v>
      </c>
      <c r="F9015" s="18"/>
      <c r="G9015" s="18"/>
      <c r="H9015" s="18"/>
      <c r="I9015" s="18"/>
    </row>
    <row r="9016" ht="20.35" customHeight="1">
      <c r="A9016" s="10">
        <v>45793</v>
      </c>
      <c r="B9016" t="s" s="11">
        <v>968</v>
      </c>
      <c r="C9016" t="s" s="12">
        <v>1205</v>
      </c>
      <c r="D9016" s="13">
        <v>10000</v>
      </c>
      <c r="E9016" s="13"/>
      <c r="F9016" s="14"/>
      <c r="G9016" s="14"/>
      <c r="H9016" s="14"/>
      <c r="I9016" s="14"/>
    </row>
    <row r="9017" ht="20.7" customHeight="1">
      <c r="A9017" s="10">
        <v>45793</v>
      </c>
      <c r="B9017" t="s" s="11">
        <v>8</v>
      </c>
      <c r="C9017" t="s" s="12">
        <v>8</v>
      </c>
      <c r="D9017" s="15" cm="1">
        <f t="array" ref="D9017">SUM(D9015:D9016)</f>
        <v>10000</v>
      </c>
      <c r="E9017" s="15" cm="1">
        <f t="array" ref="E9017">SUM(E9015:E9016)</f>
        <v>10000</v>
      </c>
      <c r="F9017" s="16" cm="1">
        <f t="array" ref="F9017">SUM(F9015:F9016)</f>
        <v>0</v>
      </c>
      <c r="G9017" s="16" cm="1">
        <f t="array" ref="G9017">SUM(G9015:G9016)</f>
        <v>0</v>
      </c>
      <c r="H9017" s="16" cm="1">
        <f t="array" ref="H9017">SUM(H9015:H9016)</f>
        <v>0</v>
      </c>
      <c r="I9017" s="16" cm="1">
        <f t="array" ref="I9017">SUM(I9015:I9016)</f>
        <v>0</v>
      </c>
    </row>
    <row r="9018" ht="20.35" customHeight="1">
      <c r="A9018" s="10">
        <v>45793</v>
      </c>
      <c r="B9018" t="s" s="11">
        <v>968</v>
      </c>
      <c r="C9018" t="s" s="12">
        <v>1205</v>
      </c>
      <c r="D9018" s="17"/>
      <c r="E9018" s="17">
        <v>4000</v>
      </c>
      <c r="F9018" s="18"/>
      <c r="G9018" s="18"/>
      <c r="H9018" s="18"/>
      <c r="I9018" s="18"/>
    </row>
    <row r="9019" ht="20.35" customHeight="1">
      <c r="A9019" s="10">
        <v>45793</v>
      </c>
      <c r="B9019" t="s" s="11">
        <v>10</v>
      </c>
      <c r="C9019" t="s" s="12">
        <v>1205</v>
      </c>
      <c r="D9019" s="13">
        <v>4000</v>
      </c>
      <c r="E9019" s="13"/>
      <c r="F9019" s="14"/>
      <c r="G9019" s="14"/>
      <c r="H9019" s="14"/>
      <c r="I9019" s="14"/>
    </row>
    <row r="9020" ht="20.7" customHeight="1">
      <c r="A9020" s="10">
        <v>45793</v>
      </c>
      <c r="B9020" t="s" s="11">
        <v>8</v>
      </c>
      <c r="C9020" t="s" s="12">
        <v>8</v>
      </c>
      <c r="D9020" s="15" cm="1">
        <f t="array" ref="D9020">SUM(D9018:D9019)</f>
        <v>4000</v>
      </c>
      <c r="E9020" s="15" cm="1">
        <f t="array" ref="E9020">SUM(E9018:E9019)</f>
        <v>4000</v>
      </c>
      <c r="F9020" s="16" cm="1">
        <f t="array" ref="F9020">SUM(F9018:F9019)</f>
        <v>0</v>
      </c>
      <c r="G9020" s="16" cm="1">
        <f t="array" ref="G9020">SUM(G9018:G9019)</f>
        <v>0</v>
      </c>
      <c r="H9020" s="16" cm="1">
        <f t="array" ref="H9020">SUM(H9018:H9019)</f>
        <v>0</v>
      </c>
      <c r="I9020" s="16" cm="1">
        <f t="array" ref="I9020">SUM(I9018:I9019)</f>
        <v>0</v>
      </c>
    </row>
    <row r="9021" ht="21.25" customHeight="1">
      <c r="A9021" s="10">
        <v>45793</v>
      </c>
      <c r="B9021" t="s" s="11">
        <v>21</v>
      </c>
      <c r="C9021" t="s" s="12">
        <v>1206</v>
      </c>
      <c r="D9021" s="17"/>
      <c r="E9021" s="17">
        <v>2700</v>
      </c>
      <c r="F9021" s="18"/>
      <c r="G9021" s="18"/>
      <c r="H9021" s="18"/>
      <c r="I9021" s="18"/>
    </row>
    <row r="9022" ht="21.25" customHeight="1">
      <c r="A9022" s="10">
        <v>45793</v>
      </c>
      <c r="B9022" t="s" s="11">
        <v>16</v>
      </c>
      <c r="C9022" t="s" s="12">
        <v>1206</v>
      </c>
      <c r="D9022" s="13">
        <v>2700</v>
      </c>
      <c r="E9022" s="13"/>
      <c r="F9022" s="14"/>
      <c r="G9022" s="14"/>
      <c r="H9022" s="14"/>
      <c r="I9022" s="14"/>
    </row>
    <row r="9023" ht="20.7" customHeight="1">
      <c r="A9023" s="10">
        <v>45793</v>
      </c>
      <c r="B9023" t="s" s="11">
        <v>8</v>
      </c>
      <c r="C9023" t="s" s="12">
        <v>8</v>
      </c>
      <c r="D9023" s="15" cm="1">
        <f t="array" ref="D9023">SUM(D9021:D9022)</f>
        <v>2700</v>
      </c>
      <c r="E9023" s="15" cm="1">
        <f t="array" ref="E9023">SUM(E9021:E9022)</f>
        <v>2700</v>
      </c>
      <c r="F9023" s="16" cm="1">
        <f t="array" ref="F9023">SUM(F9021:F9022)</f>
        <v>0</v>
      </c>
      <c r="G9023" s="16" cm="1">
        <f t="array" ref="G9023">SUM(G9021:G9022)</f>
        <v>0</v>
      </c>
      <c r="H9023" s="16" cm="1">
        <f t="array" ref="H9023">SUM(H9021:H9022)</f>
        <v>0</v>
      </c>
      <c r="I9023" s="16" cm="1">
        <f t="array" ref="I9023">SUM(I9021:I9022)</f>
        <v>0</v>
      </c>
    </row>
    <row r="9024" ht="20.65" customHeight="1">
      <c r="A9024" s="10">
        <v>45794</v>
      </c>
      <c r="B9024" t="s" s="11">
        <v>814</v>
      </c>
      <c r="C9024" t="s" s="12">
        <v>820</v>
      </c>
      <c r="D9024" s="17">
        <v>64</v>
      </c>
      <c r="E9024" s="17"/>
      <c r="F9024" s="18"/>
      <c r="G9024" s="18"/>
      <c r="H9024" s="18"/>
      <c r="I9024" s="18"/>
    </row>
    <row r="9025" ht="20.65" customHeight="1">
      <c r="A9025" s="10">
        <v>45794</v>
      </c>
      <c r="B9025" t="s" s="11">
        <v>7</v>
      </c>
      <c r="C9025" t="s" s="12">
        <v>820</v>
      </c>
      <c r="D9025" s="13"/>
      <c r="E9025" s="13">
        <v>64</v>
      </c>
      <c r="F9025" s="14"/>
      <c r="G9025" s="14"/>
      <c r="H9025" s="14"/>
      <c r="I9025" s="14"/>
    </row>
    <row r="9026" ht="20.7" customHeight="1">
      <c r="A9026" s="10">
        <v>45794</v>
      </c>
      <c r="B9026" t="s" s="11">
        <v>8</v>
      </c>
      <c r="C9026" t="s" s="12">
        <v>8</v>
      </c>
      <c r="D9026" s="15" cm="1">
        <f t="array" ref="D9026">SUM(D9024:D9025)</f>
        <v>64</v>
      </c>
      <c r="E9026" s="15" cm="1">
        <f t="array" ref="E9026">SUM(E9024:E9025)</f>
        <v>64</v>
      </c>
      <c r="F9026" s="16" cm="1">
        <f t="array" ref="F9026">SUM(F9024:F9025)</f>
        <v>0</v>
      </c>
      <c r="G9026" s="16" cm="1">
        <f t="array" ref="G9026">SUM(G9024:G9025)</f>
        <v>0</v>
      </c>
      <c r="H9026" s="16" cm="1">
        <f t="array" ref="H9026">SUM(H9024:H9025)</f>
        <v>0</v>
      </c>
      <c r="I9026" s="16" cm="1">
        <f t="array" ref="I9026">SUM(I9024:I9025)</f>
        <v>0</v>
      </c>
    </row>
    <row r="9027" ht="20.35" customHeight="1">
      <c r="A9027" s="10">
        <v>45794</v>
      </c>
      <c r="B9027" t="s" s="11">
        <v>121</v>
      </c>
      <c r="C9027" t="s" s="12">
        <v>1207</v>
      </c>
      <c r="D9027" s="17"/>
      <c r="E9027" s="17">
        <v>10700</v>
      </c>
      <c r="F9027" s="18"/>
      <c r="G9027" s="18"/>
      <c r="H9027" s="18"/>
      <c r="I9027" s="18"/>
    </row>
    <row r="9028" ht="20.35" customHeight="1">
      <c r="A9028" s="10">
        <v>45794</v>
      </c>
      <c r="B9028" t="s" s="11">
        <v>12</v>
      </c>
      <c r="C9028" t="s" s="12">
        <v>1207</v>
      </c>
      <c r="D9028" s="13">
        <v>10700</v>
      </c>
      <c r="E9028" s="13"/>
      <c r="F9028" s="14"/>
      <c r="G9028" s="14"/>
      <c r="H9028" s="14"/>
      <c r="I9028" s="14"/>
    </row>
    <row r="9029" ht="20.7" customHeight="1">
      <c r="A9029" s="10">
        <v>45794</v>
      </c>
      <c r="B9029" t="s" s="11">
        <v>8</v>
      </c>
      <c r="C9029" t="s" s="12">
        <v>8</v>
      </c>
      <c r="D9029" s="15" cm="1">
        <f t="array" ref="D9029">SUM(D9027:D9028)</f>
        <v>10700</v>
      </c>
      <c r="E9029" s="15" cm="1">
        <f t="array" ref="E9029">SUM(E9027:E9028)</f>
        <v>10700</v>
      </c>
      <c r="F9029" s="16" cm="1">
        <f t="array" ref="F9029">SUM(F9027:F9028)</f>
        <v>0</v>
      </c>
      <c r="G9029" s="16" cm="1">
        <f t="array" ref="G9029">SUM(G9027:G9028)</f>
        <v>0</v>
      </c>
      <c r="H9029" s="16" cm="1">
        <f t="array" ref="H9029">SUM(H9027:H9028)</f>
        <v>0</v>
      </c>
      <c r="I9029" s="16" cm="1">
        <f t="array" ref="I9029">SUM(I9027:I9028)</f>
        <v>0</v>
      </c>
    </row>
    <row r="9030" ht="21.25" customHeight="1">
      <c r="A9030" s="10">
        <v>45794</v>
      </c>
      <c r="B9030" t="s" s="11">
        <v>21</v>
      </c>
      <c r="C9030" t="s" s="12">
        <v>1208</v>
      </c>
      <c r="D9030" s="17"/>
      <c r="E9030" s="17">
        <v>3300</v>
      </c>
      <c r="F9030" s="18"/>
      <c r="G9030" s="18"/>
      <c r="H9030" s="18"/>
      <c r="I9030" s="18"/>
    </row>
    <row r="9031" ht="21.25" customHeight="1">
      <c r="A9031" s="10">
        <v>45794</v>
      </c>
      <c r="B9031" t="s" s="11">
        <v>16</v>
      </c>
      <c r="C9031" t="s" s="12">
        <v>1208</v>
      </c>
      <c r="D9031" s="13">
        <v>3300</v>
      </c>
      <c r="E9031" s="13"/>
      <c r="F9031" s="14"/>
      <c r="G9031" s="14"/>
      <c r="H9031" s="14"/>
      <c r="I9031" s="14"/>
    </row>
    <row r="9032" ht="20.7" customHeight="1">
      <c r="A9032" s="10">
        <v>45794</v>
      </c>
      <c r="B9032" t="s" s="11">
        <v>8</v>
      </c>
      <c r="C9032" t="s" s="12">
        <v>8</v>
      </c>
      <c r="D9032" s="15" cm="1">
        <f t="array" ref="D9032">SUM(D9030:D9031)</f>
        <v>3300</v>
      </c>
      <c r="E9032" s="15" cm="1">
        <f t="array" ref="E9032">SUM(E9030:E9031)</f>
        <v>3300</v>
      </c>
      <c r="F9032" s="16" cm="1">
        <f t="array" ref="F9032">SUM(F9030:F9031)</f>
        <v>0</v>
      </c>
      <c r="G9032" s="16" cm="1">
        <f t="array" ref="G9032">SUM(G9030:G9031)</f>
        <v>0</v>
      </c>
      <c r="H9032" s="16" cm="1">
        <f t="array" ref="H9032">SUM(H9030:H9031)</f>
        <v>0</v>
      </c>
      <c r="I9032" s="16" cm="1">
        <f t="array" ref="I9032">SUM(I9030:I9031)</f>
        <v>0</v>
      </c>
    </row>
    <row r="9033" ht="20.65" customHeight="1">
      <c r="A9033" s="10">
        <v>45795</v>
      </c>
      <c r="B9033" t="s" s="11">
        <v>814</v>
      </c>
      <c r="C9033" t="s" s="12">
        <v>820</v>
      </c>
      <c r="D9033" s="17">
        <v>64</v>
      </c>
      <c r="E9033" s="17"/>
      <c r="F9033" s="18"/>
      <c r="G9033" s="18"/>
      <c r="H9033" s="18"/>
      <c r="I9033" s="18"/>
    </row>
    <row r="9034" ht="20.65" customHeight="1">
      <c r="A9034" s="10">
        <v>45795</v>
      </c>
      <c r="B9034" t="s" s="11">
        <v>7</v>
      </c>
      <c r="C9034" t="s" s="12">
        <v>820</v>
      </c>
      <c r="D9034" s="13"/>
      <c r="E9034" s="13">
        <v>64</v>
      </c>
      <c r="F9034" s="14"/>
      <c r="G9034" s="14"/>
      <c r="H9034" s="14"/>
      <c r="I9034" s="14"/>
    </row>
    <row r="9035" ht="20.7" customHeight="1">
      <c r="A9035" s="10">
        <v>45795</v>
      </c>
      <c r="B9035" t="s" s="11">
        <v>8</v>
      </c>
      <c r="C9035" t="s" s="12">
        <v>8</v>
      </c>
      <c r="D9035" s="15" cm="1">
        <f t="array" ref="D9035">SUM(D9033:D9034)</f>
        <v>64</v>
      </c>
      <c r="E9035" s="15" cm="1">
        <f t="array" ref="E9035">SUM(E9033:E9034)</f>
        <v>64</v>
      </c>
      <c r="F9035" s="16" cm="1">
        <f t="array" ref="F9035">SUM(F9033:F9034)</f>
        <v>0</v>
      </c>
      <c r="G9035" s="16" cm="1">
        <f t="array" ref="G9035">SUM(G9033:G9034)</f>
        <v>0</v>
      </c>
      <c r="H9035" s="16" cm="1">
        <f t="array" ref="H9035">SUM(H9033:H9034)</f>
        <v>0</v>
      </c>
      <c r="I9035" s="16" cm="1">
        <f t="array" ref="I9035">SUM(I9033:I9034)</f>
        <v>0</v>
      </c>
    </row>
    <row r="9036" ht="20.65" customHeight="1">
      <c r="A9036" s="10">
        <v>45796</v>
      </c>
      <c r="B9036" t="s" s="11">
        <v>814</v>
      </c>
      <c r="C9036" t="s" s="12">
        <v>820</v>
      </c>
      <c r="D9036" s="17">
        <v>64</v>
      </c>
      <c r="E9036" s="17"/>
      <c r="F9036" s="18"/>
      <c r="G9036" s="18"/>
      <c r="H9036" s="18"/>
      <c r="I9036" s="18"/>
    </row>
    <row r="9037" ht="20.65" customHeight="1">
      <c r="A9037" s="10">
        <v>45796</v>
      </c>
      <c r="B9037" t="s" s="11">
        <v>7</v>
      </c>
      <c r="C9037" t="s" s="12">
        <v>820</v>
      </c>
      <c r="D9037" s="13"/>
      <c r="E9037" s="13">
        <v>64</v>
      </c>
      <c r="F9037" s="14"/>
      <c r="G9037" s="14"/>
      <c r="H9037" s="14"/>
      <c r="I9037" s="14"/>
    </row>
    <row r="9038" ht="20.7" customHeight="1">
      <c r="A9038" s="10">
        <v>45796</v>
      </c>
      <c r="B9038" t="s" s="11">
        <v>8</v>
      </c>
      <c r="C9038" t="s" s="12">
        <v>8</v>
      </c>
      <c r="D9038" s="15" cm="1">
        <f t="array" ref="D9038">SUM(D9036:D9037)</f>
        <v>64</v>
      </c>
      <c r="E9038" s="15" cm="1">
        <f t="array" ref="E9038">SUM(E9036:E9037)</f>
        <v>64</v>
      </c>
      <c r="F9038" s="16" cm="1">
        <f t="array" ref="F9038">SUM(F9036:F9037)</f>
        <v>0</v>
      </c>
      <c r="G9038" s="16" cm="1">
        <f t="array" ref="G9038">SUM(G9036:G9037)</f>
        <v>0</v>
      </c>
      <c r="H9038" s="16" cm="1">
        <f t="array" ref="H9038">SUM(H9036:H9037)</f>
        <v>0</v>
      </c>
      <c r="I9038" s="16" cm="1">
        <f t="array" ref="I9038">SUM(I9036:I9037)</f>
        <v>0</v>
      </c>
    </row>
    <row r="9039" ht="21.25" customHeight="1">
      <c r="A9039" s="10">
        <v>45796</v>
      </c>
      <c r="B9039" t="s" s="11">
        <v>121</v>
      </c>
      <c r="C9039" t="s" s="12">
        <v>1209</v>
      </c>
      <c r="D9039" s="17"/>
      <c r="E9039" s="17">
        <v>1500</v>
      </c>
      <c r="F9039" s="18"/>
      <c r="G9039" s="18"/>
      <c r="H9039" s="18"/>
      <c r="I9039" s="18"/>
    </row>
    <row r="9040" ht="21.25" customHeight="1">
      <c r="A9040" s="10">
        <v>45796</v>
      </c>
      <c r="B9040" t="s" s="11">
        <v>21</v>
      </c>
      <c r="C9040" t="s" s="12">
        <v>1209</v>
      </c>
      <c r="D9040" s="13">
        <v>1500</v>
      </c>
      <c r="E9040" s="13"/>
      <c r="F9040" s="14"/>
      <c r="G9040" s="14"/>
      <c r="H9040" s="14"/>
      <c r="I9040" s="14"/>
    </row>
    <row r="9041" ht="20.7" customHeight="1">
      <c r="A9041" s="10">
        <v>45796</v>
      </c>
      <c r="B9041" t="s" s="11">
        <v>8</v>
      </c>
      <c r="C9041" t="s" s="12">
        <v>8</v>
      </c>
      <c r="D9041" s="15" cm="1">
        <f t="array" ref="D9041">SUM(D9039:D9040)</f>
        <v>1500</v>
      </c>
      <c r="E9041" s="15" cm="1">
        <f t="array" ref="E9041">SUM(E9039:E9040)</f>
        <v>1500</v>
      </c>
      <c r="F9041" s="16" cm="1">
        <f t="array" ref="F9041">SUM(F9039:F9040)</f>
        <v>0</v>
      </c>
      <c r="G9041" s="16" cm="1">
        <f t="array" ref="G9041">SUM(G9039:G9040)</f>
        <v>0</v>
      </c>
      <c r="H9041" s="16" cm="1">
        <f t="array" ref="H9041">SUM(H9039:H9040)</f>
        <v>0</v>
      </c>
      <c r="I9041" s="16" cm="1">
        <f t="array" ref="I9041">SUM(I9039:I9040)</f>
        <v>0</v>
      </c>
    </row>
    <row r="9042" ht="21.25" customHeight="1">
      <c r="A9042" s="10">
        <v>45796</v>
      </c>
      <c r="B9042" t="s" s="11">
        <v>121</v>
      </c>
      <c r="C9042" t="s" s="12">
        <v>1209</v>
      </c>
      <c r="D9042" s="17"/>
      <c r="E9042" s="17">
        <v>10800</v>
      </c>
      <c r="F9042" s="18"/>
      <c r="G9042" s="18"/>
      <c r="H9042" s="18"/>
      <c r="I9042" s="18"/>
    </row>
    <row r="9043" ht="21.25" customHeight="1">
      <c r="A9043" s="10">
        <v>45796</v>
      </c>
      <c r="B9043" t="s" s="11">
        <v>21</v>
      </c>
      <c r="C9043" t="s" s="12">
        <v>1209</v>
      </c>
      <c r="D9043" s="13">
        <v>10800</v>
      </c>
      <c r="E9043" s="13"/>
      <c r="F9043" s="14"/>
      <c r="G9043" s="14"/>
      <c r="H9043" s="14"/>
      <c r="I9043" s="14"/>
    </row>
    <row r="9044" ht="20.7" customHeight="1">
      <c r="A9044" s="10">
        <v>45796</v>
      </c>
      <c r="B9044" t="s" s="11">
        <v>8</v>
      </c>
      <c r="C9044" t="s" s="12">
        <v>8</v>
      </c>
      <c r="D9044" s="15" cm="1">
        <f t="array" ref="D9044">SUM(D9042:D9043)</f>
        <v>10800</v>
      </c>
      <c r="E9044" s="15" cm="1">
        <f t="array" ref="E9044">SUM(E9042:E9043)</f>
        <v>10800</v>
      </c>
      <c r="F9044" s="16" cm="1">
        <f t="array" ref="F9044">SUM(F9042:F9043)</f>
        <v>0</v>
      </c>
      <c r="G9044" s="16" cm="1">
        <f t="array" ref="G9044">SUM(G9042:G9043)</f>
        <v>0</v>
      </c>
      <c r="H9044" s="16" cm="1">
        <f t="array" ref="H9044">SUM(H9042:H9043)</f>
        <v>0</v>
      </c>
      <c r="I9044" s="16" cm="1">
        <f t="array" ref="I9044">SUM(I9042:I9043)</f>
        <v>0</v>
      </c>
    </row>
    <row r="9045" ht="21.25" customHeight="1">
      <c r="A9045" s="10">
        <v>45796</v>
      </c>
      <c r="B9045" t="s" s="11">
        <v>21</v>
      </c>
      <c r="C9045" t="s" s="12">
        <v>1210</v>
      </c>
      <c r="D9045" s="17"/>
      <c r="E9045" s="17">
        <v>4200</v>
      </c>
      <c r="F9045" s="18"/>
      <c r="G9045" s="18"/>
      <c r="H9045" s="18"/>
      <c r="I9045" s="18"/>
    </row>
    <row r="9046" ht="21.25" customHeight="1">
      <c r="A9046" s="10">
        <v>45796</v>
      </c>
      <c r="B9046" t="s" s="11">
        <v>16</v>
      </c>
      <c r="C9046" t="s" s="12">
        <v>1210</v>
      </c>
      <c r="D9046" s="13">
        <v>4200</v>
      </c>
      <c r="E9046" s="13"/>
      <c r="F9046" s="14"/>
      <c r="G9046" s="14"/>
      <c r="H9046" s="14"/>
      <c r="I9046" s="14"/>
    </row>
    <row r="9047" ht="20.7" customHeight="1">
      <c r="A9047" s="10">
        <v>45796</v>
      </c>
      <c r="B9047" t="s" s="11">
        <v>8</v>
      </c>
      <c r="C9047" t="s" s="12">
        <v>8</v>
      </c>
      <c r="D9047" s="15" cm="1">
        <f t="array" ref="D9047">SUM(D9045:D9046)</f>
        <v>4200</v>
      </c>
      <c r="E9047" s="15" cm="1">
        <f t="array" ref="E9047">SUM(E9045:E9046)</f>
        <v>4200</v>
      </c>
      <c r="F9047" s="16" cm="1">
        <f t="array" ref="F9047">SUM(F9045:F9046)</f>
        <v>0</v>
      </c>
      <c r="G9047" s="16" cm="1">
        <f t="array" ref="G9047">SUM(G9045:G9046)</f>
        <v>0</v>
      </c>
      <c r="H9047" s="16" cm="1">
        <f t="array" ref="H9047">SUM(H9045:H9046)</f>
        <v>0</v>
      </c>
      <c r="I9047" s="16" cm="1">
        <f t="array" ref="I9047">SUM(I9045:I9046)</f>
        <v>0</v>
      </c>
    </row>
    <row r="9048" ht="20.35" customHeight="1">
      <c r="A9048" s="10">
        <v>45796</v>
      </c>
      <c r="B9048" t="s" s="11">
        <v>5</v>
      </c>
      <c r="C9048" t="s" s="12">
        <v>439</v>
      </c>
      <c r="D9048" s="17"/>
      <c r="E9048" s="17">
        <v>88000</v>
      </c>
      <c r="F9048" s="18"/>
      <c r="G9048" s="18"/>
      <c r="H9048" s="18"/>
      <c r="I9048" s="18"/>
    </row>
    <row r="9049" ht="20.35" customHeight="1">
      <c r="A9049" s="10">
        <v>45796</v>
      </c>
      <c r="B9049" t="s" s="11">
        <v>121</v>
      </c>
      <c r="C9049" t="s" s="12">
        <v>439</v>
      </c>
      <c r="D9049" s="13">
        <v>88000</v>
      </c>
      <c r="E9049" s="13"/>
      <c r="F9049" s="14"/>
      <c r="G9049" s="14"/>
      <c r="H9049" s="14"/>
      <c r="I9049" s="14"/>
    </row>
    <row r="9050" ht="20.7" customHeight="1">
      <c r="A9050" s="10">
        <v>45796</v>
      </c>
      <c r="B9050" t="s" s="11">
        <v>8</v>
      </c>
      <c r="C9050" t="s" s="12">
        <v>8</v>
      </c>
      <c r="D9050" s="15" cm="1">
        <f t="array" ref="D9050">SUM(D9048:D9049)</f>
        <v>88000</v>
      </c>
      <c r="E9050" s="15" cm="1">
        <f t="array" ref="E9050">SUM(E9048:E9049)</f>
        <v>88000</v>
      </c>
      <c r="F9050" s="16" cm="1">
        <f t="array" ref="F9050">SUM(F9048:F9049)</f>
        <v>0</v>
      </c>
      <c r="G9050" s="16" cm="1">
        <f t="array" ref="G9050">SUM(G9048:G9049)</f>
        <v>0</v>
      </c>
      <c r="H9050" s="16" cm="1">
        <f t="array" ref="H9050">SUM(H9048:H9049)</f>
        <v>0</v>
      </c>
      <c r="I9050" s="16" cm="1">
        <f t="array" ref="I9050">SUM(I9048:I9049)</f>
        <v>0</v>
      </c>
    </row>
    <row r="9051" ht="21.25" customHeight="1">
      <c r="A9051" s="10">
        <v>45796</v>
      </c>
      <c r="B9051" t="s" s="11">
        <v>121</v>
      </c>
      <c r="C9051" t="s" s="12">
        <v>1211</v>
      </c>
      <c r="D9051" s="17"/>
      <c r="E9051" s="17">
        <v>95100</v>
      </c>
      <c r="F9051" s="18"/>
      <c r="G9051" s="18"/>
      <c r="H9051" s="18"/>
      <c r="I9051" s="18"/>
    </row>
    <row r="9052" ht="20.9" customHeight="1">
      <c r="A9052" s="10">
        <v>45796</v>
      </c>
      <c r="B9052" t="s" s="11">
        <v>10</v>
      </c>
      <c r="C9052" t="s" s="12">
        <v>1211</v>
      </c>
      <c r="D9052" s="19">
        <v>47550</v>
      </c>
      <c r="E9052" s="19"/>
      <c r="F9052" s="20"/>
      <c r="G9052" s="20"/>
      <c r="H9052" s="20"/>
      <c r="I9052" s="20"/>
    </row>
    <row r="9053" ht="21.25" customHeight="1">
      <c r="A9053" s="10">
        <v>45796</v>
      </c>
      <c r="B9053" t="s" s="11">
        <v>12</v>
      </c>
      <c r="C9053" t="s" s="12">
        <v>1211</v>
      </c>
      <c r="D9053" s="13">
        <v>47550</v>
      </c>
      <c r="E9053" s="13"/>
      <c r="F9053" s="14"/>
      <c r="G9053" s="14"/>
      <c r="H9053" s="14"/>
      <c r="I9053" s="14"/>
    </row>
    <row r="9054" ht="20.7" customHeight="1">
      <c r="A9054" s="10">
        <v>45796</v>
      </c>
      <c r="B9054" t="s" s="11">
        <v>8</v>
      </c>
      <c r="C9054" t="s" s="12">
        <v>8</v>
      </c>
      <c r="D9054" s="15" cm="1">
        <f t="array" ref="D9054">SUM(D9051:D9053)</f>
        <v>95100</v>
      </c>
      <c r="E9054" s="15" cm="1">
        <f t="array" ref="E9054">SUM(E9051:E9053)</f>
        <v>95100</v>
      </c>
      <c r="F9054" s="16" cm="1">
        <f t="array" ref="F9054">SUM(F9051:F9053)</f>
        <v>0</v>
      </c>
      <c r="G9054" s="16" cm="1">
        <f t="array" ref="G9054">SUM(G9051:G9053)</f>
        <v>0</v>
      </c>
      <c r="H9054" s="16" cm="1">
        <f t="array" ref="H9054">SUM(H9051:H9053)</f>
        <v>0</v>
      </c>
      <c r="I9054" s="16" cm="1">
        <f t="array" ref="I9054">SUM(I9051:I9053)</f>
        <v>0</v>
      </c>
    </row>
    <row r="9055" ht="20.65" customHeight="1">
      <c r="A9055" s="10">
        <v>45797</v>
      </c>
      <c r="B9055" t="s" s="11">
        <v>814</v>
      </c>
      <c r="C9055" t="s" s="12">
        <v>820</v>
      </c>
      <c r="D9055" s="17">
        <v>64</v>
      </c>
      <c r="E9055" s="17"/>
      <c r="F9055" s="18"/>
      <c r="G9055" s="18"/>
      <c r="H9055" s="18"/>
      <c r="I9055" s="18"/>
    </row>
    <row r="9056" ht="20.65" customHeight="1">
      <c r="A9056" s="10">
        <v>45797</v>
      </c>
      <c r="B9056" t="s" s="11">
        <v>7</v>
      </c>
      <c r="C9056" t="s" s="12">
        <v>820</v>
      </c>
      <c r="D9056" s="13"/>
      <c r="E9056" s="13">
        <v>64</v>
      </c>
      <c r="F9056" s="14"/>
      <c r="G9056" s="14"/>
      <c r="H9056" s="14"/>
      <c r="I9056" s="14"/>
    </row>
    <row r="9057" ht="20.7" customHeight="1">
      <c r="A9057" s="10">
        <v>45797</v>
      </c>
      <c r="B9057" t="s" s="11">
        <v>8</v>
      </c>
      <c r="C9057" t="s" s="12">
        <v>8</v>
      </c>
      <c r="D9057" s="15" cm="1">
        <f t="array" ref="D9057">SUM(D9055:D9056)</f>
        <v>64</v>
      </c>
      <c r="E9057" s="15" cm="1">
        <f t="array" ref="E9057">SUM(E9055:E9056)</f>
        <v>64</v>
      </c>
      <c r="F9057" s="16" cm="1">
        <f t="array" ref="F9057">SUM(F9055:F9056)</f>
        <v>0</v>
      </c>
      <c r="G9057" s="16" cm="1">
        <f t="array" ref="G9057">SUM(G9055:G9056)</f>
        <v>0</v>
      </c>
      <c r="H9057" s="16" cm="1">
        <f t="array" ref="H9057">SUM(H9055:H9056)</f>
        <v>0</v>
      </c>
      <c r="I9057" s="16" cm="1">
        <f t="array" ref="I9057">SUM(I9055:I9056)</f>
        <v>0</v>
      </c>
    </row>
    <row r="9058" ht="20.35" customHeight="1">
      <c r="A9058" s="10">
        <v>45797</v>
      </c>
      <c r="B9058" t="s" s="11">
        <v>93</v>
      </c>
      <c r="C9058" t="s" s="12">
        <v>54</v>
      </c>
      <c r="D9058" s="17"/>
      <c r="E9058" s="17">
        <v>3300</v>
      </c>
      <c r="F9058" s="18"/>
      <c r="G9058" s="18"/>
      <c r="H9058" s="18"/>
      <c r="I9058" s="18"/>
    </row>
    <row r="9059" ht="20.35" customHeight="1">
      <c r="A9059" s="10">
        <v>45797</v>
      </c>
      <c r="B9059" t="s" s="11">
        <v>10</v>
      </c>
      <c r="C9059" t="s" s="12">
        <v>54</v>
      </c>
      <c r="D9059" s="13">
        <v>3300</v>
      </c>
      <c r="E9059" s="13"/>
      <c r="F9059" s="14"/>
      <c r="G9059" s="14"/>
      <c r="H9059" s="14"/>
      <c r="I9059" s="14"/>
    </row>
    <row r="9060" ht="20.7" customHeight="1">
      <c r="A9060" s="10">
        <v>45797</v>
      </c>
      <c r="B9060" t="s" s="11">
        <v>8</v>
      </c>
      <c r="C9060" t="s" s="12">
        <v>8</v>
      </c>
      <c r="D9060" s="15" cm="1">
        <f t="array" ref="D9060">SUM(D9058:D9059)</f>
        <v>3300</v>
      </c>
      <c r="E9060" s="15" cm="1">
        <f t="array" ref="E9060">SUM(E9058:E9059)</f>
        <v>3300</v>
      </c>
      <c r="F9060" s="16" cm="1">
        <f t="array" ref="F9060">SUM(F9058:F9059)</f>
        <v>0</v>
      </c>
      <c r="G9060" s="16" cm="1">
        <f t="array" ref="G9060">SUM(G9058:G9059)</f>
        <v>0</v>
      </c>
      <c r="H9060" s="16" cm="1">
        <f t="array" ref="H9060">SUM(H9058:H9059)</f>
        <v>0</v>
      </c>
      <c r="I9060" s="16" cm="1">
        <f t="array" ref="I9060">SUM(I9058:I9059)</f>
        <v>0</v>
      </c>
    </row>
    <row r="9061" ht="21.25" customHeight="1">
      <c r="A9061" s="10">
        <v>45797</v>
      </c>
      <c r="B9061" t="s" s="11">
        <v>121</v>
      </c>
      <c r="C9061" t="s" s="12">
        <v>1212</v>
      </c>
      <c r="D9061" s="17"/>
      <c r="E9061" s="17">
        <v>6500</v>
      </c>
      <c r="F9061" s="18"/>
      <c r="G9061" s="18"/>
      <c r="H9061" s="18"/>
      <c r="I9061" s="18"/>
    </row>
    <row r="9062" ht="21.25" customHeight="1">
      <c r="A9062" s="10">
        <v>45797</v>
      </c>
      <c r="B9062" t="s" s="11">
        <v>12</v>
      </c>
      <c r="C9062" t="s" s="12">
        <v>1212</v>
      </c>
      <c r="D9062" s="13">
        <v>6500</v>
      </c>
      <c r="E9062" s="13"/>
      <c r="F9062" s="14"/>
      <c r="G9062" s="14"/>
      <c r="H9062" s="14"/>
      <c r="I9062" s="14"/>
    </row>
    <row r="9063" ht="20.7" customHeight="1">
      <c r="A9063" s="10">
        <v>45797</v>
      </c>
      <c r="B9063" t="s" s="11">
        <v>8</v>
      </c>
      <c r="C9063" t="s" s="12">
        <v>8</v>
      </c>
      <c r="D9063" s="15" cm="1">
        <f t="array" ref="D9063">SUM(D9061:D9062)</f>
        <v>6500</v>
      </c>
      <c r="E9063" s="15" cm="1">
        <f t="array" ref="E9063">SUM(E9061:E9062)</f>
        <v>6500</v>
      </c>
      <c r="F9063" s="16" cm="1">
        <f t="array" ref="F9063">SUM(F9061:F9062)</f>
        <v>0</v>
      </c>
      <c r="G9063" s="16" cm="1">
        <f t="array" ref="G9063">SUM(G9061:G9062)</f>
        <v>0</v>
      </c>
      <c r="H9063" s="16" cm="1">
        <f t="array" ref="H9063">SUM(H9061:H9062)</f>
        <v>0</v>
      </c>
      <c r="I9063" s="16" cm="1">
        <f t="array" ref="I9063">SUM(I9061:I9062)</f>
        <v>0</v>
      </c>
    </row>
    <row r="9064" ht="20.65" customHeight="1">
      <c r="A9064" s="10">
        <v>45797</v>
      </c>
      <c r="B9064" t="s" s="11">
        <v>121</v>
      </c>
      <c r="C9064" t="s" s="12">
        <v>896</v>
      </c>
      <c r="D9064" s="17">
        <v>5610</v>
      </c>
      <c r="E9064" s="17"/>
      <c r="F9064" s="18"/>
      <c r="G9064" s="18"/>
      <c r="H9064" s="18"/>
      <c r="I9064" s="18"/>
    </row>
    <row r="9065" ht="20.65" customHeight="1">
      <c r="A9065" s="10">
        <v>45797</v>
      </c>
      <c r="B9065" t="s" s="11">
        <v>10</v>
      </c>
      <c r="C9065" t="s" s="12">
        <v>896</v>
      </c>
      <c r="D9065" s="13"/>
      <c r="E9065" s="13">
        <v>5610</v>
      </c>
      <c r="F9065" s="14"/>
      <c r="G9065" s="14"/>
      <c r="H9065" s="14"/>
      <c r="I9065" s="14"/>
    </row>
    <row r="9066" ht="20.7" customHeight="1">
      <c r="A9066" s="10">
        <v>45797</v>
      </c>
      <c r="B9066" t="s" s="11">
        <v>8</v>
      </c>
      <c r="C9066" t="s" s="12">
        <v>8</v>
      </c>
      <c r="D9066" s="15" cm="1">
        <f t="array" ref="D9066">SUM(D9064:D9065)</f>
        <v>5610</v>
      </c>
      <c r="E9066" s="15" cm="1">
        <f t="array" ref="E9066">SUM(E9064:E9065)</f>
        <v>5610</v>
      </c>
      <c r="F9066" s="16" cm="1">
        <f t="array" ref="F9066">SUM(F9064:F9065)</f>
        <v>0</v>
      </c>
      <c r="G9066" s="16" cm="1">
        <f t="array" ref="G9066">SUM(G9064:G9065)</f>
        <v>0</v>
      </c>
      <c r="H9066" s="16" cm="1">
        <f t="array" ref="H9066">SUM(H9064:H9065)</f>
        <v>0</v>
      </c>
      <c r="I9066" s="16" cm="1">
        <f t="array" ref="I9066">SUM(I9064:I9065)</f>
        <v>0</v>
      </c>
    </row>
    <row r="9067" ht="20.35" customHeight="1">
      <c r="A9067" s="10">
        <v>45797</v>
      </c>
      <c r="B9067" t="s" s="11">
        <v>121</v>
      </c>
      <c r="C9067" t="s" s="12">
        <v>890</v>
      </c>
      <c r="D9067" s="17"/>
      <c r="E9067" s="17">
        <v>60</v>
      </c>
      <c r="F9067" s="18"/>
      <c r="G9067" s="18"/>
      <c r="H9067" s="18"/>
      <c r="I9067" s="18"/>
    </row>
    <row r="9068" ht="20.35" customHeight="1">
      <c r="A9068" s="10">
        <v>45797</v>
      </c>
      <c r="B9068" t="s" s="11">
        <v>10</v>
      </c>
      <c r="C9068" t="s" s="12">
        <v>890</v>
      </c>
      <c r="D9068" s="13">
        <v>60</v>
      </c>
      <c r="E9068" s="13"/>
      <c r="F9068" s="14"/>
      <c r="G9068" s="14"/>
      <c r="H9068" s="14"/>
      <c r="I9068" s="14"/>
    </row>
    <row r="9069" ht="20.7" customHeight="1">
      <c r="A9069" s="10">
        <v>45797</v>
      </c>
      <c r="B9069" t="s" s="11">
        <v>8</v>
      </c>
      <c r="C9069" t="s" s="12">
        <v>8</v>
      </c>
      <c r="D9069" s="15" cm="1">
        <f t="array" ref="D9069">SUM(D9067:D9068)</f>
        <v>60</v>
      </c>
      <c r="E9069" s="15" cm="1">
        <f t="array" ref="E9069">SUM(E9067:E9068)</f>
        <v>60</v>
      </c>
      <c r="F9069" s="16" cm="1">
        <f t="array" ref="F9069">SUM(F9067:F9068)</f>
        <v>0</v>
      </c>
      <c r="G9069" s="16" cm="1">
        <f t="array" ref="G9069">SUM(G9067:G9068)</f>
        <v>0</v>
      </c>
      <c r="H9069" s="16" cm="1">
        <f t="array" ref="H9069">SUM(H9067:H9068)</f>
        <v>0</v>
      </c>
      <c r="I9069" s="16" cm="1">
        <f t="array" ref="I9069">SUM(I9067:I9068)</f>
        <v>0</v>
      </c>
    </row>
    <row r="9070" ht="20.35" customHeight="1">
      <c r="A9070" s="10">
        <v>45797</v>
      </c>
      <c r="B9070" t="s" s="11">
        <v>5</v>
      </c>
      <c r="C9070" t="s" s="12">
        <v>439</v>
      </c>
      <c r="D9070" s="17"/>
      <c r="E9070" s="17">
        <v>200000</v>
      </c>
      <c r="F9070" s="18"/>
      <c r="G9070" s="18"/>
      <c r="H9070" s="18"/>
      <c r="I9070" s="18"/>
    </row>
    <row r="9071" ht="20.35" customHeight="1">
      <c r="A9071" s="10">
        <v>45797</v>
      </c>
      <c r="B9071" t="s" s="11">
        <v>121</v>
      </c>
      <c r="C9071" t="s" s="12">
        <v>439</v>
      </c>
      <c r="D9071" s="13">
        <v>200000</v>
      </c>
      <c r="E9071" s="13"/>
      <c r="F9071" s="14"/>
      <c r="G9071" s="14"/>
      <c r="H9071" s="14"/>
      <c r="I9071" s="14"/>
    </row>
    <row r="9072" ht="20.7" customHeight="1">
      <c r="A9072" s="10">
        <v>45797</v>
      </c>
      <c r="B9072" t="s" s="11">
        <v>8</v>
      </c>
      <c r="C9072" t="s" s="12">
        <v>8</v>
      </c>
      <c r="D9072" s="15" cm="1">
        <f t="array" ref="D9072">SUM(D9070:D9071)</f>
        <v>200000</v>
      </c>
      <c r="E9072" s="15" cm="1">
        <f t="array" ref="E9072">SUM(E9070:E9071)</f>
        <v>200000</v>
      </c>
      <c r="F9072" s="16" cm="1">
        <f t="array" ref="F9072">SUM(F9070:F9071)</f>
        <v>0</v>
      </c>
      <c r="G9072" s="16" cm="1">
        <f t="array" ref="G9072">SUM(G9070:G9071)</f>
        <v>0</v>
      </c>
      <c r="H9072" s="16" cm="1">
        <f t="array" ref="H9072">SUM(H9070:H9071)</f>
        <v>0</v>
      </c>
      <c r="I9072" s="16" cm="1">
        <f t="array" ref="I9072">SUM(I9070:I9071)</f>
        <v>0</v>
      </c>
    </row>
    <row r="9073" ht="20.35" customHeight="1">
      <c r="A9073" s="10">
        <v>45797</v>
      </c>
      <c r="B9073" t="s" s="11">
        <v>121</v>
      </c>
      <c r="C9073" t="s" s="12">
        <v>1213</v>
      </c>
      <c r="D9073" s="17"/>
      <c r="E9073" s="17">
        <v>34300</v>
      </c>
      <c r="F9073" s="18"/>
      <c r="G9073" s="18"/>
      <c r="H9073" s="18"/>
      <c r="I9073" s="18"/>
    </row>
    <row r="9074" ht="20.35" customHeight="1">
      <c r="A9074" s="10">
        <v>45797</v>
      </c>
      <c r="B9074" t="s" s="11">
        <v>10</v>
      </c>
      <c r="C9074" t="s" s="12">
        <v>1213</v>
      </c>
      <c r="D9074" s="13">
        <v>34300</v>
      </c>
      <c r="E9074" s="13"/>
      <c r="F9074" s="14"/>
      <c r="G9074" s="14"/>
      <c r="H9074" s="14"/>
      <c r="I9074" s="14"/>
    </row>
    <row r="9075" ht="20.7" customHeight="1">
      <c r="A9075" s="10">
        <v>45797</v>
      </c>
      <c r="B9075" t="s" s="11">
        <v>8</v>
      </c>
      <c r="C9075" t="s" s="12">
        <v>8</v>
      </c>
      <c r="D9075" s="15" cm="1">
        <f t="array" ref="D9075">SUM(D9073:D9074)</f>
        <v>34300</v>
      </c>
      <c r="E9075" s="15" cm="1">
        <f t="array" ref="E9075">SUM(E9073:E9074)</f>
        <v>34300</v>
      </c>
      <c r="F9075" s="16" cm="1">
        <f t="array" ref="F9075">SUM(F9073:F9074)</f>
        <v>0</v>
      </c>
      <c r="G9075" s="16" cm="1">
        <f t="array" ref="G9075">SUM(G9073:G9074)</f>
        <v>0</v>
      </c>
      <c r="H9075" s="16" cm="1">
        <f t="array" ref="H9075">SUM(H9073:H9074)</f>
        <v>0</v>
      </c>
      <c r="I9075" s="16" cm="1">
        <f t="array" ref="I9075">SUM(I9073:I9074)</f>
        <v>0</v>
      </c>
    </row>
    <row r="9076" ht="20.35" customHeight="1">
      <c r="A9076" s="10">
        <v>45797</v>
      </c>
      <c r="B9076" t="s" s="11">
        <v>121</v>
      </c>
      <c r="C9076" t="s" s="12">
        <v>1214</v>
      </c>
      <c r="D9076" s="17"/>
      <c r="E9076" s="17">
        <v>4000</v>
      </c>
      <c r="F9076" s="18"/>
      <c r="G9076" s="18"/>
      <c r="H9076" s="18"/>
      <c r="I9076" s="18"/>
    </row>
    <row r="9077" ht="20.35" customHeight="1">
      <c r="A9077" s="10">
        <v>45797</v>
      </c>
      <c r="B9077" t="s" s="11">
        <v>10</v>
      </c>
      <c r="C9077" t="s" s="12">
        <v>1214</v>
      </c>
      <c r="D9077" s="13">
        <v>4000</v>
      </c>
      <c r="E9077" s="13"/>
      <c r="F9077" s="14"/>
      <c r="G9077" s="14"/>
      <c r="H9077" s="14"/>
      <c r="I9077" s="14"/>
    </row>
    <row r="9078" ht="20.7" customHeight="1">
      <c r="A9078" s="10">
        <v>45797</v>
      </c>
      <c r="B9078" t="s" s="11">
        <v>8</v>
      </c>
      <c r="C9078" t="s" s="12">
        <v>8</v>
      </c>
      <c r="D9078" s="15" cm="1">
        <f t="array" ref="D9078">SUM(D9076:D9077)</f>
        <v>4000</v>
      </c>
      <c r="E9078" s="15" cm="1">
        <f t="array" ref="E9078">SUM(E9076:E9077)</f>
        <v>4000</v>
      </c>
      <c r="F9078" s="16" cm="1">
        <f t="array" ref="F9078">SUM(F9076:F9077)</f>
        <v>0</v>
      </c>
      <c r="G9078" s="16" cm="1">
        <f t="array" ref="G9078">SUM(G9076:G9077)</f>
        <v>0</v>
      </c>
      <c r="H9078" s="16" cm="1">
        <f t="array" ref="H9078">SUM(H9076:H9077)</f>
        <v>0</v>
      </c>
      <c r="I9078" s="16" cm="1">
        <f t="array" ref="I9078">SUM(I9076:I9077)</f>
        <v>0</v>
      </c>
    </row>
    <row r="9079" ht="21.25" customHeight="1">
      <c r="A9079" s="10">
        <v>45797</v>
      </c>
      <c r="B9079" t="s" s="11">
        <v>121</v>
      </c>
      <c r="C9079" t="s" s="12">
        <v>1215</v>
      </c>
      <c r="D9079" s="17"/>
      <c r="E9079" s="17">
        <v>112000</v>
      </c>
      <c r="F9079" s="18"/>
      <c r="G9079" s="18"/>
      <c r="H9079" s="18"/>
      <c r="I9079" s="18"/>
    </row>
    <row r="9080" ht="20.9" customHeight="1">
      <c r="A9080" s="10">
        <v>45797</v>
      </c>
      <c r="B9080" t="s" s="11">
        <v>89</v>
      </c>
      <c r="C9080" t="s" s="12">
        <v>1215</v>
      </c>
      <c r="D9080" s="19">
        <v>56000</v>
      </c>
      <c r="E9080" s="19"/>
      <c r="F9080" s="20"/>
      <c r="G9080" s="20"/>
      <c r="H9080" s="20"/>
      <c r="I9080" s="20"/>
    </row>
    <row r="9081" ht="21.25" customHeight="1">
      <c r="A9081" s="10">
        <v>45797</v>
      </c>
      <c r="B9081" t="s" s="11">
        <v>12</v>
      </c>
      <c r="C9081" t="s" s="12">
        <v>1215</v>
      </c>
      <c r="D9081" s="13">
        <v>56000</v>
      </c>
      <c r="E9081" s="13"/>
      <c r="F9081" s="14"/>
      <c r="G9081" s="14"/>
      <c r="H9081" s="14"/>
      <c r="I9081" s="14"/>
    </row>
    <row r="9082" ht="20.7" customHeight="1">
      <c r="A9082" s="10">
        <v>45797</v>
      </c>
      <c r="B9082" t="s" s="11">
        <v>8</v>
      </c>
      <c r="C9082" t="s" s="12">
        <v>8</v>
      </c>
      <c r="D9082" s="15" cm="1">
        <f t="array" ref="D9082">SUM(D9079:D9081)</f>
        <v>112000</v>
      </c>
      <c r="E9082" s="15" cm="1">
        <f t="array" ref="E9082">SUM(E9079:E9081)</f>
        <v>112000</v>
      </c>
      <c r="F9082" s="16" cm="1">
        <f t="array" ref="F9082">SUM(F9079:F9081)</f>
        <v>0</v>
      </c>
      <c r="G9082" s="16" cm="1">
        <f t="array" ref="G9082">SUM(G9079:G9081)</f>
        <v>0</v>
      </c>
      <c r="H9082" s="16" cm="1">
        <f t="array" ref="H9082">SUM(H9079:H9081)</f>
        <v>0</v>
      </c>
      <c r="I9082" s="16" cm="1">
        <f t="array" ref="I9082">SUM(I9079:I9081)</f>
        <v>0</v>
      </c>
    </row>
    <row r="9083" ht="20.65" customHeight="1">
      <c r="A9083" s="10">
        <v>45798</v>
      </c>
      <c r="B9083" t="s" s="11">
        <v>814</v>
      </c>
      <c r="C9083" t="s" s="12">
        <v>820</v>
      </c>
      <c r="D9083" s="17">
        <v>64</v>
      </c>
      <c r="E9083" s="17"/>
      <c r="F9083" s="18"/>
      <c r="G9083" s="18"/>
      <c r="H9083" s="18"/>
      <c r="I9083" s="18"/>
    </row>
    <row r="9084" ht="20.65" customHeight="1">
      <c r="A9084" s="10">
        <v>45798</v>
      </c>
      <c r="B9084" t="s" s="11">
        <v>7</v>
      </c>
      <c r="C9084" t="s" s="12">
        <v>820</v>
      </c>
      <c r="D9084" s="13"/>
      <c r="E9084" s="13">
        <v>64</v>
      </c>
      <c r="F9084" s="14"/>
      <c r="G9084" s="14"/>
      <c r="H9084" s="14"/>
      <c r="I9084" s="14"/>
    </row>
    <row r="9085" ht="20.7" customHeight="1">
      <c r="A9085" s="10">
        <v>45798</v>
      </c>
      <c r="B9085" t="s" s="11">
        <v>8</v>
      </c>
      <c r="C9085" t="s" s="12">
        <v>8</v>
      </c>
      <c r="D9085" s="15" cm="1">
        <f t="array" ref="D9085">SUM(D9083:D9084)</f>
        <v>64</v>
      </c>
      <c r="E9085" s="15" cm="1">
        <f t="array" ref="E9085">SUM(E9083:E9084)</f>
        <v>64</v>
      </c>
      <c r="F9085" s="16" cm="1">
        <f t="array" ref="F9085">SUM(F9083:F9084)</f>
        <v>0</v>
      </c>
      <c r="G9085" s="16" cm="1">
        <f t="array" ref="G9085">SUM(G9083:G9084)</f>
        <v>0</v>
      </c>
      <c r="H9085" s="16" cm="1">
        <f t="array" ref="H9085">SUM(H9083:H9084)</f>
        <v>0</v>
      </c>
      <c r="I9085" s="16" cm="1">
        <f t="array" ref="I9085">SUM(I9083:I9084)</f>
        <v>0</v>
      </c>
    </row>
    <row r="9086" ht="20.35" customHeight="1">
      <c r="A9086" s="10">
        <v>45798</v>
      </c>
      <c r="B9086" t="s" s="11">
        <v>5</v>
      </c>
      <c r="C9086" t="s" s="12">
        <v>1216</v>
      </c>
      <c r="D9086" s="17"/>
      <c r="E9086" s="17">
        <v>70000</v>
      </c>
      <c r="F9086" s="18"/>
      <c r="G9086" s="18"/>
      <c r="H9086" s="18"/>
      <c r="I9086" s="18"/>
    </row>
    <row r="9087" ht="20.35" customHeight="1">
      <c r="A9087" s="10">
        <v>45798</v>
      </c>
      <c r="B9087" t="s" s="11">
        <v>89</v>
      </c>
      <c r="C9087" t="s" s="12">
        <v>1216</v>
      </c>
      <c r="D9087" s="13">
        <v>70000</v>
      </c>
      <c r="E9087" s="13"/>
      <c r="F9087" s="14"/>
      <c r="G9087" s="14"/>
      <c r="H9087" s="14"/>
      <c r="I9087" s="14"/>
    </row>
    <row r="9088" ht="20.7" customHeight="1">
      <c r="A9088" s="10">
        <v>45798</v>
      </c>
      <c r="B9088" t="s" s="11">
        <v>8</v>
      </c>
      <c r="C9088" t="s" s="12">
        <v>8</v>
      </c>
      <c r="D9088" s="15" cm="1">
        <f t="array" ref="D9088">SUM(D9086:D9087)</f>
        <v>70000</v>
      </c>
      <c r="E9088" s="15" cm="1">
        <f t="array" ref="E9088">SUM(E9086:E9087)</f>
        <v>70000</v>
      </c>
      <c r="F9088" s="16" cm="1">
        <f t="array" ref="F9088">SUM(F9086:F9087)</f>
        <v>0</v>
      </c>
      <c r="G9088" s="16" cm="1">
        <f t="array" ref="G9088">SUM(G9086:G9087)</f>
        <v>0</v>
      </c>
      <c r="H9088" s="16" cm="1">
        <f t="array" ref="H9088">SUM(H9086:H9087)</f>
        <v>0</v>
      </c>
      <c r="I9088" s="16" cm="1">
        <f t="array" ref="I9088">SUM(I9086:I9087)</f>
        <v>0</v>
      </c>
    </row>
    <row r="9089" ht="21.25" customHeight="1">
      <c r="A9089" s="10">
        <v>45798</v>
      </c>
      <c r="B9089" t="s" s="11">
        <v>89</v>
      </c>
      <c r="C9089" t="s" s="12">
        <v>1215</v>
      </c>
      <c r="D9089" s="17"/>
      <c r="E9089" s="17">
        <v>56000</v>
      </c>
      <c r="F9089" s="18"/>
      <c r="G9089" s="18"/>
      <c r="H9089" s="18"/>
      <c r="I9089" s="18"/>
    </row>
    <row r="9090" ht="21.25" customHeight="1">
      <c r="A9090" s="10">
        <v>45798</v>
      </c>
      <c r="B9090" t="s" s="11">
        <v>107</v>
      </c>
      <c r="C9090" t="s" s="12">
        <v>1215</v>
      </c>
      <c r="D9090" s="13">
        <v>56000</v>
      </c>
      <c r="E9090" s="13"/>
      <c r="F9090" s="14"/>
      <c r="G9090" s="14"/>
      <c r="H9090" s="14"/>
      <c r="I9090" s="14"/>
    </row>
    <row r="9091" ht="20.7" customHeight="1">
      <c r="A9091" s="10">
        <v>45798</v>
      </c>
      <c r="B9091" t="s" s="11">
        <v>8</v>
      </c>
      <c r="C9091" t="s" s="12">
        <v>8</v>
      </c>
      <c r="D9091" s="15" cm="1">
        <f t="array" ref="D9091">SUM(D9089:D9090)</f>
        <v>56000</v>
      </c>
      <c r="E9091" s="15" cm="1">
        <f t="array" ref="E9091">SUM(E9089:E9090)</f>
        <v>56000</v>
      </c>
      <c r="F9091" s="16" cm="1">
        <f t="array" ref="F9091">SUM(F9089:F9090)</f>
        <v>0</v>
      </c>
      <c r="G9091" s="16" cm="1">
        <f t="array" ref="G9091">SUM(G9089:G9090)</f>
        <v>0</v>
      </c>
      <c r="H9091" s="16" cm="1">
        <f t="array" ref="H9091">SUM(H9089:H9090)</f>
        <v>0</v>
      </c>
      <c r="I9091" s="16" cm="1">
        <f t="array" ref="I9091">SUM(I9089:I9090)</f>
        <v>0</v>
      </c>
    </row>
    <row r="9092" ht="20.65" customHeight="1">
      <c r="A9092" s="10">
        <v>45798</v>
      </c>
      <c r="B9092" t="s" s="11">
        <v>5</v>
      </c>
      <c r="C9092" t="s" s="12">
        <v>1217</v>
      </c>
      <c r="D9092" s="17"/>
      <c r="E9092" s="17">
        <v>7000</v>
      </c>
      <c r="F9092" s="18"/>
      <c r="G9092" s="18"/>
      <c r="H9092" s="18"/>
      <c r="I9092" s="18"/>
    </row>
    <row r="9093" ht="20.65" customHeight="1">
      <c r="A9093" s="10">
        <v>45798</v>
      </c>
      <c r="B9093" t="s" s="11">
        <v>12</v>
      </c>
      <c r="C9093" t="s" s="12">
        <v>1217</v>
      </c>
      <c r="D9093" s="13">
        <v>7000</v>
      </c>
      <c r="E9093" s="13"/>
      <c r="F9093" s="14"/>
      <c r="G9093" s="14"/>
      <c r="H9093" s="14"/>
      <c r="I9093" s="14"/>
    </row>
    <row r="9094" ht="20.7" customHeight="1">
      <c r="A9094" s="10">
        <v>45798</v>
      </c>
      <c r="B9094" t="s" s="11">
        <v>8</v>
      </c>
      <c r="C9094" t="s" s="12">
        <v>8</v>
      </c>
      <c r="D9094" s="15" cm="1">
        <f t="array" ref="D9094">SUM(D9092:D9093)</f>
        <v>7000</v>
      </c>
      <c r="E9094" s="15" cm="1">
        <f t="array" ref="E9094">SUM(E9092:E9093)</f>
        <v>7000</v>
      </c>
      <c r="F9094" s="16" cm="1">
        <f t="array" ref="F9094">SUM(F9092:F9093)</f>
        <v>0</v>
      </c>
      <c r="G9094" s="16" cm="1">
        <f t="array" ref="G9094">SUM(G9092:G9093)</f>
        <v>0</v>
      </c>
      <c r="H9094" s="16" cm="1">
        <f t="array" ref="H9094">SUM(H9092:H9093)</f>
        <v>0</v>
      </c>
      <c r="I9094" s="16" cm="1">
        <f t="array" ref="I9094">SUM(I9092:I9093)</f>
        <v>0</v>
      </c>
    </row>
    <row r="9095" ht="20.65" customHeight="1">
      <c r="A9095" s="10">
        <v>45798</v>
      </c>
      <c r="B9095" t="s" s="11">
        <v>5</v>
      </c>
      <c r="C9095" t="s" s="12">
        <v>390</v>
      </c>
      <c r="D9095" s="17"/>
      <c r="E9095" s="17">
        <v>14140</v>
      </c>
      <c r="F9095" s="18"/>
      <c r="G9095" s="18"/>
      <c r="H9095" s="18"/>
      <c r="I9095" s="18"/>
    </row>
    <row r="9096" ht="20.35" customHeight="1">
      <c r="A9096" s="10">
        <v>45798</v>
      </c>
      <c r="B9096" t="s" s="11">
        <v>12</v>
      </c>
      <c r="C9096" t="s" s="12">
        <v>390</v>
      </c>
      <c r="D9096" s="19">
        <v>7070</v>
      </c>
      <c r="E9096" s="19"/>
      <c r="F9096" s="20"/>
      <c r="G9096" s="20"/>
      <c r="H9096" s="20"/>
      <c r="I9096" s="20"/>
    </row>
    <row r="9097" ht="20.65" customHeight="1">
      <c r="A9097" s="10">
        <v>45798</v>
      </c>
      <c r="B9097" t="s" s="11">
        <v>10</v>
      </c>
      <c r="C9097" t="s" s="12">
        <v>390</v>
      </c>
      <c r="D9097" s="13">
        <v>7070</v>
      </c>
      <c r="E9097" s="13"/>
      <c r="F9097" s="14"/>
      <c r="G9097" s="14"/>
      <c r="H9097" s="14"/>
      <c r="I9097" s="14"/>
    </row>
    <row r="9098" ht="20.7" customHeight="1">
      <c r="A9098" s="10">
        <v>45798</v>
      </c>
      <c r="B9098" t="s" s="11">
        <v>8</v>
      </c>
      <c r="C9098" t="s" s="12">
        <v>8</v>
      </c>
      <c r="D9098" s="15" cm="1">
        <f t="array" ref="D9098">SUM(D9095:D9097)</f>
        <v>14140</v>
      </c>
      <c r="E9098" s="15" cm="1">
        <f t="array" ref="E9098">SUM(E9095:E9097)</f>
        <v>14140</v>
      </c>
      <c r="F9098" s="16" cm="1">
        <f t="array" ref="F9098">SUM(F9095:F9097)</f>
        <v>0</v>
      </c>
      <c r="G9098" s="16" cm="1">
        <f t="array" ref="G9098">SUM(G9095:G9097)</f>
        <v>0</v>
      </c>
      <c r="H9098" s="16" cm="1">
        <f t="array" ref="H9098">SUM(H9095:H9097)</f>
        <v>0</v>
      </c>
      <c r="I9098" s="16" cm="1">
        <f t="array" ref="I9098">SUM(I9095:I9097)</f>
        <v>0</v>
      </c>
    </row>
    <row r="9099" ht="20.35" customHeight="1">
      <c r="A9099" s="10">
        <v>45798</v>
      </c>
      <c r="B9099" t="s" s="11">
        <v>5</v>
      </c>
      <c r="C9099" t="s" s="12">
        <v>17</v>
      </c>
      <c r="D9099" s="17">
        <v>1</v>
      </c>
      <c r="E9099" s="17"/>
      <c r="F9099" s="18"/>
      <c r="G9099" s="18"/>
      <c r="H9099" s="18"/>
      <c r="I9099" s="18"/>
    </row>
    <row r="9100" ht="20.35" customHeight="1">
      <c r="A9100" s="10">
        <v>45798</v>
      </c>
      <c r="B9100" t="s" s="11">
        <v>18</v>
      </c>
      <c r="C9100" t="s" s="12">
        <v>17</v>
      </c>
      <c r="D9100" s="13"/>
      <c r="E9100" s="13">
        <v>1</v>
      </c>
      <c r="F9100" s="14"/>
      <c r="G9100" s="14"/>
      <c r="H9100" s="14"/>
      <c r="I9100" s="14"/>
    </row>
    <row r="9101" ht="20.7" customHeight="1">
      <c r="A9101" s="10">
        <v>45798</v>
      </c>
      <c r="B9101" t="s" s="11">
        <v>8</v>
      </c>
      <c r="C9101" t="s" s="12">
        <v>8</v>
      </c>
      <c r="D9101" s="15" cm="1">
        <f t="array" ref="D9101">SUM(D9099:D9100)</f>
        <v>1</v>
      </c>
      <c r="E9101" s="15" cm="1">
        <f t="array" ref="E9101">SUM(E9099:E9100)</f>
        <v>1</v>
      </c>
      <c r="F9101" s="16" cm="1">
        <f t="array" ref="F9101">SUM(F9099:F9100)</f>
        <v>0</v>
      </c>
      <c r="G9101" s="16" cm="1">
        <f t="array" ref="G9101">SUM(G9099:G9100)</f>
        <v>0</v>
      </c>
      <c r="H9101" s="16" cm="1">
        <f t="array" ref="H9101">SUM(H9099:H9100)</f>
        <v>0</v>
      </c>
      <c r="I9101" s="16" cm="1">
        <f t="array" ref="I9101">SUM(I9099:I9100)</f>
        <v>0</v>
      </c>
    </row>
    <row r="9102" ht="21.25" customHeight="1">
      <c r="A9102" s="10">
        <v>45798</v>
      </c>
      <c r="B9102" t="s" s="11">
        <v>21</v>
      </c>
      <c r="C9102" t="s" s="12">
        <v>1218</v>
      </c>
      <c r="D9102" s="17"/>
      <c r="E9102" s="17">
        <v>3000</v>
      </c>
      <c r="F9102" s="18"/>
      <c r="G9102" s="18"/>
      <c r="H9102" s="18"/>
      <c r="I9102" s="18"/>
    </row>
    <row r="9103" ht="21.25" customHeight="1">
      <c r="A9103" s="10">
        <v>45798</v>
      </c>
      <c r="B9103" t="s" s="11">
        <v>16</v>
      </c>
      <c r="C9103" t="s" s="12">
        <v>1218</v>
      </c>
      <c r="D9103" s="13">
        <v>3000</v>
      </c>
      <c r="E9103" s="13"/>
      <c r="F9103" s="14"/>
      <c r="G9103" s="14"/>
      <c r="H9103" s="14"/>
      <c r="I9103" s="14"/>
    </row>
    <row r="9104" ht="20.7" customHeight="1">
      <c r="A9104" s="10">
        <v>45798</v>
      </c>
      <c r="B9104" t="s" s="11">
        <v>8</v>
      </c>
      <c r="C9104" t="s" s="12">
        <v>8</v>
      </c>
      <c r="D9104" s="15" cm="1">
        <f t="array" ref="D9104">SUM(D9102:D9103)</f>
        <v>3000</v>
      </c>
      <c r="E9104" s="15" cm="1">
        <f t="array" ref="E9104">SUM(E9102:E9103)</f>
        <v>3000</v>
      </c>
      <c r="F9104" s="16" cm="1">
        <f t="array" ref="F9104">SUM(F9102:F9103)</f>
        <v>0</v>
      </c>
      <c r="G9104" s="16" cm="1">
        <f t="array" ref="G9104">SUM(G9102:G9103)</f>
        <v>0</v>
      </c>
      <c r="H9104" s="16" cm="1">
        <f t="array" ref="H9104">SUM(H9102:H9103)</f>
        <v>0</v>
      </c>
      <c r="I9104" s="16" cm="1">
        <f t="array" ref="I9104">SUM(I9102:I9103)</f>
        <v>0</v>
      </c>
    </row>
    <row r="9105" ht="20.65" customHeight="1">
      <c r="A9105" s="10">
        <v>45799</v>
      </c>
      <c r="B9105" t="s" s="11">
        <v>814</v>
      </c>
      <c r="C9105" t="s" s="12">
        <v>820</v>
      </c>
      <c r="D9105" s="17">
        <v>64</v>
      </c>
      <c r="E9105" s="17"/>
      <c r="F9105" s="18"/>
      <c r="G9105" s="18"/>
      <c r="H9105" s="18"/>
      <c r="I9105" s="18"/>
    </row>
    <row r="9106" ht="20.65" customHeight="1">
      <c r="A9106" s="10">
        <v>45799</v>
      </c>
      <c r="B9106" t="s" s="11">
        <v>7</v>
      </c>
      <c r="C9106" t="s" s="12">
        <v>820</v>
      </c>
      <c r="D9106" s="13"/>
      <c r="E9106" s="13">
        <v>64</v>
      </c>
      <c r="F9106" s="14"/>
      <c r="G9106" s="14"/>
      <c r="H9106" s="14"/>
      <c r="I9106" s="14"/>
    </row>
    <row r="9107" ht="20.7" customHeight="1">
      <c r="A9107" s="10">
        <v>45799</v>
      </c>
      <c r="B9107" t="s" s="11">
        <v>8</v>
      </c>
      <c r="C9107" t="s" s="12">
        <v>8</v>
      </c>
      <c r="D9107" s="15" cm="1">
        <f t="array" ref="D9107">SUM(D9105:D9106)</f>
        <v>64</v>
      </c>
      <c r="E9107" s="15" cm="1">
        <f t="array" ref="E9107">SUM(E9105:E9106)</f>
        <v>64</v>
      </c>
      <c r="F9107" s="16" cm="1">
        <f t="array" ref="F9107">SUM(F9105:F9106)</f>
        <v>0</v>
      </c>
      <c r="G9107" s="16" cm="1">
        <f t="array" ref="G9107">SUM(G9105:G9106)</f>
        <v>0</v>
      </c>
      <c r="H9107" s="16" cm="1">
        <f t="array" ref="H9107">SUM(H9105:H9106)</f>
        <v>0</v>
      </c>
      <c r="I9107" s="16" cm="1">
        <f t="array" ref="I9107">SUM(I9105:I9106)</f>
        <v>0</v>
      </c>
    </row>
    <row r="9108" ht="20.35" customHeight="1">
      <c r="A9108" s="10">
        <v>45799</v>
      </c>
      <c r="B9108" t="s" s="11">
        <v>89</v>
      </c>
      <c r="C9108" t="s" s="12">
        <v>1216</v>
      </c>
      <c r="D9108" s="17"/>
      <c r="E9108" s="17">
        <v>70000</v>
      </c>
      <c r="F9108" s="18"/>
      <c r="G9108" s="18"/>
      <c r="H9108" s="18"/>
      <c r="I9108" s="18"/>
    </row>
    <row r="9109" ht="20.35" customHeight="1">
      <c r="A9109" s="10">
        <v>45799</v>
      </c>
      <c r="B9109" t="s" s="11">
        <v>107</v>
      </c>
      <c r="C9109" t="s" s="12">
        <v>1216</v>
      </c>
      <c r="D9109" s="13">
        <v>70000</v>
      </c>
      <c r="E9109" s="13"/>
      <c r="F9109" s="14"/>
      <c r="G9109" s="14"/>
      <c r="H9109" s="14"/>
      <c r="I9109" s="14"/>
    </row>
    <row r="9110" ht="20.7" customHeight="1">
      <c r="A9110" s="10">
        <v>45799</v>
      </c>
      <c r="B9110" t="s" s="11">
        <v>8</v>
      </c>
      <c r="C9110" t="s" s="12">
        <v>8</v>
      </c>
      <c r="D9110" s="15" cm="1">
        <f t="array" ref="D9110">SUM(D9108:D9109)</f>
        <v>70000</v>
      </c>
      <c r="E9110" s="15" cm="1">
        <f t="array" ref="E9110">SUM(E9108:E9109)</f>
        <v>70000</v>
      </c>
      <c r="F9110" s="16" cm="1">
        <f t="array" ref="F9110">SUM(F9108:F9109)</f>
        <v>0</v>
      </c>
      <c r="G9110" s="16" cm="1">
        <f t="array" ref="G9110">SUM(G9108:G9109)</f>
        <v>0</v>
      </c>
      <c r="H9110" s="16" cm="1">
        <f t="array" ref="H9110">SUM(H9108:H9109)</f>
        <v>0</v>
      </c>
      <c r="I9110" s="16" cm="1">
        <f t="array" ref="I9110">SUM(I9108:I9109)</f>
        <v>0</v>
      </c>
    </row>
    <row r="9111" ht="21.25" customHeight="1">
      <c r="A9111" s="10">
        <v>45799</v>
      </c>
      <c r="B9111" t="s" s="11">
        <v>121</v>
      </c>
      <c r="C9111" t="s" s="12">
        <v>1219</v>
      </c>
      <c r="D9111" s="17"/>
      <c r="E9111" s="17">
        <v>7000</v>
      </c>
      <c r="F9111" s="18"/>
      <c r="G9111" s="18"/>
      <c r="H9111" s="18"/>
      <c r="I9111" s="18"/>
    </row>
    <row r="9112" ht="21.25" customHeight="1">
      <c r="A9112" s="10">
        <v>45799</v>
      </c>
      <c r="B9112" t="s" s="11">
        <v>12</v>
      </c>
      <c r="C9112" t="s" s="12">
        <v>1219</v>
      </c>
      <c r="D9112" s="13">
        <v>7000</v>
      </c>
      <c r="E9112" s="13"/>
      <c r="F9112" s="14"/>
      <c r="G9112" s="14"/>
      <c r="H9112" s="14"/>
      <c r="I9112" s="14"/>
    </row>
    <row r="9113" ht="20.7" customHeight="1">
      <c r="A9113" s="10">
        <v>45799</v>
      </c>
      <c r="B9113" t="s" s="11">
        <v>8</v>
      </c>
      <c r="C9113" t="s" s="12">
        <v>8</v>
      </c>
      <c r="D9113" s="15" cm="1">
        <f t="array" ref="D9113">SUM(D9111:D9112)</f>
        <v>7000</v>
      </c>
      <c r="E9113" s="15" cm="1">
        <f t="array" ref="E9113">SUM(E9111:E9112)</f>
        <v>7000</v>
      </c>
      <c r="F9113" s="16" cm="1">
        <f t="array" ref="F9113">SUM(F9111:F9112)</f>
        <v>0</v>
      </c>
      <c r="G9113" s="16" cm="1">
        <f t="array" ref="G9113">SUM(G9111:G9112)</f>
        <v>0</v>
      </c>
      <c r="H9113" s="16" cm="1">
        <f t="array" ref="H9113">SUM(H9111:H9112)</f>
        <v>0</v>
      </c>
      <c r="I9113" s="16" cm="1">
        <f t="array" ref="I9113">SUM(I9111:I9112)</f>
        <v>0</v>
      </c>
    </row>
    <row r="9114" ht="21.25" customHeight="1">
      <c r="A9114" s="10">
        <v>45799</v>
      </c>
      <c r="B9114" t="s" s="11">
        <v>121</v>
      </c>
      <c r="C9114" t="s" s="12">
        <v>1220</v>
      </c>
      <c r="D9114" s="17"/>
      <c r="E9114" s="17">
        <v>10750</v>
      </c>
      <c r="F9114" s="18"/>
      <c r="G9114" s="18"/>
      <c r="H9114" s="18"/>
      <c r="I9114" s="18"/>
    </row>
    <row r="9115" ht="21.25" customHeight="1">
      <c r="A9115" s="10">
        <v>45799</v>
      </c>
      <c r="B9115" t="s" s="11">
        <v>12</v>
      </c>
      <c r="C9115" t="s" s="12">
        <v>1220</v>
      </c>
      <c r="D9115" s="13">
        <v>10750</v>
      </c>
      <c r="E9115" s="13"/>
      <c r="F9115" s="14"/>
      <c r="G9115" s="14"/>
      <c r="H9115" s="14"/>
      <c r="I9115" s="14"/>
    </row>
    <row r="9116" ht="20.7" customHeight="1">
      <c r="A9116" s="10">
        <v>45799</v>
      </c>
      <c r="B9116" t="s" s="11">
        <v>8</v>
      </c>
      <c r="C9116" t="s" s="12">
        <v>8</v>
      </c>
      <c r="D9116" s="15" cm="1">
        <f t="array" ref="D9116">SUM(D9114:D9115)</f>
        <v>10750</v>
      </c>
      <c r="E9116" s="15" cm="1">
        <f t="array" ref="E9116">SUM(E9114:E9115)</f>
        <v>10750</v>
      </c>
      <c r="F9116" s="16" cm="1">
        <f t="array" ref="F9116">SUM(F9114:F9115)</f>
        <v>0</v>
      </c>
      <c r="G9116" s="16" cm="1">
        <f t="array" ref="G9116">SUM(G9114:G9115)</f>
        <v>0</v>
      </c>
      <c r="H9116" s="16" cm="1">
        <f t="array" ref="H9116">SUM(H9114:H9115)</f>
        <v>0</v>
      </c>
      <c r="I9116" s="16" cm="1">
        <f t="array" ref="I9116">SUM(I9114:I9115)</f>
        <v>0</v>
      </c>
    </row>
    <row r="9117" ht="20.35" customHeight="1">
      <c r="A9117" s="10">
        <v>45799</v>
      </c>
      <c r="B9117" t="s" s="11">
        <v>93</v>
      </c>
      <c r="C9117" t="s" s="12">
        <v>1221</v>
      </c>
      <c r="D9117" s="17"/>
      <c r="E9117" s="17">
        <v>12347</v>
      </c>
      <c r="F9117" s="18"/>
      <c r="G9117" s="18"/>
      <c r="H9117" s="18"/>
      <c r="I9117" s="18"/>
    </row>
    <row r="9118" ht="20.05" customHeight="1">
      <c r="A9118" s="10">
        <v>45799</v>
      </c>
      <c r="B9118" t="s" s="11">
        <v>12</v>
      </c>
      <c r="C9118" t="s" s="12">
        <v>1221</v>
      </c>
      <c r="D9118" s="19">
        <v>6173</v>
      </c>
      <c r="E9118" s="19"/>
      <c r="F9118" s="20"/>
      <c r="G9118" s="20"/>
      <c r="H9118" s="20"/>
      <c r="I9118" s="20"/>
    </row>
    <row r="9119" ht="20.35" customHeight="1">
      <c r="A9119" s="10">
        <v>45799</v>
      </c>
      <c r="B9119" t="s" s="11">
        <v>10</v>
      </c>
      <c r="C9119" t="s" s="12">
        <v>1221</v>
      </c>
      <c r="D9119" s="13">
        <v>6174</v>
      </c>
      <c r="E9119" s="13"/>
      <c r="F9119" s="14"/>
      <c r="G9119" s="14"/>
      <c r="H9119" s="14"/>
      <c r="I9119" s="14"/>
    </row>
    <row r="9120" ht="20.7" customHeight="1">
      <c r="A9120" s="10">
        <v>45799</v>
      </c>
      <c r="B9120" t="s" s="11">
        <v>8</v>
      </c>
      <c r="C9120" t="s" s="12">
        <v>8</v>
      </c>
      <c r="D9120" s="15" cm="1">
        <f t="array" ref="D9120">SUM(D9117:D9119)</f>
        <v>12347</v>
      </c>
      <c r="E9120" s="15" cm="1">
        <f t="array" ref="E9120">SUM(E9117:E9119)</f>
        <v>12347</v>
      </c>
      <c r="F9120" s="16" cm="1">
        <f t="array" ref="F9120">SUM(F9117:F9119)</f>
        <v>0</v>
      </c>
      <c r="G9120" s="16" cm="1">
        <f t="array" ref="G9120">SUM(G9117:G9119)</f>
        <v>0</v>
      </c>
      <c r="H9120" s="16" cm="1">
        <f t="array" ref="H9120">SUM(H9117:H9119)</f>
        <v>0</v>
      </c>
      <c r="I9120" s="16" cm="1">
        <f t="array" ref="I9120">SUM(I9117:I9119)</f>
        <v>0</v>
      </c>
    </row>
    <row r="9121" ht="20.35" customHeight="1">
      <c r="A9121" s="10">
        <v>45799</v>
      </c>
      <c r="B9121" t="s" s="11">
        <v>121</v>
      </c>
      <c r="C9121" t="s" s="12">
        <v>1222</v>
      </c>
      <c r="D9121" s="17"/>
      <c r="E9121" s="17">
        <v>12000</v>
      </c>
      <c r="F9121" s="18"/>
      <c r="G9121" s="18"/>
      <c r="H9121" s="18"/>
      <c r="I9121" s="18"/>
    </row>
    <row r="9122" ht="20.35" customHeight="1">
      <c r="A9122" s="10">
        <v>45799</v>
      </c>
      <c r="B9122" t="s" s="11">
        <v>10</v>
      </c>
      <c r="C9122" t="s" s="12">
        <v>1222</v>
      </c>
      <c r="D9122" s="13">
        <v>12000</v>
      </c>
      <c r="E9122" s="13"/>
      <c r="F9122" s="14"/>
      <c r="G9122" s="14"/>
      <c r="H9122" s="14"/>
      <c r="I9122" s="14"/>
    </row>
    <row r="9123" ht="20.7" customHeight="1">
      <c r="A9123" s="10">
        <v>45799</v>
      </c>
      <c r="B9123" t="s" s="11">
        <v>8</v>
      </c>
      <c r="C9123" t="s" s="12">
        <v>8</v>
      </c>
      <c r="D9123" s="15" cm="1">
        <f t="array" ref="D9123">SUM(D9121:D9122)</f>
        <v>12000</v>
      </c>
      <c r="E9123" s="15" cm="1">
        <f t="array" ref="E9123">SUM(E9121:E9122)</f>
        <v>12000</v>
      </c>
      <c r="F9123" s="16" cm="1">
        <f t="array" ref="F9123">SUM(F9121:F9122)</f>
        <v>0</v>
      </c>
      <c r="G9123" s="16" cm="1">
        <f t="array" ref="G9123">SUM(G9121:G9122)</f>
        <v>0</v>
      </c>
      <c r="H9123" s="16" cm="1">
        <f t="array" ref="H9123">SUM(H9121:H9122)</f>
        <v>0</v>
      </c>
      <c r="I9123" s="16" cm="1">
        <f t="array" ref="I9123">SUM(I9121:I9122)</f>
        <v>0</v>
      </c>
    </row>
    <row r="9124" ht="20.35" customHeight="1">
      <c r="A9124" s="10">
        <v>45799</v>
      </c>
      <c r="B9124" t="s" s="11">
        <v>5</v>
      </c>
      <c r="C9124" t="s" s="12">
        <v>17</v>
      </c>
      <c r="D9124" s="17">
        <v>1</v>
      </c>
      <c r="E9124" s="17"/>
      <c r="F9124" s="18"/>
      <c r="G9124" s="18"/>
      <c r="H9124" s="18"/>
      <c r="I9124" s="18"/>
    </row>
    <row r="9125" ht="20.35" customHeight="1">
      <c r="A9125" s="10">
        <v>45799</v>
      </c>
      <c r="B9125" t="s" s="11">
        <v>18</v>
      </c>
      <c r="C9125" t="s" s="12">
        <v>17</v>
      </c>
      <c r="D9125" s="13"/>
      <c r="E9125" s="13">
        <v>1</v>
      </c>
      <c r="F9125" s="14"/>
      <c r="G9125" s="14"/>
      <c r="H9125" s="14"/>
      <c r="I9125" s="14"/>
    </row>
    <row r="9126" ht="20.7" customHeight="1">
      <c r="A9126" s="10">
        <v>45799</v>
      </c>
      <c r="B9126" t="s" s="11">
        <v>8</v>
      </c>
      <c r="C9126" t="s" s="12">
        <v>8</v>
      </c>
      <c r="D9126" s="15" cm="1">
        <f t="array" ref="D9126">SUM(D9124:D9125)</f>
        <v>1</v>
      </c>
      <c r="E9126" s="15" cm="1">
        <f t="array" ref="E9126">SUM(E9124:E9125)</f>
        <v>1</v>
      </c>
      <c r="F9126" s="16" cm="1">
        <f t="array" ref="F9126">SUM(F9124:F9125)</f>
        <v>0</v>
      </c>
      <c r="G9126" s="16" cm="1">
        <f t="array" ref="G9126">SUM(G9124:G9125)</f>
        <v>0</v>
      </c>
      <c r="H9126" s="16" cm="1">
        <f t="array" ref="H9126">SUM(H9124:H9125)</f>
        <v>0</v>
      </c>
      <c r="I9126" s="16" cm="1">
        <f t="array" ref="I9126">SUM(I9124:I9125)</f>
        <v>0</v>
      </c>
    </row>
    <row r="9127" ht="20.35" customHeight="1">
      <c r="A9127" s="10">
        <v>45799</v>
      </c>
      <c r="B9127" t="s" s="11">
        <v>1155</v>
      </c>
      <c r="C9127" t="s" s="12">
        <v>1223</v>
      </c>
      <c r="D9127" s="17"/>
      <c r="E9127" s="17"/>
      <c r="F9127" s="18"/>
      <c r="G9127" s="18"/>
      <c r="H9127" s="18"/>
      <c r="I9127" s="18">
        <v>69.72</v>
      </c>
    </row>
    <row r="9128" ht="20.35" customHeight="1">
      <c r="A9128" s="10">
        <v>45799</v>
      </c>
      <c r="B9128" t="s" s="11">
        <v>1191</v>
      </c>
      <c r="C9128" t="s" s="12">
        <v>1223</v>
      </c>
      <c r="D9128" s="13"/>
      <c r="E9128" s="13"/>
      <c r="F9128" s="14"/>
      <c r="G9128" s="14"/>
      <c r="H9128" s="14">
        <v>69.72</v>
      </c>
      <c r="I9128" s="14"/>
    </row>
    <row r="9129" ht="20.7" customHeight="1">
      <c r="A9129" s="10">
        <v>45799</v>
      </c>
      <c r="B9129" t="s" s="11">
        <v>8</v>
      </c>
      <c r="C9129" t="s" s="12">
        <v>8</v>
      </c>
      <c r="D9129" s="15" cm="1">
        <f t="array" ref="D9129">SUM(D9127:D9128)</f>
        <v>0</v>
      </c>
      <c r="E9129" s="15" cm="1">
        <f t="array" ref="E9129">SUM(E9127:E9128)</f>
        <v>0</v>
      </c>
      <c r="F9129" s="16" cm="1">
        <f t="array" ref="F9129">SUM(F9127:F9128)</f>
        <v>0</v>
      </c>
      <c r="G9129" s="16" cm="1">
        <f t="array" ref="G9129">SUM(G9127:G9128)</f>
        <v>0</v>
      </c>
      <c r="H9129" s="16" cm="1">
        <f t="array" ref="H9129">SUM(H9127:H9128)</f>
        <v>69.72</v>
      </c>
      <c r="I9129" s="16" cm="1">
        <f t="array" ref="I9129">SUM(I9127:I9128)</f>
        <v>69.72</v>
      </c>
    </row>
    <row r="9130" ht="20.65" customHeight="1">
      <c r="A9130" s="10">
        <v>45800</v>
      </c>
      <c r="B9130" t="s" s="11">
        <v>814</v>
      </c>
      <c r="C9130" t="s" s="12">
        <v>820</v>
      </c>
      <c r="D9130" s="17">
        <v>64</v>
      </c>
      <c r="E9130" s="17"/>
      <c r="F9130" s="18"/>
      <c r="G9130" s="18"/>
      <c r="H9130" s="18"/>
      <c r="I9130" s="18"/>
    </row>
    <row r="9131" ht="20.65" customHeight="1">
      <c r="A9131" s="10">
        <v>45800</v>
      </c>
      <c r="B9131" t="s" s="11">
        <v>7</v>
      </c>
      <c r="C9131" t="s" s="12">
        <v>820</v>
      </c>
      <c r="D9131" s="13"/>
      <c r="E9131" s="13">
        <v>64</v>
      </c>
      <c r="F9131" s="14"/>
      <c r="G9131" s="14"/>
      <c r="H9131" s="14"/>
      <c r="I9131" s="14"/>
    </row>
    <row r="9132" ht="20.7" customHeight="1">
      <c r="A9132" s="10">
        <v>45800</v>
      </c>
      <c r="B9132" t="s" s="11">
        <v>8</v>
      </c>
      <c r="C9132" t="s" s="12">
        <v>8</v>
      </c>
      <c r="D9132" s="15" cm="1">
        <f t="array" ref="D9132">SUM(D9130:D9131)</f>
        <v>64</v>
      </c>
      <c r="E9132" s="15" cm="1">
        <f t="array" ref="E9132">SUM(E9130:E9131)</f>
        <v>64</v>
      </c>
      <c r="F9132" s="16" cm="1">
        <f t="array" ref="F9132">SUM(F9130:F9131)</f>
        <v>0</v>
      </c>
      <c r="G9132" s="16" cm="1">
        <f t="array" ref="G9132">SUM(G9130:G9131)</f>
        <v>0</v>
      </c>
      <c r="H9132" s="16" cm="1">
        <f t="array" ref="H9132">SUM(H9130:H9131)</f>
        <v>0</v>
      </c>
      <c r="I9132" s="16" cm="1">
        <f t="array" ref="I9132">SUM(I9130:I9131)</f>
        <v>0</v>
      </c>
    </row>
    <row r="9133" ht="20.35" customHeight="1">
      <c r="A9133" s="10">
        <v>45800</v>
      </c>
      <c r="B9133" t="s" s="11">
        <v>121</v>
      </c>
      <c r="C9133" t="s" s="12">
        <v>890</v>
      </c>
      <c r="D9133" s="17"/>
      <c r="E9133" s="17">
        <v>500</v>
      </c>
      <c r="F9133" s="18"/>
      <c r="G9133" s="18"/>
      <c r="H9133" s="18"/>
      <c r="I9133" s="18"/>
    </row>
    <row r="9134" ht="20.35" customHeight="1">
      <c r="A9134" s="10">
        <v>45800</v>
      </c>
      <c r="B9134" t="s" s="11">
        <v>10</v>
      </c>
      <c r="C9134" t="s" s="12">
        <v>890</v>
      </c>
      <c r="D9134" s="13">
        <v>500</v>
      </c>
      <c r="E9134" s="13"/>
      <c r="F9134" s="14"/>
      <c r="G9134" s="14"/>
      <c r="H9134" s="14"/>
      <c r="I9134" s="14"/>
    </row>
    <row r="9135" ht="20.7" customHeight="1">
      <c r="A9135" s="10">
        <v>45800</v>
      </c>
      <c r="B9135" t="s" s="11">
        <v>8</v>
      </c>
      <c r="C9135" t="s" s="12">
        <v>8</v>
      </c>
      <c r="D9135" s="15" cm="1">
        <f t="array" ref="D9135">SUM(D9133:D9134)</f>
        <v>500</v>
      </c>
      <c r="E9135" s="15" cm="1">
        <f t="array" ref="E9135">SUM(E9133:E9134)</f>
        <v>500</v>
      </c>
      <c r="F9135" s="16" cm="1">
        <f t="array" ref="F9135">SUM(F9133:F9134)</f>
        <v>0</v>
      </c>
      <c r="G9135" s="16" cm="1">
        <f t="array" ref="G9135">SUM(G9133:G9134)</f>
        <v>0</v>
      </c>
      <c r="H9135" s="16" cm="1">
        <f t="array" ref="H9135">SUM(H9133:H9134)</f>
        <v>0</v>
      </c>
      <c r="I9135" s="16" cm="1">
        <f t="array" ref="I9135">SUM(I9133:I9134)</f>
        <v>0</v>
      </c>
    </row>
    <row r="9136" ht="21.25" customHeight="1">
      <c r="A9136" s="10">
        <v>45800</v>
      </c>
      <c r="B9136" t="s" s="11">
        <v>5</v>
      </c>
      <c r="C9136" t="s" s="12">
        <v>1224</v>
      </c>
      <c r="D9136" s="17"/>
      <c r="E9136" s="17">
        <v>42000</v>
      </c>
      <c r="F9136" s="18"/>
      <c r="G9136" s="18"/>
      <c r="H9136" s="18"/>
      <c r="I9136" s="18"/>
    </row>
    <row r="9137" ht="20.9" customHeight="1">
      <c r="A9137" s="10">
        <v>45800</v>
      </c>
      <c r="B9137" t="s" s="11">
        <v>12</v>
      </c>
      <c r="C9137" t="s" s="12">
        <v>1224</v>
      </c>
      <c r="D9137" s="19">
        <v>21000</v>
      </c>
      <c r="E9137" s="19"/>
      <c r="F9137" s="20"/>
      <c r="G9137" s="20"/>
      <c r="H9137" s="20"/>
      <c r="I9137" s="20"/>
    </row>
    <row r="9138" ht="21.25" customHeight="1">
      <c r="A9138" s="10">
        <v>45800</v>
      </c>
      <c r="B9138" t="s" s="11">
        <v>10</v>
      </c>
      <c r="C9138" t="s" s="12">
        <v>1224</v>
      </c>
      <c r="D9138" s="13">
        <v>21000</v>
      </c>
      <c r="E9138" s="13"/>
      <c r="F9138" s="14"/>
      <c r="G9138" s="14"/>
      <c r="H9138" s="14"/>
      <c r="I9138" s="14"/>
    </row>
    <row r="9139" ht="20.7" customHeight="1">
      <c r="A9139" s="10">
        <v>45800</v>
      </c>
      <c r="B9139" t="s" s="11">
        <v>8</v>
      </c>
      <c r="C9139" t="s" s="12">
        <v>8</v>
      </c>
      <c r="D9139" s="15" cm="1">
        <f t="array" ref="D9139">SUM(D9136:D9138)</f>
        <v>42000</v>
      </c>
      <c r="E9139" s="15" cm="1">
        <f t="array" ref="E9139">SUM(E9136:E9138)</f>
        <v>42000</v>
      </c>
      <c r="F9139" s="16" cm="1">
        <f t="array" ref="F9139">SUM(F9136:F9138)</f>
        <v>0</v>
      </c>
      <c r="G9139" s="16" cm="1">
        <f t="array" ref="G9139">SUM(G9136:G9138)</f>
        <v>0</v>
      </c>
      <c r="H9139" s="16" cm="1">
        <f t="array" ref="H9139">SUM(H9136:H9138)</f>
        <v>0</v>
      </c>
      <c r="I9139" s="16" cm="1">
        <f t="array" ref="I9139">SUM(I9136:I9138)</f>
        <v>0</v>
      </c>
    </row>
    <row r="9140" ht="20.35" customHeight="1">
      <c r="A9140" s="10">
        <v>45800</v>
      </c>
      <c r="B9140" t="s" s="11">
        <v>121</v>
      </c>
      <c r="C9140" t="s" s="12">
        <v>1225</v>
      </c>
      <c r="D9140" s="17"/>
      <c r="E9140" s="17">
        <v>5300</v>
      </c>
      <c r="F9140" s="18"/>
      <c r="G9140" s="18"/>
      <c r="H9140" s="18"/>
      <c r="I9140" s="18"/>
    </row>
    <row r="9141" ht="20.35" customHeight="1">
      <c r="A9141" s="10">
        <v>45800</v>
      </c>
      <c r="B9141" t="s" s="11">
        <v>12</v>
      </c>
      <c r="C9141" t="s" s="12">
        <v>1225</v>
      </c>
      <c r="D9141" s="13">
        <v>5300</v>
      </c>
      <c r="E9141" s="13"/>
      <c r="F9141" s="14"/>
      <c r="G9141" s="14"/>
      <c r="H9141" s="14"/>
      <c r="I9141" s="14"/>
    </row>
    <row r="9142" ht="20.7" customHeight="1">
      <c r="A9142" s="10">
        <v>45800</v>
      </c>
      <c r="B9142" t="s" s="11">
        <v>8</v>
      </c>
      <c r="C9142" t="s" s="12">
        <v>8</v>
      </c>
      <c r="D9142" s="15" cm="1">
        <f t="array" ref="D9142">SUM(D9140:D9141)</f>
        <v>5300</v>
      </c>
      <c r="E9142" s="15" cm="1">
        <f t="array" ref="E9142">SUM(E9140:E9141)</f>
        <v>5300</v>
      </c>
      <c r="F9142" s="16" cm="1">
        <f t="array" ref="F9142">SUM(F9140:F9141)</f>
        <v>0</v>
      </c>
      <c r="G9142" s="16" cm="1">
        <f t="array" ref="G9142">SUM(G9140:G9141)</f>
        <v>0</v>
      </c>
      <c r="H9142" s="16" cm="1">
        <f t="array" ref="H9142">SUM(H9140:H9141)</f>
        <v>0</v>
      </c>
      <c r="I9142" s="16" cm="1">
        <f t="array" ref="I9142">SUM(I9140:I9141)</f>
        <v>0</v>
      </c>
    </row>
    <row r="9143" ht="20.35" customHeight="1">
      <c r="A9143" s="10">
        <v>45800</v>
      </c>
      <c r="B9143" t="s" s="11">
        <v>39</v>
      </c>
      <c r="C9143" t="s" s="12">
        <v>64</v>
      </c>
      <c r="D9143" s="17"/>
      <c r="E9143" s="17"/>
      <c r="F9143" s="18">
        <v>50</v>
      </c>
      <c r="G9143" s="18"/>
      <c r="H9143" s="18"/>
      <c r="I9143" s="18"/>
    </row>
    <row r="9144" ht="20.35" customHeight="1">
      <c r="A9144" s="10">
        <v>45800</v>
      </c>
      <c r="B9144" t="s" s="11">
        <v>41</v>
      </c>
      <c r="C9144" t="s" s="12">
        <v>64</v>
      </c>
      <c r="D9144" s="13"/>
      <c r="E9144" s="13"/>
      <c r="F9144" s="14"/>
      <c r="G9144" s="14">
        <v>50</v>
      </c>
      <c r="H9144" s="14"/>
      <c r="I9144" s="14"/>
    </row>
    <row r="9145" ht="20.7" customHeight="1">
      <c r="A9145" s="10">
        <v>45800</v>
      </c>
      <c r="B9145" t="s" s="11">
        <v>8</v>
      </c>
      <c r="C9145" t="s" s="12">
        <v>8</v>
      </c>
      <c r="D9145" s="15" cm="1">
        <f t="array" ref="D9145">SUM(D9143:D9144)</f>
        <v>0</v>
      </c>
      <c r="E9145" s="15" cm="1">
        <f t="array" ref="E9145">SUM(E9143:E9144)</f>
        <v>0</v>
      </c>
      <c r="F9145" s="16" cm="1">
        <f t="array" ref="F9145">SUM(F9143:F9144)</f>
        <v>50</v>
      </c>
      <c r="G9145" s="16" cm="1">
        <f t="array" ref="G9145">SUM(G9143:G9144)</f>
        <v>50</v>
      </c>
      <c r="H9145" s="16" cm="1">
        <f t="array" ref="H9145">SUM(H9143:H9144)</f>
        <v>0</v>
      </c>
      <c r="I9145" s="16" cm="1">
        <f t="array" ref="I9145">SUM(I9143:I9144)</f>
        <v>0</v>
      </c>
    </row>
    <row r="9146" ht="20.35" customHeight="1">
      <c r="A9146" s="10">
        <v>45800</v>
      </c>
      <c r="B9146" t="s" s="11">
        <v>39</v>
      </c>
      <c r="C9146" t="s" s="12">
        <v>68</v>
      </c>
      <c r="D9146" s="17"/>
      <c r="E9146" s="17"/>
      <c r="F9146" s="18"/>
      <c r="G9146" s="18">
        <v>8.49</v>
      </c>
      <c r="H9146" s="18"/>
      <c r="I9146" s="18"/>
    </row>
    <row r="9147" ht="20.35" customHeight="1">
      <c r="A9147" s="10">
        <v>45800</v>
      </c>
      <c r="B9147" t="s" s="11">
        <v>44</v>
      </c>
      <c r="C9147" t="s" s="12">
        <v>68</v>
      </c>
      <c r="D9147" s="13"/>
      <c r="E9147" s="13"/>
      <c r="F9147" s="14">
        <v>8.49</v>
      </c>
      <c r="G9147" s="14"/>
      <c r="H9147" s="14"/>
      <c r="I9147" s="14"/>
    </row>
    <row r="9148" ht="20.7" customHeight="1">
      <c r="A9148" s="10">
        <v>45800</v>
      </c>
      <c r="B9148" t="s" s="11">
        <v>8</v>
      </c>
      <c r="C9148" t="s" s="12">
        <v>8</v>
      </c>
      <c r="D9148" s="15" cm="1">
        <f t="array" ref="D9148">SUM(D9146:D9147)</f>
        <v>0</v>
      </c>
      <c r="E9148" s="15" cm="1">
        <f t="array" ref="E9148">SUM(E9146:E9147)</f>
        <v>0</v>
      </c>
      <c r="F9148" s="16" cm="1">
        <f t="array" ref="F9148">SUM(F9146:F9147)</f>
        <v>8.49</v>
      </c>
      <c r="G9148" s="16" cm="1">
        <f t="array" ref="G9148">SUM(G9146:G9147)</f>
        <v>8.49</v>
      </c>
      <c r="H9148" s="16" cm="1">
        <f t="array" ref="H9148">SUM(H9146:H9147)</f>
        <v>0</v>
      </c>
      <c r="I9148" s="16" cm="1">
        <f t="array" ref="I9148">SUM(I9146:I9147)</f>
        <v>0</v>
      </c>
    </row>
    <row r="9149" ht="21.25" customHeight="1">
      <c r="A9149" s="10">
        <v>45800</v>
      </c>
      <c r="B9149" t="s" s="11">
        <v>21</v>
      </c>
      <c r="C9149" t="s" s="12">
        <v>1226</v>
      </c>
      <c r="D9149" s="17"/>
      <c r="E9149" s="17">
        <v>3200</v>
      </c>
      <c r="F9149" s="18"/>
      <c r="G9149" s="18"/>
      <c r="H9149" s="18"/>
      <c r="I9149" s="18"/>
    </row>
    <row r="9150" ht="21.25" customHeight="1">
      <c r="A9150" s="10">
        <v>45800</v>
      </c>
      <c r="B9150" t="s" s="11">
        <v>16</v>
      </c>
      <c r="C9150" t="s" s="12">
        <v>1226</v>
      </c>
      <c r="D9150" s="13">
        <v>3200</v>
      </c>
      <c r="E9150" s="13"/>
      <c r="F9150" s="14"/>
      <c r="G9150" s="14"/>
      <c r="H9150" s="14"/>
      <c r="I9150" s="14"/>
    </row>
    <row r="9151" ht="20.7" customHeight="1">
      <c r="A9151" s="10">
        <v>45800</v>
      </c>
      <c r="B9151" t="s" s="11">
        <v>8</v>
      </c>
      <c r="C9151" t="s" s="12">
        <v>8</v>
      </c>
      <c r="D9151" s="15" cm="1">
        <f t="array" ref="D9151">SUM(D9149:D9150)</f>
        <v>3200</v>
      </c>
      <c r="E9151" s="15" cm="1">
        <f t="array" ref="E9151">SUM(E9149:E9150)</f>
        <v>3200</v>
      </c>
      <c r="F9151" s="16" cm="1">
        <f t="array" ref="F9151">SUM(F9149:F9150)</f>
        <v>0</v>
      </c>
      <c r="G9151" s="16" cm="1">
        <f t="array" ref="G9151">SUM(G9149:G9150)</f>
        <v>0</v>
      </c>
      <c r="H9151" s="16" cm="1">
        <f t="array" ref="H9151">SUM(H9149:H9150)</f>
        <v>0</v>
      </c>
      <c r="I9151" s="16" cm="1">
        <f t="array" ref="I9151">SUM(I9149:I9150)</f>
        <v>0</v>
      </c>
    </row>
    <row r="9152" ht="20.65" customHeight="1">
      <c r="A9152" s="10">
        <v>45801</v>
      </c>
      <c r="B9152" t="s" s="11">
        <v>814</v>
      </c>
      <c r="C9152" t="s" s="12">
        <v>820</v>
      </c>
      <c r="D9152" s="17">
        <v>64</v>
      </c>
      <c r="E9152" s="17"/>
      <c r="F9152" s="18"/>
      <c r="G9152" s="18"/>
      <c r="H9152" s="18"/>
      <c r="I9152" s="18"/>
    </row>
    <row r="9153" ht="20.65" customHeight="1">
      <c r="A9153" s="10">
        <v>45801</v>
      </c>
      <c r="B9153" t="s" s="11">
        <v>7</v>
      </c>
      <c r="C9153" t="s" s="12">
        <v>820</v>
      </c>
      <c r="D9153" s="13"/>
      <c r="E9153" s="13">
        <v>64</v>
      </c>
      <c r="F9153" s="14"/>
      <c r="G9153" s="14"/>
      <c r="H9153" s="14"/>
      <c r="I9153" s="14"/>
    </row>
    <row r="9154" ht="20.7" customHeight="1">
      <c r="A9154" s="10">
        <v>45801</v>
      </c>
      <c r="B9154" t="s" s="11">
        <v>8</v>
      </c>
      <c r="C9154" t="s" s="12">
        <v>8</v>
      </c>
      <c r="D9154" s="15" cm="1">
        <f t="array" ref="D9154">SUM(D9152:D9153)</f>
        <v>64</v>
      </c>
      <c r="E9154" s="15" cm="1">
        <f t="array" ref="E9154">SUM(E9152:E9153)</f>
        <v>64</v>
      </c>
      <c r="F9154" s="16" cm="1">
        <f t="array" ref="F9154">SUM(F9152:F9153)</f>
        <v>0</v>
      </c>
      <c r="G9154" s="16" cm="1">
        <f t="array" ref="G9154">SUM(G9152:G9153)</f>
        <v>0</v>
      </c>
      <c r="H9154" s="16" cm="1">
        <f t="array" ref="H9154">SUM(H9152:H9153)</f>
        <v>0</v>
      </c>
      <c r="I9154" s="16" cm="1">
        <f t="array" ref="I9154">SUM(I9152:I9153)</f>
        <v>0</v>
      </c>
    </row>
    <row r="9155" ht="21.25" customHeight="1">
      <c r="A9155" s="10">
        <v>45801</v>
      </c>
      <c r="B9155" t="s" s="11">
        <v>5</v>
      </c>
      <c r="C9155" t="s" s="12">
        <v>1227</v>
      </c>
      <c r="D9155" s="17"/>
      <c r="E9155" s="17">
        <v>91400</v>
      </c>
      <c r="F9155" s="18"/>
      <c r="G9155" s="18"/>
      <c r="H9155" s="18"/>
      <c r="I9155" s="18"/>
    </row>
    <row r="9156" ht="21.25" customHeight="1">
      <c r="A9156" s="10">
        <v>45801</v>
      </c>
      <c r="B9156" t="s" s="11">
        <v>86</v>
      </c>
      <c r="C9156" t="s" s="12">
        <v>1227</v>
      </c>
      <c r="D9156" s="13">
        <v>91400</v>
      </c>
      <c r="E9156" s="13"/>
      <c r="F9156" s="14"/>
      <c r="G9156" s="14"/>
      <c r="H9156" s="14"/>
      <c r="I9156" s="14"/>
    </row>
    <row r="9157" ht="20.7" customHeight="1">
      <c r="A9157" s="10">
        <v>45801</v>
      </c>
      <c r="B9157" t="s" s="11">
        <v>8</v>
      </c>
      <c r="C9157" t="s" s="12">
        <v>8</v>
      </c>
      <c r="D9157" s="15" cm="1">
        <f t="array" ref="D9157">SUM(D9155:D9156)</f>
        <v>91400</v>
      </c>
      <c r="E9157" s="15" cm="1">
        <f t="array" ref="E9157">SUM(E9155:E9156)</f>
        <v>91400</v>
      </c>
      <c r="F9157" s="16" cm="1">
        <f t="array" ref="F9157">SUM(F9155:F9156)</f>
        <v>0</v>
      </c>
      <c r="G9157" s="16" cm="1">
        <f t="array" ref="G9157">SUM(G9155:G9156)</f>
        <v>0</v>
      </c>
      <c r="H9157" s="16" cm="1">
        <f t="array" ref="H9157">SUM(H9155:H9156)</f>
        <v>0</v>
      </c>
      <c r="I9157" s="16" cm="1">
        <f t="array" ref="I9157">SUM(I9155:I9156)</f>
        <v>0</v>
      </c>
    </row>
    <row r="9158" ht="20.65" customHeight="1">
      <c r="A9158" s="10">
        <v>45801</v>
      </c>
      <c r="B9158" t="s" s="11">
        <v>5</v>
      </c>
      <c r="C9158" t="s" s="12">
        <v>714</v>
      </c>
      <c r="D9158" s="17"/>
      <c r="E9158" s="17">
        <v>4200</v>
      </c>
      <c r="F9158" s="18"/>
      <c r="G9158" s="18"/>
      <c r="H9158" s="18"/>
      <c r="I9158" s="18"/>
    </row>
    <row r="9159" ht="20.65" customHeight="1">
      <c r="A9159" s="10">
        <v>45801</v>
      </c>
      <c r="B9159" t="s" s="11">
        <v>86</v>
      </c>
      <c r="C9159" t="s" s="12">
        <v>714</v>
      </c>
      <c r="D9159" s="13">
        <v>4200</v>
      </c>
      <c r="E9159" s="13"/>
      <c r="F9159" s="14"/>
      <c r="G9159" s="14"/>
      <c r="H9159" s="14"/>
      <c r="I9159" s="14"/>
    </row>
    <row r="9160" ht="20.7" customHeight="1">
      <c r="A9160" s="10">
        <v>45801</v>
      </c>
      <c r="B9160" t="s" s="11">
        <v>8</v>
      </c>
      <c r="C9160" t="s" s="12">
        <v>8</v>
      </c>
      <c r="D9160" s="15" cm="1">
        <f t="array" ref="D9160">SUM(D9158:D9159)</f>
        <v>4200</v>
      </c>
      <c r="E9160" s="15" cm="1">
        <f t="array" ref="E9160">SUM(E9158:E9159)</f>
        <v>4200</v>
      </c>
      <c r="F9160" s="16" cm="1">
        <f t="array" ref="F9160">SUM(F9158:F9159)</f>
        <v>0</v>
      </c>
      <c r="G9160" s="16" cm="1">
        <f t="array" ref="G9160">SUM(G9158:G9159)</f>
        <v>0</v>
      </c>
      <c r="H9160" s="16" cm="1">
        <f t="array" ref="H9160">SUM(H9158:H9159)</f>
        <v>0</v>
      </c>
      <c r="I9160" s="16" cm="1">
        <f t="array" ref="I9160">SUM(I9158:I9159)</f>
        <v>0</v>
      </c>
    </row>
    <row r="9161" ht="20.65" customHeight="1">
      <c r="A9161" s="10">
        <v>45801</v>
      </c>
      <c r="B9161" t="s" s="11">
        <v>5</v>
      </c>
      <c r="C9161" t="s" s="12">
        <v>1228</v>
      </c>
      <c r="D9161" s="17"/>
      <c r="E9161" s="17">
        <v>17700</v>
      </c>
      <c r="F9161" s="18"/>
      <c r="G9161" s="18"/>
      <c r="H9161" s="18"/>
      <c r="I9161" s="18"/>
    </row>
    <row r="9162" ht="20.65" customHeight="1">
      <c r="A9162" s="10">
        <v>45801</v>
      </c>
      <c r="B9162" t="s" s="11">
        <v>10</v>
      </c>
      <c r="C9162" t="s" s="12">
        <v>1228</v>
      </c>
      <c r="D9162" s="13">
        <v>17700</v>
      </c>
      <c r="E9162" s="13"/>
      <c r="F9162" s="14"/>
      <c r="G9162" s="14"/>
      <c r="H9162" s="14"/>
      <c r="I9162" s="14"/>
    </row>
    <row r="9163" ht="20.7" customHeight="1">
      <c r="A9163" s="10">
        <v>45801</v>
      </c>
      <c r="B9163" t="s" s="11">
        <v>8</v>
      </c>
      <c r="C9163" t="s" s="12">
        <v>8</v>
      </c>
      <c r="D9163" s="15" cm="1">
        <f t="array" ref="D9163">SUM(D9161:D9162)</f>
        <v>17700</v>
      </c>
      <c r="E9163" s="15" cm="1">
        <f t="array" ref="E9163">SUM(E9161:E9162)</f>
        <v>17700</v>
      </c>
      <c r="F9163" s="16" cm="1">
        <f t="array" ref="F9163">SUM(F9161:F9162)</f>
        <v>0</v>
      </c>
      <c r="G9163" s="16" cm="1">
        <f t="array" ref="G9163">SUM(G9161:G9162)</f>
        <v>0</v>
      </c>
      <c r="H9163" s="16" cm="1">
        <f t="array" ref="H9163">SUM(H9161:H9162)</f>
        <v>0</v>
      </c>
      <c r="I9163" s="16" cm="1">
        <f t="array" ref="I9163">SUM(I9161:I9162)</f>
        <v>0</v>
      </c>
    </row>
    <row r="9164" ht="20.35" customHeight="1">
      <c r="A9164" s="10">
        <v>45801</v>
      </c>
      <c r="B9164" t="s" s="11">
        <v>5</v>
      </c>
      <c r="C9164" t="s" s="12">
        <v>17</v>
      </c>
      <c r="D9164" s="17">
        <v>500</v>
      </c>
      <c r="E9164" s="17"/>
      <c r="F9164" s="18"/>
      <c r="G9164" s="18"/>
      <c r="H9164" s="18"/>
      <c r="I9164" s="18"/>
    </row>
    <row r="9165" ht="20.35" customHeight="1">
      <c r="A9165" s="10">
        <v>45801</v>
      </c>
      <c r="B9165" t="s" s="11">
        <v>18</v>
      </c>
      <c r="C9165" t="s" s="12">
        <v>17</v>
      </c>
      <c r="D9165" s="13"/>
      <c r="E9165" s="13">
        <v>500</v>
      </c>
      <c r="F9165" s="14"/>
      <c r="G9165" s="14"/>
      <c r="H9165" s="14"/>
      <c r="I9165" s="14"/>
    </row>
    <row r="9166" ht="20.7" customHeight="1">
      <c r="A9166" s="10">
        <v>45801</v>
      </c>
      <c r="B9166" t="s" s="11">
        <v>8</v>
      </c>
      <c r="C9166" t="s" s="12">
        <v>8</v>
      </c>
      <c r="D9166" s="15" cm="1">
        <f t="array" ref="D9166">SUM(D9164:D9165)</f>
        <v>500</v>
      </c>
      <c r="E9166" s="15" cm="1">
        <f t="array" ref="E9166">SUM(E9164:E9165)</f>
        <v>500</v>
      </c>
      <c r="F9166" s="16" cm="1">
        <f t="array" ref="F9166">SUM(F9164:F9165)</f>
        <v>0</v>
      </c>
      <c r="G9166" s="16" cm="1">
        <f t="array" ref="G9166">SUM(G9164:G9165)</f>
        <v>0</v>
      </c>
      <c r="H9166" s="16" cm="1">
        <f t="array" ref="H9166">SUM(H9164:H9165)</f>
        <v>0</v>
      </c>
      <c r="I9166" s="16" cm="1">
        <f t="array" ref="I9166">SUM(I9164:I9165)</f>
        <v>0</v>
      </c>
    </row>
    <row r="9167" ht="20.35" customHeight="1">
      <c r="A9167" s="10">
        <v>45801</v>
      </c>
      <c r="B9167" t="s" s="11">
        <v>1155</v>
      </c>
      <c r="C9167" t="s" s="12">
        <v>1229</v>
      </c>
      <c r="D9167" s="17"/>
      <c r="E9167" s="17"/>
      <c r="F9167" s="18"/>
      <c r="G9167" s="18"/>
      <c r="H9167" s="18"/>
      <c r="I9167" s="18">
        <v>60.5</v>
      </c>
    </row>
    <row r="9168" ht="20.35" customHeight="1">
      <c r="A9168" s="10">
        <v>45801</v>
      </c>
      <c r="B9168" t="s" s="11">
        <v>1191</v>
      </c>
      <c r="C9168" t="s" s="12">
        <v>1229</v>
      </c>
      <c r="D9168" s="13"/>
      <c r="E9168" s="13"/>
      <c r="F9168" s="14"/>
      <c r="G9168" s="14"/>
      <c r="H9168" s="14">
        <v>60.5</v>
      </c>
      <c r="I9168" s="14"/>
    </row>
    <row r="9169" ht="20.7" customHeight="1">
      <c r="A9169" s="10">
        <v>45801</v>
      </c>
      <c r="B9169" t="s" s="11">
        <v>8</v>
      </c>
      <c r="C9169" t="s" s="12">
        <v>8</v>
      </c>
      <c r="D9169" s="15" cm="1">
        <f t="array" ref="D9169">SUM(D9167:D9168)</f>
        <v>0</v>
      </c>
      <c r="E9169" s="15" cm="1">
        <f t="array" ref="E9169">SUM(E9167:E9168)</f>
        <v>0</v>
      </c>
      <c r="F9169" s="16" cm="1">
        <f t="array" ref="F9169">SUM(F9167:F9168)</f>
        <v>0</v>
      </c>
      <c r="G9169" s="16" cm="1">
        <f t="array" ref="G9169">SUM(G9167:G9168)</f>
        <v>0</v>
      </c>
      <c r="H9169" s="16" cm="1">
        <f t="array" ref="H9169">SUM(H9167:H9168)</f>
        <v>60.5</v>
      </c>
      <c r="I9169" s="16" cm="1">
        <f t="array" ref="I9169">SUM(I9167:I9168)</f>
        <v>60.5</v>
      </c>
    </row>
    <row r="9170" ht="20.35" customHeight="1">
      <c r="A9170" s="10">
        <v>45801</v>
      </c>
      <c r="B9170" t="s" s="11">
        <v>1155</v>
      </c>
      <c r="C9170" t="s" s="12">
        <v>1223</v>
      </c>
      <c r="D9170" s="17"/>
      <c r="E9170" s="17"/>
      <c r="F9170" s="18"/>
      <c r="G9170" s="18"/>
      <c r="H9170" s="18"/>
      <c r="I9170" s="18">
        <v>53.7</v>
      </c>
    </row>
    <row r="9171" ht="20.05" customHeight="1">
      <c r="A9171" s="10">
        <v>45801</v>
      </c>
      <c r="B9171" t="s" s="11">
        <v>1230</v>
      </c>
      <c r="C9171" t="s" s="12">
        <v>1223</v>
      </c>
      <c r="D9171" s="19"/>
      <c r="E9171" s="19"/>
      <c r="F9171" s="20"/>
      <c r="G9171" s="20"/>
      <c r="H9171" s="20">
        <v>26.85</v>
      </c>
      <c r="I9171" s="20"/>
    </row>
    <row r="9172" ht="20.35" customHeight="1">
      <c r="A9172" s="10">
        <v>45801</v>
      </c>
      <c r="B9172" t="s" s="11">
        <v>1191</v>
      </c>
      <c r="C9172" t="s" s="12">
        <v>1223</v>
      </c>
      <c r="D9172" s="13"/>
      <c r="E9172" s="13"/>
      <c r="F9172" s="14"/>
      <c r="G9172" s="14"/>
      <c r="H9172" s="14">
        <v>26.85</v>
      </c>
      <c r="I9172" s="14"/>
    </row>
    <row r="9173" ht="20.7" customHeight="1">
      <c r="A9173" s="10">
        <v>45801</v>
      </c>
      <c r="B9173" t="s" s="11">
        <v>8</v>
      </c>
      <c r="C9173" t="s" s="12">
        <v>8</v>
      </c>
      <c r="D9173" s="15" cm="1">
        <f t="array" ref="D9173">SUM(D9170:D9172)</f>
        <v>0</v>
      </c>
      <c r="E9173" s="15" cm="1">
        <f t="array" ref="E9173">SUM(E9170:E9172)</f>
        <v>0</v>
      </c>
      <c r="F9173" s="16" cm="1">
        <f t="array" ref="F9173">SUM(F9170:F9172)</f>
        <v>0</v>
      </c>
      <c r="G9173" s="16" cm="1">
        <f t="array" ref="G9173">SUM(G9170:G9172)</f>
        <v>0</v>
      </c>
      <c r="H9173" s="16" cm="1">
        <f t="array" ref="H9173">SUM(H9170:H9172)</f>
        <v>53.7</v>
      </c>
      <c r="I9173" s="16" cm="1">
        <f t="array" ref="I9173">SUM(I9170:I9172)</f>
        <v>53.7</v>
      </c>
    </row>
    <row r="9174" ht="20.35" customHeight="1">
      <c r="A9174" s="10">
        <v>45801</v>
      </c>
      <c r="B9174" t="s" s="11">
        <v>1155</v>
      </c>
      <c r="C9174" t="s" s="12">
        <v>1223</v>
      </c>
      <c r="D9174" s="17"/>
      <c r="E9174" s="17"/>
      <c r="F9174" s="18"/>
      <c r="G9174" s="18"/>
      <c r="H9174" s="18">
        <v>26.85</v>
      </c>
      <c r="I9174" s="18"/>
    </row>
    <row r="9175" ht="20.35" customHeight="1">
      <c r="A9175" s="10">
        <v>45801</v>
      </c>
      <c r="B9175" t="s" s="11">
        <v>1230</v>
      </c>
      <c r="C9175" t="s" s="12">
        <v>1223</v>
      </c>
      <c r="D9175" s="13"/>
      <c r="E9175" s="13"/>
      <c r="F9175" s="14"/>
      <c r="G9175" s="14"/>
      <c r="H9175" s="14"/>
      <c r="I9175" s="14">
        <v>26.85</v>
      </c>
    </row>
    <row r="9176" ht="20.7" customHeight="1">
      <c r="A9176" s="10">
        <v>45801</v>
      </c>
      <c r="B9176" t="s" s="11">
        <v>8</v>
      </c>
      <c r="C9176" t="s" s="12">
        <v>8</v>
      </c>
      <c r="D9176" s="15" cm="1">
        <f t="array" ref="D9176">SUM(D9174:D9175)</f>
        <v>0</v>
      </c>
      <c r="E9176" s="15" cm="1">
        <f t="array" ref="E9176">SUM(E9174:E9175)</f>
        <v>0</v>
      </c>
      <c r="F9176" s="16" cm="1">
        <f t="array" ref="F9176">SUM(F9174:F9175)</f>
        <v>0</v>
      </c>
      <c r="G9176" s="16" cm="1">
        <f t="array" ref="G9176">SUM(G9174:G9175)</f>
        <v>0</v>
      </c>
      <c r="H9176" s="16" cm="1">
        <f t="array" ref="H9176">SUM(H9174:H9175)</f>
        <v>26.85</v>
      </c>
      <c r="I9176" s="16" cm="1">
        <f t="array" ref="I9176">SUM(I9174:I9175)</f>
        <v>26.85</v>
      </c>
    </row>
    <row r="9177" ht="20.65" customHeight="1">
      <c r="A9177" s="10">
        <v>45802</v>
      </c>
      <c r="B9177" t="s" s="11">
        <v>814</v>
      </c>
      <c r="C9177" t="s" s="12">
        <v>820</v>
      </c>
      <c r="D9177" s="17">
        <v>64</v>
      </c>
      <c r="E9177" s="17"/>
      <c r="F9177" s="18"/>
      <c r="G9177" s="18"/>
      <c r="H9177" s="18"/>
      <c r="I9177" s="18"/>
    </row>
    <row r="9178" ht="20.65" customHeight="1">
      <c r="A9178" s="10">
        <v>45802</v>
      </c>
      <c r="B9178" t="s" s="11">
        <v>7</v>
      </c>
      <c r="C9178" t="s" s="12">
        <v>820</v>
      </c>
      <c r="D9178" s="13"/>
      <c r="E9178" s="13">
        <v>64</v>
      </c>
      <c r="F9178" s="14"/>
      <c r="G9178" s="14"/>
      <c r="H9178" s="14"/>
      <c r="I9178" s="14"/>
    </row>
    <row r="9179" ht="20.7" customHeight="1">
      <c r="A9179" s="10">
        <v>45802</v>
      </c>
      <c r="B9179" t="s" s="11">
        <v>8</v>
      </c>
      <c r="C9179" t="s" s="12">
        <v>8</v>
      </c>
      <c r="D9179" s="15" cm="1">
        <f t="array" ref="D9179">SUM(D9177:D9178)</f>
        <v>64</v>
      </c>
      <c r="E9179" s="15" cm="1">
        <f t="array" ref="E9179">SUM(E9177:E9178)</f>
        <v>64</v>
      </c>
      <c r="F9179" s="16" cm="1">
        <f t="array" ref="F9179">SUM(F9177:F9178)</f>
        <v>0</v>
      </c>
      <c r="G9179" s="16" cm="1">
        <f t="array" ref="G9179">SUM(G9177:G9178)</f>
        <v>0</v>
      </c>
      <c r="H9179" s="16" cm="1">
        <f t="array" ref="H9179">SUM(H9177:H9178)</f>
        <v>0</v>
      </c>
      <c r="I9179" s="16" cm="1">
        <f t="array" ref="I9179">SUM(I9177:I9178)</f>
        <v>0</v>
      </c>
    </row>
    <row r="9180" ht="21.25" customHeight="1">
      <c r="A9180" s="10">
        <v>45802</v>
      </c>
      <c r="B9180" t="s" s="11">
        <v>5</v>
      </c>
      <c r="C9180" t="s" s="12">
        <v>986</v>
      </c>
      <c r="D9180" s="17"/>
      <c r="E9180" s="17">
        <v>10000</v>
      </c>
      <c r="F9180" s="18"/>
      <c r="G9180" s="18"/>
      <c r="H9180" s="18"/>
      <c r="I9180" s="18"/>
    </row>
    <row r="9181" ht="21.25" customHeight="1">
      <c r="A9181" s="10">
        <v>45802</v>
      </c>
      <c r="B9181" t="s" s="11">
        <v>790</v>
      </c>
      <c r="C9181" t="s" s="12">
        <v>986</v>
      </c>
      <c r="D9181" s="13">
        <v>10000</v>
      </c>
      <c r="E9181" s="13"/>
      <c r="F9181" s="14"/>
      <c r="G9181" s="14"/>
      <c r="H9181" s="14"/>
      <c r="I9181" s="14"/>
    </row>
    <row r="9182" ht="20.7" customHeight="1">
      <c r="A9182" s="10">
        <v>45802</v>
      </c>
      <c r="B9182" t="s" s="11">
        <v>8</v>
      </c>
      <c r="C9182" t="s" s="12">
        <v>8</v>
      </c>
      <c r="D9182" s="15" cm="1">
        <f t="array" ref="D9182">SUM(D9180:D9181)</f>
        <v>10000</v>
      </c>
      <c r="E9182" s="15" cm="1">
        <f t="array" ref="E9182">SUM(E9180:E9181)</f>
        <v>10000</v>
      </c>
      <c r="F9182" s="16" cm="1">
        <f t="array" ref="F9182">SUM(F9180:F9181)</f>
        <v>0</v>
      </c>
      <c r="G9182" s="16" cm="1">
        <f t="array" ref="G9182">SUM(G9180:G9181)</f>
        <v>0</v>
      </c>
      <c r="H9182" s="16" cm="1">
        <f t="array" ref="H9182">SUM(H9180:H9181)</f>
        <v>0</v>
      </c>
      <c r="I9182" s="16" cm="1">
        <f t="array" ref="I9182">SUM(I9180:I9181)</f>
        <v>0</v>
      </c>
    </row>
    <row r="9183" ht="20.35" customHeight="1">
      <c r="A9183" s="10">
        <v>45802</v>
      </c>
      <c r="B9183" t="s" s="11">
        <v>5</v>
      </c>
      <c r="C9183" t="s" s="12">
        <v>1231</v>
      </c>
      <c r="D9183" s="17"/>
      <c r="E9183" s="17">
        <v>60000</v>
      </c>
      <c r="F9183" s="18"/>
      <c r="G9183" s="18"/>
      <c r="H9183" s="18"/>
      <c r="I9183" s="18"/>
    </row>
    <row r="9184" ht="20.35" customHeight="1">
      <c r="A9184" s="10">
        <v>45802</v>
      </c>
      <c r="B9184" t="s" s="11">
        <v>28</v>
      </c>
      <c r="C9184" t="s" s="12">
        <v>1231</v>
      </c>
      <c r="D9184" s="13">
        <v>60000</v>
      </c>
      <c r="E9184" s="13"/>
      <c r="F9184" s="14"/>
      <c r="G9184" s="14"/>
      <c r="H9184" s="14"/>
      <c r="I9184" s="14"/>
    </row>
    <row r="9185" ht="20.7" customHeight="1">
      <c r="A9185" s="10">
        <v>45802</v>
      </c>
      <c r="B9185" t="s" s="11">
        <v>8</v>
      </c>
      <c r="C9185" t="s" s="12">
        <v>8</v>
      </c>
      <c r="D9185" s="15" cm="1">
        <f t="array" ref="D9185">SUM(D9183:D9184)</f>
        <v>60000</v>
      </c>
      <c r="E9185" s="15" cm="1">
        <f t="array" ref="E9185">SUM(E9183:E9184)</f>
        <v>60000</v>
      </c>
      <c r="F9185" s="16" cm="1">
        <f t="array" ref="F9185">SUM(F9183:F9184)</f>
        <v>0</v>
      </c>
      <c r="G9185" s="16" cm="1">
        <f t="array" ref="G9185">SUM(G9183:G9184)</f>
        <v>0</v>
      </c>
      <c r="H9185" s="16" cm="1">
        <f t="array" ref="H9185">SUM(H9183:H9184)</f>
        <v>0</v>
      </c>
      <c r="I9185" s="16" cm="1">
        <f t="array" ref="I9185">SUM(I9183:I9184)</f>
        <v>0</v>
      </c>
    </row>
    <row r="9186" ht="20.35" customHeight="1">
      <c r="A9186" s="10">
        <v>45802</v>
      </c>
      <c r="B9186" t="s" s="11">
        <v>28</v>
      </c>
      <c r="C9186" t="s" s="12">
        <v>1232</v>
      </c>
      <c r="D9186" s="17"/>
      <c r="E9186" s="17">
        <v>60000</v>
      </c>
      <c r="F9186" s="18"/>
      <c r="G9186" s="18"/>
      <c r="H9186" s="18"/>
      <c r="I9186" s="18"/>
    </row>
    <row r="9187" ht="20.35" customHeight="1">
      <c r="A9187" s="10">
        <v>45802</v>
      </c>
      <c r="B9187" t="s" s="11">
        <v>89</v>
      </c>
      <c r="C9187" t="s" s="12">
        <v>1232</v>
      </c>
      <c r="D9187" s="13">
        <v>60000</v>
      </c>
      <c r="E9187" s="13"/>
      <c r="F9187" s="14"/>
      <c r="G9187" s="14"/>
      <c r="H9187" s="14"/>
      <c r="I9187" s="14"/>
    </row>
    <row r="9188" ht="20.7" customHeight="1">
      <c r="A9188" s="10">
        <v>45802</v>
      </c>
      <c r="B9188" t="s" s="11">
        <v>8</v>
      </c>
      <c r="C9188" t="s" s="12">
        <v>8</v>
      </c>
      <c r="D9188" s="15" cm="1">
        <f t="array" ref="D9188">SUM(D9186:D9187)</f>
        <v>60000</v>
      </c>
      <c r="E9188" s="15" cm="1">
        <f t="array" ref="E9188">SUM(E9186:E9187)</f>
        <v>60000</v>
      </c>
      <c r="F9188" s="16" cm="1">
        <f t="array" ref="F9188">SUM(F9186:F9187)</f>
        <v>0</v>
      </c>
      <c r="G9188" s="16" cm="1">
        <f t="array" ref="G9188">SUM(G9186:G9187)</f>
        <v>0</v>
      </c>
      <c r="H9188" s="16" cm="1">
        <f t="array" ref="H9188">SUM(H9186:H9187)</f>
        <v>0</v>
      </c>
      <c r="I9188" s="16" cm="1">
        <f t="array" ref="I9188">SUM(I9186:I9187)</f>
        <v>0</v>
      </c>
    </row>
    <row r="9189" ht="21.25" customHeight="1">
      <c r="A9189" s="10">
        <v>45802</v>
      </c>
      <c r="B9189" t="s" s="11">
        <v>107</v>
      </c>
      <c r="C9189" t="s" s="12">
        <v>1233</v>
      </c>
      <c r="D9189" s="17"/>
      <c r="E9189" s="17">
        <v>62000</v>
      </c>
      <c r="F9189" s="18"/>
      <c r="G9189" s="18"/>
      <c r="H9189" s="18"/>
      <c r="I9189" s="18"/>
    </row>
    <row r="9190" ht="20.9" customHeight="1">
      <c r="A9190" s="10">
        <v>45802</v>
      </c>
      <c r="B9190" t="s" s="11">
        <v>12</v>
      </c>
      <c r="C9190" t="s" s="12">
        <v>1233</v>
      </c>
      <c r="D9190" s="19">
        <v>31000</v>
      </c>
      <c r="E9190" s="19"/>
      <c r="F9190" s="20"/>
      <c r="G9190" s="20"/>
      <c r="H9190" s="20"/>
      <c r="I9190" s="20"/>
    </row>
    <row r="9191" ht="21.25" customHeight="1">
      <c r="A9191" s="10">
        <v>45802</v>
      </c>
      <c r="B9191" t="s" s="11">
        <v>10</v>
      </c>
      <c r="C9191" t="s" s="12">
        <v>1233</v>
      </c>
      <c r="D9191" s="13">
        <v>31000</v>
      </c>
      <c r="E9191" s="13"/>
      <c r="F9191" s="14"/>
      <c r="G9191" s="14"/>
      <c r="H9191" s="14"/>
      <c r="I9191" s="14"/>
    </row>
    <row r="9192" ht="20.7" customHeight="1">
      <c r="A9192" s="10">
        <v>45802</v>
      </c>
      <c r="B9192" t="s" s="11">
        <v>8</v>
      </c>
      <c r="C9192" t="s" s="12">
        <v>8</v>
      </c>
      <c r="D9192" s="15" cm="1">
        <f t="array" ref="D9192">SUM(D9189:D9191)</f>
        <v>62000</v>
      </c>
      <c r="E9192" s="15" cm="1">
        <f t="array" ref="E9192">SUM(E9189:E9191)</f>
        <v>62000</v>
      </c>
      <c r="F9192" s="16" cm="1">
        <f t="array" ref="F9192">SUM(F9189:F9191)</f>
        <v>0</v>
      </c>
      <c r="G9192" s="16" cm="1">
        <f t="array" ref="G9192">SUM(G9189:G9191)</f>
        <v>0</v>
      </c>
      <c r="H9192" s="16" cm="1">
        <f t="array" ref="H9192">SUM(H9189:H9191)</f>
        <v>0</v>
      </c>
      <c r="I9192" s="16" cm="1">
        <f t="array" ref="I9192">SUM(I9189:I9191)</f>
        <v>0</v>
      </c>
    </row>
    <row r="9193" ht="21.25" customHeight="1">
      <c r="A9193" s="10">
        <v>45802</v>
      </c>
      <c r="B9193" t="s" s="11">
        <v>107</v>
      </c>
      <c r="C9193" t="s" s="12">
        <v>1234</v>
      </c>
      <c r="D9193" s="17"/>
      <c r="E9193" s="17">
        <v>7000</v>
      </c>
      <c r="F9193" s="18"/>
      <c r="G9193" s="18"/>
      <c r="H9193" s="18"/>
      <c r="I9193" s="18"/>
    </row>
    <row r="9194" ht="20.9" customHeight="1">
      <c r="A9194" s="10">
        <v>45802</v>
      </c>
      <c r="B9194" t="s" s="11">
        <v>12</v>
      </c>
      <c r="C9194" t="s" s="12">
        <v>1234</v>
      </c>
      <c r="D9194" s="19">
        <v>3500</v>
      </c>
      <c r="E9194" s="19"/>
      <c r="F9194" s="20"/>
      <c r="G9194" s="20"/>
      <c r="H9194" s="20"/>
      <c r="I9194" s="20"/>
    </row>
    <row r="9195" ht="21.25" customHeight="1">
      <c r="A9195" s="10">
        <v>45802</v>
      </c>
      <c r="B9195" t="s" s="11">
        <v>10</v>
      </c>
      <c r="C9195" t="s" s="12">
        <v>1234</v>
      </c>
      <c r="D9195" s="13">
        <v>3500</v>
      </c>
      <c r="E9195" s="13"/>
      <c r="F9195" s="14"/>
      <c r="G9195" s="14"/>
      <c r="H9195" s="14"/>
      <c r="I9195" s="14"/>
    </row>
    <row r="9196" ht="20.7" customHeight="1">
      <c r="A9196" s="10">
        <v>45802</v>
      </c>
      <c r="B9196" t="s" s="11">
        <v>8</v>
      </c>
      <c r="C9196" t="s" s="12">
        <v>8</v>
      </c>
      <c r="D9196" s="15" cm="1">
        <f t="array" ref="D9196">SUM(D9193:D9195)</f>
        <v>7000</v>
      </c>
      <c r="E9196" s="15" cm="1">
        <f t="array" ref="E9196">SUM(E9193:E9195)</f>
        <v>7000</v>
      </c>
      <c r="F9196" s="16" cm="1">
        <f t="array" ref="F9196">SUM(F9193:F9195)</f>
        <v>0</v>
      </c>
      <c r="G9196" s="16" cm="1">
        <f t="array" ref="G9196">SUM(G9193:G9195)</f>
        <v>0</v>
      </c>
      <c r="H9196" s="16" cm="1">
        <f t="array" ref="H9196">SUM(H9193:H9195)</f>
        <v>0</v>
      </c>
      <c r="I9196" s="16" cm="1">
        <f t="array" ref="I9196">SUM(I9193:I9195)</f>
        <v>0</v>
      </c>
    </row>
    <row r="9197" ht="20.35" customHeight="1">
      <c r="A9197" s="10">
        <v>45802</v>
      </c>
      <c r="B9197" t="s" s="11">
        <v>814</v>
      </c>
      <c r="C9197" t="s" s="12">
        <v>96</v>
      </c>
      <c r="D9197" s="17"/>
      <c r="E9197" s="17">
        <v>1324200</v>
      </c>
      <c r="F9197" s="18"/>
      <c r="G9197" s="18"/>
      <c r="H9197" s="18"/>
      <c r="I9197" s="18"/>
    </row>
    <row r="9198" ht="20.35" customHeight="1">
      <c r="A9198" s="10">
        <v>45802</v>
      </c>
      <c r="B9198" t="s" s="11">
        <v>5</v>
      </c>
      <c r="C9198" t="s" s="12">
        <v>96</v>
      </c>
      <c r="D9198" s="13">
        <v>1324200</v>
      </c>
      <c r="E9198" s="13"/>
      <c r="F9198" s="14"/>
      <c r="G9198" s="14"/>
      <c r="H9198" s="14"/>
      <c r="I9198" s="14"/>
    </row>
    <row r="9199" ht="20.7" customHeight="1">
      <c r="A9199" s="10">
        <v>45802</v>
      </c>
      <c r="B9199" t="s" s="11">
        <v>8</v>
      </c>
      <c r="C9199" t="s" s="12">
        <v>8</v>
      </c>
      <c r="D9199" s="15" cm="1">
        <f t="array" ref="D9199">SUM(D9197:D9198)</f>
        <v>1324200</v>
      </c>
      <c r="E9199" s="15" cm="1">
        <f t="array" ref="E9199">SUM(E9197:E9198)</f>
        <v>1324200</v>
      </c>
      <c r="F9199" s="16" cm="1">
        <f t="array" ref="F9199">SUM(F9197:F9198)</f>
        <v>0</v>
      </c>
      <c r="G9199" s="16" cm="1">
        <f t="array" ref="G9199">SUM(G9197:G9198)</f>
        <v>0</v>
      </c>
      <c r="H9199" s="16" cm="1">
        <f t="array" ref="H9199">SUM(H9197:H9198)</f>
        <v>0</v>
      </c>
      <c r="I9199" s="16" cm="1">
        <f t="array" ref="I9199">SUM(I9197:I9198)</f>
        <v>0</v>
      </c>
    </row>
    <row r="9200" ht="20.35" customHeight="1">
      <c r="A9200" s="10">
        <v>45802</v>
      </c>
      <c r="B9200" t="s" s="11">
        <v>5</v>
      </c>
      <c r="C9200" t="s" s="12">
        <v>75</v>
      </c>
      <c r="D9200" s="17"/>
      <c r="E9200" s="17">
        <v>1171420</v>
      </c>
      <c r="F9200" s="18"/>
      <c r="G9200" s="18"/>
      <c r="H9200" s="18"/>
      <c r="I9200" s="18"/>
    </row>
    <row r="9201" ht="20.05" customHeight="1">
      <c r="A9201" s="10">
        <v>45802</v>
      </c>
      <c r="B9201" t="s" s="11">
        <v>89</v>
      </c>
      <c r="C9201" t="s" s="12">
        <v>75</v>
      </c>
      <c r="D9201" s="19">
        <v>585710</v>
      </c>
      <c r="E9201" s="19"/>
      <c r="F9201" s="20"/>
      <c r="G9201" s="20"/>
      <c r="H9201" s="20"/>
      <c r="I9201" s="20"/>
    </row>
    <row r="9202" ht="20.35" customHeight="1">
      <c r="A9202" s="10">
        <v>45802</v>
      </c>
      <c r="B9202" t="s" s="11">
        <v>74</v>
      </c>
      <c r="C9202" t="s" s="12">
        <v>75</v>
      </c>
      <c r="D9202" s="13">
        <v>585710</v>
      </c>
      <c r="E9202" s="13"/>
      <c r="F9202" s="14"/>
      <c r="G9202" s="14"/>
      <c r="H9202" s="14"/>
      <c r="I9202" s="14"/>
    </row>
    <row r="9203" ht="20.7" customHeight="1">
      <c r="A9203" s="10">
        <v>45802</v>
      </c>
      <c r="B9203" t="s" s="11">
        <v>8</v>
      </c>
      <c r="C9203" t="s" s="12">
        <v>8</v>
      </c>
      <c r="D9203" s="15" cm="1">
        <f t="array" ref="D9203">SUM(D9200:D9202)</f>
        <v>1171420</v>
      </c>
      <c r="E9203" s="15" cm="1">
        <f t="array" ref="E9203">SUM(E9200:E9202)</f>
        <v>1171420</v>
      </c>
      <c r="F9203" s="16" cm="1">
        <f t="array" ref="F9203">SUM(F9200:F9202)</f>
        <v>0</v>
      </c>
      <c r="G9203" s="16" cm="1">
        <f t="array" ref="G9203">SUM(G9200:G9202)</f>
        <v>0</v>
      </c>
      <c r="H9203" s="16" cm="1">
        <f t="array" ref="H9203">SUM(H9200:H9202)</f>
        <v>0</v>
      </c>
      <c r="I9203" s="16" cm="1">
        <f t="array" ref="I9203">SUM(I9200:I9202)</f>
        <v>0</v>
      </c>
    </row>
    <row r="9204" ht="21.25" customHeight="1">
      <c r="A9204" s="10">
        <v>45802</v>
      </c>
      <c r="B9204" t="s" s="11">
        <v>5</v>
      </c>
      <c r="C9204" t="s" s="12">
        <v>1235</v>
      </c>
      <c r="D9204" s="17"/>
      <c r="E9204" s="17">
        <v>76390</v>
      </c>
      <c r="F9204" s="18"/>
      <c r="G9204" s="18"/>
      <c r="H9204" s="18"/>
      <c r="I9204" s="18"/>
    </row>
    <row r="9205" ht="21.25" customHeight="1">
      <c r="A9205" s="10">
        <v>45802</v>
      </c>
      <c r="B9205" t="s" s="11">
        <v>86</v>
      </c>
      <c r="C9205" t="s" s="12">
        <v>1235</v>
      </c>
      <c r="D9205" s="13">
        <v>76390</v>
      </c>
      <c r="E9205" s="13"/>
      <c r="F9205" s="14"/>
      <c r="G9205" s="14"/>
      <c r="H9205" s="14"/>
      <c r="I9205" s="14"/>
    </row>
    <row r="9206" ht="20.7" customHeight="1">
      <c r="A9206" s="10">
        <v>45802</v>
      </c>
      <c r="B9206" t="s" s="11">
        <v>8</v>
      </c>
      <c r="C9206" t="s" s="12">
        <v>8</v>
      </c>
      <c r="D9206" s="15" cm="1">
        <f t="array" ref="D9206">SUM(D9204:D9205)</f>
        <v>76390</v>
      </c>
      <c r="E9206" s="15" cm="1">
        <f t="array" ref="E9206">SUM(E9204:E9205)</f>
        <v>76390</v>
      </c>
      <c r="F9206" s="16" cm="1">
        <f t="array" ref="F9206">SUM(F9204:F9205)</f>
        <v>0</v>
      </c>
      <c r="G9206" s="16" cm="1">
        <f t="array" ref="G9206">SUM(G9204:G9205)</f>
        <v>0</v>
      </c>
      <c r="H9206" s="16" cm="1">
        <f t="array" ref="H9206">SUM(H9204:H9205)</f>
        <v>0</v>
      </c>
      <c r="I9206" s="16" cm="1">
        <f t="array" ref="I9206">SUM(I9204:I9205)</f>
        <v>0</v>
      </c>
    </row>
    <row r="9207" ht="20.35" customHeight="1">
      <c r="A9207" s="10">
        <v>45802</v>
      </c>
      <c r="B9207" t="s" s="11">
        <v>5</v>
      </c>
      <c r="C9207" t="s" s="12">
        <v>604</v>
      </c>
      <c r="D9207" s="17"/>
      <c r="E9207" s="17">
        <v>75937</v>
      </c>
      <c r="F9207" s="18"/>
      <c r="G9207" s="18"/>
      <c r="H9207" s="18"/>
      <c r="I9207" s="18"/>
    </row>
    <row r="9208" ht="20.35" customHeight="1">
      <c r="A9208" s="10">
        <v>45802</v>
      </c>
      <c r="B9208" t="s" s="11">
        <v>93</v>
      </c>
      <c r="C9208" t="s" s="12">
        <v>604</v>
      </c>
      <c r="D9208" s="13">
        <v>75937</v>
      </c>
      <c r="E9208" s="13"/>
      <c r="F9208" s="14"/>
      <c r="G9208" s="14"/>
      <c r="H9208" s="14"/>
      <c r="I9208" s="14"/>
    </row>
    <row r="9209" ht="20.7" customHeight="1">
      <c r="A9209" s="10">
        <v>45802</v>
      </c>
      <c r="B9209" t="s" s="11">
        <v>8</v>
      </c>
      <c r="C9209" t="s" s="12">
        <v>8</v>
      </c>
      <c r="D9209" s="15" cm="1">
        <f t="array" ref="D9209">SUM(D9207:D9208)</f>
        <v>75937</v>
      </c>
      <c r="E9209" s="15" cm="1">
        <f t="array" ref="E9209">SUM(E9207:E9208)</f>
        <v>75937</v>
      </c>
      <c r="F9209" s="16" cm="1">
        <f t="array" ref="F9209">SUM(F9207:F9208)</f>
        <v>0</v>
      </c>
      <c r="G9209" s="16" cm="1">
        <f t="array" ref="G9209">SUM(G9207:G9208)</f>
        <v>0</v>
      </c>
      <c r="H9209" s="16" cm="1">
        <f t="array" ref="H9209">SUM(H9207:H9208)</f>
        <v>0</v>
      </c>
      <c r="I9209" s="16" cm="1">
        <f t="array" ref="I9209">SUM(I9207:I9208)</f>
        <v>0</v>
      </c>
    </row>
    <row r="9210" ht="20.35" customHeight="1">
      <c r="A9210" s="10">
        <v>45802</v>
      </c>
      <c r="B9210" t="s" s="11">
        <v>93</v>
      </c>
      <c r="C9210" t="s" s="12">
        <v>659</v>
      </c>
      <c r="D9210" s="17"/>
      <c r="E9210" s="17">
        <v>76390</v>
      </c>
      <c r="F9210" s="18"/>
      <c r="G9210" s="18"/>
      <c r="H9210" s="18"/>
      <c r="I9210" s="18"/>
    </row>
    <row r="9211" ht="20.35" customHeight="1">
      <c r="A9211" s="10">
        <v>45802</v>
      </c>
      <c r="B9211" t="s" s="11">
        <v>89</v>
      </c>
      <c r="C9211" t="s" s="12">
        <v>659</v>
      </c>
      <c r="D9211" s="13">
        <v>76390</v>
      </c>
      <c r="E9211" s="13"/>
      <c r="F9211" s="14"/>
      <c r="G9211" s="14"/>
      <c r="H9211" s="14"/>
      <c r="I9211" s="14"/>
    </row>
    <row r="9212" ht="20.7" customHeight="1">
      <c r="A9212" s="10">
        <v>45802</v>
      </c>
      <c r="B9212" t="s" s="11">
        <v>8</v>
      </c>
      <c r="C9212" t="s" s="12">
        <v>8</v>
      </c>
      <c r="D9212" s="15" cm="1">
        <f t="array" ref="D9212">SUM(D9210:D9211)</f>
        <v>76390</v>
      </c>
      <c r="E9212" s="15" cm="1">
        <f t="array" ref="E9212">SUM(E9210:E9211)</f>
        <v>76390</v>
      </c>
      <c r="F9212" s="16" cm="1">
        <f t="array" ref="F9212">SUM(F9210:F9211)</f>
        <v>0</v>
      </c>
      <c r="G9212" s="16" cm="1">
        <f t="array" ref="G9212">SUM(G9210:G9211)</f>
        <v>0</v>
      </c>
      <c r="H9212" s="16" cm="1">
        <f t="array" ref="H9212">SUM(H9210:H9211)</f>
        <v>0</v>
      </c>
      <c r="I9212" s="16" cm="1">
        <f t="array" ref="I9212">SUM(I9210:I9211)</f>
        <v>0</v>
      </c>
    </row>
    <row r="9213" ht="20.35" customHeight="1">
      <c r="A9213" s="10">
        <v>45802</v>
      </c>
      <c r="B9213" t="s" s="11">
        <v>5</v>
      </c>
      <c r="C9213" t="s" s="12">
        <v>209</v>
      </c>
      <c r="D9213" s="17"/>
      <c r="E9213" s="17">
        <v>44695</v>
      </c>
      <c r="F9213" s="18"/>
      <c r="G9213" s="18"/>
      <c r="H9213" s="18"/>
      <c r="I9213" s="18"/>
    </row>
    <row r="9214" ht="20.35" customHeight="1">
      <c r="A9214" s="10">
        <v>45802</v>
      </c>
      <c r="B9214" t="s" s="11">
        <v>107</v>
      </c>
      <c r="C9214" t="s" s="12">
        <v>209</v>
      </c>
      <c r="D9214" s="13">
        <v>44695</v>
      </c>
      <c r="E9214" s="13"/>
      <c r="F9214" s="14"/>
      <c r="G9214" s="14"/>
      <c r="H9214" s="14"/>
      <c r="I9214" s="14"/>
    </row>
    <row r="9215" ht="20.7" customHeight="1">
      <c r="A9215" s="10">
        <v>45802</v>
      </c>
      <c r="B9215" t="s" s="11">
        <v>8</v>
      </c>
      <c r="C9215" t="s" s="12">
        <v>8</v>
      </c>
      <c r="D9215" s="15" cm="1">
        <f t="array" ref="D9215">SUM(D9213:D9214)</f>
        <v>44695</v>
      </c>
      <c r="E9215" s="15" cm="1">
        <f t="array" ref="E9215">SUM(E9213:E9214)</f>
        <v>44695</v>
      </c>
      <c r="F9215" s="16" cm="1">
        <f t="array" ref="F9215">SUM(F9213:F9214)</f>
        <v>0</v>
      </c>
      <c r="G9215" s="16" cm="1">
        <f t="array" ref="G9215">SUM(G9213:G9214)</f>
        <v>0</v>
      </c>
      <c r="H9215" s="16" cm="1">
        <f t="array" ref="H9215">SUM(H9213:H9214)</f>
        <v>0</v>
      </c>
      <c r="I9215" s="16" cm="1">
        <f t="array" ref="I9215">SUM(I9213:I9214)</f>
        <v>0</v>
      </c>
    </row>
    <row r="9216" ht="20.35" customHeight="1">
      <c r="A9216" s="10">
        <v>45802</v>
      </c>
      <c r="B9216" t="s" s="11">
        <v>39</v>
      </c>
      <c r="C9216" t="s" s="12">
        <v>64</v>
      </c>
      <c r="D9216" s="17"/>
      <c r="E9216" s="17"/>
      <c r="F9216" s="18">
        <v>1500</v>
      </c>
      <c r="G9216" s="18"/>
      <c r="H9216" s="18"/>
      <c r="I9216" s="18"/>
    </row>
    <row r="9217" ht="20.35" customHeight="1">
      <c r="A9217" s="10">
        <v>45802</v>
      </c>
      <c r="B9217" t="s" s="11">
        <v>41</v>
      </c>
      <c r="C9217" t="s" s="12">
        <v>64</v>
      </c>
      <c r="D9217" s="13"/>
      <c r="E9217" s="13"/>
      <c r="F9217" s="14"/>
      <c r="G9217" s="14">
        <v>1500</v>
      </c>
      <c r="H9217" s="14"/>
      <c r="I9217" s="14"/>
    </row>
    <row r="9218" ht="20.7" customHeight="1">
      <c r="A9218" s="10">
        <v>45802</v>
      </c>
      <c r="B9218" t="s" s="11">
        <v>8</v>
      </c>
      <c r="C9218" t="s" s="12">
        <v>8</v>
      </c>
      <c r="D9218" s="15" cm="1">
        <f t="array" ref="D9218">SUM(D9216:D9217)</f>
        <v>0</v>
      </c>
      <c r="E9218" s="15" cm="1">
        <f t="array" ref="E9218">SUM(E9216:E9217)</f>
        <v>0</v>
      </c>
      <c r="F9218" s="16" cm="1">
        <f t="array" ref="F9218">SUM(F9216:F9217)</f>
        <v>1500</v>
      </c>
      <c r="G9218" s="16" cm="1">
        <f t="array" ref="G9218">SUM(G9216:G9217)</f>
        <v>1500</v>
      </c>
      <c r="H9218" s="16" cm="1">
        <f t="array" ref="H9218">SUM(H9216:H9217)</f>
        <v>0</v>
      </c>
      <c r="I9218" s="16" cm="1">
        <f t="array" ref="I9218">SUM(I9216:I9217)</f>
        <v>0</v>
      </c>
    </row>
    <row r="9219" ht="21.25" customHeight="1">
      <c r="A9219" s="10">
        <v>45802</v>
      </c>
      <c r="B9219" t="s" s="11">
        <v>21</v>
      </c>
      <c r="C9219" t="s" s="12">
        <v>1226</v>
      </c>
      <c r="D9219" s="17"/>
      <c r="E9219" s="17">
        <v>1400</v>
      </c>
      <c r="F9219" s="18"/>
      <c r="G9219" s="18"/>
      <c r="H9219" s="18"/>
      <c r="I9219" s="18"/>
    </row>
    <row r="9220" ht="21.25" customHeight="1">
      <c r="A9220" s="10">
        <v>45802</v>
      </c>
      <c r="B9220" t="s" s="11">
        <v>16</v>
      </c>
      <c r="C9220" t="s" s="12">
        <v>1226</v>
      </c>
      <c r="D9220" s="13">
        <v>1400</v>
      </c>
      <c r="E9220" s="13"/>
      <c r="F9220" s="14"/>
      <c r="G9220" s="14"/>
      <c r="H9220" s="14"/>
      <c r="I9220" s="14"/>
    </row>
    <row r="9221" ht="20.7" customHeight="1">
      <c r="A9221" s="10">
        <v>45802</v>
      </c>
      <c r="B9221" t="s" s="11">
        <v>8</v>
      </c>
      <c r="C9221" t="s" s="12">
        <v>8</v>
      </c>
      <c r="D9221" s="15" cm="1">
        <f t="array" ref="D9221">SUM(D9219:D9220)</f>
        <v>1400</v>
      </c>
      <c r="E9221" s="15" cm="1">
        <f t="array" ref="E9221">SUM(E9219:E9220)</f>
        <v>1400</v>
      </c>
      <c r="F9221" s="16" cm="1">
        <f t="array" ref="F9221">SUM(F9219:F9220)</f>
        <v>0</v>
      </c>
      <c r="G9221" s="16" cm="1">
        <f t="array" ref="G9221">SUM(G9219:G9220)</f>
        <v>0</v>
      </c>
      <c r="H9221" s="16" cm="1">
        <f t="array" ref="H9221">SUM(H9219:H9220)</f>
        <v>0</v>
      </c>
      <c r="I9221" s="16" cm="1">
        <f t="array" ref="I9221">SUM(I9219:I9220)</f>
        <v>0</v>
      </c>
    </row>
    <row r="9222" ht="21.25" customHeight="1">
      <c r="A9222" s="10">
        <v>45802</v>
      </c>
      <c r="B9222" t="s" s="11">
        <v>21</v>
      </c>
      <c r="C9222" t="s" s="12">
        <v>1226</v>
      </c>
      <c r="D9222" s="17"/>
      <c r="E9222" s="17">
        <v>3000</v>
      </c>
      <c r="F9222" s="18"/>
      <c r="G9222" s="18"/>
      <c r="H9222" s="18"/>
      <c r="I9222" s="18"/>
    </row>
    <row r="9223" ht="21.25" customHeight="1">
      <c r="A9223" s="10">
        <v>45802</v>
      </c>
      <c r="B9223" t="s" s="11">
        <v>16</v>
      </c>
      <c r="C9223" t="s" s="12">
        <v>1226</v>
      </c>
      <c r="D9223" s="13">
        <v>3000</v>
      </c>
      <c r="E9223" s="13"/>
      <c r="F9223" s="14"/>
      <c r="G9223" s="14"/>
      <c r="H9223" s="14"/>
      <c r="I9223" s="14"/>
    </row>
    <row r="9224" ht="20.7" customHeight="1">
      <c r="A9224" s="10">
        <v>45802</v>
      </c>
      <c r="B9224" t="s" s="11">
        <v>8</v>
      </c>
      <c r="C9224" t="s" s="12">
        <v>8</v>
      </c>
      <c r="D9224" s="15" cm="1">
        <f t="array" ref="D9224">SUM(D9222:D9223)</f>
        <v>3000</v>
      </c>
      <c r="E9224" s="15" cm="1">
        <f t="array" ref="E9224">SUM(E9222:E9223)</f>
        <v>3000</v>
      </c>
      <c r="F9224" s="16" cm="1">
        <f t="array" ref="F9224">SUM(F9222:F9223)</f>
        <v>0</v>
      </c>
      <c r="G9224" s="16" cm="1">
        <f t="array" ref="G9224">SUM(G9222:G9223)</f>
        <v>0</v>
      </c>
      <c r="H9224" s="16" cm="1">
        <f t="array" ref="H9224">SUM(H9222:H9223)</f>
        <v>0</v>
      </c>
      <c r="I9224" s="16" cm="1">
        <f t="array" ref="I9224">SUM(I9222:I9223)</f>
        <v>0</v>
      </c>
    </row>
    <row r="9225" ht="21.25" customHeight="1">
      <c r="A9225" s="10">
        <v>45802</v>
      </c>
      <c r="B9225" t="s" s="11">
        <v>107</v>
      </c>
      <c r="C9225" t="s" s="12">
        <v>1236</v>
      </c>
      <c r="D9225" s="17"/>
      <c r="E9225" s="17">
        <v>48000</v>
      </c>
      <c r="F9225" s="18"/>
      <c r="G9225" s="18"/>
      <c r="H9225" s="18"/>
      <c r="I9225" s="18"/>
    </row>
    <row r="9226" ht="20.9" customHeight="1">
      <c r="A9226" s="10">
        <v>45802</v>
      </c>
      <c r="B9226" t="s" s="11">
        <v>12</v>
      </c>
      <c r="C9226" t="s" s="12">
        <v>1236</v>
      </c>
      <c r="D9226" s="19">
        <v>24000</v>
      </c>
      <c r="E9226" s="19"/>
      <c r="F9226" s="20"/>
      <c r="G9226" s="20"/>
      <c r="H9226" s="20"/>
      <c r="I9226" s="20"/>
    </row>
    <row r="9227" ht="21.25" customHeight="1">
      <c r="A9227" s="10">
        <v>45802</v>
      </c>
      <c r="B9227" t="s" s="11">
        <v>10</v>
      </c>
      <c r="C9227" t="s" s="12">
        <v>1236</v>
      </c>
      <c r="D9227" s="13">
        <v>24000</v>
      </c>
      <c r="E9227" s="13"/>
      <c r="F9227" s="14"/>
      <c r="G9227" s="14"/>
      <c r="H9227" s="14"/>
      <c r="I9227" s="14"/>
    </row>
    <row r="9228" ht="20.7" customHeight="1">
      <c r="A9228" s="10">
        <v>45802</v>
      </c>
      <c r="B9228" t="s" s="11">
        <v>8</v>
      </c>
      <c r="C9228" t="s" s="12">
        <v>8</v>
      </c>
      <c r="D9228" s="15" cm="1">
        <f t="array" ref="D9228">SUM(D9225:D9227)</f>
        <v>48000</v>
      </c>
      <c r="E9228" s="15" cm="1">
        <f t="array" ref="E9228">SUM(E9225:E9227)</f>
        <v>48000</v>
      </c>
      <c r="F9228" s="16" cm="1">
        <f t="array" ref="F9228">SUM(F9225:F9227)</f>
        <v>0</v>
      </c>
      <c r="G9228" s="16" cm="1">
        <f t="array" ref="G9228">SUM(G9225:G9227)</f>
        <v>0</v>
      </c>
      <c r="H9228" s="16" cm="1">
        <f t="array" ref="H9228">SUM(H9225:H9227)</f>
        <v>0</v>
      </c>
      <c r="I9228" s="16" cm="1">
        <f t="array" ref="I9228">SUM(I9225:I9227)</f>
        <v>0</v>
      </c>
    </row>
    <row r="9229" ht="20.35" customHeight="1">
      <c r="A9229" s="10">
        <v>45803</v>
      </c>
      <c r="B9229" t="s" s="11">
        <v>39</v>
      </c>
      <c r="C9229" t="s" s="12">
        <v>1237</v>
      </c>
      <c r="D9229" s="17"/>
      <c r="E9229" s="17"/>
      <c r="F9229" s="18"/>
      <c r="G9229" s="18">
        <v>1541.51</v>
      </c>
      <c r="H9229" s="18"/>
      <c r="I9229" s="18"/>
    </row>
    <row r="9230" ht="20.05" customHeight="1">
      <c r="A9230" s="10">
        <v>45803</v>
      </c>
      <c r="B9230" t="s" s="11">
        <v>44</v>
      </c>
      <c r="C9230" t="s" s="12">
        <v>1237</v>
      </c>
      <c r="D9230" s="19"/>
      <c r="E9230" s="19"/>
      <c r="F9230" s="20">
        <v>1521.51</v>
      </c>
      <c r="G9230" s="20"/>
      <c r="H9230" s="20"/>
      <c r="I9230" s="20"/>
    </row>
    <row r="9231" ht="20.05" customHeight="1">
      <c r="A9231" s="10">
        <v>45803</v>
      </c>
      <c r="B9231" t="s" s="11">
        <v>898</v>
      </c>
      <c r="C9231" t="s" s="12">
        <v>1237</v>
      </c>
      <c r="D9231" s="19"/>
      <c r="E9231" s="19"/>
      <c r="F9231" s="20">
        <v>20</v>
      </c>
      <c r="G9231" s="20"/>
      <c r="H9231" s="20"/>
      <c r="I9231" s="20"/>
    </row>
    <row r="9232" ht="20.05" customHeight="1">
      <c r="A9232" s="10">
        <v>45803</v>
      </c>
      <c r="B9232" t="s" s="11">
        <v>5</v>
      </c>
      <c r="C9232" t="s" s="12">
        <v>1237</v>
      </c>
      <c r="D9232" s="19">
        <v>491250</v>
      </c>
      <c r="E9232" s="19"/>
      <c r="F9232" s="20"/>
      <c r="G9232" s="20"/>
      <c r="H9232" s="20"/>
      <c r="I9232" s="20"/>
    </row>
    <row r="9233" ht="20.35" customHeight="1">
      <c r="A9233" s="10">
        <v>45803</v>
      </c>
      <c r="B9233" t="s" s="11">
        <v>46</v>
      </c>
      <c r="C9233" t="s" s="12">
        <v>1237</v>
      </c>
      <c r="D9233" s="13"/>
      <c r="E9233" s="13">
        <v>491250</v>
      </c>
      <c r="F9233" s="14"/>
      <c r="G9233" s="14"/>
      <c r="H9233" s="14"/>
      <c r="I9233" s="14"/>
    </row>
    <row r="9234" ht="20.7" customHeight="1">
      <c r="A9234" s="10">
        <v>45803</v>
      </c>
      <c r="B9234" t="s" s="11">
        <v>8</v>
      </c>
      <c r="C9234" t="s" s="12">
        <v>8</v>
      </c>
      <c r="D9234" s="15" cm="1">
        <f t="array" ref="D9234">SUM(D9229:D9233)</f>
        <v>491250</v>
      </c>
      <c r="E9234" s="15" cm="1">
        <f t="array" ref="E9234">SUM(E9229:E9233)</f>
        <v>491250</v>
      </c>
      <c r="F9234" s="16" cm="1">
        <f t="array" ref="F9234">SUM(F9229:F9233)</f>
        <v>1541.51</v>
      </c>
      <c r="G9234" s="16" cm="1">
        <f t="array" ref="G9234">SUM(G9229:G9233)</f>
        <v>1541.51</v>
      </c>
      <c r="H9234" s="16" cm="1">
        <f t="array" ref="H9234">SUM(H9229:H9233)</f>
        <v>0</v>
      </c>
      <c r="I9234" s="16" cm="1">
        <f t="array" ref="I9234">SUM(I9229:I9233)</f>
        <v>0</v>
      </c>
    </row>
    <row r="9235" ht="20.65" customHeight="1">
      <c r="A9235" s="10">
        <v>45803</v>
      </c>
      <c r="B9235" t="s" s="11">
        <v>814</v>
      </c>
      <c r="C9235" t="s" s="12">
        <v>820</v>
      </c>
      <c r="D9235" s="17">
        <v>9</v>
      </c>
      <c r="E9235" s="17"/>
      <c r="F9235" s="18"/>
      <c r="G9235" s="18"/>
      <c r="H9235" s="18"/>
      <c r="I9235" s="18"/>
    </row>
    <row r="9236" ht="20.65" customHeight="1">
      <c r="A9236" s="10">
        <v>45803</v>
      </c>
      <c r="B9236" t="s" s="11">
        <v>7</v>
      </c>
      <c r="C9236" t="s" s="12">
        <v>820</v>
      </c>
      <c r="D9236" s="13"/>
      <c r="E9236" s="13">
        <v>9</v>
      </c>
      <c r="F9236" s="14"/>
      <c r="G9236" s="14"/>
      <c r="H9236" s="14"/>
      <c r="I9236" s="14"/>
    </row>
    <row r="9237" ht="20.7" customHeight="1">
      <c r="A9237" s="10">
        <v>45803</v>
      </c>
      <c r="B9237" t="s" s="11">
        <v>8</v>
      </c>
      <c r="C9237" t="s" s="12">
        <v>8</v>
      </c>
      <c r="D9237" s="15" cm="1">
        <f t="array" ref="D9237">SUM(D9235:D9236)</f>
        <v>9</v>
      </c>
      <c r="E9237" s="15" cm="1">
        <f t="array" ref="E9237">SUM(E9235:E9236)</f>
        <v>9</v>
      </c>
      <c r="F9237" s="16" cm="1">
        <f t="array" ref="F9237">SUM(F9235:F9236)</f>
        <v>0</v>
      </c>
      <c r="G9237" s="16" cm="1">
        <f t="array" ref="G9237">SUM(G9235:G9236)</f>
        <v>0</v>
      </c>
      <c r="H9237" s="16" cm="1">
        <f t="array" ref="H9237">SUM(H9235:H9236)</f>
        <v>0</v>
      </c>
      <c r="I9237" s="16" cm="1">
        <f t="array" ref="I9237">SUM(I9235:I9236)</f>
        <v>0</v>
      </c>
    </row>
    <row r="9238" ht="20.35" customHeight="1">
      <c r="A9238" s="10">
        <v>45803</v>
      </c>
      <c r="B9238" t="s" s="11">
        <v>107</v>
      </c>
      <c r="C9238" t="s" s="12">
        <v>1033</v>
      </c>
      <c r="D9238" s="17"/>
      <c r="E9238" s="17">
        <v>16500</v>
      </c>
      <c r="F9238" s="18"/>
      <c r="G9238" s="18"/>
      <c r="H9238" s="18"/>
      <c r="I9238" s="18"/>
    </row>
    <row r="9239" ht="20.05" customHeight="1">
      <c r="A9239" s="10">
        <v>45803</v>
      </c>
      <c r="B9239" t="s" s="11">
        <v>89</v>
      </c>
      <c r="C9239" t="s" s="12">
        <v>1033</v>
      </c>
      <c r="D9239" s="19">
        <v>8250</v>
      </c>
      <c r="E9239" s="19"/>
      <c r="F9239" s="20"/>
      <c r="G9239" s="20"/>
      <c r="H9239" s="20"/>
      <c r="I9239" s="20"/>
    </row>
    <row r="9240" ht="20.35" customHeight="1">
      <c r="A9240" s="10">
        <v>45803</v>
      </c>
      <c r="B9240" t="s" s="11">
        <v>74</v>
      </c>
      <c r="C9240" t="s" s="12">
        <v>1033</v>
      </c>
      <c r="D9240" s="13">
        <v>8250</v>
      </c>
      <c r="E9240" s="13"/>
      <c r="F9240" s="14"/>
      <c r="G9240" s="14"/>
      <c r="H9240" s="14"/>
      <c r="I9240" s="14"/>
    </row>
    <row r="9241" ht="20.7" customHeight="1">
      <c r="A9241" s="10">
        <v>45803</v>
      </c>
      <c r="B9241" t="s" s="11">
        <v>8</v>
      </c>
      <c r="C9241" t="s" s="12">
        <v>8</v>
      </c>
      <c r="D9241" s="15" cm="1">
        <f t="array" ref="D9241">SUM(D9238:D9240)</f>
        <v>16500</v>
      </c>
      <c r="E9241" s="15" cm="1">
        <f t="array" ref="E9241">SUM(E9238:E9240)</f>
        <v>16500</v>
      </c>
      <c r="F9241" s="16" cm="1">
        <f t="array" ref="F9241">SUM(F9238:F9240)</f>
        <v>0</v>
      </c>
      <c r="G9241" s="16" cm="1">
        <f t="array" ref="G9241">SUM(G9238:G9240)</f>
        <v>0</v>
      </c>
      <c r="H9241" s="16" cm="1">
        <f t="array" ref="H9241">SUM(H9238:H9240)</f>
        <v>0</v>
      </c>
      <c r="I9241" s="16" cm="1">
        <f t="array" ref="I9241">SUM(I9238:I9240)</f>
        <v>0</v>
      </c>
    </row>
    <row r="9242" ht="21.25" customHeight="1">
      <c r="A9242" s="10">
        <v>45803</v>
      </c>
      <c r="B9242" t="s" s="11">
        <v>107</v>
      </c>
      <c r="C9242" t="s" s="12">
        <v>1125</v>
      </c>
      <c r="D9242" s="17"/>
      <c r="E9242" s="17">
        <v>10000</v>
      </c>
      <c r="F9242" s="18"/>
      <c r="G9242" s="18"/>
      <c r="H9242" s="18"/>
      <c r="I9242" s="18"/>
    </row>
    <row r="9243" ht="21.25" customHeight="1">
      <c r="A9243" s="10">
        <v>45803</v>
      </c>
      <c r="B9243" t="s" s="11">
        <v>1126</v>
      </c>
      <c r="C9243" t="s" s="12">
        <v>1125</v>
      </c>
      <c r="D9243" s="13">
        <v>10000</v>
      </c>
      <c r="E9243" s="13"/>
      <c r="F9243" s="14"/>
      <c r="G9243" s="14"/>
      <c r="H9243" s="14"/>
      <c r="I9243" s="14"/>
    </row>
    <row r="9244" ht="20.7" customHeight="1">
      <c r="A9244" s="10">
        <v>45803</v>
      </c>
      <c r="B9244" t="s" s="11">
        <v>8</v>
      </c>
      <c r="C9244" t="s" s="12">
        <v>8</v>
      </c>
      <c r="D9244" s="15" cm="1">
        <f t="array" ref="D9244">SUM(D9242:D9243)</f>
        <v>10000</v>
      </c>
      <c r="E9244" s="15" cm="1">
        <f t="array" ref="E9244">SUM(E9242:E9243)</f>
        <v>10000</v>
      </c>
      <c r="F9244" s="16" cm="1">
        <f t="array" ref="F9244">SUM(F9242:F9243)</f>
        <v>0</v>
      </c>
      <c r="G9244" s="16" cm="1">
        <f t="array" ref="G9244">SUM(G9242:G9243)</f>
        <v>0</v>
      </c>
      <c r="H9244" s="16" cm="1">
        <f t="array" ref="H9244">SUM(H9242:H9243)</f>
        <v>0</v>
      </c>
      <c r="I9244" s="16" cm="1">
        <f t="array" ref="I9244">SUM(I9242:I9243)</f>
        <v>0</v>
      </c>
    </row>
    <row r="9245" ht="21.25" customHeight="1">
      <c r="A9245" s="10">
        <v>45803</v>
      </c>
      <c r="B9245" t="s" s="11">
        <v>121</v>
      </c>
      <c r="C9245" t="s" s="12">
        <v>1018</v>
      </c>
      <c r="D9245" s="17"/>
      <c r="E9245" s="17">
        <v>10000</v>
      </c>
      <c r="F9245" s="18"/>
      <c r="G9245" s="18"/>
      <c r="H9245" s="18"/>
      <c r="I9245" s="18"/>
    </row>
    <row r="9246" ht="21.25" customHeight="1">
      <c r="A9246" s="10">
        <v>45803</v>
      </c>
      <c r="B9246" t="s" s="11">
        <v>786</v>
      </c>
      <c r="C9246" t="s" s="12">
        <v>1018</v>
      </c>
      <c r="D9246" s="13">
        <v>10000</v>
      </c>
      <c r="E9246" s="13"/>
      <c r="F9246" s="14"/>
      <c r="G9246" s="14"/>
      <c r="H9246" s="14"/>
      <c r="I9246" s="14"/>
    </row>
    <row r="9247" ht="20.7" customHeight="1">
      <c r="A9247" s="10">
        <v>45803</v>
      </c>
      <c r="B9247" t="s" s="11">
        <v>8</v>
      </c>
      <c r="C9247" t="s" s="12">
        <v>8</v>
      </c>
      <c r="D9247" s="15" cm="1">
        <f t="array" ref="D9247">SUM(D9245:D9246)</f>
        <v>10000</v>
      </c>
      <c r="E9247" s="15" cm="1">
        <f t="array" ref="E9247">SUM(E9245:E9246)</f>
        <v>10000</v>
      </c>
      <c r="F9247" s="16" cm="1">
        <f t="array" ref="F9247">SUM(F9245:F9246)</f>
        <v>0</v>
      </c>
      <c r="G9247" s="16" cm="1">
        <f t="array" ref="G9247">SUM(G9245:G9246)</f>
        <v>0</v>
      </c>
      <c r="H9247" s="16" cm="1">
        <f t="array" ref="H9247">SUM(H9245:H9246)</f>
        <v>0</v>
      </c>
      <c r="I9247" s="16" cm="1">
        <f t="array" ref="I9247">SUM(I9245:I9246)</f>
        <v>0</v>
      </c>
    </row>
    <row r="9248" ht="21.25" customHeight="1">
      <c r="A9248" s="10">
        <v>45803</v>
      </c>
      <c r="B9248" t="s" s="11">
        <v>121</v>
      </c>
      <c r="C9248" t="s" s="12">
        <v>952</v>
      </c>
      <c r="D9248" s="17"/>
      <c r="E9248" s="17">
        <v>10000</v>
      </c>
      <c r="F9248" s="18"/>
      <c r="G9248" s="18"/>
      <c r="H9248" s="18"/>
      <c r="I9248" s="18"/>
    </row>
    <row r="9249" ht="21.25" customHeight="1">
      <c r="A9249" s="10">
        <v>45803</v>
      </c>
      <c r="B9249" t="s" s="11">
        <v>788</v>
      </c>
      <c r="C9249" t="s" s="12">
        <v>952</v>
      </c>
      <c r="D9249" s="13">
        <v>10000</v>
      </c>
      <c r="E9249" s="13"/>
      <c r="F9249" s="14"/>
      <c r="G9249" s="14"/>
      <c r="H9249" s="14"/>
      <c r="I9249" s="14"/>
    </row>
    <row r="9250" ht="20.7" customHeight="1">
      <c r="A9250" s="10">
        <v>45803</v>
      </c>
      <c r="B9250" t="s" s="11">
        <v>8</v>
      </c>
      <c r="C9250" t="s" s="12">
        <v>8</v>
      </c>
      <c r="D9250" s="15" cm="1">
        <f t="array" ref="D9250">SUM(D9248:D9249)</f>
        <v>10000</v>
      </c>
      <c r="E9250" s="15" cm="1">
        <f t="array" ref="E9250">SUM(E9248:E9249)</f>
        <v>10000</v>
      </c>
      <c r="F9250" s="16" cm="1">
        <f t="array" ref="F9250">SUM(F9248:F9249)</f>
        <v>0</v>
      </c>
      <c r="G9250" s="16" cm="1">
        <f t="array" ref="G9250">SUM(G9248:G9249)</f>
        <v>0</v>
      </c>
      <c r="H9250" s="16" cm="1">
        <f t="array" ref="H9250">SUM(H9248:H9249)</f>
        <v>0</v>
      </c>
      <c r="I9250" s="16" cm="1">
        <f t="array" ref="I9250">SUM(I9248:I9249)</f>
        <v>0</v>
      </c>
    </row>
    <row r="9251" ht="20.35" customHeight="1">
      <c r="A9251" s="10">
        <v>45803</v>
      </c>
      <c r="B9251" t="s" s="11">
        <v>107</v>
      </c>
      <c r="C9251" t="s" s="12">
        <v>439</v>
      </c>
      <c r="D9251" s="17"/>
      <c r="E9251" s="17">
        <v>5000</v>
      </c>
      <c r="F9251" s="18"/>
      <c r="G9251" s="18"/>
      <c r="H9251" s="18"/>
      <c r="I9251" s="18"/>
    </row>
    <row r="9252" ht="20.35" customHeight="1">
      <c r="A9252" s="10">
        <v>45803</v>
      </c>
      <c r="B9252" t="s" s="11">
        <v>121</v>
      </c>
      <c r="C9252" t="s" s="12">
        <v>439</v>
      </c>
      <c r="D9252" s="13">
        <v>5000</v>
      </c>
      <c r="E9252" s="13"/>
      <c r="F9252" s="14"/>
      <c r="G9252" s="14"/>
      <c r="H9252" s="14"/>
      <c r="I9252" s="14"/>
    </row>
    <row r="9253" ht="20.7" customHeight="1">
      <c r="A9253" s="10">
        <v>45803</v>
      </c>
      <c r="B9253" t="s" s="11">
        <v>8</v>
      </c>
      <c r="C9253" t="s" s="12">
        <v>8</v>
      </c>
      <c r="D9253" s="15" cm="1">
        <f t="array" ref="D9253">SUM(D9251:D9252)</f>
        <v>5000</v>
      </c>
      <c r="E9253" s="15" cm="1">
        <f t="array" ref="E9253">SUM(E9251:E9252)</f>
        <v>5000</v>
      </c>
      <c r="F9253" s="16" cm="1">
        <f t="array" ref="F9253">SUM(F9251:F9252)</f>
        <v>0</v>
      </c>
      <c r="G9253" s="16" cm="1">
        <f t="array" ref="G9253">SUM(G9251:G9252)</f>
        <v>0</v>
      </c>
      <c r="H9253" s="16" cm="1">
        <f t="array" ref="H9253">SUM(H9251:H9252)</f>
        <v>0</v>
      </c>
      <c r="I9253" s="16" cm="1">
        <f t="array" ref="I9253">SUM(I9251:I9252)</f>
        <v>0</v>
      </c>
    </row>
    <row r="9254" ht="21.25" customHeight="1">
      <c r="A9254" s="10">
        <v>45803</v>
      </c>
      <c r="B9254" t="s" s="11">
        <v>121</v>
      </c>
      <c r="C9254" t="s" s="12">
        <v>1238</v>
      </c>
      <c r="D9254" s="17"/>
      <c r="E9254" s="17">
        <v>5700</v>
      </c>
      <c r="F9254" s="18"/>
      <c r="G9254" s="18"/>
      <c r="H9254" s="18"/>
      <c r="I9254" s="18"/>
    </row>
    <row r="9255" ht="21.25" customHeight="1">
      <c r="A9255" s="10">
        <v>45803</v>
      </c>
      <c r="B9255" t="s" s="11">
        <v>86</v>
      </c>
      <c r="C9255" t="s" s="12">
        <v>1238</v>
      </c>
      <c r="D9255" s="13">
        <v>5700</v>
      </c>
      <c r="E9255" s="13"/>
      <c r="F9255" s="14"/>
      <c r="G9255" s="14"/>
      <c r="H9255" s="14"/>
      <c r="I9255" s="14"/>
    </row>
    <row r="9256" ht="20.7" customHeight="1">
      <c r="A9256" s="10">
        <v>45803</v>
      </c>
      <c r="B9256" t="s" s="11">
        <v>8</v>
      </c>
      <c r="C9256" t="s" s="12">
        <v>8</v>
      </c>
      <c r="D9256" s="15" cm="1">
        <f t="array" ref="D9256">SUM(D9254:D9255)</f>
        <v>5700</v>
      </c>
      <c r="E9256" s="15" cm="1">
        <f t="array" ref="E9256">SUM(E9254:E9255)</f>
        <v>5700</v>
      </c>
      <c r="F9256" s="16" cm="1">
        <f t="array" ref="F9256">SUM(F9254:F9255)</f>
        <v>0</v>
      </c>
      <c r="G9256" s="16" cm="1">
        <f t="array" ref="G9256">SUM(G9254:G9255)</f>
        <v>0</v>
      </c>
      <c r="H9256" s="16" cm="1">
        <f t="array" ref="H9256">SUM(H9254:H9255)</f>
        <v>0</v>
      </c>
      <c r="I9256" s="16" cm="1">
        <f t="array" ref="I9256">SUM(I9254:I9255)</f>
        <v>0</v>
      </c>
    </row>
    <row r="9257" ht="20.35" customHeight="1">
      <c r="A9257" s="10">
        <v>45803</v>
      </c>
      <c r="B9257" t="s" s="11">
        <v>5</v>
      </c>
      <c r="C9257" t="s" s="12">
        <v>439</v>
      </c>
      <c r="D9257" s="17"/>
      <c r="E9257" s="17">
        <v>20000</v>
      </c>
      <c r="F9257" s="18"/>
      <c r="G9257" s="18"/>
      <c r="H9257" s="18"/>
      <c r="I9257" s="18"/>
    </row>
    <row r="9258" ht="20.35" customHeight="1">
      <c r="A9258" s="10">
        <v>45803</v>
      </c>
      <c r="B9258" t="s" s="11">
        <v>121</v>
      </c>
      <c r="C9258" t="s" s="12">
        <v>439</v>
      </c>
      <c r="D9258" s="13">
        <v>20000</v>
      </c>
      <c r="E9258" s="13"/>
      <c r="F9258" s="14"/>
      <c r="G9258" s="14"/>
      <c r="H9258" s="14"/>
      <c r="I9258" s="14"/>
    </row>
    <row r="9259" ht="20.7" customHeight="1">
      <c r="A9259" s="10">
        <v>45803</v>
      </c>
      <c r="B9259" t="s" s="11">
        <v>8</v>
      </c>
      <c r="C9259" t="s" s="12">
        <v>8</v>
      </c>
      <c r="D9259" s="15" cm="1">
        <f t="array" ref="D9259">SUM(D9257:D9258)</f>
        <v>20000</v>
      </c>
      <c r="E9259" s="15" cm="1">
        <f t="array" ref="E9259">SUM(E9257:E9258)</f>
        <v>20000</v>
      </c>
      <c r="F9259" s="16" cm="1">
        <f t="array" ref="F9259">SUM(F9257:F9258)</f>
        <v>0</v>
      </c>
      <c r="G9259" s="16" cm="1">
        <f t="array" ref="G9259">SUM(G9257:G9258)</f>
        <v>0</v>
      </c>
      <c r="H9259" s="16" cm="1">
        <f t="array" ref="H9259">SUM(H9257:H9258)</f>
        <v>0</v>
      </c>
      <c r="I9259" s="16" cm="1">
        <f t="array" ref="I9259">SUM(I9257:I9258)</f>
        <v>0</v>
      </c>
    </row>
    <row r="9260" ht="20.35" customHeight="1">
      <c r="A9260" s="10">
        <v>45803</v>
      </c>
      <c r="B9260" t="s" s="11">
        <v>89</v>
      </c>
      <c r="C9260" t="s" s="12">
        <v>1232</v>
      </c>
      <c r="D9260" s="17"/>
      <c r="E9260" s="17">
        <v>60000</v>
      </c>
      <c r="F9260" s="18"/>
      <c r="G9260" s="18"/>
      <c r="H9260" s="18"/>
      <c r="I9260" s="18"/>
    </row>
    <row r="9261" ht="20.35" customHeight="1">
      <c r="A9261" s="10">
        <v>45803</v>
      </c>
      <c r="B9261" t="s" s="11">
        <v>107</v>
      </c>
      <c r="C9261" t="s" s="12">
        <v>1232</v>
      </c>
      <c r="D9261" s="13">
        <v>60000</v>
      </c>
      <c r="E9261" s="13"/>
      <c r="F9261" s="14"/>
      <c r="G9261" s="14"/>
      <c r="H9261" s="14"/>
      <c r="I9261" s="14"/>
    </row>
    <row r="9262" ht="20.7" customHeight="1">
      <c r="A9262" s="10">
        <v>45803</v>
      </c>
      <c r="B9262" t="s" s="11">
        <v>8</v>
      </c>
      <c r="C9262" t="s" s="12">
        <v>8</v>
      </c>
      <c r="D9262" s="15" cm="1">
        <f t="array" ref="D9262">SUM(D9260:D9261)</f>
        <v>60000</v>
      </c>
      <c r="E9262" s="15" cm="1">
        <f t="array" ref="E9262">SUM(E9260:E9261)</f>
        <v>60000</v>
      </c>
      <c r="F9262" s="16" cm="1">
        <f t="array" ref="F9262">SUM(F9260:F9261)</f>
        <v>0</v>
      </c>
      <c r="G9262" s="16" cm="1">
        <f t="array" ref="G9262">SUM(G9260:G9261)</f>
        <v>0</v>
      </c>
      <c r="H9262" s="16" cm="1">
        <f t="array" ref="H9262">SUM(H9260:H9261)</f>
        <v>0</v>
      </c>
      <c r="I9262" s="16" cm="1">
        <f t="array" ref="I9262">SUM(I9260:I9261)</f>
        <v>0</v>
      </c>
    </row>
    <row r="9263" ht="21.25" customHeight="1">
      <c r="A9263" s="10">
        <v>45803</v>
      </c>
      <c r="B9263" t="s" s="11">
        <v>107</v>
      </c>
      <c r="C9263" t="s" s="12">
        <v>1239</v>
      </c>
      <c r="D9263" s="17"/>
      <c r="E9263" s="17">
        <v>10000</v>
      </c>
      <c r="F9263" s="18"/>
      <c r="G9263" s="18"/>
      <c r="H9263" s="18"/>
      <c r="I9263" s="18"/>
    </row>
    <row r="9264" ht="21.25" customHeight="1">
      <c r="A9264" s="10">
        <v>45803</v>
      </c>
      <c r="B9264" t="s" s="11">
        <v>1240</v>
      </c>
      <c r="C9264" t="s" s="12">
        <v>1239</v>
      </c>
      <c r="D9264" s="13">
        <v>10000</v>
      </c>
      <c r="E9264" s="13"/>
      <c r="F9264" s="14"/>
      <c r="G9264" s="14"/>
      <c r="H9264" s="14"/>
      <c r="I9264" s="14"/>
    </row>
    <row r="9265" ht="20.7" customHeight="1">
      <c r="A9265" s="10">
        <v>45803</v>
      </c>
      <c r="B9265" t="s" s="11">
        <v>8</v>
      </c>
      <c r="C9265" t="s" s="12">
        <v>8</v>
      </c>
      <c r="D9265" s="15" cm="1">
        <f t="array" ref="D9265">SUM(D9263:D9264)</f>
        <v>10000</v>
      </c>
      <c r="E9265" s="15" cm="1">
        <f t="array" ref="E9265">SUM(E9263:E9264)</f>
        <v>10000</v>
      </c>
      <c r="F9265" s="16" cm="1">
        <f t="array" ref="F9265">SUM(F9263:F9264)</f>
        <v>0</v>
      </c>
      <c r="G9265" s="16" cm="1">
        <f t="array" ref="G9265">SUM(G9263:G9264)</f>
        <v>0</v>
      </c>
      <c r="H9265" s="16" cm="1">
        <f t="array" ref="H9265">SUM(H9263:H9264)</f>
        <v>0</v>
      </c>
      <c r="I9265" s="16" cm="1">
        <f t="array" ref="I9265">SUM(I9263:I9264)</f>
        <v>0</v>
      </c>
    </row>
    <row r="9266" ht="20.35" customHeight="1">
      <c r="A9266" s="10">
        <v>45803</v>
      </c>
      <c r="B9266" t="s" s="11">
        <v>5</v>
      </c>
      <c r="C9266" t="s" s="12">
        <v>439</v>
      </c>
      <c r="D9266" s="17"/>
      <c r="E9266" s="17">
        <v>157505</v>
      </c>
      <c r="F9266" s="18"/>
      <c r="G9266" s="18"/>
      <c r="H9266" s="18"/>
      <c r="I9266" s="18"/>
    </row>
    <row r="9267" ht="20.35" customHeight="1">
      <c r="A9267" s="10">
        <v>45803</v>
      </c>
      <c r="B9267" t="s" s="11">
        <v>121</v>
      </c>
      <c r="C9267" t="s" s="12">
        <v>439</v>
      </c>
      <c r="D9267" s="13">
        <v>157505</v>
      </c>
      <c r="E9267" s="13"/>
      <c r="F9267" s="14"/>
      <c r="G9267" s="14"/>
      <c r="H9267" s="14"/>
      <c r="I9267" s="14"/>
    </row>
    <row r="9268" ht="20.7" customHeight="1">
      <c r="A9268" s="10">
        <v>45803</v>
      </c>
      <c r="B9268" t="s" s="11">
        <v>8</v>
      </c>
      <c r="C9268" t="s" s="12">
        <v>8</v>
      </c>
      <c r="D9268" s="15" cm="1">
        <f t="array" ref="D9268">SUM(D9266:D9267)</f>
        <v>157505</v>
      </c>
      <c r="E9268" s="15" cm="1">
        <f t="array" ref="E9268">SUM(E9266:E9267)</f>
        <v>157505</v>
      </c>
      <c r="F9268" s="16" cm="1">
        <f t="array" ref="F9268">SUM(F9266:F9267)</f>
        <v>0</v>
      </c>
      <c r="G9268" s="16" cm="1">
        <f t="array" ref="G9268">SUM(G9266:G9267)</f>
        <v>0</v>
      </c>
      <c r="H9268" s="16" cm="1">
        <f t="array" ref="H9268">SUM(H9266:H9267)</f>
        <v>0</v>
      </c>
      <c r="I9268" s="16" cm="1">
        <f t="array" ref="I9268">SUM(I9266:I9267)</f>
        <v>0</v>
      </c>
    </row>
    <row r="9269" ht="20.35" customHeight="1">
      <c r="A9269" s="10">
        <v>45803</v>
      </c>
      <c r="B9269" t="s" s="11">
        <v>121</v>
      </c>
      <c r="C9269" t="s" s="12">
        <v>802</v>
      </c>
      <c r="D9269" s="17"/>
      <c r="E9269" s="17">
        <v>94503</v>
      </c>
      <c r="F9269" s="18"/>
      <c r="G9269" s="18"/>
      <c r="H9269" s="18"/>
      <c r="I9269" s="18"/>
    </row>
    <row r="9270" ht="20.35" customHeight="1">
      <c r="A9270" s="10">
        <v>45803</v>
      </c>
      <c r="B9270" t="s" s="11">
        <v>81</v>
      </c>
      <c r="C9270" t="s" s="12">
        <v>802</v>
      </c>
      <c r="D9270" s="13">
        <v>94503</v>
      </c>
      <c r="E9270" s="13"/>
      <c r="F9270" s="14"/>
      <c r="G9270" s="14"/>
      <c r="H9270" s="14"/>
      <c r="I9270" s="14"/>
    </row>
    <row r="9271" ht="20.7" customHeight="1">
      <c r="A9271" s="10">
        <v>45803</v>
      </c>
      <c r="B9271" t="s" s="11">
        <v>8</v>
      </c>
      <c r="C9271" t="s" s="12">
        <v>8</v>
      </c>
      <c r="D9271" s="15" cm="1">
        <f t="array" ref="D9271">SUM(D9269:D9270)</f>
        <v>94503</v>
      </c>
      <c r="E9271" s="15" cm="1">
        <f t="array" ref="E9271">SUM(E9269:E9270)</f>
        <v>94503</v>
      </c>
      <c r="F9271" s="16" cm="1">
        <f t="array" ref="F9271">SUM(F9269:F9270)</f>
        <v>0</v>
      </c>
      <c r="G9271" s="16" cm="1">
        <f t="array" ref="G9271">SUM(G9269:G9270)</f>
        <v>0</v>
      </c>
      <c r="H9271" s="16" cm="1">
        <f t="array" ref="H9271">SUM(H9269:H9270)</f>
        <v>0</v>
      </c>
      <c r="I9271" s="16" cm="1">
        <f t="array" ref="I9271">SUM(I9269:I9270)</f>
        <v>0</v>
      </c>
    </row>
    <row r="9272" ht="21.25" customHeight="1">
      <c r="A9272" s="10">
        <v>45803</v>
      </c>
      <c r="B9272" t="s" s="11">
        <v>121</v>
      </c>
      <c r="C9272" t="s" s="12">
        <v>1241</v>
      </c>
      <c r="D9272" s="17"/>
      <c r="E9272" s="17">
        <v>31054</v>
      </c>
      <c r="F9272" s="18"/>
      <c r="G9272" s="18"/>
      <c r="H9272" s="18"/>
      <c r="I9272" s="18"/>
    </row>
    <row r="9273" ht="21.25" customHeight="1">
      <c r="A9273" s="10">
        <v>45803</v>
      </c>
      <c r="B9273" t="s" s="11">
        <v>441</v>
      </c>
      <c r="C9273" t="s" s="12">
        <v>1241</v>
      </c>
      <c r="D9273" s="13">
        <v>31054</v>
      </c>
      <c r="E9273" s="13"/>
      <c r="F9273" s="14"/>
      <c r="G9273" s="14"/>
      <c r="H9273" s="14"/>
      <c r="I9273" s="14"/>
    </row>
    <row r="9274" ht="20.7" customHeight="1">
      <c r="A9274" s="10">
        <v>45803</v>
      </c>
      <c r="B9274" t="s" s="11">
        <v>8</v>
      </c>
      <c r="C9274" t="s" s="12">
        <v>8</v>
      </c>
      <c r="D9274" s="15" cm="1">
        <f t="array" ref="D9274">SUM(D9272:D9273)</f>
        <v>31054</v>
      </c>
      <c r="E9274" s="15" cm="1">
        <f t="array" ref="E9274">SUM(E9272:E9273)</f>
        <v>31054</v>
      </c>
      <c r="F9274" s="16" cm="1">
        <f t="array" ref="F9274">SUM(F9272:F9273)</f>
        <v>0</v>
      </c>
      <c r="G9274" s="16" cm="1">
        <f t="array" ref="G9274">SUM(G9272:G9273)</f>
        <v>0</v>
      </c>
      <c r="H9274" s="16" cm="1">
        <f t="array" ref="H9274">SUM(H9272:H9273)</f>
        <v>0</v>
      </c>
      <c r="I9274" s="16" cm="1">
        <f t="array" ref="I9274">SUM(I9272:I9273)</f>
        <v>0</v>
      </c>
    </row>
    <row r="9275" ht="21.25" customHeight="1">
      <c r="A9275" s="10">
        <v>45803</v>
      </c>
      <c r="B9275" t="s" s="11">
        <v>5</v>
      </c>
      <c r="C9275" t="s" s="12">
        <v>1242</v>
      </c>
      <c r="D9275" s="17"/>
      <c r="E9275" s="17">
        <v>62000</v>
      </c>
      <c r="F9275" s="18"/>
      <c r="G9275" s="18"/>
      <c r="H9275" s="18"/>
      <c r="I9275" s="18"/>
    </row>
    <row r="9276" ht="20.9" customHeight="1">
      <c r="A9276" s="10">
        <v>45803</v>
      </c>
      <c r="B9276" t="s" s="11">
        <v>12</v>
      </c>
      <c r="C9276" t="s" s="12">
        <v>1242</v>
      </c>
      <c r="D9276" s="19">
        <v>31000</v>
      </c>
      <c r="E9276" s="19"/>
      <c r="F9276" s="20"/>
      <c r="G9276" s="20"/>
      <c r="H9276" s="20"/>
      <c r="I9276" s="20"/>
    </row>
    <row r="9277" ht="21.25" customHeight="1">
      <c r="A9277" s="10">
        <v>45803</v>
      </c>
      <c r="B9277" t="s" s="11">
        <v>10</v>
      </c>
      <c r="C9277" t="s" s="12">
        <v>1242</v>
      </c>
      <c r="D9277" s="13">
        <v>31000</v>
      </c>
      <c r="E9277" s="13"/>
      <c r="F9277" s="14"/>
      <c r="G9277" s="14"/>
      <c r="H9277" s="14"/>
      <c r="I9277" s="14"/>
    </row>
    <row r="9278" ht="20.7" customHeight="1">
      <c r="A9278" s="10">
        <v>45803</v>
      </c>
      <c r="B9278" t="s" s="11">
        <v>8</v>
      </c>
      <c r="C9278" t="s" s="12">
        <v>8</v>
      </c>
      <c r="D9278" s="15" cm="1">
        <f t="array" ref="D9278">SUM(D9275:D9277)</f>
        <v>62000</v>
      </c>
      <c r="E9278" s="15" cm="1">
        <f t="array" ref="E9278">SUM(E9275:E9277)</f>
        <v>62000</v>
      </c>
      <c r="F9278" s="16" cm="1">
        <f t="array" ref="F9278">SUM(F9275:F9277)</f>
        <v>0</v>
      </c>
      <c r="G9278" s="16" cm="1">
        <f t="array" ref="G9278">SUM(G9275:G9277)</f>
        <v>0</v>
      </c>
      <c r="H9278" s="16" cm="1">
        <f t="array" ref="H9278">SUM(H9275:H9277)</f>
        <v>0</v>
      </c>
      <c r="I9278" s="16" cm="1">
        <f t="array" ref="I9278">SUM(I9275:I9277)</f>
        <v>0</v>
      </c>
    </row>
    <row r="9279" ht="20.35" customHeight="1">
      <c r="A9279" s="10">
        <v>45803</v>
      </c>
      <c r="B9279" t="s" s="11">
        <v>5</v>
      </c>
      <c r="C9279" t="s" s="12">
        <v>17</v>
      </c>
      <c r="D9279" s="17">
        <v>100</v>
      </c>
      <c r="E9279" s="17"/>
      <c r="F9279" s="18"/>
      <c r="G9279" s="18"/>
      <c r="H9279" s="18"/>
      <c r="I9279" s="18"/>
    </row>
    <row r="9280" ht="20.35" customHeight="1">
      <c r="A9280" s="10">
        <v>45803</v>
      </c>
      <c r="B9280" t="s" s="11">
        <v>18</v>
      </c>
      <c r="C9280" t="s" s="12">
        <v>17</v>
      </c>
      <c r="D9280" s="13"/>
      <c r="E9280" s="13">
        <v>100</v>
      </c>
      <c r="F9280" s="14"/>
      <c r="G9280" s="14"/>
      <c r="H9280" s="14"/>
      <c r="I9280" s="14"/>
    </row>
    <row r="9281" ht="20.7" customHeight="1">
      <c r="A9281" s="10">
        <v>45803</v>
      </c>
      <c r="B9281" t="s" s="11">
        <v>8</v>
      </c>
      <c r="C9281" t="s" s="12">
        <v>8</v>
      </c>
      <c r="D9281" s="15" cm="1">
        <f t="array" ref="D9281">SUM(D9279:D9280)</f>
        <v>100</v>
      </c>
      <c r="E9281" s="15" cm="1">
        <f t="array" ref="E9281">SUM(E9279:E9280)</f>
        <v>100</v>
      </c>
      <c r="F9281" s="16" cm="1">
        <f t="array" ref="F9281">SUM(F9279:F9280)</f>
        <v>0</v>
      </c>
      <c r="G9281" s="16" cm="1">
        <f t="array" ref="G9281">SUM(G9279:G9280)</f>
        <v>0</v>
      </c>
      <c r="H9281" s="16" cm="1">
        <f t="array" ref="H9281">SUM(H9279:H9280)</f>
        <v>0</v>
      </c>
      <c r="I9281" s="16" cm="1">
        <f t="array" ref="I9281">SUM(I9279:I9280)</f>
        <v>0</v>
      </c>
    </row>
    <row r="9282" ht="21.25" customHeight="1">
      <c r="A9282" s="10">
        <v>45803</v>
      </c>
      <c r="B9282" t="s" s="11">
        <v>121</v>
      </c>
      <c r="C9282" t="s" s="12">
        <v>1209</v>
      </c>
      <c r="D9282" s="17"/>
      <c r="E9282" s="17">
        <v>8700</v>
      </c>
      <c r="F9282" s="18"/>
      <c r="G9282" s="18"/>
      <c r="H9282" s="18"/>
      <c r="I9282" s="18"/>
    </row>
    <row r="9283" ht="21.25" customHeight="1">
      <c r="A9283" s="10">
        <v>45803</v>
      </c>
      <c r="B9283" t="s" s="11">
        <v>21</v>
      </c>
      <c r="C9283" t="s" s="12">
        <v>1209</v>
      </c>
      <c r="D9283" s="13">
        <v>8700</v>
      </c>
      <c r="E9283" s="13"/>
      <c r="F9283" s="14"/>
      <c r="G9283" s="14"/>
      <c r="H9283" s="14"/>
      <c r="I9283" s="14"/>
    </row>
    <row r="9284" ht="20.7" customHeight="1">
      <c r="A9284" s="10">
        <v>45803</v>
      </c>
      <c r="B9284" t="s" s="11">
        <v>8</v>
      </c>
      <c r="C9284" t="s" s="12">
        <v>8</v>
      </c>
      <c r="D9284" s="15" cm="1">
        <f t="array" ref="D9284">SUM(D9282:D9283)</f>
        <v>8700</v>
      </c>
      <c r="E9284" s="15" cm="1">
        <f t="array" ref="E9284">SUM(E9282:E9283)</f>
        <v>8700</v>
      </c>
      <c r="F9284" s="16" cm="1">
        <f t="array" ref="F9284">SUM(F9282:F9283)</f>
        <v>0</v>
      </c>
      <c r="G9284" s="16" cm="1">
        <f t="array" ref="G9284">SUM(G9282:G9283)</f>
        <v>0</v>
      </c>
      <c r="H9284" s="16" cm="1">
        <f t="array" ref="H9284">SUM(H9282:H9283)</f>
        <v>0</v>
      </c>
      <c r="I9284" s="16" cm="1">
        <f t="array" ref="I9284">SUM(I9282:I9283)</f>
        <v>0</v>
      </c>
    </row>
    <row r="9285" ht="21.25" customHeight="1">
      <c r="A9285" s="10">
        <v>45803</v>
      </c>
      <c r="B9285" t="s" s="11">
        <v>121</v>
      </c>
      <c r="C9285" t="s" s="12">
        <v>1209</v>
      </c>
      <c r="D9285" s="17"/>
      <c r="E9285" s="17">
        <v>6000</v>
      </c>
      <c r="F9285" s="18"/>
      <c r="G9285" s="18"/>
      <c r="H9285" s="18"/>
      <c r="I9285" s="18"/>
    </row>
    <row r="9286" ht="21.25" customHeight="1">
      <c r="A9286" s="10">
        <v>45803</v>
      </c>
      <c r="B9286" t="s" s="11">
        <v>21</v>
      </c>
      <c r="C9286" t="s" s="12">
        <v>1209</v>
      </c>
      <c r="D9286" s="13">
        <v>6000</v>
      </c>
      <c r="E9286" s="13"/>
      <c r="F9286" s="14"/>
      <c r="G9286" s="14"/>
      <c r="H9286" s="14"/>
      <c r="I9286" s="14"/>
    </row>
    <row r="9287" ht="20.7" customHeight="1">
      <c r="A9287" s="10">
        <v>45803</v>
      </c>
      <c r="B9287" t="s" s="11">
        <v>8</v>
      </c>
      <c r="C9287" t="s" s="12">
        <v>8</v>
      </c>
      <c r="D9287" s="15" cm="1">
        <f t="array" ref="D9287">SUM(D9285:D9286)</f>
        <v>6000</v>
      </c>
      <c r="E9287" s="15" cm="1">
        <f t="array" ref="E9287">SUM(E9285:E9286)</f>
        <v>6000</v>
      </c>
      <c r="F9287" s="16" cm="1">
        <f t="array" ref="F9287">SUM(F9285:F9286)</f>
        <v>0</v>
      </c>
      <c r="G9287" s="16" cm="1">
        <f t="array" ref="G9287">SUM(G9285:G9286)</f>
        <v>0</v>
      </c>
      <c r="H9287" s="16" cm="1">
        <f t="array" ref="H9287">SUM(H9285:H9286)</f>
        <v>0</v>
      </c>
      <c r="I9287" s="16" cm="1">
        <f t="array" ref="I9287">SUM(I9285:I9286)</f>
        <v>0</v>
      </c>
    </row>
    <row r="9288" ht="20.35" customHeight="1">
      <c r="A9288" s="10">
        <v>45803</v>
      </c>
      <c r="B9288" t="s" s="11">
        <v>5</v>
      </c>
      <c r="C9288" t="s" s="12">
        <v>1243</v>
      </c>
      <c r="D9288" s="17"/>
      <c r="E9288" s="17">
        <v>18200</v>
      </c>
      <c r="F9288" s="18"/>
      <c r="G9288" s="18"/>
      <c r="H9288" s="18"/>
      <c r="I9288" s="18"/>
    </row>
    <row r="9289" ht="20.35" customHeight="1">
      <c r="A9289" s="10">
        <v>45803</v>
      </c>
      <c r="B9289" t="s" s="11">
        <v>10</v>
      </c>
      <c r="C9289" t="s" s="12">
        <v>1243</v>
      </c>
      <c r="D9289" s="13">
        <v>18200</v>
      </c>
      <c r="E9289" s="13"/>
      <c r="F9289" s="14"/>
      <c r="G9289" s="14"/>
      <c r="H9289" s="14"/>
      <c r="I9289" s="14"/>
    </row>
    <row r="9290" ht="20.7" customHeight="1">
      <c r="A9290" s="10">
        <v>45803</v>
      </c>
      <c r="B9290" t="s" s="11">
        <v>8</v>
      </c>
      <c r="C9290" t="s" s="12">
        <v>8</v>
      </c>
      <c r="D9290" s="15" cm="1">
        <f t="array" ref="D9290">SUM(D9288:D9289)</f>
        <v>18200</v>
      </c>
      <c r="E9290" s="15" cm="1">
        <f t="array" ref="E9290">SUM(E9288:E9289)</f>
        <v>18200</v>
      </c>
      <c r="F9290" s="16" cm="1">
        <f t="array" ref="F9290">SUM(F9288:F9289)</f>
        <v>0</v>
      </c>
      <c r="G9290" s="16" cm="1">
        <f t="array" ref="G9290">SUM(G9288:G9289)</f>
        <v>0</v>
      </c>
      <c r="H9290" s="16" cm="1">
        <f t="array" ref="H9290">SUM(H9288:H9289)</f>
        <v>0</v>
      </c>
      <c r="I9290" s="16" cm="1">
        <f t="array" ref="I9290">SUM(I9288:I9289)</f>
        <v>0</v>
      </c>
    </row>
    <row r="9291" ht="20.35" customHeight="1">
      <c r="A9291" s="10">
        <v>45803</v>
      </c>
      <c r="B9291" t="s" s="11">
        <v>5</v>
      </c>
      <c r="C9291" t="s" s="12">
        <v>17</v>
      </c>
      <c r="D9291" s="17">
        <v>500</v>
      </c>
      <c r="E9291" s="17"/>
      <c r="F9291" s="18"/>
      <c r="G9291" s="18"/>
      <c r="H9291" s="18"/>
      <c r="I9291" s="18"/>
    </row>
    <row r="9292" ht="20.35" customHeight="1">
      <c r="A9292" s="10">
        <v>45803</v>
      </c>
      <c r="B9292" t="s" s="11">
        <v>18</v>
      </c>
      <c r="C9292" t="s" s="12">
        <v>17</v>
      </c>
      <c r="D9292" s="13"/>
      <c r="E9292" s="13">
        <v>500</v>
      </c>
      <c r="F9292" s="14"/>
      <c r="G9292" s="14"/>
      <c r="H9292" s="14"/>
      <c r="I9292" s="14"/>
    </row>
    <row r="9293" ht="20.7" customHeight="1">
      <c r="A9293" s="10">
        <v>45803</v>
      </c>
      <c r="B9293" t="s" s="11">
        <v>8</v>
      </c>
      <c r="C9293" t="s" s="12">
        <v>8</v>
      </c>
      <c r="D9293" s="15" cm="1">
        <f t="array" ref="D9293">SUM(D9291:D9292)</f>
        <v>500</v>
      </c>
      <c r="E9293" s="15" cm="1">
        <f t="array" ref="E9293">SUM(E9291:E9292)</f>
        <v>500</v>
      </c>
      <c r="F9293" s="16" cm="1">
        <f t="array" ref="F9293">SUM(F9291:F9292)</f>
        <v>0</v>
      </c>
      <c r="G9293" s="16" cm="1">
        <f t="array" ref="G9293">SUM(G9291:G9292)</f>
        <v>0</v>
      </c>
      <c r="H9293" s="16" cm="1">
        <f t="array" ref="H9293">SUM(H9291:H9292)</f>
        <v>0</v>
      </c>
      <c r="I9293" s="16" cm="1">
        <f t="array" ref="I9293">SUM(I9291:I9292)</f>
        <v>0</v>
      </c>
    </row>
    <row r="9294" ht="20.35" customHeight="1">
      <c r="A9294" s="10">
        <v>45803</v>
      </c>
      <c r="B9294" t="s" s="11">
        <v>5</v>
      </c>
      <c r="C9294" t="s" s="12">
        <v>1243</v>
      </c>
      <c r="D9294" s="17"/>
      <c r="E9294" s="17">
        <v>4800</v>
      </c>
      <c r="F9294" s="18"/>
      <c r="G9294" s="18"/>
      <c r="H9294" s="18"/>
      <c r="I9294" s="18"/>
    </row>
    <row r="9295" ht="20.35" customHeight="1">
      <c r="A9295" s="10">
        <v>45803</v>
      </c>
      <c r="B9295" t="s" s="11">
        <v>10</v>
      </c>
      <c r="C9295" t="s" s="12">
        <v>1243</v>
      </c>
      <c r="D9295" s="13">
        <v>4800</v>
      </c>
      <c r="E9295" s="13"/>
      <c r="F9295" s="14"/>
      <c r="G9295" s="14"/>
      <c r="H9295" s="14"/>
      <c r="I9295" s="14"/>
    </row>
    <row r="9296" ht="20.7" customHeight="1">
      <c r="A9296" s="10">
        <v>45803</v>
      </c>
      <c r="B9296" t="s" s="11">
        <v>8</v>
      </c>
      <c r="C9296" t="s" s="12">
        <v>8</v>
      </c>
      <c r="D9296" s="15" cm="1">
        <f t="array" ref="D9296">SUM(D9294:D9295)</f>
        <v>4800</v>
      </c>
      <c r="E9296" s="15" cm="1">
        <f t="array" ref="E9296">SUM(E9294:E9295)</f>
        <v>4800</v>
      </c>
      <c r="F9296" s="16" cm="1">
        <f t="array" ref="F9296">SUM(F9294:F9295)</f>
        <v>0</v>
      </c>
      <c r="G9296" s="16" cm="1">
        <f t="array" ref="G9296">SUM(G9294:G9295)</f>
        <v>0</v>
      </c>
      <c r="H9296" s="16" cm="1">
        <f t="array" ref="H9296">SUM(H9294:H9295)</f>
        <v>0</v>
      </c>
      <c r="I9296" s="16" cm="1">
        <f t="array" ref="I9296">SUM(I9294:I9295)</f>
        <v>0</v>
      </c>
    </row>
    <row r="9297" ht="20.65" customHeight="1">
      <c r="A9297" s="10">
        <v>45804</v>
      </c>
      <c r="B9297" t="s" s="11">
        <v>814</v>
      </c>
      <c r="C9297" t="s" s="12">
        <v>820</v>
      </c>
      <c r="D9297" s="17">
        <v>9</v>
      </c>
      <c r="E9297" s="17"/>
      <c r="F9297" s="18"/>
      <c r="G9297" s="18"/>
      <c r="H9297" s="18"/>
      <c r="I9297" s="18"/>
    </row>
    <row r="9298" ht="20.65" customHeight="1">
      <c r="A9298" s="10">
        <v>45804</v>
      </c>
      <c r="B9298" t="s" s="11">
        <v>7</v>
      </c>
      <c r="C9298" t="s" s="12">
        <v>820</v>
      </c>
      <c r="D9298" s="13"/>
      <c r="E9298" s="13">
        <v>9</v>
      </c>
      <c r="F9298" s="14"/>
      <c r="G9298" s="14"/>
      <c r="H9298" s="14"/>
      <c r="I9298" s="14"/>
    </row>
    <row r="9299" ht="20.7" customHeight="1">
      <c r="A9299" s="10">
        <v>45804</v>
      </c>
      <c r="B9299" t="s" s="11">
        <v>8</v>
      </c>
      <c r="C9299" t="s" s="12">
        <v>8</v>
      </c>
      <c r="D9299" s="15" cm="1">
        <f t="array" ref="D9299">SUM(D9297:D9298)</f>
        <v>9</v>
      </c>
      <c r="E9299" s="15" cm="1">
        <f t="array" ref="E9299">SUM(E9297:E9298)</f>
        <v>9</v>
      </c>
      <c r="F9299" s="16" cm="1">
        <f t="array" ref="F9299">SUM(F9297:F9298)</f>
        <v>0</v>
      </c>
      <c r="G9299" s="16" cm="1">
        <f t="array" ref="G9299">SUM(G9297:G9298)</f>
        <v>0</v>
      </c>
      <c r="H9299" s="16" cm="1">
        <f t="array" ref="H9299">SUM(H9297:H9298)</f>
        <v>0</v>
      </c>
      <c r="I9299" s="16" cm="1">
        <f t="array" ref="I9299">SUM(I9297:I9298)</f>
        <v>0</v>
      </c>
    </row>
    <row r="9300" ht="20.65" customHeight="1">
      <c r="A9300" s="10">
        <v>45804</v>
      </c>
      <c r="B9300" t="s" s="11">
        <v>121</v>
      </c>
      <c r="C9300" t="s" s="12">
        <v>1048</v>
      </c>
      <c r="D9300" s="17">
        <v>6</v>
      </c>
      <c r="E9300" s="17"/>
      <c r="F9300" s="18"/>
      <c r="G9300" s="18"/>
      <c r="H9300" s="18"/>
      <c r="I9300" s="18"/>
    </row>
    <row r="9301" ht="20.65" customHeight="1">
      <c r="A9301" s="10">
        <v>45804</v>
      </c>
      <c r="B9301" t="s" s="11">
        <v>7</v>
      </c>
      <c r="C9301" t="s" s="12">
        <v>1048</v>
      </c>
      <c r="D9301" s="13"/>
      <c r="E9301" s="13">
        <v>6</v>
      </c>
      <c r="F9301" s="14"/>
      <c r="G9301" s="14"/>
      <c r="H9301" s="14"/>
      <c r="I9301" s="14"/>
    </row>
    <row r="9302" ht="20.7" customHeight="1">
      <c r="A9302" s="10">
        <v>45804</v>
      </c>
      <c r="B9302" t="s" s="11">
        <v>8</v>
      </c>
      <c r="C9302" t="s" s="12">
        <v>8</v>
      </c>
      <c r="D9302" s="15" cm="1">
        <f t="array" ref="D9302">SUM(D9300:D9301)</f>
        <v>6</v>
      </c>
      <c r="E9302" s="15" cm="1">
        <f t="array" ref="E9302">SUM(E9300:E9301)</f>
        <v>6</v>
      </c>
      <c r="F9302" s="16" cm="1">
        <f t="array" ref="F9302">SUM(F9300:F9301)</f>
        <v>0</v>
      </c>
      <c r="G9302" s="16" cm="1">
        <f t="array" ref="G9302">SUM(G9300:G9301)</f>
        <v>0</v>
      </c>
      <c r="H9302" s="16" cm="1">
        <f t="array" ref="H9302">SUM(H9300:H9301)</f>
        <v>0</v>
      </c>
      <c r="I9302" s="16" cm="1">
        <f t="array" ref="I9302">SUM(I9300:I9301)</f>
        <v>0</v>
      </c>
    </row>
    <row r="9303" ht="20.35" customHeight="1">
      <c r="A9303" s="10">
        <v>45804</v>
      </c>
      <c r="B9303" t="s" s="11">
        <v>5</v>
      </c>
      <c r="C9303" t="s" s="12">
        <v>1244</v>
      </c>
      <c r="D9303" s="17"/>
      <c r="E9303" s="17">
        <v>15500</v>
      </c>
      <c r="F9303" s="18"/>
      <c r="G9303" s="18"/>
      <c r="H9303" s="18"/>
      <c r="I9303" s="18"/>
    </row>
    <row r="9304" ht="20.35" customHeight="1">
      <c r="A9304" s="10">
        <v>45804</v>
      </c>
      <c r="B9304" t="s" s="11">
        <v>10</v>
      </c>
      <c r="C9304" t="s" s="12">
        <v>1244</v>
      </c>
      <c r="D9304" s="13">
        <v>15500</v>
      </c>
      <c r="E9304" s="13"/>
      <c r="F9304" s="14"/>
      <c r="G9304" s="14"/>
      <c r="H9304" s="14"/>
      <c r="I9304" s="14"/>
    </row>
    <row r="9305" ht="20.7" customHeight="1">
      <c r="A9305" s="10">
        <v>45804</v>
      </c>
      <c r="B9305" t="s" s="11">
        <v>8</v>
      </c>
      <c r="C9305" t="s" s="12">
        <v>8</v>
      </c>
      <c r="D9305" s="15" cm="1">
        <f t="array" ref="D9305">SUM(D9303:D9304)</f>
        <v>15500</v>
      </c>
      <c r="E9305" s="15" cm="1">
        <f t="array" ref="E9305">SUM(E9303:E9304)</f>
        <v>15500</v>
      </c>
      <c r="F9305" s="16" cm="1">
        <f t="array" ref="F9305">SUM(F9303:F9304)</f>
        <v>0</v>
      </c>
      <c r="G9305" s="16" cm="1">
        <f t="array" ref="G9305">SUM(G9303:G9304)</f>
        <v>0</v>
      </c>
      <c r="H9305" s="16" cm="1">
        <f t="array" ref="H9305">SUM(H9303:H9304)</f>
        <v>0</v>
      </c>
      <c r="I9305" s="16" cm="1">
        <f t="array" ref="I9305">SUM(I9303:I9304)</f>
        <v>0</v>
      </c>
    </row>
    <row r="9306" ht="21.25" customHeight="1">
      <c r="A9306" s="10">
        <v>45804</v>
      </c>
      <c r="B9306" t="s" s="11">
        <v>21</v>
      </c>
      <c r="C9306" t="s" s="12">
        <v>1226</v>
      </c>
      <c r="D9306" s="17"/>
      <c r="E9306" s="17">
        <v>1500</v>
      </c>
      <c r="F9306" s="18"/>
      <c r="G9306" s="18"/>
      <c r="H9306" s="18"/>
      <c r="I9306" s="18"/>
    </row>
    <row r="9307" ht="21.25" customHeight="1">
      <c r="A9307" s="10">
        <v>45804</v>
      </c>
      <c r="B9307" t="s" s="11">
        <v>16</v>
      </c>
      <c r="C9307" t="s" s="12">
        <v>1226</v>
      </c>
      <c r="D9307" s="13">
        <v>1500</v>
      </c>
      <c r="E9307" s="13"/>
      <c r="F9307" s="14"/>
      <c r="G9307" s="14"/>
      <c r="H9307" s="14"/>
      <c r="I9307" s="14"/>
    </row>
    <row r="9308" ht="20.7" customHeight="1">
      <c r="A9308" s="10">
        <v>45804</v>
      </c>
      <c r="B9308" t="s" s="11">
        <v>8</v>
      </c>
      <c r="C9308" t="s" s="12">
        <v>8</v>
      </c>
      <c r="D9308" s="15" cm="1">
        <f t="array" ref="D9308">SUM(D9306:D9307)</f>
        <v>1500</v>
      </c>
      <c r="E9308" s="15" cm="1">
        <f t="array" ref="E9308">SUM(E9306:E9307)</f>
        <v>1500</v>
      </c>
      <c r="F9308" s="16" cm="1">
        <f t="array" ref="F9308">SUM(F9306:F9307)</f>
        <v>0</v>
      </c>
      <c r="G9308" s="16" cm="1">
        <f t="array" ref="G9308">SUM(G9306:G9307)</f>
        <v>0</v>
      </c>
      <c r="H9308" s="16" cm="1">
        <f t="array" ref="H9308">SUM(H9306:H9307)</f>
        <v>0</v>
      </c>
      <c r="I9308" s="16" cm="1">
        <f t="array" ref="I9308">SUM(I9306:I9307)</f>
        <v>0</v>
      </c>
    </row>
    <row r="9309" ht="20.65" customHeight="1">
      <c r="A9309" s="10">
        <v>45805</v>
      </c>
      <c r="B9309" t="s" s="11">
        <v>814</v>
      </c>
      <c r="C9309" t="s" s="12">
        <v>820</v>
      </c>
      <c r="D9309" s="17">
        <v>9</v>
      </c>
      <c r="E9309" s="17"/>
      <c r="F9309" s="18"/>
      <c r="G9309" s="18"/>
      <c r="H9309" s="18"/>
      <c r="I9309" s="18"/>
    </row>
    <row r="9310" ht="20.65" customHeight="1">
      <c r="A9310" s="10">
        <v>45805</v>
      </c>
      <c r="B9310" t="s" s="11">
        <v>7</v>
      </c>
      <c r="C9310" t="s" s="12">
        <v>820</v>
      </c>
      <c r="D9310" s="13"/>
      <c r="E9310" s="13">
        <v>9</v>
      </c>
      <c r="F9310" s="14"/>
      <c r="G9310" s="14"/>
      <c r="H9310" s="14"/>
      <c r="I9310" s="14"/>
    </row>
    <row r="9311" ht="20.7" customHeight="1">
      <c r="A9311" s="10">
        <v>45805</v>
      </c>
      <c r="B9311" t="s" s="11">
        <v>8</v>
      </c>
      <c r="C9311" t="s" s="12">
        <v>8</v>
      </c>
      <c r="D9311" s="15" cm="1">
        <f t="array" ref="D9311">SUM(D9309:D9310)</f>
        <v>9</v>
      </c>
      <c r="E9311" s="15" cm="1">
        <f t="array" ref="E9311">SUM(E9309:E9310)</f>
        <v>9</v>
      </c>
      <c r="F9311" s="16" cm="1">
        <f t="array" ref="F9311">SUM(F9309:F9310)</f>
        <v>0</v>
      </c>
      <c r="G9311" s="16" cm="1">
        <f t="array" ref="G9311">SUM(G9309:G9310)</f>
        <v>0</v>
      </c>
      <c r="H9311" s="16" cm="1">
        <f t="array" ref="H9311">SUM(H9309:H9310)</f>
        <v>0</v>
      </c>
      <c r="I9311" s="16" cm="1">
        <f t="array" ref="I9311">SUM(I9309:I9310)</f>
        <v>0</v>
      </c>
    </row>
    <row r="9312" ht="21.25" customHeight="1">
      <c r="A9312" s="10">
        <v>45805</v>
      </c>
      <c r="B9312" t="s" s="11">
        <v>81</v>
      </c>
      <c r="C9312" t="s" s="12">
        <v>1245</v>
      </c>
      <c r="D9312" s="17"/>
      <c r="E9312" s="17">
        <v>94503</v>
      </c>
      <c r="F9312" s="18"/>
      <c r="G9312" s="18"/>
      <c r="H9312" s="18"/>
      <c r="I9312" s="18"/>
    </row>
    <row r="9313" ht="21.25" customHeight="1">
      <c r="A9313" s="10">
        <v>45805</v>
      </c>
      <c r="B9313" t="s" s="11">
        <v>822</v>
      </c>
      <c r="C9313" t="s" s="12">
        <v>1245</v>
      </c>
      <c r="D9313" s="13">
        <v>94503</v>
      </c>
      <c r="E9313" s="13"/>
      <c r="F9313" s="14"/>
      <c r="G9313" s="14"/>
      <c r="H9313" s="14"/>
      <c r="I9313" s="14"/>
    </row>
    <row r="9314" ht="20.7" customHeight="1">
      <c r="A9314" s="10">
        <v>45805</v>
      </c>
      <c r="B9314" t="s" s="11">
        <v>8</v>
      </c>
      <c r="C9314" t="s" s="12">
        <v>8</v>
      </c>
      <c r="D9314" s="15" cm="1">
        <f t="array" ref="D9314">SUM(D9312:D9313)</f>
        <v>94503</v>
      </c>
      <c r="E9314" s="15" cm="1">
        <f t="array" ref="E9314">SUM(E9312:E9313)</f>
        <v>94503</v>
      </c>
      <c r="F9314" s="16" cm="1">
        <f t="array" ref="F9314">SUM(F9312:F9313)</f>
        <v>0</v>
      </c>
      <c r="G9314" s="16" cm="1">
        <f t="array" ref="G9314">SUM(G9312:G9313)</f>
        <v>0</v>
      </c>
      <c r="H9314" s="16" cm="1">
        <f t="array" ref="H9314">SUM(H9312:H9313)</f>
        <v>0</v>
      </c>
      <c r="I9314" s="16" cm="1">
        <f t="array" ref="I9314">SUM(I9312:I9313)</f>
        <v>0</v>
      </c>
    </row>
    <row r="9315" ht="20.35" customHeight="1">
      <c r="A9315" s="10">
        <v>45805</v>
      </c>
      <c r="B9315" t="s" s="11">
        <v>5</v>
      </c>
      <c r="C9315" t="s" s="12">
        <v>1246</v>
      </c>
      <c r="D9315" s="17"/>
      <c r="E9315" s="17">
        <v>3600</v>
      </c>
      <c r="F9315" s="18"/>
      <c r="G9315" s="18"/>
      <c r="H9315" s="18"/>
      <c r="I9315" s="18"/>
    </row>
    <row r="9316" ht="20.35" customHeight="1">
      <c r="A9316" s="10">
        <v>45805</v>
      </c>
      <c r="B9316" t="s" s="11">
        <v>10</v>
      </c>
      <c r="C9316" t="s" s="12">
        <v>1246</v>
      </c>
      <c r="D9316" s="13">
        <v>3600</v>
      </c>
      <c r="E9316" s="13"/>
      <c r="F9316" s="14"/>
      <c r="G9316" s="14"/>
      <c r="H9316" s="14"/>
      <c r="I9316" s="14"/>
    </row>
    <row r="9317" ht="20.7" customHeight="1">
      <c r="A9317" s="10">
        <v>45805</v>
      </c>
      <c r="B9317" t="s" s="11">
        <v>8</v>
      </c>
      <c r="C9317" t="s" s="12">
        <v>8</v>
      </c>
      <c r="D9317" s="15" cm="1">
        <f t="array" ref="D9317">SUM(D9315:D9316)</f>
        <v>3600</v>
      </c>
      <c r="E9317" s="15" cm="1">
        <f t="array" ref="E9317">SUM(E9315:E9316)</f>
        <v>3600</v>
      </c>
      <c r="F9317" s="16" cm="1">
        <f t="array" ref="F9317">SUM(F9315:F9316)</f>
        <v>0</v>
      </c>
      <c r="G9317" s="16" cm="1">
        <f t="array" ref="G9317">SUM(G9315:G9316)</f>
        <v>0</v>
      </c>
      <c r="H9317" s="16" cm="1">
        <f t="array" ref="H9317">SUM(H9315:H9316)</f>
        <v>0</v>
      </c>
      <c r="I9317" s="16" cm="1">
        <f t="array" ref="I9317">SUM(I9315:I9316)</f>
        <v>0</v>
      </c>
    </row>
    <row r="9318" ht="20.65" customHeight="1">
      <c r="A9318" s="10">
        <v>45805</v>
      </c>
      <c r="B9318" t="s" s="11">
        <v>121</v>
      </c>
      <c r="C9318" t="s" s="12">
        <v>1048</v>
      </c>
      <c r="D9318" s="17">
        <v>6</v>
      </c>
      <c r="E9318" s="17"/>
      <c r="F9318" s="18"/>
      <c r="G9318" s="18"/>
      <c r="H9318" s="18"/>
      <c r="I9318" s="18"/>
    </row>
    <row r="9319" ht="20.65" customHeight="1">
      <c r="A9319" s="10">
        <v>45805</v>
      </c>
      <c r="B9319" t="s" s="11">
        <v>7</v>
      </c>
      <c r="C9319" t="s" s="12">
        <v>1048</v>
      </c>
      <c r="D9319" s="13"/>
      <c r="E9319" s="13">
        <v>6</v>
      </c>
      <c r="F9319" s="14"/>
      <c r="G9319" s="14"/>
      <c r="H9319" s="14"/>
      <c r="I9319" s="14"/>
    </row>
    <row r="9320" ht="20.7" customHeight="1">
      <c r="A9320" s="10">
        <v>45805</v>
      </c>
      <c r="B9320" t="s" s="11">
        <v>8</v>
      </c>
      <c r="C9320" t="s" s="12">
        <v>8</v>
      </c>
      <c r="D9320" s="15" cm="1">
        <f t="array" ref="D9320">SUM(D9318:D9319)</f>
        <v>6</v>
      </c>
      <c r="E9320" s="15" cm="1">
        <f t="array" ref="E9320">SUM(E9318:E9319)</f>
        <v>6</v>
      </c>
      <c r="F9320" s="16" cm="1">
        <f t="array" ref="F9320">SUM(F9318:F9319)</f>
        <v>0</v>
      </c>
      <c r="G9320" s="16" cm="1">
        <f t="array" ref="G9320">SUM(G9318:G9319)</f>
        <v>0</v>
      </c>
      <c r="H9320" s="16" cm="1">
        <f t="array" ref="H9320">SUM(H9318:H9319)</f>
        <v>0</v>
      </c>
      <c r="I9320" s="16" cm="1">
        <f t="array" ref="I9320">SUM(I9318:I9319)</f>
        <v>0</v>
      </c>
    </row>
    <row r="9321" ht="20.65" customHeight="1">
      <c r="A9321" s="10">
        <v>45805</v>
      </c>
      <c r="B9321" t="s" s="11">
        <v>28</v>
      </c>
      <c r="C9321" t="s" s="12">
        <v>1247</v>
      </c>
      <c r="D9321" s="17"/>
      <c r="E9321" s="17">
        <v>3000</v>
      </c>
      <c r="F9321" s="18"/>
      <c r="G9321" s="18"/>
      <c r="H9321" s="18"/>
      <c r="I9321" s="18"/>
    </row>
    <row r="9322" ht="20.65" customHeight="1">
      <c r="A9322" s="10">
        <v>45805</v>
      </c>
      <c r="B9322" t="s" s="11">
        <v>10</v>
      </c>
      <c r="C9322" t="s" s="12">
        <v>1247</v>
      </c>
      <c r="D9322" s="13">
        <v>3000</v>
      </c>
      <c r="E9322" s="13"/>
      <c r="F9322" s="14"/>
      <c r="G9322" s="14"/>
      <c r="H9322" s="14"/>
      <c r="I9322" s="14"/>
    </row>
    <row r="9323" ht="20.7" customHeight="1">
      <c r="A9323" s="10">
        <v>45805</v>
      </c>
      <c r="B9323" t="s" s="11">
        <v>8</v>
      </c>
      <c r="C9323" t="s" s="12">
        <v>8</v>
      </c>
      <c r="D9323" s="15" cm="1">
        <f t="array" ref="D9323">SUM(D9321:D9322)</f>
        <v>3000</v>
      </c>
      <c r="E9323" s="15" cm="1">
        <f t="array" ref="E9323">SUM(E9321:E9322)</f>
        <v>3000</v>
      </c>
      <c r="F9323" s="16" cm="1">
        <f t="array" ref="F9323">SUM(F9321:F9322)</f>
        <v>0</v>
      </c>
      <c r="G9323" s="16" cm="1">
        <f t="array" ref="G9323">SUM(G9321:G9322)</f>
        <v>0</v>
      </c>
      <c r="H9323" s="16" cm="1">
        <f t="array" ref="H9323">SUM(H9321:H9322)</f>
        <v>0</v>
      </c>
      <c r="I9323" s="16" cm="1">
        <f t="array" ref="I9323">SUM(I9321:I9322)</f>
        <v>0</v>
      </c>
    </row>
    <row r="9324" ht="20.35" customHeight="1">
      <c r="A9324" s="10">
        <v>45805</v>
      </c>
      <c r="B9324" t="s" s="11">
        <v>5</v>
      </c>
      <c r="C9324" t="s" s="12">
        <v>1221</v>
      </c>
      <c r="D9324" s="17"/>
      <c r="E9324" s="17">
        <v>12800</v>
      </c>
      <c r="F9324" s="18"/>
      <c r="G9324" s="18"/>
      <c r="H9324" s="18"/>
      <c r="I9324" s="18"/>
    </row>
    <row r="9325" ht="20.05" customHeight="1">
      <c r="A9325" s="10">
        <v>45805</v>
      </c>
      <c r="B9325" t="s" s="11">
        <v>12</v>
      </c>
      <c r="C9325" t="s" s="12">
        <v>1221</v>
      </c>
      <c r="D9325" s="19">
        <v>6900</v>
      </c>
      <c r="E9325" s="19"/>
      <c r="F9325" s="20"/>
      <c r="G9325" s="20"/>
      <c r="H9325" s="20"/>
      <c r="I9325" s="20"/>
    </row>
    <row r="9326" ht="20.35" customHeight="1">
      <c r="A9326" s="10">
        <v>45805</v>
      </c>
      <c r="B9326" t="s" s="11">
        <v>89</v>
      </c>
      <c r="C9326" t="s" s="12">
        <v>1221</v>
      </c>
      <c r="D9326" s="13">
        <v>5900</v>
      </c>
      <c r="E9326" s="13"/>
      <c r="F9326" s="14"/>
      <c r="G9326" s="14"/>
      <c r="H9326" s="14"/>
      <c r="I9326" s="14"/>
    </row>
    <row r="9327" ht="20.7" customHeight="1">
      <c r="A9327" s="10">
        <v>45805</v>
      </c>
      <c r="B9327" t="s" s="11">
        <v>8</v>
      </c>
      <c r="C9327" t="s" s="12">
        <v>8</v>
      </c>
      <c r="D9327" s="15" cm="1">
        <f t="array" ref="D9327">SUM(D9324:D9326)</f>
        <v>12800</v>
      </c>
      <c r="E9327" s="15" cm="1">
        <f t="array" ref="E9327">SUM(E9324:E9326)</f>
        <v>12800</v>
      </c>
      <c r="F9327" s="16" cm="1">
        <f t="array" ref="F9327">SUM(F9324:F9326)</f>
        <v>0</v>
      </c>
      <c r="G9327" s="16" cm="1">
        <f t="array" ref="G9327">SUM(G9324:G9326)</f>
        <v>0</v>
      </c>
      <c r="H9327" s="16" cm="1">
        <f t="array" ref="H9327">SUM(H9324:H9326)</f>
        <v>0</v>
      </c>
      <c r="I9327" s="16" cm="1">
        <f t="array" ref="I9327">SUM(I9324:I9326)</f>
        <v>0</v>
      </c>
    </row>
    <row r="9328" ht="20.35" customHeight="1">
      <c r="A9328" s="10">
        <v>45805</v>
      </c>
      <c r="B9328" t="s" s="11">
        <v>5</v>
      </c>
      <c r="C9328" t="s" s="12">
        <v>1248</v>
      </c>
      <c r="D9328" s="17"/>
      <c r="E9328" s="17">
        <v>25000</v>
      </c>
      <c r="F9328" s="18"/>
      <c r="G9328" s="18"/>
      <c r="H9328" s="18"/>
      <c r="I9328" s="18"/>
    </row>
    <row r="9329" ht="20.05" customHeight="1">
      <c r="A9329" s="10">
        <v>45805</v>
      </c>
      <c r="B9329" t="s" s="11">
        <v>12</v>
      </c>
      <c r="C9329" t="s" s="12">
        <v>1248</v>
      </c>
      <c r="D9329" s="19">
        <v>12500</v>
      </c>
      <c r="E9329" s="19"/>
      <c r="F9329" s="20"/>
      <c r="G9329" s="20"/>
      <c r="H9329" s="20"/>
      <c r="I9329" s="20"/>
    </row>
    <row r="9330" ht="20.35" customHeight="1">
      <c r="A9330" s="10">
        <v>45805</v>
      </c>
      <c r="B9330" t="s" s="11">
        <v>89</v>
      </c>
      <c r="C9330" t="s" s="12">
        <v>1248</v>
      </c>
      <c r="D9330" s="13">
        <v>12500</v>
      </c>
      <c r="E9330" s="13"/>
      <c r="F9330" s="14"/>
      <c r="G9330" s="14"/>
      <c r="H9330" s="14"/>
      <c r="I9330" s="14"/>
    </row>
    <row r="9331" ht="20.7" customHeight="1">
      <c r="A9331" s="10">
        <v>45805</v>
      </c>
      <c r="B9331" t="s" s="11">
        <v>8</v>
      </c>
      <c r="C9331" t="s" s="12">
        <v>8</v>
      </c>
      <c r="D9331" s="15" cm="1">
        <f t="array" ref="D9331">SUM(D9328:D9330)</f>
        <v>25000</v>
      </c>
      <c r="E9331" s="15" cm="1">
        <f t="array" ref="E9331">SUM(E9328:E9330)</f>
        <v>25000</v>
      </c>
      <c r="F9331" s="16" cm="1">
        <f t="array" ref="F9331">SUM(F9328:F9330)</f>
        <v>0</v>
      </c>
      <c r="G9331" s="16" cm="1">
        <f t="array" ref="G9331">SUM(G9328:G9330)</f>
        <v>0</v>
      </c>
      <c r="H9331" s="16" cm="1">
        <f t="array" ref="H9331">SUM(H9328:H9330)</f>
        <v>0</v>
      </c>
      <c r="I9331" s="16" cm="1">
        <f t="array" ref="I9331">SUM(I9328:I9330)</f>
        <v>0</v>
      </c>
    </row>
    <row r="9332" ht="20.35" customHeight="1">
      <c r="A9332" s="10">
        <v>45805</v>
      </c>
      <c r="B9332" t="s" s="11">
        <v>89</v>
      </c>
      <c r="C9332" t="s" s="12">
        <v>1249</v>
      </c>
      <c r="D9332" s="17"/>
      <c r="E9332" s="17">
        <v>18400</v>
      </c>
      <c r="F9332" s="18"/>
      <c r="G9332" s="18"/>
      <c r="H9332" s="18"/>
      <c r="I9332" s="18"/>
    </row>
    <row r="9333" ht="20.35" customHeight="1">
      <c r="A9333" s="10">
        <v>45805</v>
      </c>
      <c r="B9333" t="s" s="11">
        <v>91</v>
      </c>
      <c r="C9333" t="s" s="12">
        <v>1249</v>
      </c>
      <c r="D9333" s="13">
        <v>18400</v>
      </c>
      <c r="E9333" s="13"/>
      <c r="F9333" s="14"/>
      <c r="G9333" s="14"/>
      <c r="H9333" s="14"/>
      <c r="I9333" s="14"/>
    </row>
    <row r="9334" ht="20.7" customHeight="1">
      <c r="A9334" s="10">
        <v>45805</v>
      </c>
      <c r="B9334" t="s" s="11">
        <v>8</v>
      </c>
      <c r="C9334" t="s" s="12">
        <v>8</v>
      </c>
      <c r="D9334" s="15" cm="1">
        <f t="array" ref="D9334">SUM(D9332:D9333)</f>
        <v>18400</v>
      </c>
      <c r="E9334" s="15" cm="1">
        <f t="array" ref="E9334">SUM(E9332:E9333)</f>
        <v>18400</v>
      </c>
      <c r="F9334" s="16" cm="1">
        <f t="array" ref="F9334">SUM(F9332:F9333)</f>
        <v>0</v>
      </c>
      <c r="G9334" s="16" cm="1">
        <f t="array" ref="G9334">SUM(G9332:G9333)</f>
        <v>0</v>
      </c>
      <c r="H9334" s="16" cm="1">
        <f t="array" ref="H9334">SUM(H9332:H9333)</f>
        <v>0</v>
      </c>
      <c r="I9334" s="16" cm="1">
        <f t="array" ref="I9334">SUM(I9332:I9333)</f>
        <v>0</v>
      </c>
    </row>
    <row r="9335" ht="20.35" customHeight="1">
      <c r="A9335" s="10">
        <v>45805</v>
      </c>
      <c r="B9335" t="s" s="11">
        <v>1156</v>
      </c>
      <c r="C9335" t="s" s="12">
        <v>1249</v>
      </c>
      <c r="D9335" s="17"/>
      <c r="E9335" s="17"/>
      <c r="F9335" s="18"/>
      <c r="G9335" s="18"/>
      <c r="H9335" s="18"/>
      <c r="I9335" s="18">
        <v>96</v>
      </c>
    </row>
    <row r="9336" ht="20.35" customHeight="1">
      <c r="A9336" s="10">
        <v>45805</v>
      </c>
      <c r="B9336" t="s" s="11">
        <v>1155</v>
      </c>
      <c r="C9336" t="s" s="12">
        <v>1249</v>
      </c>
      <c r="D9336" s="13"/>
      <c r="E9336" s="13"/>
      <c r="F9336" s="14"/>
      <c r="G9336" s="14"/>
      <c r="H9336" s="14">
        <v>96</v>
      </c>
      <c r="I9336" s="14"/>
    </row>
    <row r="9337" ht="20.7" customHeight="1">
      <c r="A9337" s="10">
        <v>45805</v>
      </c>
      <c r="B9337" t="s" s="11">
        <v>8</v>
      </c>
      <c r="C9337" t="s" s="12">
        <v>8</v>
      </c>
      <c r="D9337" s="15" cm="1">
        <f t="array" ref="D9337">SUM(D9335:D9336)</f>
        <v>0</v>
      </c>
      <c r="E9337" s="15" cm="1">
        <f t="array" ref="E9337">SUM(E9335:E9336)</f>
        <v>0</v>
      </c>
      <c r="F9337" s="16" cm="1">
        <f t="array" ref="F9337">SUM(F9335:F9336)</f>
        <v>0</v>
      </c>
      <c r="G9337" s="16" cm="1">
        <f t="array" ref="G9337">SUM(G9335:G9336)</f>
        <v>0</v>
      </c>
      <c r="H9337" s="16" cm="1">
        <f t="array" ref="H9337">SUM(H9335:H9336)</f>
        <v>96</v>
      </c>
      <c r="I9337" s="16" cm="1">
        <f t="array" ref="I9337">SUM(I9335:I9336)</f>
        <v>96</v>
      </c>
    </row>
    <row r="9338" ht="21.25" customHeight="1">
      <c r="A9338" s="10">
        <v>45805</v>
      </c>
      <c r="B9338" t="s" s="11">
        <v>21</v>
      </c>
      <c r="C9338" t="s" s="12">
        <v>1250</v>
      </c>
      <c r="D9338" s="17"/>
      <c r="E9338" s="17">
        <v>1500</v>
      </c>
      <c r="F9338" s="18"/>
      <c r="G9338" s="18"/>
      <c r="H9338" s="18"/>
      <c r="I9338" s="18"/>
    </row>
    <row r="9339" ht="21.25" customHeight="1">
      <c r="A9339" s="10">
        <v>45805</v>
      </c>
      <c r="B9339" t="s" s="11">
        <v>16</v>
      </c>
      <c r="C9339" t="s" s="12">
        <v>1250</v>
      </c>
      <c r="D9339" s="13">
        <v>1500</v>
      </c>
      <c r="E9339" s="13"/>
      <c r="F9339" s="14"/>
      <c r="G9339" s="14"/>
      <c r="H9339" s="14"/>
      <c r="I9339" s="14"/>
    </row>
    <row r="9340" ht="20.7" customHeight="1">
      <c r="A9340" s="10">
        <v>45805</v>
      </c>
      <c r="B9340" t="s" s="11">
        <v>8</v>
      </c>
      <c r="C9340" t="s" s="12">
        <v>8</v>
      </c>
      <c r="D9340" s="15" cm="1">
        <f t="array" ref="D9340">SUM(D9338:D9339)</f>
        <v>1500</v>
      </c>
      <c r="E9340" s="15" cm="1">
        <f t="array" ref="E9340">SUM(E9338:E9339)</f>
        <v>1500</v>
      </c>
      <c r="F9340" s="16" cm="1">
        <f t="array" ref="F9340">SUM(F9338:F9339)</f>
        <v>0</v>
      </c>
      <c r="G9340" s="16" cm="1">
        <f t="array" ref="G9340">SUM(G9338:G9339)</f>
        <v>0</v>
      </c>
      <c r="H9340" s="16" cm="1">
        <f t="array" ref="H9340">SUM(H9338:H9339)</f>
        <v>0</v>
      </c>
      <c r="I9340" s="16" cm="1">
        <f t="array" ref="I9340">SUM(I9338:I9339)</f>
        <v>0</v>
      </c>
    </row>
    <row r="9341" ht="20.65" customHeight="1">
      <c r="A9341" s="10">
        <v>45806</v>
      </c>
      <c r="B9341" t="s" s="11">
        <v>814</v>
      </c>
      <c r="C9341" t="s" s="12">
        <v>820</v>
      </c>
      <c r="D9341" s="17">
        <v>9</v>
      </c>
      <c r="E9341" s="17"/>
      <c r="F9341" s="18"/>
      <c r="G9341" s="18"/>
      <c r="H9341" s="18"/>
      <c r="I9341" s="18"/>
    </row>
    <row r="9342" ht="20.65" customHeight="1">
      <c r="A9342" s="10">
        <v>45806</v>
      </c>
      <c r="B9342" t="s" s="11">
        <v>7</v>
      </c>
      <c r="C9342" t="s" s="12">
        <v>820</v>
      </c>
      <c r="D9342" s="13"/>
      <c r="E9342" s="13">
        <v>9</v>
      </c>
      <c r="F9342" s="14"/>
      <c r="G9342" s="14"/>
      <c r="H9342" s="14"/>
      <c r="I9342" s="14"/>
    </row>
    <row r="9343" ht="20.7" customHeight="1">
      <c r="A9343" s="10">
        <v>45806</v>
      </c>
      <c r="B9343" t="s" s="11">
        <v>8</v>
      </c>
      <c r="C9343" t="s" s="12">
        <v>8</v>
      </c>
      <c r="D9343" s="15" cm="1">
        <f t="array" ref="D9343">SUM(D9341:D9342)</f>
        <v>9</v>
      </c>
      <c r="E9343" s="15" cm="1">
        <f t="array" ref="E9343">SUM(E9341:E9342)</f>
        <v>9</v>
      </c>
      <c r="F9343" s="16" cm="1">
        <f t="array" ref="F9343">SUM(F9341:F9342)</f>
        <v>0</v>
      </c>
      <c r="G9343" s="16" cm="1">
        <f t="array" ref="G9343">SUM(G9341:G9342)</f>
        <v>0</v>
      </c>
      <c r="H9343" s="16" cm="1">
        <f t="array" ref="H9343">SUM(H9341:H9342)</f>
        <v>0</v>
      </c>
      <c r="I9343" s="16" cm="1">
        <f t="array" ref="I9343">SUM(I9341:I9342)</f>
        <v>0</v>
      </c>
    </row>
    <row r="9344" ht="21.25" customHeight="1">
      <c r="A9344" s="10">
        <v>45806</v>
      </c>
      <c r="B9344" t="s" s="11">
        <v>5</v>
      </c>
      <c r="C9344" t="s" s="12">
        <v>799</v>
      </c>
      <c r="D9344" s="17">
        <v>7</v>
      </c>
      <c r="E9344" s="17"/>
      <c r="F9344" s="18"/>
      <c r="G9344" s="18"/>
      <c r="H9344" s="18"/>
      <c r="I9344" s="18"/>
    </row>
    <row r="9345" ht="21.25" customHeight="1">
      <c r="A9345" s="10">
        <v>45806</v>
      </c>
      <c r="B9345" t="s" s="11">
        <v>18</v>
      </c>
      <c r="C9345" t="s" s="12">
        <v>799</v>
      </c>
      <c r="D9345" s="13"/>
      <c r="E9345" s="13">
        <v>7</v>
      </c>
      <c r="F9345" s="14"/>
      <c r="G9345" s="14"/>
      <c r="H9345" s="14"/>
      <c r="I9345" s="14"/>
    </row>
    <row r="9346" ht="20.7" customHeight="1">
      <c r="A9346" s="10">
        <v>45806</v>
      </c>
      <c r="B9346" t="s" s="11">
        <v>8</v>
      </c>
      <c r="C9346" t="s" s="12">
        <v>8</v>
      </c>
      <c r="D9346" s="15" cm="1">
        <f t="array" ref="D9346">SUM(D9344:D9345)</f>
        <v>7</v>
      </c>
      <c r="E9346" s="15" cm="1">
        <f t="array" ref="E9346">SUM(E9344:E9345)</f>
        <v>7</v>
      </c>
      <c r="F9346" s="16" cm="1">
        <f t="array" ref="F9346">SUM(F9344:F9345)</f>
        <v>0</v>
      </c>
      <c r="G9346" s="16" cm="1">
        <f t="array" ref="G9346">SUM(G9344:G9345)</f>
        <v>0</v>
      </c>
      <c r="H9346" s="16" cm="1">
        <f t="array" ref="H9346">SUM(H9344:H9345)</f>
        <v>0</v>
      </c>
      <c r="I9346" s="16" cm="1">
        <f t="array" ref="I9346">SUM(I9344:I9345)</f>
        <v>0</v>
      </c>
    </row>
    <row r="9347" ht="20.65" customHeight="1">
      <c r="A9347" s="10">
        <v>45806</v>
      </c>
      <c r="B9347" t="s" s="11">
        <v>5</v>
      </c>
      <c r="C9347" t="s" s="12">
        <v>1251</v>
      </c>
      <c r="D9347" s="17"/>
      <c r="E9347" s="17">
        <v>5000</v>
      </c>
      <c r="F9347" s="18"/>
      <c r="G9347" s="18"/>
      <c r="H9347" s="18"/>
      <c r="I9347" s="18"/>
    </row>
    <row r="9348" ht="20.65" customHeight="1">
      <c r="A9348" s="10">
        <v>45806</v>
      </c>
      <c r="B9348" t="s" s="11">
        <v>12</v>
      </c>
      <c r="C9348" t="s" s="12">
        <v>1251</v>
      </c>
      <c r="D9348" s="13">
        <v>5000</v>
      </c>
      <c r="E9348" s="13"/>
      <c r="F9348" s="14"/>
      <c r="G9348" s="14"/>
      <c r="H9348" s="14"/>
      <c r="I9348" s="14"/>
    </row>
    <row r="9349" ht="20.7" customHeight="1">
      <c r="A9349" s="10">
        <v>45806</v>
      </c>
      <c r="B9349" t="s" s="11">
        <v>8</v>
      </c>
      <c r="C9349" t="s" s="12">
        <v>8</v>
      </c>
      <c r="D9349" s="15" cm="1">
        <f t="array" ref="D9349">SUM(D9347:D9348)</f>
        <v>5000</v>
      </c>
      <c r="E9349" s="15" cm="1">
        <f t="array" ref="E9349">SUM(E9347:E9348)</f>
        <v>5000</v>
      </c>
      <c r="F9349" s="16" cm="1">
        <f t="array" ref="F9349">SUM(F9347:F9348)</f>
        <v>0</v>
      </c>
      <c r="G9349" s="16" cm="1">
        <f t="array" ref="G9349">SUM(G9347:G9348)</f>
        <v>0</v>
      </c>
      <c r="H9349" s="16" cm="1">
        <f t="array" ref="H9349">SUM(H9347:H9348)</f>
        <v>0</v>
      </c>
      <c r="I9349" s="16" cm="1">
        <f t="array" ref="I9349">SUM(I9347:I9348)</f>
        <v>0</v>
      </c>
    </row>
    <row r="9350" ht="20.35" customHeight="1">
      <c r="A9350" s="10">
        <v>45806</v>
      </c>
      <c r="B9350" t="s" s="11">
        <v>5</v>
      </c>
      <c r="C9350" t="s" s="12">
        <v>53</v>
      </c>
      <c r="D9350" s="17"/>
      <c r="E9350" s="17">
        <v>4400</v>
      </c>
      <c r="F9350" s="18"/>
      <c r="G9350" s="18"/>
      <c r="H9350" s="18"/>
      <c r="I9350" s="18"/>
    </row>
    <row r="9351" ht="20.35" customHeight="1">
      <c r="A9351" s="10">
        <v>45806</v>
      </c>
      <c r="B9351" t="s" s="11">
        <v>12</v>
      </c>
      <c r="C9351" t="s" s="12">
        <v>53</v>
      </c>
      <c r="D9351" s="13">
        <v>4400</v>
      </c>
      <c r="E9351" s="13"/>
      <c r="F9351" s="14"/>
      <c r="G9351" s="14"/>
      <c r="H9351" s="14"/>
      <c r="I9351" s="14"/>
    </row>
    <row r="9352" ht="20.7" customHeight="1">
      <c r="A9352" s="10">
        <v>45806</v>
      </c>
      <c r="B9352" t="s" s="11">
        <v>8</v>
      </c>
      <c r="C9352" t="s" s="12">
        <v>8</v>
      </c>
      <c r="D9352" s="15" cm="1">
        <f t="array" ref="D9352">SUM(D9350:D9351)</f>
        <v>4400</v>
      </c>
      <c r="E9352" s="15" cm="1">
        <f t="array" ref="E9352">SUM(E9350:E9351)</f>
        <v>4400</v>
      </c>
      <c r="F9352" s="16" cm="1">
        <f t="array" ref="F9352">SUM(F9350:F9351)</f>
        <v>0</v>
      </c>
      <c r="G9352" s="16" cm="1">
        <f t="array" ref="G9352">SUM(G9350:G9351)</f>
        <v>0</v>
      </c>
      <c r="H9352" s="16" cm="1">
        <f t="array" ref="H9352">SUM(H9350:H9351)</f>
        <v>0</v>
      </c>
      <c r="I9352" s="16" cm="1">
        <f t="array" ref="I9352">SUM(I9350:I9351)</f>
        <v>0</v>
      </c>
    </row>
    <row r="9353" ht="20.35" customHeight="1">
      <c r="A9353" s="10">
        <v>45806</v>
      </c>
      <c r="B9353" t="s" s="11">
        <v>5</v>
      </c>
      <c r="C9353" t="s" s="12">
        <v>17</v>
      </c>
      <c r="D9353" s="17">
        <v>100</v>
      </c>
      <c r="E9353" s="17"/>
      <c r="F9353" s="18"/>
      <c r="G9353" s="18"/>
      <c r="H9353" s="18"/>
      <c r="I9353" s="18"/>
    </row>
    <row r="9354" ht="20.35" customHeight="1">
      <c r="A9354" s="10">
        <v>45806</v>
      </c>
      <c r="B9354" t="s" s="11">
        <v>18</v>
      </c>
      <c r="C9354" t="s" s="12">
        <v>17</v>
      </c>
      <c r="D9354" s="13"/>
      <c r="E9354" s="13">
        <v>100</v>
      </c>
      <c r="F9354" s="14"/>
      <c r="G9354" s="14"/>
      <c r="H9354" s="14"/>
      <c r="I9354" s="14"/>
    </row>
    <row r="9355" ht="20.7" customHeight="1">
      <c r="A9355" s="10">
        <v>45806</v>
      </c>
      <c r="B9355" t="s" s="11">
        <v>8</v>
      </c>
      <c r="C9355" t="s" s="12">
        <v>8</v>
      </c>
      <c r="D9355" s="15" cm="1">
        <f t="array" ref="D9355">SUM(D9353:D9354)</f>
        <v>100</v>
      </c>
      <c r="E9355" s="15" cm="1">
        <f t="array" ref="E9355">SUM(E9353:E9354)</f>
        <v>100</v>
      </c>
      <c r="F9355" s="16" cm="1">
        <f t="array" ref="F9355">SUM(F9353:F9354)</f>
        <v>0</v>
      </c>
      <c r="G9355" s="16" cm="1">
        <f t="array" ref="G9355">SUM(G9353:G9354)</f>
        <v>0</v>
      </c>
      <c r="H9355" s="16" cm="1">
        <f t="array" ref="H9355">SUM(H9353:H9354)</f>
        <v>0</v>
      </c>
      <c r="I9355" s="16" cm="1">
        <f t="array" ref="I9355">SUM(I9353:I9354)</f>
        <v>0</v>
      </c>
    </row>
    <row r="9356" ht="21.25" customHeight="1">
      <c r="A9356" s="10">
        <v>45806</v>
      </c>
      <c r="B9356" t="s" s="11">
        <v>5</v>
      </c>
      <c r="C9356" t="s" s="12">
        <v>1252</v>
      </c>
      <c r="D9356" s="17"/>
      <c r="E9356" s="17">
        <v>12000</v>
      </c>
      <c r="F9356" s="18"/>
      <c r="G9356" s="18"/>
      <c r="H9356" s="18"/>
      <c r="I9356" s="18"/>
    </row>
    <row r="9357" ht="21.25" customHeight="1">
      <c r="A9357" s="10">
        <v>45806</v>
      </c>
      <c r="B9357" t="s" s="11">
        <v>12</v>
      </c>
      <c r="C9357" t="s" s="12">
        <v>1252</v>
      </c>
      <c r="D9357" s="13">
        <v>12000</v>
      </c>
      <c r="E9357" s="13"/>
      <c r="F9357" s="14"/>
      <c r="G9357" s="14"/>
      <c r="H9357" s="14"/>
      <c r="I9357" s="14"/>
    </row>
    <row r="9358" ht="20.7" customHeight="1">
      <c r="A9358" s="10">
        <v>45806</v>
      </c>
      <c r="B9358" t="s" s="11">
        <v>8</v>
      </c>
      <c r="C9358" t="s" s="12">
        <v>8</v>
      </c>
      <c r="D9358" s="15" cm="1">
        <f t="array" ref="D9358">SUM(D9356:D9357)</f>
        <v>12000</v>
      </c>
      <c r="E9358" s="15" cm="1">
        <f t="array" ref="E9358">SUM(E9356:E9357)</f>
        <v>12000</v>
      </c>
      <c r="F9358" s="16" cm="1">
        <f t="array" ref="F9358">SUM(F9356:F9357)</f>
        <v>0</v>
      </c>
      <c r="G9358" s="16" cm="1">
        <f t="array" ref="G9358">SUM(G9356:G9357)</f>
        <v>0</v>
      </c>
      <c r="H9358" s="16" cm="1">
        <f t="array" ref="H9358">SUM(H9356:H9357)</f>
        <v>0</v>
      </c>
      <c r="I9358" s="16" cm="1">
        <f t="array" ref="I9358">SUM(I9356:I9357)</f>
        <v>0</v>
      </c>
    </row>
    <row r="9359" ht="20.35" customHeight="1">
      <c r="A9359" s="10">
        <v>45806</v>
      </c>
      <c r="B9359" t="s" s="11">
        <v>5</v>
      </c>
      <c r="C9359" t="s" s="12">
        <v>368</v>
      </c>
      <c r="D9359" s="17"/>
      <c r="E9359" s="17">
        <v>100000</v>
      </c>
      <c r="F9359" s="18"/>
      <c r="G9359" s="18"/>
      <c r="H9359" s="18"/>
      <c r="I9359" s="18"/>
    </row>
    <row r="9360" ht="20.35" customHeight="1">
      <c r="A9360" s="10">
        <v>45806</v>
      </c>
      <c r="B9360" t="s" s="11">
        <v>89</v>
      </c>
      <c r="C9360" t="s" s="12">
        <v>368</v>
      </c>
      <c r="D9360" s="13">
        <v>100000</v>
      </c>
      <c r="E9360" s="13"/>
      <c r="F9360" s="14"/>
      <c r="G9360" s="14"/>
      <c r="H9360" s="14"/>
      <c r="I9360" s="14"/>
    </row>
    <row r="9361" ht="20.7" customHeight="1">
      <c r="A9361" s="10">
        <v>45806</v>
      </c>
      <c r="B9361" t="s" s="11">
        <v>8</v>
      </c>
      <c r="C9361" t="s" s="12">
        <v>8</v>
      </c>
      <c r="D9361" s="15" cm="1">
        <f t="array" ref="D9361">SUM(D9359:D9360)</f>
        <v>100000</v>
      </c>
      <c r="E9361" s="15" cm="1">
        <f t="array" ref="E9361">SUM(E9359:E9360)</f>
        <v>100000</v>
      </c>
      <c r="F9361" s="16" cm="1">
        <f t="array" ref="F9361">SUM(F9359:F9360)</f>
        <v>0</v>
      </c>
      <c r="G9361" s="16" cm="1">
        <f t="array" ref="G9361">SUM(G9359:G9360)</f>
        <v>0</v>
      </c>
      <c r="H9361" s="16" cm="1">
        <f t="array" ref="H9361">SUM(H9359:H9360)</f>
        <v>0</v>
      </c>
      <c r="I9361" s="16" cm="1">
        <f t="array" ref="I9361">SUM(I9359:I9360)</f>
        <v>0</v>
      </c>
    </row>
    <row r="9362" ht="20.35" customHeight="1">
      <c r="A9362" s="10">
        <v>45806</v>
      </c>
      <c r="B9362" t="s" s="11">
        <v>5</v>
      </c>
      <c r="C9362" t="s" s="12">
        <v>1025</v>
      </c>
      <c r="D9362" s="17">
        <v>303000</v>
      </c>
      <c r="E9362" s="17"/>
      <c r="F9362" s="18"/>
      <c r="G9362" s="18"/>
      <c r="H9362" s="18"/>
      <c r="I9362" s="18"/>
    </row>
    <row r="9363" ht="20.35" customHeight="1">
      <c r="A9363" s="10">
        <v>45806</v>
      </c>
      <c r="B9363" t="s" s="11">
        <v>91</v>
      </c>
      <c r="C9363" t="s" s="12">
        <v>1025</v>
      </c>
      <c r="D9363" s="13"/>
      <c r="E9363" s="13">
        <v>303000</v>
      </c>
      <c r="F9363" s="14"/>
      <c r="G9363" s="14"/>
      <c r="H9363" s="14"/>
      <c r="I9363" s="14"/>
    </row>
    <row r="9364" ht="20.7" customHeight="1">
      <c r="A9364" s="10">
        <v>45806</v>
      </c>
      <c r="B9364" t="s" s="11">
        <v>8</v>
      </c>
      <c r="C9364" t="s" s="12">
        <v>8</v>
      </c>
      <c r="D9364" s="15" cm="1">
        <f t="array" ref="D9364">SUM(D9362:D9363)</f>
        <v>303000</v>
      </c>
      <c r="E9364" s="15" cm="1">
        <f t="array" ref="E9364">SUM(E9362:E9363)</f>
        <v>303000</v>
      </c>
      <c r="F9364" s="16" cm="1">
        <f t="array" ref="F9364">SUM(F9362:F9363)</f>
        <v>0</v>
      </c>
      <c r="G9364" s="16" cm="1">
        <f t="array" ref="G9364">SUM(G9362:G9363)</f>
        <v>0</v>
      </c>
      <c r="H9364" s="16" cm="1">
        <f t="array" ref="H9364">SUM(H9362:H9363)</f>
        <v>0</v>
      </c>
      <c r="I9364" s="16" cm="1">
        <f t="array" ref="I9364">SUM(I9362:I9363)</f>
        <v>0</v>
      </c>
    </row>
    <row r="9365" ht="21.25" customHeight="1">
      <c r="A9365" s="10">
        <v>45806</v>
      </c>
      <c r="B9365" t="s" s="11">
        <v>5</v>
      </c>
      <c r="C9365" t="s" s="12">
        <v>1253</v>
      </c>
      <c r="D9365" s="17"/>
      <c r="E9365" s="17">
        <v>18000</v>
      </c>
      <c r="F9365" s="18"/>
      <c r="G9365" s="18"/>
      <c r="H9365" s="18"/>
      <c r="I9365" s="18"/>
    </row>
    <row r="9366" ht="20.9" customHeight="1">
      <c r="A9366" s="10">
        <v>45806</v>
      </c>
      <c r="B9366" t="s" s="11">
        <v>89</v>
      </c>
      <c r="C9366" t="s" s="12">
        <v>1253</v>
      </c>
      <c r="D9366" s="19">
        <v>8500</v>
      </c>
      <c r="E9366" s="19"/>
      <c r="F9366" s="20"/>
      <c r="G9366" s="20"/>
      <c r="H9366" s="20"/>
      <c r="I9366" s="20"/>
    </row>
    <row r="9367" ht="21.25" customHeight="1">
      <c r="A9367" s="10">
        <v>45806</v>
      </c>
      <c r="B9367" t="s" s="11">
        <v>12</v>
      </c>
      <c r="C9367" t="s" s="12">
        <v>1253</v>
      </c>
      <c r="D9367" s="13">
        <v>9500</v>
      </c>
      <c r="E9367" s="13"/>
      <c r="F9367" s="14"/>
      <c r="G9367" s="14"/>
      <c r="H9367" s="14"/>
      <c r="I9367" s="14"/>
    </row>
    <row r="9368" ht="20.7" customHeight="1">
      <c r="A9368" s="10">
        <v>45806</v>
      </c>
      <c r="B9368" t="s" s="11">
        <v>8</v>
      </c>
      <c r="C9368" t="s" s="12">
        <v>8</v>
      </c>
      <c r="D9368" s="15" cm="1">
        <f t="array" ref="D9368">SUM(D9365:D9367)</f>
        <v>18000</v>
      </c>
      <c r="E9368" s="15" cm="1">
        <f t="array" ref="E9368">SUM(E9365:E9367)</f>
        <v>18000</v>
      </c>
      <c r="F9368" s="16" cm="1">
        <f t="array" ref="F9368">SUM(F9365:F9367)</f>
        <v>0</v>
      </c>
      <c r="G9368" s="16" cm="1">
        <f t="array" ref="G9368">SUM(G9365:G9367)</f>
        <v>0</v>
      </c>
      <c r="H9368" s="16" cm="1">
        <f t="array" ref="H9368">SUM(H9365:H9367)</f>
        <v>0</v>
      </c>
      <c r="I9368" s="16" cm="1">
        <f t="array" ref="I9368">SUM(I9365:I9367)</f>
        <v>0</v>
      </c>
    </row>
    <row r="9369" ht="21.25" customHeight="1">
      <c r="A9369" s="10">
        <v>45806</v>
      </c>
      <c r="B9369" t="s" s="11">
        <v>89</v>
      </c>
      <c r="C9369" t="s" s="12">
        <v>1253</v>
      </c>
      <c r="D9369" s="17"/>
      <c r="E9369" s="17">
        <v>8500</v>
      </c>
      <c r="F9369" s="18"/>
      <c r="G9369" s="18"/>
      <c r="H9369" s="18"/>
      <c r="I9369" s="18"/>
    </row>
    <row r="9370" ht="21.25" customHeight="1">
      <c r="A9370" s="10">
        <v>45806</v>
      </c>
      <c r="B9370" t="s" s="11">
        <v>91</v>
      </c>
      <c r="C9370" t="s" s="12">
        <v>1253</v>
      </c>
      <c r="D9370" s="13">
        <v>8500</v>
      </c>
      <c r="E9370" s="13"/>
      <c r="F9370" s="14"/>
      <c r="G9370" s="14"/>
      <c r="H9370" s="14"/>
      <c r="I9370" s="14"/>
    </row>
    <row r="9371" ht="20.7" customHeight="1">
      <c r="A9371" s="10">
        <v>45806</v>
      </c>
      <c r="B9371" t="s" s="11">
        <v>8</v>
      </c>
      <c r="C9371" t="s" s="12">
        <v>8</v>
      </c>
      <c r="D9371" s="15" cm="1">
        <f t="array" ref="D9371">SUM(D9369:D9370)</f>
        <v>8500</v>
      </c>
      <c r="E9371" s="15" cm="1">
        <f t="array" ref="E9371">SUM(E9369:E9370)</f>
        <v>8500</v>
      </c>
      <c r="F9371" s="16" cm="1">
        <f t="array" ref="F9371">SUM(F9369:F9370)</f>
        <v>0</v>
      </c>
      <c r="G9371" s="16" cm="1">
        <f t="array" ref="G9371">SUM(G9369:G9370)</f>
        <v>0</v>
      </c>
      <c r="H9371" s="16" cm="1">
        <f t="array" ref="H9371">SUM(H9369:H9370)</f>
        <v>0</v>
      </c>
      <c r="I9371" s="16" cm="1">
        <f t="array" ref="I9371">SUM(I9369:I9370)</f>
        <v>0</v>
      </c>
    </row>
    <row r="9372" ht="20.35" customHeight="1">
      <c r="A9372" s="10">
        <v>45806</v>
      </c>
      <c r="B9372" t="s" s="11">
        <v>1156</v>
      </c>
      <c r="C9372" t="s" s="12">
        <v>1254</v>
      </c>
      <c r="D9372" s="17"/>
      <c r="E9372" s="17"/>
      <c r="F9372" s="18"/>
      <c r="G9372" s="18"/>
      <c r="H9372" s="18"/>
      <c r="I9372" s="18">
        <v>45</v>
      </c>
    </row>
    <row r="9373" ht="20.35" customHeight="1">
      <c r="A9373" s="10">
        <v>45806</v>
      </c>
      <c r="B9373" t="s" s="11">
        <v>1155</v>
      </c>
      <c r="C9373" t="s" s="12">
        <v>1254</v>
      </c>
      <c r="D9373" s="13"/>
      <c r="E9373" s="13"/>
      <c r="F9373" s="14"/>
      <c r="G9373" s="14"/>
      <c r="H9373" s="14">
        <v>45</v>
      </c>
      <c r="I9373" s="14"/>
    </row>
    <row r="9374" ht="20.7" customHeight="1">
      <c r="A9374" s="10">
        <v>45806</v>
      </c>
      <c r="B9374" t="s" s="11">
        <v>8</v>
      </c>
      <c r="C9374" t="s" s="12">
        <v>8</v>
      </c>
      <c r="D9374" s="15" cm="1">
        <f t="array" ref="D9374">SUM(D9372:D9373)</f>
        <v>0</v>
      </c>
      <c r="E9374" s="15" cm="1">
        <f t="array" ref="E9374">SUM(E9372:E9373)</f>
        <v>0</v>
      </c>
      <c r="F9374" s="16" cm="1">
        <f t="array" ref="F9374">SUM(F9372:F9373)</f>
        <v>0</v>
      </c>
      <c r="G9374" s="16" cm="1">
        <f t="array" ref="G9374">SUM(G9372:G9373)</f>
        <v>0</v>
      </c>
      <c r="H9374" s="16" cm="1">
        <f t="array" ref="H9374">SUM(H9372:H9373)</f>
        <v>45</v>
      </c>
      <c r="I9374" s="16" cm="1">
        <f t="array" ref="I9374">SUM(I9372:I9373)</f>
        <v>45</v>
      </c>
    </row>
    <row r="9375" ht="20.65" customHeight="1">
      <c r="A9375" s="10">
        <v>45806</v>
      </c>
      <c r="B9375" t="s" s="11">
        <v>5</v>
      </c>
      <c r="C9375" t="s" s="12">
        <v>1255</v>
      </c>
      <c r="D9375" s="17"/>
      <c r="E9375" s="17">
        <v>6000</v>
      </c>
      <c r="F9375" s="18"/>
      <c r="G9375" s="18"/>
      <c r="H9375" s="18"/>
      <c r="I9375" s="18"/>
    </row>
    <row r="9376" ht="20.65" customHeight="1">
      <c r="A9376" s="10">
        <v>45806</v>
      </c>
      <c r="B9376" t="s" s="11">
        <v>12</v>
      </c>
      <c r="C9376" t="s" s="12">
        <v>1255</v>
      </c>
      <c r="D9376" s="13">
        <v>6000</v>
      </c>
      <c r="E9376" s="13"/>
      <c r="F9376" s="14"/>
      <c r="G9376" s="14"/>
      <c r="H9376" s="14"/>
      <c r="I9376" s="14"/>
    </row>
    <row r="9377" ht="20.7" customHeight="1">
      <c r="A9377" s="10">
        <v>45806</v>
      </c>
      <c r="B9377" t="s" s="11">
        <v>8</v>
      </c>
      <c r="C9377" t="s" s="12">
        <v>8</v>
      </c>
      <c r="D9377" s="15" cm="1">
        <f t="array" ref="D9377">SUM(D9375:D9376)</f>
        <v>6000</v>
      </c>
      <c r="E9377" s="15" cm="1">
        <f t="array" ref="E9377">SUM(E9375:E9376)</f>
        <v>6000</v>
      </c>
      <c r="F9377" s="16" cm="1">
        <f t="array" ref="F9377">SUM(F9375:F9376)</f>
        <v>0</v>
      </c>
      <c r="G9377" s="16" cm="1">
        <f t="array" ref="G9377">SUM(G9375:G9376)</f>
        <v>0</v>
      </c>
      <c r="H9377" s="16" cm="1">
        <f t="array" ref="H9377">SUM(H9375:H9376)</f>
        <v>0</v>
      </c>
      <c r="I9377" s="16" cm="1">
        <f t="array" ref="I9377">SUM(I9375:I9376)</f>
        <v>0</v>
      </c>
    </row>
    <row r="9378" ht="20.65" customHeight="1">
      <c r="A9378" s="10">
        <v>45807</v>
      </c>
      <c r="B9378" t="s" s="11">
        <v>814</v>
      </c>
      <c r="C9378" t="s" s="12">
        <v>820</v>
      </c>
      <c r="D9378" s="17">
        <v>9</v>
      </c>
      <c r="E9378" s="17"/>
      <c r="F9378" s="18"/>
      <c r="G9378" s="18"/>
      <c r="H9378" s="18"/>
      <c r="I9378" s="18"/>
    </row>
    <row r="9379" ht="20.65" customHeight="1">
      <c r="A9379" s="10">
        <v>45807</v>
      </c>
      <c r="B9379" t="s" s="11">
        <v>7</v>
      </c>
      <c r="C9379" t="s" s="12">
        <v>820</v>
      </c>
      <c r="D9379" s="13"/>
      <c r="E9379" s="13">
        <v>9</v>
      </c>
      <c r="F9379" s="14"/>
      <c r="G9379" s="14"/>
      <c r="H9379" s="14"/>
      <c r="I9379" s="14"/>
    </row>
    <row r="9380" ht="20.7" customHeight="1">
      <c r="A9380" s="10">
        <v>45807</v>
      </c>
      <c r="B9380" t="s" s="11">
        <v>8</v>
      </c>
      <c r="C9380" t="s" s="12">
        <v>8</v>
      </c>
      <c r="D9380" s="15" cm="1">
        <f t="array" ref="D9380">SUM(D9378:D9379)</f>
        <v>9</v>
      </c>
      <c r="E9380" s="15" cm="1">
        <f t="array" ref="E9380">SUM(E9378:E9379)</f>
        <v>9</v>
      </c>
      <c r="F9380" s="16" cm="1">
        <f t="array" ref="F9380">SUM(F9378:F9379)</f>
        <v>0</v>
      </c>
      <c r="G9380" s="16" cm="1">
        <f t="array" ref="G9380">SUM(G9378:G9379)</f>
        <v>0</v>
      </c>
      <c r="H9380" s="16" cm="1">
        <f t="array" ref="H9380">SUM(H9378:H9379)</f>
        <v>0</v>
      </c>
      <c r="I9380" s="16" cm="1">
        <f t="array" ref="I9380">SUM(I9378:I9379)</f>
        <v>0</v>
      </c>
    </row>
    <row r="9381" ht="20.65" customHeight="1">
      <c r="A9381" s="10">
        <v>45807</v>
      </c>
      <c r="B9381" t="s" s="11">
        <v>5</v>
      </c>
      <c r="C9381" t="s" s="12">
        <v>741</v>
      </c>
      <c r="D9381" s="17"/>
      <c r="E9381" s="17">
        <v>7000</v>
      </c>
      <c r="F9381" s="18"/>
      <c r="G9381" s="18"/>
      <c r="H9381" s="18"/>
      <c r="I9381" s="18"/>
    </row>
    <row r="9382" ht="20.65" customHeight="1">
      <c r="A9382" s="10">
        <v>45807</v>
      </c>
      <c r="B9382" t="s" s="11">
        <v>10</v>
      </c>
      <c r="C9382" t="s" s="12">
        <v>741</v>
      </c>
      <c r="D9382" s="13">
        <v>7000</v>
      </c>
      <c r="E9382" s="13"/>
      <c r="F9382" s="14"/>
      <c r="G9382" s="14"/>
      <c r="H9382" s="14"/>
      <c r="I9382" s="14"/>
    </row>
    <row r="9383" ht="20.7" customHeight="1">
      <c r="A9383" s="10">
        <v>45807</v>
      </c>
      <c r="B9383" t="s" s="11">
        <v>8</v>
      </c>
      <c r="C9383" t="s" s="12">
        <v>8</v>
      </c>
      <c r="D9383" s="15" cm="1">
        <f t="array" ref="D9383">SUM(D9381:D9382)</f>
        <v>7000</v>
      </c>
      <c r="E9383" s="15" cm="1">
        <f t="array" ref="E9383">SUM(E9381:E9382)</f>
        <v>7000</v>
      </c>
      <c r="F9383" s="16" cm="1">
        <f t="array" ref="F9383">SUM(F9381:F9382)</f>
        <v>0</v>
      </c>
      <c r="G9383" s="16" cm="1">
        <f t="array" ref="G9383">SUM(G9381:G9382)</f>
        <v>0</v>
      </c>
      <c r="H9383" s="16" cm="1">
        <f t="array" ref="H9383">SUM(H9381:H9382)</f>
        <v>0</v>
      </c>
      <c r="I9383" s="16" cm="1">
        <f t="array" ref="I9383">SUM(I9381:I9382)</f>
        <v>0</v>
      </c>
    </row>
    <row r="9384" ht="20.35" customHeight="1">
      <c r="A9384" s="10">
        <v>45807</v>
      </c>
      <c r="B9384" t="s" s="11">
        <v>5</v>
      </c>
      <c r="C9384" t="s" s="12">
        <v>17</v>
      </c>
      <c r="D9384" s="17">
        <v>100</v>
      </c>
      <c r="E9384" s="17"/>
      <c r="F9384" s="18"/>
      <c r="G9384" s="18"/>
      <c r="H9384" s="18"/>
      <c r="I9384" s="18"/>
    </row>
    <row r="9385" ht="20.35" customHeight="1">
      <c r="A9385" s="10">
        <v>45807</v>
      </c>
      <c r="B9385" t="s" s="11">
        <v>18</v>
      </c>
      <c r="C9385" t="s" s="12">
        <v>17</v>
      </c>
      <c r="D9385" s="13"/>
      <c r="E9385" s="13">
        <v>100</v>
      </c>
      <c r="F9385" s="14"/>
      <c r="G9385" s="14"/>
      <c r="H9385" s="14"/>
      <c r="I9385" s="14"/>
    </row>
    <row r="9386" ht="20.7" customHeight="1">
      <c r="A9386" s="10">
        <v>45807</v>
      </c>
      <c r="B9386" t="s" s="11">
        <v>8</v>
      </c>
      <c r="C9386" t="s" s="12">
        <v>8</v>
      </c>
      <c r="D9386" s="15" cm="1">
        <f t="array" ref="D9386">SUM(D9384:D9385)</f>
        <v>100</v>
      </c>
      <c r="E9386" s="15" cm="1">
        <f t="array" ref="E9386">SUM(E9384:E9385)</f>
        <v>100</v>
      </c>
      <c r="F9386" s="16" cm="1">
        <f t="array" ref="F9386">SUM(F9384:F9385)</f>
        <v>0</v>
      </c>
      <c r="G9386" s="16" cm="1">
        <f t="array" ref="G9386">SUM(G9384:G9385)</f>
        <v>0</v>
      </c>
      <c r="H9386" s="16" cm="1">
        <f t="array" ref="H9386">SUM(H9384:H9385)</f>
        <v>0</v>
      </c>
      <c r="I9386" s="16" cm="1">
        <f t="array" ref="I9386">SUM(I9384:I9385)</f>
        <v>0</v>
      </c>
    </row>
    <row r="9387" ht="20.35" customHeight="1">
      <c r="A9387" s="10">
        <v>45807</v>
      </c>
      <c r="B9387" t="s" s="11">
        <v>93</v>
      </c>
      <c r="C9387" t="s" s="12">
        <v>368</v>
      </c>
      <c r="D9387" s="17">
        <v>100000</v>
      </c>
      <c r="E9387" s="17"/>
      <c r="F9387" s="18"/>
      <c r="G9387" s="18"/>
      <c r="H9387" s="18"/>
      <c r="I9387" s="18"/>
    </row>
    <row r="9388" ht="20.35" customHeight="1">
      <c r="A9388" s="10">
        <v>45807</v>
      </c>
      <c r="B9388" t="s" s="11">
        <v>89</v>
      </c>
      <c r="C9388" t="s" s="12">
        <v>368</v>
      </c>
      <c r="D9388" s="13"/>
      <c r="E9388" s="13">
        <v>100000</v>
      </c>
      <c r="F9388" s="14"/>
      <c r="G9388" s="14"/>
      <c r="H9388" s="14"/>
      <c r="I9388" s="14"/>
    </row>
    <row r="9389" ht="20.7" customHeight="1">
      <c r="A9389" s="10">
        <v>45807</v>
      </c>
      <c r="B9389" t="s" s="11">
        <v>8</v>
      </c>
      <c r="C9389" t="s" s="12">
        <v>8</v>
      </c>
      <c r="D9389" s="15" cm="1">
        <f t="array" ref="D9389">SUM(D9387:D9388)</f>
        <v>100000</v>
      </c>
      <c r="E9389" s="15" cm="1">
        <f t="array" ref="E9389">SUM(E9387:E9388)</f>
        <v>100000</v>
      </c>
      <c r="F9389" s="16" cm="1">
        <f t="array" ref="F9389">SUM(F9387:F9388)</f>
        <v>0</v>
      </c>
      <c r="G9389" s="16" cm="1">
        <f t="array" ref="G9389">SUM(G9387:G9388)</f>
        <v>0</v>
      </c>
      <c r="H9389" s="16" cm="1">
        <f t="array" ref="H9389">SUM(H9387:H9388)</f>
        <v>0</v>
      </c>
      <c r="I9389" s="16" cm="1">
        <f t="array" ref="I9389">SUM(I9387:I9388)</f>
        <v>0</v>
      </c>
    </row>
    <row r="9390" ht="20.65" customHeight="1">
      <c r="A9390" s="10">
        <v>45808</v>
      </c>
      <c r="B9390" t="s" s="11">
        <v>814</v>
      </c>
      <c r="C9390" t="s" s="12">
        <v>820</v>
      </c>
      <c r="D9390" s="17">
        <v>8</v>
      </c>
      <c r="E9390" s="17"/>
      <c r="F9390" s="18"/>
      <c r="G9390" s="18"/>
      <c r="H9390" s="18"/>
      <c r="I9390" s="18"/>
    </row>
    <row r="9391" ht="20.65" customHeight="1">
      <c r="A9391" s="10">
        <v>45808</v>
      </c>
      <c r="B9391" t="s" s="11">
        <v>7</v>
      </c>
      <c r="C9391" t="s" s="12">
        <v>820</v>
      </c>
      <c r="D9391" s="13"/>
      <c r="E9391" s="13">
        <v>8</v>
      </c>
      <c r="F9391" s="14"/>
      <c r="G9391" s="14"/>
      <c r="H9391" s="14"/>
      <c r="I9391" s="14"/>
    </row>
    <row r="9392" ht="20.7" customHeight="1">
      <c r="A9392" s="10">
        <v>45808</v>
      </c>
      <c r="B9392" t="s" s="11">
        <v>8</v>
      </c>
      <c r="C9392" t="s" s="12">
        <v>8</v>
      </c>
      <c r="D9392" s="15" cm="1">
        <f t="array" ref="D9392">SUM(D9390:D9391)</f>
        <v>8</v>
      </c>
      <c r="E9392" s="15" cm="1">
        <f t="array" ref="E9392">SUM(E9390:E9391)</f>
        <v>8</v>
      </c>
      <c r="F9392" s="16" cm="1">
        <f t="array" ref="F9392">SUM(F9390:F9391)</f>
        <v>0</v>
      </c>
      <c r="G9392" s="16" cm="1">
        <f t="array" ref="G9392">SUM(G9390:G9391)</f>
        <v>0</v>
      </c>
      <c r="H9392" s="16" cm="1">
        <f t="array" ref="H9392">SUM(H9390:H9391)</f>
        <v>0</v>
      </c>
      <c r="I9392" s="16" cm="1">
        <f t="array" ref="I9392">SUM(I9390:I9391)</f>
        <v>0</v>
      </c>
    </row>
    <row r="9393" ht="21.25" customHeight="1">
      <c r="A9393" s="10">
        <v>45808</v>
      </c>
      <c r="B9393" t="s" s="11">
        <v>5</v>
      </c>
      <c r="C9393" t="s" s="12">
        <v>1227</v>
      </c>
      <c r="D9393" s="17"/>
      <c r="E9393" s="17">
        <v>5700</v>
      </c>
      <c r="F9393" s="18"/>
      <c r="G9393" s="18"/>
      <c r="H9393" s="18"/>
      <c r="I9393" s="18"/>
    </row>
    <row r="9394" ht="21.25" customHeight="1">
      <c r="A9394" s="10">
        <v>45808</v>
      </c>
      <c r="B9394" t="s" s="11">
        <v>86</v>
      </c>
      <c r="C9394" t="s" s="12">
        <v>1227</v>
      </c>
      <c r="D9394" s="13">
        <v>5700</v>
      </c>
      <c r="E9394" s="13"/>
      <c r="F9394" s="14"/>
      <c r="G9394" s="14"/>
      <c r="H9394" s="14"/>
      <c r="I9394" s="14"/>
    </row>
    <row r="9395" ht="20.7" customHeight="1">
      <c r="A9395" s="10">
        <v>45808</v>
      </c>
      <c r="B9395" t="s" s="11">
        <v>8</v>
      </c>
      <c r="C9395" t="s" s="12">
        <v>8</v>
      </c>
      <c r="D9395" s="15" cm="1">
        <f t="array" ref="D9395">SUM(D9393:D9394)</f>
        <v>5700</v>
      </c>
      <c r="E9395" s="15" cm="1">
        <f t="array" ref="E9395">SUM(E9393:E9394)</f>
        <v>5700</v>
      </c>
      <c r="F9395" s="16" cm="1">
        <f t="array" ref="F9395">SUM(F9393:F9394)</f>
        <v>0</v>
      </c>
      <c r="G9395" s="16" cm="1">
        <f t="array" ref="G9395">SUM(G9393:G9394)</f>
        <v>0</v>
      </c>
      <c r="H9395" s="16" cm="1">
        <f t="array" ref="H9395">SUM(H9393:H9394)</f>
        <v>0</v>
      </c>
      <c r="I9395" s="16" cm="1">
        <f t="array" ref="I9395">SUM(I9393:I9394)</f>
        <v>0</v>
      </c>
    </row>
    <row r="9396" ht="20.65" customHeight="1">
      <c r="A9396" s="10">
        <v>45808</v>
      </c>
      <c r="B9396" t="s" s="11">
        <v>5</v>
      </c>
      <c r="C9396" t="s" s="12">
        <v>390</v>
      </c>
      <c r="D9396" s="17"/>
      <c r="E9396" s="17">
        <v>8280</v>
      </c>
      <c r="F9396" s="18"/>
      <c r="G9396" s="18"/>
      <c r="H9396" s="18"/>
      <c r="I9396" s="18"/>
    </row>
    <row r="9397" ht="20.65" customHeight="1">
      <c r="A9397" s="10">
        <v>45808</v>
      </c>
      <c r="B9397" t="s" s="11">
        <v>10</v>
      </c>
      <c r="C9397" t="s" s="12">
        <v>390</v>
      </c>
      <c r="D9397" s="13">
        <v>8280</v>
      </c>
      <c r="E9397" s="13"/>
      <c r="F9397" s="14"/>
      <c r="G9397" s="14"/>
      <c r="H9397" s="14"/>
      <c r="I9397" s="14"/>
    </row>
    <row r="9398" ht="20.7" customHeight="1">
      <c r="A9398" s="10">
        <v>45808</v>
      </c>
      <c r="B9398" t="s" s="11">
        <v>8</v>
      </c>
      <c r="C9398" t="s" s="12">
        <v>8</v>
      </c>
      <c r="D9398" s="15" cm="1">
        <f t="array" ref="D9398">SUM(D9396:D9397)</f>
        <v>8280</v>
      </c>
      <c r="E9398" s="15" cm="1">
        <f t="array" ref="E9398">SUM(E9396:E9397)</f>
        <v>8280</v>
      </c>
      <c r="F9398" s="16" cm="1">
        <f t="array" ref="F9398">SUM(F9396:F9397)</f>
        <v>0</v>
      </c>
      <c r="G9398" s="16" cm="1">
        <f t="array" ref="G9398">SUM(G9396:G9397)</f>
        <v>0</v>
      </c>
      <c r="H9398" s="16" cm="1">
        <f t="array" ref="H9398">SUM(H9396:H9397)</f>
        <v>0</v>
      </c>
      <c r="I9398" s="16" cm="1">
        <f t="array" ref="I9398">SUM(I9396:I9397)</f>
        <v>0</v>
      </c>
    </row>
    <row r="9399" ht="20.65" customHeight="1">
      <c r="A9399" s="10">
        <v>45808</v>
      </c>
      <c r="B9399" t="s" s="11">
        <v>121</v>
      </c>
      <c r="C9399" t="s" s="12">
        <v>741</v>
      </c>
      <c r="D9399" s="17"/>
      <c r="E9399" s="17">
        <v>8000</v>
      </c>
      <c r="F9399" s="18"/>
      <c r="G9399" s="18"/>
      <c r="H9399" s="18"/>
      <c r="I9399" s="18"/>
    </row>
    <row r="9400" ht="20.65" customHeight="1">
      <c r="A9400" s="10">
        <v>45808</v>
      </c>
      <c r="B9400" t="s" s="11">
        <v>10</v>
      </c>
      <c r="C9400" t="s" s="12">
        <v>741</v>
      </c>
      <c r="D9400" s="13">
        <v>8000</v>
      </c>
      <c r="E9400" s="13"/>
      <c r="F9400" s="14"/>
      <c r="G9400" s="14"/>
      <c r="H9400" s="14"/>
      <c r="I9400" s="14"/>
    </row>
    <row r="9401" ht="20.7" customHeight="1">
      <c r="A9401" s="10">
        <v>45808</v>
      </c>
      <c r="B9401" t="s" s="11">
        <v>8</v>
      </c>
      <c r="C9401" t="s" s="12">
        <v>8</v>
      </c>
      <c r="D9401" s="15" cm="1">
        <f t="array" ref="D9401">SUM(D9399:D9400)</f>
        <v>8000</v>
      </c>
      <c r="E9401" s="15" cm="1">
        <f t="array" ref="E9401">SUM(E9399:E9400)</f>
        <v>8000</v>
      </c>
      <c r="F9401" s="16" cm="1">
        <f t="array" ref="F9401">SUM(F9399:F9400)</f>
        <v>0</v>
      </c>
      <c r="G9401" s="16" cm="1">
        <f t="array" ref="G9401">SUM(G9399:G9400)</f>
        <v>0</v>
      </c>
      <c r="H9401" s="16" cm="1">
        <f t="array" ref="H9401">SUM(H9399:H9400)</f>
        <v>0</v>
      </c>
      <c r="I9401" s="16" cm="1">
        <f t="array" ref="I9401">SUM(I9399:I9400)</f>
        <v>0</v>
      </c>
    </row>
    <row r="9402" ht="20.35" customHeight="1">
      <c r="A9402" s="10">
        <v>45808</v>
      </c>
      <c r="B9402" t="s" s="11">
        <v>121</v>
      </c>
      <c r="C9402" t="s" s="12">
        <v>17</v>
      </c>
      <c r="D9402" s="17">
        <v>40</v>
      </c>
      <c r="E9402" s="17"/>
      <c r="F9402" s="18"/>
      <c r="G9402" s="18"/>
      <c r="H9402" s="18"/>
      <c r="I9402" s="18"/>
    </row>
    <row r="9403" ht="20.35" customHeight="1">
      <c r="A9403" s="10">
        <v>45808</v>
      </c>
      <c r="B9403" t="s" s="11">
        <v>18</v>
      </c>
      <c r="C9403" t="s" s="12">
        <v>17</v>
      </c>
      <c r="D9403" s="13"/>
      <c r="E9403" s="13">
        <v>40</v>
      </c>
      <c r="F9403" s="14"/>
      <c r="G9403" s="14"/>
      <c r="H9403" s="14"/>
      <c r="I9403" s="14"/>
    </row>
    <row r="9404" ht="20.7" customHeight="1">
      <c r="A9404" s="10">
        <v>45808</v>
      </c>
      <c r="B9404" t="s" s="11">
        <v>8</v>
      </c>
      <c r="C9404" t="s" s="12">
        <v>8</v>
      </c>
      <c r="D9404" s="15" cm="1">
        <f t="array" ref="D9404">SUM(D9402:D9403)</f>
        <v>40</v>
      </c>
      <c r="E9404" s="15" cm="1">
        <f t="array" ref="E9404">SUM(E9402:E9403)</f>
        <v>40</v>
      </c>
      <c r="F9404" s="16" cm="1">
        <f t="array" ref="F9404">SUM(F9402:F9403)</f>
        <v>0</v>
      </c>
      <c r="G9404" s="16" cm="1">
        <f t="array" ref="G9404">SUM(G9402:G9403)</f>
        <v>0</v>
      </c>
      <c r="H9404" s="16" cm="1">
        <f t="array" ref="H9404">SUM(H9402:H9403)</f>
        <v>0</v>
      </c>
      <c r="I9404" s="16" cm="1">
        <f t="array" ref="I9404">SUM(I9402:I9403)</f>
        <v>0</v>
      </c>
    </row>
    <row r="9405" ht="21.25" customHeight="1">
      <c r="A9405" s="10">
        <v>45808</v>
      </c>
      <c r="B9405" t="s" s="11">
        <v>5</v>
      </c>
      <c r="C9405" t="s" s="12">
        <v>1256</v>
      </c>
      <c r="D9405" s="17"/>
      <c r="E9405" s="17">
        <v>4900</v>
      </c>
      <c r="F9405" s="18"/>
      <c r="G9405" s="18"/>
      <c r="H9405" s="18"/>
      <c r="I9405" s="18"/>
    </row>
    <row r="9406" ht="21.25" customHeight="1">
      <c r="A9406" s="10">
        <v>45808</v>
      </c>
      <c r="B9406" t="s" s="11">
        <v>89</v>
      </c>
      <c r="C9406" t="s" s="12">
        <v>1256</v>
      </c>
      <c r="D9406" s="13">
        <v>4900</v>
      </c>
      <c r="E9406" s="13"/>
      <c r="F9406" s="14"/>
      <c r="G9406" s="14"/>
      <c r="H9406" s="14"/>
      <c r="I9406" s="14"/>
    </row>
    <row r="9407" ht="20.7" customHeight="1">
      <c r="A9407" s="10">
        <v>45808</v>
      </c>
      <c r="B9407" t="s" s="11">
        <v>8</v>
      </c>
      <c r="C9407" t="s" s="12">
        <v>8</v>
      </c>
      <c r="D9407" s="15" cm="1">
        <f t="array" ref="D9407">SUM(D9405:D9406)</f>
        <v>4900</v>
      </c>
      <c r="E9407" s="15" cm="1">
        <f t="array" ref="E9407">SUM(E9405:E9406)</f>
        <v>4900</v>
      </c>
      <c r="F9407" s="16" cm="1">
        <f t="array" ref="F9407">SUM(F9405:F9406)</f>
        <v>0</v>
      </c>
      <c r="G9407" s="16" cm="1">
        <f t="array" ref="G9407">SUM(G9405:G9406)</f>
        <v>0</v>
      </c>
      <c r="H9407" s="16" cm="1">
        <f t="array" ref="H9407">SUM(H9405:H9406)</f>
        <v>0</v>
      </c>
      <c r="I9407" s="16" cm="1">
        <f t="array" ref="I9407">SUM(I9405:I9406)</f>
        <v>0</v>
      </c>
    </row>
    <row r="9408" ht="21.25" customHeight="1">
      <c r="A9408" s="10">
        <v>45808</v>
      </c>
      <c r="B9408" t="s" s="11">
        <v>5</v>
      </c>
      <c r="C9408" t="s" s="12">
        <v>799</v>
      </c>
      <c r="D9408" s="17">
        <v>20</v>
      </c>
      <c r="E9408" s="17"/>
      <c r="F9408" s="18"/>
      <c r="G9408" s="18"/>
      <c r="H9408" s="18"/>
      <c r="I9408" s="18"/>
    </row>
    <row r="9409" ht="21.25" customHeight="1">
      <c r="A9409" s="10">
        <v>45808</v>
      </c>
      <c r="B9409" t="s" s="11">
        <v>18</v>
      </c>
      <c r="C9409" t="s" s="12">
        <v>799</v>
      </c>
      <c r="D9409" s="13"/>
      <c r="E9409" s="13">
        <v>20</v>
      </c>
      <c r="F9409" s="14"/>
      <c r="G9409" s="14"/>
      <c r="H9409" s="14"/>
      <c r="I9409" s="14"/>
    </row>
    <row r="9410" ht="20.7" customHeight="1">
      <c r="A9410" s="10">
        <v>45808</v>
      </c>
      <c r="B9410" t="s" s="11">
        <v>8</v>
      </c>
      <c r="C9410" t="s" s="12">
        <v>8</v>
      </c>
      <c r="D9410" s="15" cm="1">
        <f t="array" ref="D9410">SUM(D9408:D9409)</f>
        <v>20</v>
      </c>
      <c r="E9410" s="15" cm="1">
        <f t="array" ref="E9410">SUM(E9408:E9409)</f>
        <v>20</v>
      </c>
      <c r="F9410" s="16" cm="1">
        <f t="array" ref="F9410">SUM(F9408:F9409)</f>
        <v>0</v>
      </c>
      <c r="G9410" s="16" cm="1">
        <f t="array" ref="G9410">SUM(G9408:G9409)</f>
        <v>0</v>
      </c>
      <c r="H9410" s="16" cm="1">
        <f t="array" ref="H9410">SUM(H9408:H9409)</f>
        <v>0</v>
      </c>
      <c r="I9410" s="16" cm="1">
        <f t="array" ref="I9410">SUM(I9408:I9409)</f>
        <v>0</v>
      </c>
    </row>
    <row r="9411" ht="20.35" customHeight="1">
      <c r="A9411" s="10">
        <v>45808</v>
      </c>
      <c r="B9411" t="s" s="11">
        <v>93</v>
      </c>
      <c r="C9411" t="s" s="12">
        <v>96</v>
      </c>
      <c r="D9411" s="17"/>
      <c r="E9411" s="17">
        <v>100000</v>
      </c>
      <c r="F9411" s="18"/>
      <c r="G9411" s="18"/>
      <c r="H9411" s="18"/>
      <c r="I9411" s="18"/>
    </row>
    <row r="9412" ht="20.35" customHeight="1">
      <c r="A9412" s="10">
        <v>45808</v>
      </c>
      <c r="B9412" t="s" s="11">
        <v>5</v>
      </c>
      <c r="C9412" t="s" s="12">
        <v>96</v>
      </c>
      <c r="D9412" s="13">
        <v>100000</v>
      </c>
      <c r="E9412" s="13"/>
      <c r="F9412" s="14"/>
      <c r="G9412" s="14"/>
      <c r="H9412" s="14"/>
      <c r="I9412" s="14"/>
    </row>
    <row r="9413" ht="20.7" customHeight="1">
      <c r="A9413" s="10">
        <v>45808</v>
      </c>
      <c r="B9413" t="s" s="11">
        <v>8</v>
      </c>
      <c r="C9413" t="s" s="12">
        <v>8</v>
      </c>
      <c r="D9413" s="15" cm="1">
        <f t="array" ref="D9413">SUM(D9411:D9412)</f>
        <v>100000</v>
      </c>
      <c r="E9413" s="15" cm="1">
        <f t="array" ref="E9413">SUM(E9411:E9412)</f>
        <v>100000</v>
      </c>
      <c r="F9413" s="16" cm="1">
        <f t="array" ref="F9413">SUM(F9411:F9412)</f>
        <v>0</v>
      </c>
      <c r="G9413" s="16" cm="1">
        <f t="array" ref="G9413">SUM(G9411:G9412)</f>
        <v>0</v>
      </c>
      <c r="H9413" s="16" cm="1">
        <f t="array" ref="H9413">SUM(H9411:H9412)</f>
        <v>0</v>
      </c>
      <c r="I9413" s="16" cm="1">
        <f t="array" ref="I9413">SUM(I9411:I9412)</f>
        <v>0</v>
      </c>
    </row>
    <row r="9414" ht="20.35" customHeight="1">
      <c r="A9414" s="10">
        <v>45808</v>
      </c>
      <c r="B9414" t="s" s="11">
        <v>5</v>
      </c>
      <c r="C9414" t="s" s="12">
        <v>867</v>
      </c>
      <c r="D9414" s="17"/>
      <c r="E9414" s="17">
        <v>403000</v>
      </c>
      <c r="F9414" s="18"/>
      <c r="G9414" s="18"/>
      <c r="H9414" s="18"/>
      <c r="I9414" s="18"/>
    </row>
    <row r="9415" ht="20.35" customHeight="1">
      <c r="A9415" s="10">
        <v>45808</v>
      </c>
      <c r="B9415" t="s" s="11">
        <v>843</v>
      </c>
      <c r="C9415" t="s" s="12">
        <v>867</v>
      </c>
      <c r="D9415" s="13">
        <v>403000</v>
      </c>
      <c r="E9415" s="13"/>
      <c r="F9415" s="14"/>
      <c r="G9415" s="14"/>
      <c r="H9415" s="14"/>
      <c r="I9415" s="14"/>
    </row>
    <row r="9416" ht="20.7" customHeight="1">
      <c r="A9416" s="10">
        <v>45808</v>
      </c>
      <c r="B9416" t="s" s="11">
        <v>8</v>
      </c>
      <c r="C9416" t="s" s="12">
        <v>8</v>
      </c>
      <c r="D9416" s="15" cm="1">
        <f t="array" ref="D9416">SUM(D9414:D9415)</f>
        <v>403000</v>
      </c>
      <c r="E9416" s="15" cm="1">
        <f t="array" ref="E9416">SUM(E9414:E9415)</f>
        <v>403000</v>
      </c>
      <c r="F9416" s="16" cm="1">
        <f t="array" ref="F9416">SUM(F9414:F9415)</f>
        <v>0</v>
      </c>
      <c r="G9416" s="16" cm="1">
        <f t="array" ref="G9416">SUM(G9414:G9415)</f>
        <v>0</v>
      </c>
      <c r="H9416" s="16" cm="1">
        <f t="array" ref="H9416">SUM(H9414:H9415)</f>
        <v>0</v>
      </c>
      <c r="I9416" s="16" cm="1">
        <f t="array" ref="I9416">SUM(I9414:I9415)</f>
        <v>0</v>
      </c>
    </row>
    <row r="9417" ht="20.35" customHeight="1">
      <c r="A9417" s="10">
        <v>45808</v>
      </c>
      <c r="B9417" t="s" s="11">
        <v>107</v>
      </c>
      <c r="C9417" t="s" s="12">
        <v>96</v>
      </c>
      <c r="D9417" s="17"/>
      <c r="E9417" s="17">
        <v>72195</v>
      </c>
      <c r="F9417" s="18"/>
      <c r="G9417" s="18"/>
      <c r="H9417" s="18"/>
      <c r="I9417" s="18"/>
    </row>
    <row r="9418" ht="20.35" customHeight="1">
      <c r="A9418" s="10">
        <v>45808</v>
      </c>
      <c r="B9418" t="s" s="11">
        <v>5</v>
      </c>
      <c r="C9418" t="s" s="12">
        <v>96</v>
      </c>
      <c r="D9418" s="13">
        <v>72195</v>
      </c>
      <c r="E9418" s="13"/>
      <c r="F9418" s="14"/>
      <c r="G9418" s="14"/>
      <c r="H9418" s="14"/>
      <c r="I9418" s="14"/>
    </row>
    <row r="9419" ht="20.7" customHeight="1">
      <c r="A9419" s="28">
        <v>45808</v>
      </c>
      <c r="B9419" t="s" s="29">
        <v>8</v>
      </c>
      <c r="C9419" t="s" s="30">
        <v>8</v>
      </c>
      <c r="D9419" s="15" cm="1">
        <f t="array" ref="D9419">SUM(D9417:D9418)</f>
        <v>72195</v>
      </c>
      <c r="E9419" s="15" cm="1">
        <f t="array" ref="E9419">SUM(E9417:E9418)</f>
        <v>72195</v>
      </c>
      <c r="F9419" s="16" cm="1">
        <f t="array" ref="F9419">SUM(F9417:F9418)</f>
        <v>0</v>
      </c>
      <c r="G9419" s="16" cm="1">
        <f t="array" ref="G9419">SUM(G9417:G9418)</f>
        <v>0</v>
      </c>
      <c r="H9419" s="16" cm="1">
        <f t="array" ref="H9419">SUM(H9417:H9418)</f>
        <v>0</v>
      </c>
      <c r="I9419" s="16" cm="1">
        <f t="array" ref="I9419">SUM(I9417:I9418)</f>
        <v>0</v>
      </c>
    </row>
    <row r="9420" ht="21.25" customHeight="1">
      <c r="A9420" s="5">
        <v>45809</v>
      </c>
      <c r="B9420" t="s" s="6">
        <v>97</v>
      </c>
      <c r="C9420" t="s" s="7">
        <v>157</v>
      </c>
      <c r="D9420" s="17"/>
      <c r="E9420" s="17">
        <v>800000</v>
      </c>
      <c r="F9420" s="18"/>
      <c r="G9420" s="18"/>
      <c r="H9420" s="18"/>
      <c r="I9420" s="18"/>
    </row>
    <row r="9421" ht="21.25" customHeight="1">
      <c r="A9421" s="10">
        <v>45809</v>
      </c>
      <c r="B9421" t="s" s="11">
        <v>99</v>
      </c>
      <c r="C9421" t="s" s="12">
        <v>157</v>
      </c>
      <c r="D9421" s="13">
        <v>800000</v>
      </c>
      <c r="E9421" s="13"/>
      <c r="F9421" s="14"/>
      <c r="G9421" s="14"/>
      <c r="H9421" s="14"/>
      <c r="I9421" s="14"/>
    </row>
    <row r="9422" ht="20.7" customHeight="1">
      <c r="A9422" s="10">
        <v>45809</v>
      </c>
      <c r="B9422" t="s" s="11">
        <v>8</v>
      </c>
      <c r="C9422" t="s" s="12">
        <v>8</v>
      </c>
      <c r="D9422" s="15" cm="1">
        <f t="array" ref="D9422">SUM(D9420:D9421)</f>
        <v>800000</v>
      </c>
      <c r="E9422" s="15" cm="1">
        <f t="array" ref="E9422">SUM(E9420:E9421)</f>
        <v>800000</v>
      </c>
      <c r="F9422" s="16" cm="1">
        <f t="array" ref="F9422">SUM(F9420:F9421)</f>
        <v>0</v>
      </c>
      <c r="G9422" s="16" cm="1">
        <f t="array" ref="G9422">SUM(G9420:G9421)</f>
        <v>0</v>
      </c>
      <c r="H9422" s="16" cm="1">
        <f t="array" ref="H9422">SUM(H9420:H9421)</f>
        <v>0</v>
      </c>
      <c r="I9422" s="16" cm="1">
        <f t="array" ref="I9422">SUM(I9420:I9421)</f>
        <v>0</v>
      </c>
    </row>
    <row r="9423" ht="21.25" customHeight="1">
      <c r="A9423" s="10">
        <v>45809</v>
      </c>
      <c r="B9423" t="s" s="11">
        <v>106</v>
      </c>
      <c r="C9423" t="s" s="12">
        <v>1257</v>
      </c>
      <c r="D9423" s="17"/>
      <c r="E9423" s="17">
        <v>17500</v>
      </c>
      <c r="F9423" s="18"/>
      <c r="G9423" s="18"/>
      <c r="H9423" s="18"/>
      <c r="I9423" s="18"/>
    </row>
    <row r="9424" ht="21.25" customHeight="1">
      <c r="A9424" s="10">
        <v>45809</v>
      </c>
      <c r="B9424" t="s" s="11">
        <v>10</v>
      </c>
      <c r="C9424" t="s" s="12">
        <v>1257</v>
      </c>
      <c r="D9424" s="13">
        <v>17500</v>
      </c>
      <c r="E9424" s="13"/>
      <c r="F9424" s="14"/>
      <c r="G9424" s="14"/>
      <c r="H9424" s="14"/>
      <c r="I9424" s="14"/>
    </row>
    <row r="9425" ht="20.7" customHeight="1">
      <c r="A9425" s="10">
        <v>45809</v>
      </c>
      <c r="B9425" t="s" s="11">
        <v>8</v>
      </c>
      <c r="C9425" t="s" s="12">
        <v>8</v>
      </c>
      <c r="D9425" s="15" cm="1">
        <f t="array" ref="D9425">SUM(D9423:D9424)</f>
        <v>17500</v>
      </c>
      <c r="E9425" s="15" cm="1">
        <f t="array" ref="E9425">SUM(E9423:E9424)</f>
        <v>17500</v>
      </c>
      <c r="F9425" s="16" cm="1">
        <f t="array" ref="F9425">SUM(F9423:F9424)</f>
        <v>0</v>
      </c>
      <c r="G9425" s="16" cm="1">
        <f t="array" ref="G9425">SUM(G9423:G9424)</f>
        <v>0</v>
      </c>
      <c r="H9425" s="16" cm="1">
        <f t="array" ref="H9425">SUM(H9423:H9424)</f>
        <v>0</v>
      </c>
      <c r="I9425" s="16" cm="1">
        <f t="array" ref="I9425">SUM(I9423:I9424)</f>
        <v>0</v>
      </c>
    </row>
    <row r="9426" ht="20.65" customHeight="1">
      <c r="A9426" s="10">
        <v>45809</v>
      </c>
      <c r="B9426" t="s" s="11">
        <v>814</v>
      </c>
      <c r="C9426" t="s" s="12">
        <v>820</v>
      </c>
      <c r="D9426" s="17">
        <v>8</v>
      </c>
      <c r="E9426" s="17"/>
      <c r="F9426" s="18"/>
      <c r="G9426" s="18"/>
      <c r="H9426" s="18"/>
      <c r="I9426" s="18"/>
    </row>
    <row r="9427" ht="20.65" customHeight="1">
      <c r="A9427" s="10">
        <v>45809</v>
      </c>
      <c r="B9427" t="s" s="11">
        <v>7</v>
      </c>
      <c r="C9427" t="s" s="12">
        <v>820</v>
      </c>
      <c r="D9427" s="13"/>
      <c r="E9427" s="13">
        <v>8</v>
      </c>
      <c r="F9427" s="14"/>
      <c r="G9427" s="14"/>
      <c r="H9427" s="14"/>
      <c r="I9427" s="14"/>
    </row>
    <row r="9428" ht="20.7" customHeight="1">
      <c r="A9428" s="10">
        <v>45809</v>
      </c>
      <c r="B9428" t="s" s="11">
        <v>8</v>
      </c>
      <c r="C9428" t="s" s="12">
        <v>8</v>
      </c>
      <c r="D9428" s="15" cm="1">
        <f t="array" ref="D9428">SUM(D9426:D9427)</f>
        <v>8</v>
      </c>
      <c r="E9428" s="15" cm="1">
        <f t="array" ref="E9428">SUM(E9426:E9427)</f>
        <v>8</v>
      </c>
      <c r="F9428" s="16" cm="1">
        <f t="array" ref="F9428">SUM(F9426:F9427)</f>
        <v>0</v>
      </c>
      <c r="G9428" s="16" cm="1">
        <f t="array" ref="G9428">SUM(G9426:G9427)</f>
        <v>0</v>
      </c>
      <c r="H9428" s="16" cm="1">
        <f t="array" ref="H9428">SUM(H9426:H9427)</f>
        <v>0</v>
      </c>
      <c r="I9428" s="16" cm="1">
        <f t="array" ref="I9428">SUM(I9426:I9427)</f>
        <v>0</v>
      </c>
    </row>
    <row r="9429" ht="20.65" customHeight="1">
      <c r="A9429" s="10">
        <v>45809</v>
      </c>
      <c r="B9429" t="s" s="11">
        <v>843</v>
      </c>
      <c r="C9429" t="s" s="12">
        <v>820</v>
      </c>
      <c r="D9429" s="17">
        <v>17</v>
      </c>
      <c r="E9429" s="17"/>
      <c r="F9429" s="18"/>
      <c r="G9429" s="18"/>
      <c r="H9429" s="18"/>
      <c r="I9429" s="18"/>
    </row>
    <row r="9430" ht="20.65" customHeight="1">
      <c r="A9430" s="10">
        <v>45809</v>
      </c>
      <c r="B9430" t="s" s="11">
        <v>7</v>
      </c>
      <c r="C9430" t="s" s="12">
        <v>820</v>
      </c>
      <c r="D9430" s="13"/>
      <c r="E9430" s="13">
        <v>17</v>
      </c>
      <c r="F9430" s="14"/>
      <c r="G9430" s="14"/>
      <c r="H9430" s="14"/>
      <c r="I9430" s="14"/>
    </row>
    <row r="9431" ht="20.7" customHeight="1">
      <c r="A9431" s="10">
        <v>45809</v>
      </c>
      <c r="B9431" t="s" s="11">
        <v>8</v>
      </c>
      <c r="C9431" t="s" s="12">
        <v>8</v>
      </c>
      <c r="D9431" s="15" cm="1">
        <f t="array" ref="D9431">SUM(D9429:D9430)</f>
        <v>17</v>
      </c>
      <c r="E9431" s="15" cm="1">
        <f t="array" ref="E9431">SUM(E9429:E9430)</f>
        <v>17</v>
      </c>
      <c r="F9431" s="16" cm="1">
        <f t="array" ref="F9431">SUM(F9429:F9430)</f>
        <v>0</v>
      </c>
      <c r="G9431" s="16" cm="1">
        <f t="array" ref="G9431">SUM(G9429:G9430)</f>
        <v>0</v>
      </c>
      <c r="H9431" s="16" cm="1">
        <f t="array" ref="H9431">SUM(H9429:H9430)</f>
        <v>0</v>
      </c>
      <c r="I9431" s="16" cm="1">
        <f t="array" ref="I9431">SUM(I9429:I9430)</f>
        <v>0</v>
      </c>
    </row>
    <row r="9432" ht="21.25" customHeight="1">
      <c r="A9432" s="10">
        <v>45809</v>
      </c>
      <c r="B9432" t="s" s="11">
        <v>5</v>
      </c>
      <c r="C9432" t="s" s="12">
        <v>109</v>
      </c>
      <c r="D9432" s="17">
        <v>250</v>
      </c>
      <c r="E9432" s="17"/>
      <c r="F9432" s="18"/>
      <c r="G9432" s="18"/>
      <c r="H9432" s="18"/>
      <c r="I9432" s="18"/>
    </row>
    <row r="9433" ht="21.25" customHeight="1">
      <c r="A9433" s="10">
        <v>45809</v>
      </c>
      <c r="B9433" t="s" s="11">
        <v>7</v>
      </c>
      <c r="C9433" t="s" s="12">
        <v>109</v>
      </c>
      <c r="D9433" s="13"/>
      <c r="E9433" s="13">
        <v>250</v>
      </c>
      <c r="F9433" s="14"/>
      <c r="G9433" s="14"/>
      <c r="H9433" s="14"/>
      <c r="I9433" s="14"/>
    </row>
    <row r="9434" ht="20.7" customHeight="1">
      <c r="A9434" s="10">
        <v>45809</v>
      </c>
      <c r="B9434" t="s" s="11">
        <v>8</v>
      </c>
      <c r="C9434" t="s" s="12">
        <v>8</v>
      </c>
      <c r="D9434" s="15" cm="1">
        <f t="array" ref="D9434">SUM(D9432:D9433)</f>
        <v>250</v>
      </c>
      <c r="E9434" s="15" cm="1">
        <f t="array" ref="E9434">SUM(E9432:E9433)</f>
        <v>250</v>
      </c>
      <c r="F9434" s="16" cm="1">
        <f t="array" ref="F9434">SUM(F9432:F9433)</f>
        <v>0</v>
      </c>
      <c r="G9434" s="16" cm="1">
        <f t="array" ref="G9434">SUM(G9432:G9433)</f>
        <v>0</v>
      </c>
      <c r="H9434" s="16" cm="1">
        <f t="array" ref="H9434">SUM(H9432:H9433)</f>
        <v>0</v>
      </c>
      <c r="I9434" s="16" cm="1">
        <f t="array" ref="I9434">SUM(I9432:I9433)</f>
        <v>0</v>
      </c>
    </row>
    <row r="9435" ht="20.35" customHeight="1">
      <c r="A9435" s="10">
        <v>45809</v>
      </c>
      <c r="B9435" t="s" s="11">
        <v>5</v>
      </c>
      <c r="C9435" t="s" s="12">
        <v>1258</v>
      </c>
      <c r="D9435" s="17"/>
      <c r="E9435" s="17">
        <v>3300</v>
      </c>
      <c r="F9435" s="18"/>
      <c r="G9435" s="18"/>
      <c r="H9435" s="18"/>
      <c r="I9435" s="18"/>
    </row>
    <row r="9436" ht="20.35" customHeight="1">
      <c r="A9436" s="10">
        <v>45809</v>
      </c>
      <c r="B9436" t="s" s="11">
        <v>12</v>
      </c>
      <c r="C9436" t="s" s="12">
        <v>1258</v>
      </c>
      <c r="D9436" s="13">
        <v>3300</v>
      </c>
      <c r="E9436" s="13"/>
      <c r="F9436" s="14"/>
      <c r="G9436" s="14"/>
      <c r="H9436" s="14"/>
      <c r="I9436" s="14"/>
    </row>
    <row r="9437" ht="20.7" customHeight="1">
      <c r="A9437" s="10">
        <v>45809</v>
      </c>
      <c r="B9437" t="s" s="11">
        <v>8</v>
      </c>
      <c r="C9437" t="s" s="12">
        <v>8</v>
      </c>
      <c r="D9437" s="15" cm="1">
        <f t="array" ref="D9437">SUM(D9435:D9436)</f>
        <v>3300</v>
      </c>
      <c r="E9437" s="15" cm="1">
        <f t="array" ref="E9437">SUM(E9435:E9436)</f>
        <v>3300</v>
      </c>
      <c r="F9437" s="16" cm="1">
        <f t="array" ref="F9437">SUM(F9435:F9436)</f>
        <v>0</v>
      </c>
      <c r="G9437" s="16" cm="1">
        <f t="array" ref="G9437">SUM(G9435:G9436)</f>
        <v>0</v>
      </c>
      <c r="H9437" s="16" cm="1">
        <f t="array" ref="H9437">SUM(H9435:H9436)</f>
        <v>0</v>
      </c>
      <c r="I9437" s="16" cm="1">
        <f t="array" ref="I9437">SUM(I9435:I9436)</f>
        <v>0</v>
      </c>
    </row>
    <row r="9438" ht="20.35" customHeight="1">
      <c r="A9438" s="10">
        <v>45809</v>
      </c>
      <c r="B9438" t="s" s="11">
        <v>5</v>
      </c>
      <c r="C9438" t="s" s="12">
        <v>17</v>
      </c>
      <c r="D9438" s="17">
        <v>100</v>
      </c>
      <c r="E9438" s="17"/>
      <c r="F9438" s="18"/>
      <c r="G9438" s="18"/>
      <c r="H9438" s="18"/>
      <c r="I9438" s="18"/>
    </row>
    <row r="9439" ht="20.35" customHeight="1">
      <c r="A9439" s="10">
        <v>45809</v>
      </c>
      <c r="B9439" t="s" s="11">
        <v>18</v>
      </c>
      <c r="C9439" t="s" s="12">
        <v>17</v>
      </c>
      <c r="D9439" s="13"/>
      <c r="E9439" s="13">
        <v>100</v>
      </c>
      <c r="F9439" s="14"/>
      <c r="G9439" s="14"/>
      <c r="H9439" s="14"/>
      <c r="I9439" s="14"/>
    </row>
    <row r="9440" ht="20.7" customHeight="1">
      <c r="A9440" s="10">
        <v>45809</v>
      </c>
      <c r="B9440" t="s" s="11">
        <v>8</v>
      </c>
      <c r="C9440" t="s" s="12">
        <v>8</v>
      </c>
      <c r="D9440" s="15" cm="1">
        <f t="array" ref="D9440">SUM(D9438:D9439)</f>
        <v>100</v>
      </c>
      <c r="E9440" s="15" cm="1">
        <f t="array" ref="E9440">SUM(E9438:E9439)</f>
        <v>100</v>
      </c>
      <c r="F9440" s="16" cm="1">
        <f t="array" ref="F9440">SUM(F9438:F9439)</f>
        <v>0</v>
      </c>
      <c r="G9440" s="16" cm="1">
        <f t="array" ref="G9440">SUM(G9438:G9439)</f>
        <v>0</v>
      </c>
      <c r="H9440" s="16" cm="1">
        <f t="array" ref="H9440">SUM(H9438:H9439)</f>
        <v>0</v>
      </c>
      <c r="I9440" s="16" cm="1">
        <f t="array" ref="I9440">SUM(I9438:I9439)</f>
        <v>0</v>
      </c>
    </row>
    <row r="9441" ht="20.35" customHeight="1">
      <c r="A9441" s="10">
        <v>45809</v>
      </c>
      <c r="B9441" t="s" s="11">
        <v>93</v>
      </c>
      <c r="C9441" t="s" s="12">
        <v>677</v>
      </c>
      <c r="D9441" s="17"/>
      <c r="E9441" s="17">
        <v>8840</v>
      </c>
      <c r="F9441" s="18"/>
      <c r="G9441" s="18"/>
      <c r="H9441" s="18"/>
      <c r="I9441" s="18"/>
    </row>
    <row r="9442" ht="20.35" customHeight="1">
      <c r="A9442" s="10">
        <v>45809</v>
      </c>
      <c r="B9442" t="s" s="11">
        <v>10</v>
      </c>
      <c r="C9442" t="s" s="12">
        <v>677</v>
      </c>
      <c r="D9442" s="13">
        <v>8840</v>
      </c>
      <c r="E9442" s="13"/>
      <c r="F9442" s="14"/>
      <c r="G9442" s="14"/>
      <c r="H9442" s="14"/>
      <c r="I9442" s="14"/>
    </row>
    <row r="9443" ht="20.7" customHeight="1">
      <c r="A9443" s="10">
        <v>45809</v>
      </c>
      <c r="B9443" t="s" s="11">
        <v>8</v>
      </c>
      <c r="C9443" t="s" s="12">
        <v>8</v>
      </c>
      <c r="D9443" s="15" cm="1">
        <f t="array" ref="D9443">SUM(D9441:D9442)</f>
        <v>8840</v>
      </c>
      <c r="E9443" s="15" cm="1">
        <f t="array" ref="E9443">SUM(E9441:E9442)</f>
        <v>8840</v>
      </c>
      <c r="F9443" s="16" cm="1">
        <f t="array" ref="F9443">SUM(F9441:F9442)</f>
        <v>0</v>
      </c>
      <c r="G9443" s="16" cm="1">
        <f t="array" ref="G9443">SUM(G9441:G9442)</f>
        <v>0</v>
      </c>
      <c r="H9443" s="16" cm="1">
        <f t="array" ref="H9443">SUM(H9441:H9442)</f>
        <v>0</v>
      </c>
      <c r="I9443" s="16" cm="1">
        <f t="array" ref="I9443">SUM(I9441:I9442)</f>
        <v>0</v>
      </c>
    </row>
    <row r="9444" ht="20.35" customHeight="1">
      <c r="A9444" s="10">
        <v>45809</v>
      </c>
      <c r="B9444" t="s" s="11">
        <v>93</v>
      </c>
      <c r="C9444" t="s" s="12">
        <v>604</v>
      </c>
      <c r="D9444" s="17">
        <v>10000</v>
      </c>
      <c r="E9444" s="17"/>
      <c r="F9444" s="18"/>
      <c r="G9444" s="18"/>
      <c r="H9444" s="18"/>
      <c r="I9444" s="18"/>
    </row>
    <row r="9445" ht="20.35" customHeight="1">
      <c r="A9445" s="10">
        <v>45809</v>
      </c>
      <c r="B9445" t="s" s="11">
        <v>5</v>
      </c>
      <c r="C9445" t="s" s="12">
        <v>604</v>
      </c>
      <c r="D9445" s="13"/>
      <c r="E9445" s="13">
        <v>10000</v>
      </c>
      <c r="F9445" s="14"/>
      <c r="G9445" s="14"/>
      <c r="H9445" s="14"/>
      <c r="I9445" s="14"/>
    </row>
    <row r="9446" ht="20.7" customHeight="1">
      <c r="A9446" s="10">
        <v>45809</v>
      </c>
      <c r="B9446" t="s" s="11">
        <v>8</v>
      </c>
      <c r="C9446" t="s" s="12">
        <v>8</v>
      </c>
      <c r="D9446" s="15" cm="1">
        <f t="array" ref="D9446">SUM(D9444:D9445)</f>
        <v>10000</v>
      </c>
      <c r="E9446" s="15" cm="1">
        <f t="array" ref="E9446">SUM(E9444:E9445)</f>
        <v>10000</v>
      </c>
      <c r="F9446" s="16" cm="1">
        <f t="array" ref="F9446">SUM(F9444:F9445)</f>
        <v>0</v>
      </c>
      <c r="G9446" s="16" cm="1">
        <f t="array" ref="G9446">SUM(G9444:G9445)</f>
        <v>0</v>
      </c>
      <c r="H9446" s="16" cm="1">
        <f t="array" ref="H9446">SUM(H9444:H9445)</f>
        <v>0</v>
      </c>
      <c r="I9446" s="16" cm="1">
        <f t="array" ref="I9446">SUM(I9444:I9445)</f>
        <v>0</v>
      </c>
    </row>
    <row r="9447" ht="21.25" customHeight="1">
      <c r="A9447" s="10">
        <v>45809</v>
      </c>
      <c r="B9447" t="s" s="11">
        <v>21</v>
      </c>
      <c r="C9447" t="s" s="12">
        <v>1259</v>
      </c>
      <c r="D9447" s="17"/>
      <c r="E9447" s="17">
        <v>4000</v>
      </c>
      <c r="F9447" s="18"/>
      <c r="G9447" s="18"/>
      <c r="H9447" s="18"/>
      <c r="I9447" s="18"/>
    </row>
    <row r="9448" ht="21.25" customHeight="1">
      <c r="A9448" s="10">
        <v>45809</v>
      </c>
      <c r="B9448" t="s" s="11">
        <v>16</v>
      </c>
      <c r="C9448" t="s" s="12">
        <v>1259</v>
      </c>
      <c r="D9448" s="13">
        <v>4000</v>
      </c>
      <c r="E9448" s="13"/>
      <c r="F9448" s="14"/>
      <c r="G9448" s="14"/>
      <c r="H9448" s="14"/>
      <c r="I9448" s="14"/>
    </row>
    <row r="9449" ht="20.7" customHeight="1">
      <c r="A9449" s="10">
        <v>45809</v>
      </c>
      <c r="B9449" t="s" s="11">
        <v>8</v>
      </c>
      <c r="C9449" t="s" s="12">
        <v>8</v>
      </c>
      <c r="D9449" s="15" cm="1">
        <f t="array" ref="D9449">SUM(D9447:D9448)</f>
        <v>4000</v>
      </c>
      <c r="E9449" s="15" cm="1">
        <f t="array" ref="E9449">SUM(E9447:E9448)</f>
        <v>4000</v>
      </c>
      <c r="F9449" s="16" cm="1">
        <f t="array" ref="F9449">SUM(F9447:F9448)</f>
        <v>0</v>
      </c>
      <c r="G9449" s="16" cm="1">
        <f t="array" ref="G9449">SUM(G9447:G9448)</f>
        <v>0</v>
      </c>
      <c r="H9449" s="16" cm="1">
        <f t="array" ref="H9449">SUM(H9447:H9448)</f>
        <v>0</v>
      </c>
      <c r="I9449" s="16" cm="1">
        <f t="array" ref="I9449">SUM(I9447:I9448)</f>
        <v>0</v>
      </c>
    </row>
    <row r="9450" ht="20.65" customHeight="1">
      <c r="A9450" s="10">
        <v>45810</v>
      </c>
      <c r="B9450" t="s" s="11">
        <v>814</v>
      </c>
      <c r="C9450" t="s" s="12">
        <v>820</v>
      </c>
      <c r="D9450" s="17">
        <v>8</v>
      </c>
      <c r="E9450" s="17"/>
      <c r="F9450" s="18"/>
      <c r="G9450" s="18"/>
      <c r="H9450" s="18"/>
      <c r="I9450" s="18"/>
    </row>
    <row r="9451" ht="20.65" customHeight="1">
      <c r="A9451" s="10">
        <v>45810</v>
      </c>
      <c r="B9451" t="s" s="11">
        <v>7</v>
      </c>
      <c r="C9451" t="s" s="12">
        <v>820</v>
      </c>
      <c r="D9451" s="13"/>
      <c r="E9451" s="13">
        <v>8</v>
      </c>
      <c r="F9451" s="14"/>
      <c r="G9451" s="14"/>
      <c r="H9451" s="14"/>
      <c r="I9451" s="14"/>
    </row>
    <row r="9452" ht="20.7" customHeight="1">
      <c r="A9452" s="10">
        <v>45810</v>
      </c>
      <c r="B9452" t="s" s="11">
        <v>8</v>
      </c>
      <c r="C9452" t="s" s="12">
        <v>8</v>
      </c>
      <c r="D9452" s="15" cm="1">
        <f t="array" ref="D9452">SUM(D9450:D9451)</f>
        <v>8</v>
      </c>
      <c r="E9452" s="15" cm="1">
        <f t="array" ref="E9452">SUM(E9450:E9451)</f>
        <v>8</v>
      </c>
      <c r="F9452" s="16" cm="1">
        <f t="array" ref="F9452">SUM(F9450:F9451)</f>
        <v>0</v>
      </c>
      <c r="G9452" s="16" cm="1">
        <f t="array" ref="G9452">SUM(G9450:G9451)</f>
        <v>0</v>
      </c>
      <c r="H9452" s="16" cm="1">
        <f t="array" ref="H9452">SUM(H9450:H9451)</f>
        <v>0</v>
      </c>
      <c r="I9452" s="16" cm="1">
        <f t="array" ref="I9452">SUM(I9450:I9451)</f>
        <v>0</v>
      </c>
    </row>
    <row r="9453" ht="20.65" customHeight="1">
      <c r="A9453" s="10">
        <v>45810</v>
      </c>
      <c r="B9453" t="s" s="11">
        <v>843</v>
      </c>
      <c r="C9453" t="s" s="12">
        <v>820</v>
      </c>
      <c r="D9453" s="17">
        <v>17</v>
      </c>
      <c r="E9453" s="17"/>
      <c r="F9453" s="18"/>
      <c r="G9453" s="18"/>
      <c r="H9453" s="18"/>
      <c r="I9453" s="18"/>
    </row>
    <row r="9454" ht="20.65" customHeight="1">
      <c r="A9454" s="10">
        <v>45810</v>
      </c>
      <c r="B9454" t="s" s="11">
        <v>7</v>
      </c>
      <c r="C9454" t="s" s="12">
        <v>820</v>
      </c>
      <c r="D9454" s="13"/>
      <c r="E9454" s="13">
        <v>17</v>
      </c>
      <c r="F9454" s="14"/>
      <c r="G9454" s="14"/>
      <c r="H9454" s="14"/>
      <c r="I9454" s="14"/>
    </row>
    <row r="9455" ht="20.7" customHeight="1">
      <c r="A9455" s="10">
        <v>45810</v>
      </c>
      <c r="B9455" t="s" s="11">
        <v>8</v>
      </c>
      <c r="C9455" t="s" s="12">
        <v>8</v>
      </c>
      <c r="D9455" s="15" cm="1">
        <f t="array" ref="D9455">SUM(D9453:D9454)</f>
        <v>17</v>
      </c>
      <c r="E9455" s="15" cm="1">
        <f t="array" ref="E9455">SUM(E9453:E9454)</f>
        <v>17</v>
      </c>
      <c r="F9455" s="16" cm="1">
        <f t="array" ref="F9455">SUM(F9453:F9454)</f>
        <v>0</v>
      </c>
      <c r="G9455" s="16" cm="1">
        <f t="array" ref="G9455">SUM(G9453:G9454)</f>
        <v>0</v>
      </c>
      <c r="H9455" s="16" cm="1">
        <f t="array" ref="H9455">SUM(H9453:H9454)</f>
        <v>0</v>
      </c>
      <c r="I9455" s="16" cm="1">
        <f t="array" ref="I9455">SUM(I9453:I9454)</f>
        <v>0</v>
      </c>
    </row>
    <row r="9456" ht="21.25" customHeight="1">
      <c r="A9456" s="10">
        <v>45810</v>
      </c>
      <c r="B9456" t="s" s="11">
        <v>121</v>
      </c>
      <c r="C9456" t="s" s="12">
        <v>1260</v>
      </c>
      <c r="D9456" s="17"/>
      <c r="E9456" s="17">
        <v>40</v>
      </c>
      <c r="F9456" s="18"/>
      <c r="G9456" s="18"/>
      <c r="H9456" s="18"/>
      <c r="I9456" s="18"/>
    </row>
    <row r="9457" ht="21.25" customHeight="1">
      <c r="A9457" s="10">
        <v>45810</v>
      </c>
      <c r="B9457" t="s" s="11">
        <v>18</v>
      </c>
      <c r="C9457" t="s" s="12">
        <v>1260</v>
      </c>
      <c r="D9457" s="13">
        <v>40</v>
      </c>
      <c r="E9457" s="13"/>
      <c r="F9457" s="14"/>
      <c r="G9457" s="14"/>
      <c r="H9457" s="14"/>
      <c r="I9457" s="14"/>
    </row>
    <row r="9458" ht="20.7" customHeight="1">
      <c r="A9458" s="10">
        <v>45810</v>
      </c>
      <c r="B9458" t="s" s="11">
        <v>8</v>
      </c>
      <c r="C9458" t="s" s="12">
        <v>8</v>
      </c>
      <c r="D9458" s="15" cm="1">
        <f t="array" ref="D9458">SUM(D9456:D9457)</f>
        <v>40</v>
      </c>
      <c r="E9458" s="15" cm="1">
        <f t="array" ref="E9458">SUM(E9456:E9457)</f>
        <v>40</v>
      </c>
      <c r="F9458" s="16" cm="1">
        <f t="array" ref="F9458">SUM(F9456:F9457)</f>
        <v>0</v>
      </c>
      <c r="G9458" s="16" cm="1">
        <f t="array" ref="G9458">SUM(G9456:G9457)</f>
        <v>0</v>
      </c>
      <c r="H9458" s="16" cm="1">
        <f t="array" ref="H9458">SUM(H9456:H9457)</f>
        <v>0</v>
      </c>
      <c r="I9458" s="16" cm="1">
        <f t="array" ref="I9458">SUM(I9456:I9457)</f>
        <v>0</v>
      </c>
    </row>
    <row r="9459" ht="21.25" customHeight="1">
      <c r="A9459" s="10">
        <v>45810</v>
      </c>
      <c r="B9459" t="s" s="11">
        <v>121</v>
      </c>
      <c r="C9459" t="s" s="12">
        <v>1260</v>
      </c>
      <c r="D9459" s="17">
        <v>8000</v>
      </c>
      <c r="E9459" s="17"/>
      <c r="F9459" s="18"/>
      <c r="G9459" s="18"/>
      <c r="H9459" s="18"/>
      <c r="I9459" s="18"/>
    </row>
    <row r="9460" ht="21.25" customHeight="1">
      <c r="A9460" s="10">
        <v>45810</v>
      </c>
      <c r="B9460" t="s" s="11">
        <v>10</v>
      </c>
      <c r="C9460" t="s" s="12">
        <v>1260</v>
      </c>
      <c r="D9460" s="13"/>
      <c r="E9460" s="13">
        <v>8000</v>
      </c>
      <c r="F9460" s="14"/>
      <c r="G9460" s="14"/>
      <c r="H9460" s="14"/>
      <c r="I9460" s="14"/>
    </row>
    <row r="9461" ht="20.7" customHeight="1">
      <c r="A9461" s="10">
        <v>45810</v>
      </c>
      <c r="B9461" t="s" s="11">
        <v>8</v>
      </c>
      <c r="C9461" t="s" s="12">
        <v>8</v>
      </c>
      <c r="D9461" s="15" cm="1">
        <f t="array" ref="D9461">SUM(D9459:D9460)</f>
        <v>8000</v>
      </c>
      <c r="E9461" s="15" cm="1">
        <f t="array" ref="E9461">SUM(E9459:E9460)</f>
        <v>8000</v>
      </c>
      <c r="F9461" s="16" cm="1">
        <f t="array" ref="F9461">SUM(F9459:F9460)</f>
        <v>0</v>
      </c>
      <c r="G9461" s="16" cm="1">
        <f t="array" ref="G9461">SUM(G9459:G9460)</f>
        <v>0</v>
      </c>
      <c r="H9461" s="16" cm="1">
        <f t="array" ref="H9461">SUM(H9459:H9460)</f>
        <v>0</v>
      </c>
      <c r="I9461" s="16" cm="1">
        <f t="array" ref="I9461">SUM(I9459:I9460)</f>
        <v>0</v>
      </c>
    </row>
    <row r="9462" ht="21.25" customHeight="1">
      <c r="A9462" s="10">
        <v>45810</v>
      </c>
      <c r="B9462" t="s" s="11">
        <v>121</v>
      </c>
      <c r="C9462" t="s" s="12">
        <v>1261</v>
      </c>
      <c r="D9462" s="17">
        <v>35</v>
      </c>
      <c r="E9462" s="17"/>
      <c r="F9462" s="18"/>
      <c r="G9462" s="18"/>
      <c r="H9462" s="18"/>
      <c r="I9462" s="18"/>
    </row>
    <row r="9463" ht="21.25" customHeight="1">
      <c r="A9463" s="10">
        <v>45810</v>
      </c>
      <c r="B9463" t="s" s="11">
        <v>18</v>
      </c>
      <c r="C9463" t="s" s="12">
        <v>1261</v>
      </c>
      <c r="D9463" s="13"/>
      <c r="E9463" s="13">
        <v>35</v>
      </c>
      <c r="F9463" s="14"/>
      <c r="G9463" s="14"/>
      <c r="H9463" s="14"/>
      <c r="I9463" s="14"/>
    </row>
    <row r="9464" ht="20.7" customHeight="1">
      <c r="A9464" s="10">
        <v>45810</v>
      </c>
      <c r="B9464" t="s" s="11">
        <v>8</v>
      </c>
      <c r="C9464" t="s" s="12">
        <v>8</v>
      </c>
      <c r="D9464" s="15" cm="1">
        <f t="array" ref="D9464">SUM(D9462:D9463)</f>
        <v>35</v>
      </c>
      <c r="E9464" s="15" cm="1">
        <f t="array" ref="E9464">SUM(E9462:E9463)</f>
        <v>35</v>
      </c>
      <c r="F9464" s="16" cm="1">
        <f t="array" ref="F9464">SUM(F9462:F9463)</f>
        <v>0</v>
      </c>
      <c r="G9464" s="16" cm="1">
        <f t="array" ref="G9464">SUM(G9462:G9463)</f>
        <v>0</v>
      </c>
      <c r="H9464" s="16" cm="1">
        <f t="array" ref="H9464">SUM(H9462:H9463)</f>
        <v>0</v>
      </c>
      <c r="I9464" s="16" cm="1">
        <f t="array" ref="I9464">SUM(I9462:I9463)</f>
        <v>0</v>
      </c>
    </row>
    <row r="9465" ht="21.25" customHeight="1">
      <c r="A9465" s="10">
        <v>45810</v>
      </c>
      <c r="B9465" t="s" s="11">
        <v>121</v>
      </c>
      <c r="C9465" t="s" s="12">
        <v>1261</v>
      </c>
      <c r="D9465" s="17"/>
      <c r="E9465" s="17">
        <v>7000</v>
      </c>
      <c r="F9465" s="18"/>
      <c r="G9465" s="18"/>
      <c r="H9465" s="18"/>
      <c r="I9465" s="18"/>
    </row>
    <row r="9466" ht="21.25" customHeight="1">
      <c r="A9466" s="10">
        <v>45810</v>
      </c>
      <c r="B9466" t="s" s="11">
        <v>10</v>
      </c>
      <c r="C9466" t="s" s="12">
        <v>1261</v>
      </c>
      <c r="D9466" s="13">
        <v>7000</v>
      </c>
      <c r="E9466" s="13"/>
      <c r="F9466" s="14"/>
      <c r="G9466" s="14"/>
      <c r="H9466" s="14"/>
      <c r="I9466" s="14"/>
    </row>
    <row r="9467" ht="20.7" customHeight="1">
      <c r="A9467" s="10">
        <v>45810</v>
      </c>
      <c r="B9467" t="s" s="11">
        <v>8</v>
      </c>
      <c r="C9467" t="s" s="12">
        <v>8</v>
      </c>
      <c r="D9467" s="15" cm="1">
        <f t="array" ref="D9467">SUM(D9465:D9466)</f>
        <v>7000</v>
      </c>
      <c r="E9467" s="15" cm="1">
        <f t="array" ref="E9467">SUM(E9465:E9466)</f>
        <v>7000</v>
      </c>
      <c r="F9467" s="16" cm="1">
        <f t="array" ref="F9467">SUM(F9465:F9466)</f>
        <v>0</v>
      </c>
      <c r="G9467" s="16" cm="1">
        <f t="array" ref="G9467">SUM(G9465:G9466)</f>
        <v>0</v>
      </c>
      <c r="H9467" s="16" cm="1">
        <f t="array" ref="H9467">SUM(H9465:H9466)</f>
        <v>0</v>
      </c>
      <c r="I9467" s="16" cm="1">
        <f t="array" ref="I9467">SUM(I9465:I9466)</f>
        <v>0</v>
      </c>
    </row>
    <row r="9468" ht="20.65" customHeight="1">
      <c r="A9468" s="10">
        <v>45810</v>
      </c>
      <c r="B9468" t="s" s="11">
        <v>121</v>
      </c>
      <c r="C9468" t="s" s="12">
        <v>741</v>
      </c>
      <c r="D9468" s="17"/>
      <c r="E9468" s="17">
        <v>11000</v>
      </c>
      <c r="F9468" s="18"/>
      <c r="G9468" s="18"/>
      <c r="H9468" s="18"/>
      <c r="I9468" s="18"/>
    </row>
    <row r="9469" ht="20.65" customHeight="1">
      <c r="A9469" s="10">
        <v>45810</v>
      </c>
      <c r="B9469" t="s" s="11">
        <v>10</v>
      </c>
      <c r="C9469" t="s" s="12">
        <v>741</v>
      </c>
      <c r="D9469" s="13">
        <v>11000</v>
      </c>
      <c r="E9469" s="13"/>
      <c r="F9469" s="14"/>
      <c r="G9469" s="14"/>
      <c r="H9469" s="14"/>
      <c r="I9469" s="14"/>
    </row>
    <row r="9470" ht="20.7" customHeight="1">
      <c r="A9470" s="10">
        <v>45810</v>
      </c>
      <c r="B9470" t="s" s="11">
        <v>8</v>
      </c>
      <c r="C9470" t="s" s="12">
        <v>8</v>
      </c>
      <c r="D9470" s="15" cm="1">
        <f t="array" ref="D9470">SUM(D9468:D9469)</f>
        <v>11000</v>
      </c>
      <c r="E9470" s="15" cm="1">
        <f t="array" ref="E9470">SUM(E9468:E9469)</f>
        <v>11000</v>
      </c>
      <c r="F9470" s="16" cm="1">
        <f t="array" ref="F9470">SUM(F9468:F9469)</f>
        <v>0</v>
      </c>
      <c r="G9470" s="16" cm="1">
        <f t="array" ref="G9470">SUM(G9468:G9469)</f>
        <v>0</v>
      </c>
      <c r="H9470" s="16" cm="1">
        <f t="array" ref="H9470">SUM(H9468:H9469)</f>
        <v>0</v>
      </c>
      <c r="I9470" s="16" cm="1">
        <f t="array" ref="I9470">SUM(I9468:I9469)</f>
        <v>0</v>
      </c>
    </row>
    <row r="9471" ht="20.65" customHeight="1">
      <c r="A9471" s="10">
        <v>45810</v>
      </c>
      <c r="B9471" t="s" s="11">
        <v>121</v>
      </c>
      <c r="C9471" t="s" s="12">
        <v>741</v>
      </c>
      <c r="D9471" s="17">
        <v>55</v>
      </c>
      <c r="E9471" s="17"/>
      <c r="F9471" s="18"/>
      <c r="G9471" s="18"/>
      <c r="H9471" s="18"/>
      <c r="I9471" s="18"/>
    </row>
    <row r="9472" ht="20.65" customHeight="1">
      <c r="A9472" s="10">
        <v>45810</v>
      </c>
      <c r="B9472" t="s" s="11">
        <v>18</v>
      </c>
      <c r="C9472" t="s" s="12">
        <v>741</v>
      </c>
      <c r="D9472" s="13"/>
      <c r="E9472" s="13">
        <v>55</v>
      </c>
      <c r="F9472" s="14"/>
      <c r="G9472" s="14"/>
      <c r="H9472" s="14"/>
      <c r="I9472" s="14"/>
    </row>
    <row r="9473" ht="20.7" customHeight="1">
      <c r="A9473" s="10">
        <v>45810</v>
      </c>
      <c r="B9473" t="s" s="11">
        <v>8</v>
      </c>
      <c r="C9473" t="s" s="12">
        <v>8</v>
      </c>
      <c r="D9473" s="15" cm="1">
        <f t="array" ref="D9473">SUM(D9471:D9472)</f>
        <v>55</v>
      </c>
      <c r="E9473" s="15" cm="1">
        <f t="array" ref="E9473">SUM(E9471:E9472)</f>
        <v>55</v>
      </c>
      <c r="F9473" s="16" cm="1">
        <f t="array" ref="F9473">SUM(F9471:F9472)</f>
        <v>0</v>
      </c>
      <c r="G9473" s="16" cm="1">
        <f t="array" ref="G9473">SUM(G9471:G9472)</f>
        <v>0</v>
      </c>
      <c r="H9473" s="16" cm="1">
        <f t="array" ref="H9473">SUM(H9471:H9472)</f>
        <v>0</v>
      </c>
      <c r="I9473" s="16" cm="1">
        <f t="array" ref="I9473">SUM(I9471:I9472)</f>
        <v>0</v>
      </c>
    </row>
    <row r="9474" ht="20.65" customHeight="1">
      <c r="A9474" s="10">
        <v>45810</v>
      </c>
      <c r="B9474" t="s" s="11">
        <v>5</v>
      </c>
      <c r="C9474" t="s" s="12">
        <v>1262</v>
      </c>
      <c r="D9474" s="17"/>
      <c r="E9474" s="17">
        <v>12000</v>
      </c>
      <c r="F9474" s="18"/>
      <c r="G9474" s="18"/>
      <c r="H9474" s="18"/>
      <c r="I9474" s="18"/>
    </row>
    <row r="9475" ht="20.65" customHeight="1">
      <c r="A9475" s="10">
        <v>45810</v>
      </c>
      <c r="B9475" t="s" s="11">
        <v>10</v>
      </c>
      <c r="C9475" t="s" s="12">
        <v>1262</v>
      </c>
      <c r="D9475" s="13">
        <v>12000</v>
      </c>
      <c r="E9475" s="13"/>
      <c r="F9475" s="14"/>
      <c r="G9475" s="14"/>
      <c r="H9475" s="14"/>
      <c r="I9475" s="14"/>
    </row>
    <row r="9476" ht="20.7" customHeight="1">
      <c r="A9476" s="10">
        <v>45810</v>
      </c>
      <c r="B9476" t="s" s="11">
        <v>8</v>
      </c>
      <c r="C9476" t="s" s="12">
        <v>8</v>
      </c>
      <c r="D9476" s="15" cm="1">
        <f t="array" ref="D9476">SUM(D9474:D9475)</f>
        <v>12000</v>
      </c>
      <c r="E9476" s="15" cm="1">
        <f t="array" ref="E9476">SUM(E9474:E9475)</f>
        <v>12000</v>
      </c>
      <c r="F9476" s="16" cm="1">
        <f t="array" ref="F9476">SUM(F9474:F9475)</f>
        <v>0</v>
      </c>
      <c r="G9476" s="16" cm="1">
        <f t="array" ref="G9476">SUM(G9474:G9475)</f>
        <v>0</v>
      </c>
      <c r="H9476" s="16" cm="1">
        <f t="array" ref="H9476">SUM(H9474:H9475)</f>
        <v>0</v>
      </c>
      <c r="I9476" s="16" cm="1">
        <f t="array" ref="I9476">SUM(I9474:I9475)</f>
        <v>0</v>
      </c>
    </row>
    <row r="9477" ht="20.35" customHeight="1">
      <c r="A9477" s="10">
        <v>45810</v>
      </c>
      <c r="B9477" t="s" s="11">
        <v>5</v>
      </c>
      <c r="C9477" t="s" s="12">
        <v>604</v>
      </c>
      <c r="D9477" s="17"/>
      <c r="E9477" s="17">
        <v>29040</v>
      </c>
      <c r="F9477" s="18"/>
      <c r="G9477" s="18"/>
      <c r="H9477" s="18"/>
      <c r="I9477" s="18"/>
    </row>
    <row r="9478" ht="20.35" customHeight="1">
      <c r="A9478" s="10">
        <v>45810</v>
      </c>
      <c r="B9478" t="s" s="11">
        <v>93</v>
      </c>
      <c r="C9478" t="s" s="12">
        <v>604</v>
      </c>
      <c r="D9478" s="13">
        <v>29040</v>
      </c>
      <c r="E9478" s="13"/>
      <c r="F9478" s="14"/>
      <c r="G9478" s="14"/>
      <c r="H9478" s="14"/>
      <c r="I9478" s="14"/>
    </row>
    <row r="9479" ht="20.7" customHeight="1">
      <c r="A9479" s="10">
        <v>45810</v>
      </c>
      <c r="B9479" t="s" s="11">
        <v>8</v>
      </c>
      <c r="C9479" t="s" s="12">
        <v>8</v>
      </c>
      <c r="D9479" s="15" cm="1">
        <f t="array" ref="D9479">SUM(D9477:D9478)</f>
        <v>29040</v>
      </c>
      <c r="E9479" s="15" cm="1">
        <f t="array" ref="E9479">SUM(E9477:E9478)</f>
        <v>29040</v>
      </c>
      <c r="F9479" s="16" cm="1">
        <f t="array" ref="F9479">SUM(F9477:F9478)</f>
        <v>0</v>
      </c>
      <c r="G9479" s="16" cm="1">
        <f t="array" ref="G9479">SUM(G9477:G9478)</f>
        <v>0</v>
      </c>
      <c r="H9479" s="16" cm="1">
        <f t="array" ref="H9479">SUM(H9477:H9478)</f>
        <v>0</v>
      </c>
      <c r="I9479" s="16" cm="1">
        <f t="array" ref="I9479">SUM(I9477:I9478)</f>
        <v>0</v>
      </c>
    </row>
    <row r="9480" ht="20.35" customHeight="1">
      <c r="A9480" s="10">
        <v>45810</v>
      </c>
      <c r="B9480" t="s" s="11">
        <v>93</v>
      </c>
      <c r="C9480" t="s" s="12">
        <v>1263</v>
      </c>
      <c r="D9480" s="17"/>
      <c r="E9480" s="17">
        <v>30200</v>
      </c>
      <c r="F9480" s="18"/>
      <c r="G9480" s="18"/>
      <c r="H9480" s="18"/>
      <c r="I9480" s="18"/>
    </row>
    <row r="9481" ht="20.35" customHeight="1">
      <c r="A9481" s="10">
        <v>45810</v>
      </c>
      <c r="B9481" t="s" s="11">
        <v>10</v>
      </c>
      <c r="C9481" t="s" s="12">
        <v>1263</v>
      </c>
      <c r="D9481" s="13">
        <v>30200</v>
      </c>
      <c r="E9481" s="13"/>
      <c r="F9481" s="14"/>
      <c r="G9481" s="14"/>
      <c r="H9481" s="14"/>
      <c r="I9481" s="14"/>
    </row>
    <row r="9482" ht="20.7" customHeight="1">
      <c r="A9482" s="10">
        <v>45810</v>
      </c>
      <c r="B9482" t="s" s="11">
        <v>8</v>
      </c>
      <c r="C9482" t="s" s="12">
        <v>8</v>
      </c>
      <c r="D9482" s="15" cm="1">
        <f t="array" ref="D9482">SUM(D9480:D9481)</f>
        <v>30200</v>
      </c>
      <c r="E9482" s="15" cm="1">
        <f t="array" ref="E9482">SUM(E9480:E9481)</f>
        <v>30200</v>
      </c>
      <c r="F9482" s="16" cm="1">
        <f t="array" ref="F9482">SUM(F9480:F9481)</f>
        <v>0</v>
      </c>
      <c r="G9482" s="16" cm="1">
        <f t="array" ref="G9482">SUM(G9480:G9481)</f>
        <v>0</v>
      </c>
      <c r="H9482" s="16" cm="1">
        <f t="array" ref="H9482">SUM(H9480:H9481)</f>
        <v>0</v>
      </c>
      <c r="I9482" s="16" cm="1">
        <f t="array" ref="I9482">SUM(I9480:I9481)</f>
        <v>0</v>
      </c>
    </row>
    <row r="9483" ht="20.65" customHeight="1">
      <c r="A9483" s="10">
        <v>45811</v>
      </c>
      <c r="B9483" t="s" s="11">
        <v>814</v>
      </c>
      <c r="C9483" t="s" s="12">
        <v>820</v>
      </c>
      <c r="D9483" s="17">
        <v>8</v>
      </c>
      <c r="E9483" s="17"/>
      <c r="F9483" s="18"/>
      <c r="G9483" s="18"/>
      <c r="H9483" s="18"/>
      <c r="I9483" s="18"/>
    </row>
    <row r="9484" ht="20.65" customHeight="1">
      <c r="A9484" s="10">
        <v>45811</v>
      </c>
      <c r="B9484" t="s" s="11">
        <v>7</v>
      </c>
      <c r="C9484" t="s" s="12">
        <v>820</v>
      </c>
      <c r="D9484" s="13"/>
      <c r="E9484" s="13">
        <v>8</v>
      </c>
      <c r="F9484" s="14"/>
      <c r="G9484" s="14"/>
      <c r="H9484" s="14"/>
      <c r="I9484" s="14"/>
    </row>
    <row r="9485" ht="20.7" customHeight="1">
      <c r="A9485" s="10">
        <v>45811</v>
      </c>
      <c r="B9485" t="s" s="11">
        <v>8</v>
      </c>
      <c r="C9485" t="s" s="12">
        <v>8</v>
      </c>
      <c r="D9485" s="15" cm="1">
        <f t="array" ref="D9485">SUM(D9483:D9484)</f>
        <v>8</v>
      </c>
      <c r="E9485" s="15" cm="1">
        <f t="array" ref="E9485">SUM(E9483:E9484)</f>
        <v>8</v>
      </c>
      <c r="F9485" s="16" cm="1">
        <f t="array" ref="F9485">SUM(F9483:F9484)</f>
        <v>0</v>
      </c>
      <c r="G9485" s="16" cm="1">
        <f t="array" ref="G9485">SUM(G9483:G9484)</f>
        <v>0</v>
      </c>
      <c r="H9485" s="16" cm="1">
        <f t="array" ref="H9485">SUM(H9483:H9484)</f>
        <v>0</v>
      </c>
      <c r="I9485" s="16" cm="1">
        <f t="array" ref="I9485">SUM(I9483:I9484)</f>
        <v>0</v>
      </c>
    </row>
    <row r="9486" ht="20.65" customHeight="1">
      <c r="A9486" s="10">
        <v>45811</v>
      </c>
      <c r="B9486" t="s" s="11">
        <v>843</v>
      </c>
      <c r="C9486" t="s" s="12">
        <v>820</v>
      </c>
      <c r="D9486" s="17">
        <v>17</v>
      </c>
      <c r="E9486" s="17"/>
      <c r="F9486" s="18"/>
      <c r="G9486" s="18"/>
      <c r="H9486" s="18"/>
      <c r="I9486" s="18"/>
    </row>
    <row r="9487" ht="20.65" customHeight="1">
      <c r="A9487" s="10">
        <v>45811</v>
      </c>
      <c r="B9487" t="s" s="11">
        <v>7</v>
      </c>
      <c r="C9487" t="s" s="12">
        <v>820</v>
      </c>
      <c r="D9487" s="13"/>
      <c r="E9487" s="13">
        <v>17</v>
      </c>
      <c r="F9487" s="14"/>
      <c r="G9487" s="14"/>
      <c r="H9487" s="14"/>
      <c r="I9487" s="14"/>
    </row>
    <row r="9488" ht="20.7" customHeight="1">
      <c r="A9488" s="10">
        <v>45811</v>
      </c>
      <c r="B9488" t="s" s="11">
        <v>8</v>
      </c>
      <c r="C9488" t="s" s="12">
        <v>8</v>
      </c>
      <c r="D9488" s="15" cm="1">
        <f t="array" ref="D9488">SUM(D9486:D9487)</f>
        <v>17</v>
      </c>
      <c r="E9488" s="15" cm="1">
        <f t="array" ref="E9488">SUM(E9486:E9487)</f>
        <v>17</v>
      </c>
      <c r="F9488" s="16" cm="1">
        <f t="array" ref="F9488">SUM(F9486:F9487)</f>
        <v>0</v>
      </c>
      <c r="G9488" s="16" cm="1">
        <f t="array" ref="G9488">SUM(G9486:G9487)</f>
        <v>0</v>
      </c>
      <c r="H9488" s="16" cm="1">
        <f t="array" ref="H9488">SUM(H9486:H9487)</f>
        <v>0</v>
      </c>
      <c r="I9488" s="16" cm="1">
        <f t="array" ref="I9488">SUM(I9486:I9487)</f>
        <v>0</v>
      </c>
    </row>
    <row r="9489" ht="20.35" customHeight="1">
      <c r="A9489" s="10">
        <v>45811</v>
      </c>
      <c r="B9489" t="s" s="11">
        <v>93</v>
      </c>
      <c r="C9489" t="s" s="12">
        <v>604</v>
      </c>
      <c r="D9489" s="17">
        <v>10000</v>
      </c>
      <c r="E9489" s="17"/>
      <c r="F9489" s="18"/>
      <c r="G9489" s="18"/>
      <c r="H9489" s="18"/>
      <c r="I9489" s="18"/>
    </row>
    <row r="9490" ht="20.35" customHeight="1">
      <c r="A9490" s="10">
        <v>45811</v>
      </c>
      <c r="B9490" t="s" s="11">
        <v>5</v>
      </c>
      <c r="C9490" t="s" s="12">
        <v>604</v>
      </c>
      <c r="D9490" s="13"/>
      <c r="E9490" s="13">
        <v>10000</v>
      </c>
      <c r="F9490" s="14"/>
      <c r="G9490" s="14"/>
      <c r="H9490" s="14"/>
      <c r="I9490" s="14"/>
    </row>
    <row r="9491" ht="20.7" customHeight="1">
      <c r="A9491" s="10">
        <v>45811</v>
      </c>
      <c r="B9491" t="s" s="11">
        <v>8</v>
      </c>
      <c r="C9491" t="s" s="12">
        <v>8</v>
      </c>
      <c r="D9491" s="15" cm="1">
        <f t="array" ref="D9491">SUM(D9489:D9490)</f>
        <v>10000</v>
      </c>
      <c r="E9491" s="15" cm="1">
        <f t="array" ref="E9491">SUM(E9489:E9490)</f>
        <v>10000</v>
      </c>
      <c r="F9491" s="16" cm="1">
        <f t="array" ref="F9491">SUM(F9489:F9490)</f>
        <v>0</v>
      </c>
      <c r="G9491" s="16" cm="1">
        <f t="array" ref="G9491">SUM(G9489:G9490)</f>
        <v>0</v>
      </c>
      <c r="H9491" s="16" cm="1">
        <f t="array" ref="H9491">SUM(H9489:H9490)</f>
        <v>0</v>
      </c>
      <c r="I9491" s="16" cm="1">
        <f t="array" ref="I9491">SUM(I9489:I9490)</f>
        <v>0</v>
      </c>
    </row>
    <row r="9492" ht="20.35" customHeight="1">
      <c r="A9492" s="10">
        <v>45811</v>
      </c>
      <c r="B9492" t="s" s="11">
        <v>93</v>
      </c>
      <c r="C9492" t="s" s="12">
        <v>13</v>
      </c>
      <c r="D9492" s="17"/>
      <c r="E9492" s="17">
        <v>8900</v>
      </c>
      <c r="F9492" s="18"/>
      <c r="G9492" s="18"/>
      <c r="H9492" s="18"/>
      <c r="I9492" s="18"/>
    </row>
    <row r="9493" ht="20.35" customHeight="1">
      <c r="A9493" s="10">
        <v>45811</v>
      </c>
      <c r="B9493" t="s" s="11">
        <v>10</v>
      </c>
      <c r="C9493" t="s" s="12">
        <v>13</v>
      </c>
      <c r="D9493" s="13">
        <v>8900</v>
      </c>
      <c r="E9493" s="13"/>
      <c r="F9493" s="14"/>
      <c r="G9493" s="14"/>
      <c r="H9493" s="14"/>
      <c r="I9493" s="14"/>
    </row>
    <row r="9494" ht="20.7" customHeight="1">
      <c r="A9494" s="10">
        <v>45811</v>
      </c>
      <c r="B9494" t="s" s="11">
        <v>8</v>
      </c>
      <c r="C9494" t="s" s="12">
        <v>8</v>
      </c>
      <c r="D9494" s="15" cm="1">
        <f t="array" ref="D9494">SUM(D9492:D9493)</f>
        <v>8900</v>
      </c>
      <c r="E9494" s="15" cm="1">
        <f t="array" ref="E9494">SUM(E9492:E9493)</f>
        <v>8900</v>
      </c>
      <c r="F9494" s="16" cm="1">
        <f t="array" ref="F9494">SUM(F9492:F9493)</f>
        <v>0</v>
      </c>
      <c r="G9494" s="16" cm="1">
        <f t="array" ref="G9494">SUM(G9492:G9493)</f>
        <v>0</v>
      </c>
      <c r="H9494" s="16" cm="1">
        <f t="array" ref="H9494">SUM(H9492:H9493)</f>
        <v>0</v>
      </c>
      <c r="I9494" s="16" cm="1">
        <f t="array" ref="I9494">SUM(I9492:I9493)</f>
        <v>0</v>
      </c>
    </row>
    <row r="9495" ht="20.35" customHeight="1">
      <c r="A9495" s="10">
        <v>45811</v>
      </c>
      <c r="B9495" t="s" s="11">
        <v>843</v>
      </c>
      <c r="C9495" t="s" s="12">
        <v>96</v>
      </c>
      <c r="D9495" s="17"/>
      <c r="E9495" s="17">
        <v>100000</v>
      </c>
      <c r="F9495" s="18"/>
      <c r="G9495" s="18"/>
      <c r="H9495" s="18"/>
      <c r="I9495" s="18"/>
    </row>
    <row r="9496" ht="20.35" customHeight="1">
      <c r="A9496" s="10">
        <v>45811</v>
      </c>
      <c r="B9496" t="s" s="11">
        <v>5</v>
      </c>
      <c r="C9496" t="s" s="12">
        <v>96</v>
      </c>
      <c r="D9496" s="13">
        <v>100000</v>
      </c>
      <c r="E9496" s="13"/>
      <c r="F9496" s="14"/>
      <c r="G9496" s="14"/>
      <c r="H9496" s="14"/>
      <c r="I9496" s="14"/>
    </row>
    <row r="9497" ht="20.7" customHeight="1">
      <c r="A9497" s="10">
        <v>45811</v>
      </c>
      <c r="B9497" t="s" s="11">
        <v>8</v>
      </c>
      <c r="C9497" t="s" s="12">
        <v>8</v>
      </c>
      <c r="D9497" s="15" cm="1">
        <f t="array" ref="D9497">SUM(D9495:D9496)</f>
        <v>100000</v>
      </c>
      <c r="E9497" s="15" cm="1">
        <f t="array" ref="E9497">SUM(E9495:E9496)</f>
        <v>100000</v>
      </c>
      <c r="F9497" s="16" cm="1">
        <f t="array" ref="F9497">SUM(F9495:F9496)</f>
        <v>0</v>
      </c>
      <c r="G9497" s="16" cm="1">
        <f t="array" ref="G9497">SUM(G9495:G9496)</f>
        <v>0</v>
      </c>
      <c r="H9497" s="16" cm="1">
        <f t="array" ref="H9497">SUM(H9495:H9496)</f>
        <v>0</v>
      </c>
      <c r="I9497" s="16" cm="1">
        <f t="array" ref="I9497">SUM(I9495:I9496)</f>
        <v>0</v>
      </c>
    </row>
    <row r="9498" ht="20.65" customHeight="1">
      <c r="A9498" s="10">
        <v>45811</v>
      </c>
      <c r="B9498" t="s" s="11">
        <v>5</v>
      </c>
      <c r="C9498" t="s" s="12">
        <v>738</v>
      </c>
      <c r="D9498" s="17"/>
      <c r="E9498" s="17">
        <v>100000</v>
      </c>
      <c r="F9498" s="18"/>
      <c r="G9498" s="18"/>
      <c r="H9498" s="18"/>
      <c r="I9498" s="18"/>
    </row>
    <row r="9499" ht="20.65" customHeight="1">
      <c r="A9499" s="10">
        <v>45811</v>
      </c>
      <c r="B9499" t="s" s="11">
        <v>89</v>
      </c>
      <c r="C9499" t="s" s="12">
        <v>738</v>
      </c>
      <c r="D9499" s="13">
        <v>100000</v>
      </c>
      <c r="E9499" s="13"/>
      <c r="F9499" s="14"/>
      <c r="G9499" s="14"/>
      <c r="H9499" s="14"/>
      <c r="I9499" s="14"/>
    </row>
    <row r="9500" ht="20.7" customHeight="1">
      <c r="A9500" s="10">
        <v>45811</v>
      </c>
      <c r="B9500" t="s" s="11">
        <v>8</v>
      </c>
      <c r="C9500" t="s" s="12">
        <v>8</v>
      </c>
      <c r="D9500" s="15" cm="1">
        <f t="array" ref="D9500">SUM(D9498:D9499)</f>
        <v>100000</v>
      </c>
      <c r="E9500" s="15" cm="1">
        <f t="array" ref="E9500">SUM(E9498:E9499)</f>
        <v>100000</v>
      </c>
      <c r="F9500" s="16" cm="1">
        <f t="array" ref="F9500">SUM(F9498:F9499)</f>
        <v>0</v>
      </c>
      <c r="G9500" s="16" cm="1">
        <f t="array" ref="G9500">SUM(G9498:G9499)</f>
        <v>0</v>
      </c>
      <c r="H9500" s="16" cm="1">
        <f t="array" ref="H9500">SUM(H9498:H9499)</f>
        <v>0</v>
      </c>
      <c r="I9500" s="16" cm="1">
        <f t="array" ref="I9500">SUM(I9498:I9499)</f>
        <v>0</v>
      </c>
    </row>
    <row r="9501" ht="21.25" customHeight="1">
      <c r="A9501" s="10">
        <v>45811</v>
      </c>
      <c r="B9501" t="s" s="11">
        <v>121</v>
      </c>
      <c r="C9501" t="s" s="12">
        <v>818</v>
      </c>
      <c r="D9501" s="17"/>
      <c r="E9501" s="17">
        <v>3000</v>
      </c>
      <c r="F9501" s="18"/>
      <c r="G9501" s="18"/>
      <c r="H9501" s="18"/>
      <c r="I9501" s="18"/>
    </row>
    <row r="9502" ht="21.25" customHeight="1">
      <c r="A9502" s="10">
        <v>45811</v>
      </c>
      <c r="B9502" t="s" s="11">
        <v>10</v>
      </c>
      <c r="C9502" t="s" s="12">
        <v>818</v>
      </c>
      <c r="D9502" s="13">
        <v>3000</v>
      </c>
      <c r="E9502" s="13"/>
      <c r="F9502" s="14"/>
      <c r="G9502" s="14"/>
      <c r="H9502" s="14"/>
      <c r="I9502" s="14"/>
    </row>
    <row r="9503" ht="20.7" customHeight="1">
      <c r="A9503" s="10">
        <v>45811</v>
      </c>
      <c r="B9503" t="s" s="11">
        <v>8</v>
      </c>
      <c r="C9503" t="s" s="12">
        <v>8</v>
      </c>
      <c r="D9503" s="15" cm="1">
        <f t="array" ref="D9503">SUM(D9501:D9502)</f>
        <v>3000</v>
      </c>
      <c r="E9503" s="15" cm="1">
        <f t="array" ref="E9503">SUM(E9501:E9502)</f>
        <v>3000</v>
      </c>
      <c r="F9503" s="16" cm="1">
        <f t="array" ref="F9503">SUM(F9501:F9502)</f>
        <v>0</v>
      </c>
      <c r="G9503" s="16" cm="1">
        <f t="array" ref="G9503">SUM(G9501:G9502)</f>
        <v>0</v>
      </c>
      <c r="H9503" s="16" cm="1">
        <f t="array" ref="H9503">SUM(H9501:H9502)</f>
        <v>0</v>
      </c>
      <c r="I9503" s="16" cm="1">
        <f t="array" ref="I9503">SUM(I9501:I9502)</f>
        <v>0</v>
      </c>
    </row>
    <row r="9504" ht="21.25" customHeight="1">
      <c r="A9504" s="10">
        <v>45811</v>
      </c>
      <c r="B9504" t="s" s="11">
        <v>21</v>
      </c>
      <c r="C9504" t="s" s="12">
        <v>1264</v>
      </c>
      <c r="D9504" s="17"/>
      <c r="E9504" s="17">
        <v>3200</v>
      </c>
      <c r="F9504" s="18"/>
      <c r="G9504" s="18"/>
      <c r="H9504" s="18"/>
      <c r="I9504" s="18"/>
    </row>
    <row r="9505" ht="21.25" customHeight="1">
      <c r="A9505" s="10">
        <v>45811</v>
      </c>
      <c r="B9505" t="s" s="11">
        <v>16</v>
      </c>
      <c r="C9505" t="s" s="12">
        <v>1264</v>
      </c>
      <c r="D9505" s="13">
        <v>3200</v>
      </c>
      <c r="E9505" s="13"/>
      <c r="F9505" s="14"/>
      <c r="G9505" s="14"/>
      <c r="H9505" s="14"/>
      <c r="I9505" s="14"/>
    </row>
    <row r="9506" ht="20.7" customHeight="1">
      <c r="A9506" s="10">
        <v>45811</v>
      </c>
      <c r="B9506" t="s" s="11">
        <v>8</v>
      </c>
      <c r="C9506" t="s" s="12">
        <v>8</v>
      </c>
      <c r="D9506" s="15" cm="1">
        <f t="array" ref="D9506">SUM(D9504:D9505)</f>
        <v>3200</v>
      </c>
      <c r="E9506" s="15" cm="1">
        <f t="array" ref="E9506">SUM(E9504:E9505)</f>
        <v>3200</v>
      </c>
      <c r="F9506" s="16" cm="1">
        <f t="array" ref="F9506">SUM(F9504:F9505)</f>
        <v>0</v>
      </c>
      <c r="G9506" s="16" cm="1">
        <f t="array" ref="G9506">SUM(G9504:G9505)</f>
        <v>0</v>
      </c>
      <c r="H9506" s="16" cm="1">
        <f t="array" ref="H9506">SUM(H9504:H9505)</f>
        <v>0</v>
      </c>
      <c r="I9506" s="16" cm="1">
        <f t="array" ref="I9506">SUM(I9504:I9505)</f>
        <v>0</v>
      </c>
    </row>
    <row r="9507" ht="20.65" customHeight="1">
      <c r="A9507" s="10">
        <v>45812</v>
      </c>
      <c r="B9507" t="s" s="11">
        <v>814</v>
      </c>
      <c r="C9507" t="s" s="12">
        <v>820</v>
      </c>
      <c r="D9507" s="17">
        <v>8</v>
      </c>
      <c r="E9507" s="17"/>
      <c r="F9507" s="18"/>
      <c r="G9507" s="18"/>
      <c r="H9507" s="18"/>
      <c r="I9507" s="18"/>
    </row>
    <row r="9508" ht="20.65" customHeight="1">
      <c r="A9508" s="10">
        <v>45812</v>
      </c>
      <c r="B9508" t="s" s="11">
        <v>7</v>
      </c>
      <c r="C9508" t="s" s="12">
        <v>820</v>
      </c>
      <c r="D9508" s="13"/>
      <c r="E9508" s="13">
        <v>8</v>
      </c>
      <c r="F9508" s="14"/>
      <c r="G9508" s="14"/>
      <c r="H9508" s="14"/>
      <c r="I9508" s="14"/>
    </row>
    <row r="9509" ht="20.7" customHeight="1">
      <c r="A9509" s="10">
        <v>45812</v>
      </c>
      <c r="B9509" t="s" s="11">
        <v>8</v>
      </c>
      <c r="C9509" t="s" s="12">
        <v>8</v>
      </c>
      <c r="D9509" s="15" cm="1">
        <f t="array" ref="D9509">SUM(D9507:D9508)</f>
        <v>8</v>
      </c>
      <c r="E9509" s="15" cm="1">
        <f t="array" ref="E9509">SUM(E9507:E9508)</f>
        <v>8</v>
      </c>
      <c r="F9509" s="16" cm="1">
        <f t="array" ref="F9509">SUM(F9507:F9508)</f>
        <v>0</v>
      </c>
      <c r="G9509" s="16" cm="1">
        <f t="array" ref="G9509">SUM(G9507:G9508)</f>
        <v>0</v>
      </c>
      <c r="H9509" s="16" cm="1">
        <f t="array" ref="H9509">SUM(H9507:H9508)</f>
        <v>0</v>
      </c>
      <c r="I9509" s="16" cm="1">
        <f t="array" ref="I9509">SUM(I9507:I9508)</f>
        <v>0</v>
      </c>
    </row>
    <row r="9510" ht="20.65" customHeight="1">
      <c r="A9510" s="10">
        <v>45812</v>
      </c>
      <c r="B9510" t="s" s="11">
        <v>843</v>
      </c>
      <c r="C9510" t="s" s="12">
        <v>820</v>
      </c>
      <c r="D9510" s="17">
        <v>13</v>
      </c>
      <c r="E9510" s="17"/>
      <c r="F9510" s="18"/>
      <c r="G9510" s="18"/>
      <c r="H9510" s="18"/>
      <c r="I9510" s="18"/>
    </row>
    <row r="9511" ht="20.65" customHeight="1">
      <c r="A9511" s="10">
        <v>45812</v>
      </c>
      <c r="B9511" t="s" s="11">
        <v>7</v>
      </c>
      <c r="C9511" t="s" s="12">
        <v>820</v>
      </c>
      <c r="D9511" s="13"/>
      <c r="E9511" s="13">
        <v>13</v>
      </c>
      <c r="F9511" s="14"/>
      <c r="G9511" s="14"/>
      <c r="H9511" s="14"/>
      <c r="I9511" s="14"/>
    </row>
    <row r="9512" ht="20.7" customHeight="1">
      <c r="A9512" s="10">
        <v>45812</v>
      </c>
      <c r="B9512" t="s" s="11">
        <v>8</v>
      </c>
      <c r="C9512" t="s" s="12">
        <v>8</v>
      </c>
      <c r="D9512" s="15" cm="1">
        <f t="array" ref="D9512">SUM(D9510:D9511)</f>
        <v>13</v>
      </c>
      <c r="E9512" s="15" cm="1">
        <f t="array" ref="E9512">SUM(E9510:E9511)</f>
        <v>13</v>
      </c>
      <c r="F9512" s="16" cm="1">
        <f t="array" ref="F9512">SUM(F9510:F9511)</f>
        <v>0</v>
      </c>
      <c r="G9512" s="16" cm="1">
        <f t="array" ref="G9512">SUM(G9510:G9511)</f>
        <v>0</v>
      </c>
      <c r="H9512" s="16" cm="1">
        <f t="array" ref="H9512">SUM(H9510:H9511)</f>
        <v>0</v>
      </c>
      <c r="I9512" s="16" cm="1">
        <f t="array" ref="I9512">SUM(I9510:I9511)</f>
        <v>0</v>
      </c>
    </row>
    <row r="9513" ht="20.35" customHeight="1">
      <c r="A9513" s="10">
        <v>45812</v>
      </c>
      <c r="B9513" t="s" s="11">
        <v>121</v>
      </c>
      <c r="C9513" t="s" s="12">
        <v>1265</v>
      </c>
      <c r="D9513" s="17"/>
      <c r="E9513" s="17">
        <v>10000</v>
      </c>
      <c r="F9513" s="18"/>
      <c r="G9513" s="18"/>
      <c r="H9513" s="18"/>
      <c r="I9513" s="18"/>
    </row>
    <row r="9514" ht="20.35" customHeight="1">
      <c r="A9514" s="10">
        <v>45812</v>
      </c>
      <c r="B9514" t="s" s="11">
        <v>89</v>
      </c>
      <c r="C9514" t="s" s="12">
        <v>1265</v>
      </c>
      <c r="D9514" s="13">
        <v>10000</v>
      </c>
      <c r="E9514" s="13"/>
      <c r="F9514" s="14"/>
      <c r="G9514" s="14"/>
      <c r="H9514" s="14"/>
      <c r="I9514" s="14"/>
    </row>
    <row r="9515" ht="20.7" customHeight="1">
      <c r="A9515" s="10">
        <v>45812</v>
      </c>
      <c r="B9515" t="s" s="11">
        <v>8</v>
      </c>
      <c r="C9515" t="s" s="12">
        <v>8</v>
      </c>
      <c r="D9515" s="15" cm="1">
        <f t="array" ref="D9515">SUM(D9513:D9514)</f>
        <v>10000</v>
      </c>
      <c r="E9515" s="15" cm="1">
        <f t="array" ref="E9515">SUM(E9513:E9514)</f>
        <v>10000</v>
      </c>
      <c r="F9515" s="16" cm="1">
        <f t="array" ref="F9515">SUM(F9513:F9514)</f>
        <v>0</v>
      </c>
      <c r="G9515" s="16" cm="1">
        <f t="array" ref="G9515">SUM(G9513:G9514)</f>
        <v>0</v>
      </c>
      <c r="H9515" s="16" cm="1">
        <f t="array" ref="H9515">SUM(H9513:H9514)</f>
        <v>0</v>
      </c>
      <c r="I9515" s="16" cm="1">
        <f t="array" ref="I9515">SUM(I9513:I9514)</f>
        <v>0</v>
      </c>
    </row>
    <row r="9516" ht="20.35" customHeight="1">
      <c r="A9516" s="10">
        <v>45812</v>
      </c>
      <c r="B9516" t="s" s="11">
        <v>89</v>
      </c>
      <c r="C9516" t="s" s="12">
        <v>1265</v>
      </c>
      <c r="D9516" s="17"/>
      <c r="E9516" s="17">
        <v>10000</v>
      </c>
      <c r="F9516" s="18"/>
      <c r="G9516" s="18"/>
      <c r="H9516" s="18"/>
      <c r="I9516" s="18"/>
    </row>
    <row r="9517" ht="20.35" customHeight="1">
      <c r="A9517" s="10">
        <v>45812</v>
      </c>
      <c r="B9517" t="s" s="11">
        <v>10</v>
      </c>
      <c r="C9517" t="s" s="12">
        <v>1265</v>
      </c>
      <c r="D9517" s="13">
        <v>10000</v>
      </c>
      <c r="E9517" s="13"/>
      <c r="F9517" s="14"/>
      <c r="G9517" s="14"/>
      <c r="H9517" s="14"/>
      <c r="I9517" s="14"/>
    </row>
    <row r="9518" ht="20.7" customHeight="1">
      <c r="A9518" s="10">
        <v>45812</v>
      </c>
      <c r="B9518" t="s" s="11">
        <v>8</v>
      </c>
      <c r="C9518" t="s" s="12">
        <v>8</v>
      </c>
      <c r="D9518" s="15" cm="1">
        <f t="array" ref="D9518">SUM(D9516:D9517)</f>
        <v>10000</v>
      </c>
      <c r="E9518" s="15" cm="1">
        <f t="array" ref="E9518">SUM(E9516:E9517)</f>
        <v>10000</v>
      </c>
      <c r="F9518" s="16" cm="1">
        <f t="array" ref="F9518">SUM(F9516:F9517)</f>
        <v>0</v>
      </c>
      <c r="G9518" s="16" cm="1">
        <f t="array" ref="G9518">SUM(G9516:G9517)</f>
        <v>0</v>
      </c>
      <c r="H9518" s="16" cm="1">
        <f t="array" ref="H9518">SUM(H9516:H9517)</f>
        <v>0</v>
      </c>
      <c r="I9518" s="16" cm="1">
        <f t="array" ref="I9518">SUM(I9516:I9517)</f>
        <v>0</v>
      </c>
    </row>
    <row r="9519" ht="20.35" customHeight="1">
      <c r="A9519" s="10">
        <v>45812</v>
      </c>
      <c r="B9519" t="s" s="11">
        <v>1156</v>
      </c>
      <c r="C9519" t="s" s="12">
        <v>1266</v>
      </c>
      <c r="D9519" s="17"/>
      <c r="E9519" s="17"/>
      <c r="F9519" s="18"/>
      <c r="G9519" s="18"/>
      <c r="H9519" s="18"/>
      <c r="I9519" s="18">
        <v>52.1</v>
      </c>
    </row>
    <row r="9520" ht="20.35" customHeight="1">
      <c r="A9520" s="10">
        <v>45812</v>
      </c>
      <c r="B9520" t="s" s="11">
        <v>1155</v>
      </c>
      <c r="C9520" t="s" s="12">
        <v>1266</v>
      </c>
      <c r="D9520" s="13"/>
      <c r="E9520" s="13"/>
      <c r="F9520" s="14"/>
      <c r="G9520" s="14"/>
      <c r="H9520" s="14">
        <v>52.1</v>
      </c>
      <c r="I9520" s="14"/>
    </row>
    <row r="9521" ht="20.7" customHeight="1">
      <c r="A9521" s="10">
        <v>45812</v>
      </c>
      <c r="B9521" t="s" s="11">
        <v>8</v>
      </c>
      <c r="C9521" t="s" s="12">
        <v>8</v>
      </c>
      <c r="D9521" s="15" cm="1">
        <f t="array" ref="D9521">SUM(D9519:D9520)</f>
        <v>0</v>
      </c>
      <c r="E9521" s="15" cm="1">
        <f t="array" ref="E9521">SUM(E9519:E9520)</f>
        <v>0</v>
      </c>
      <c r="F9521" s="16" cm="1">
        <f t="array" ref="F9521">SUM(F9519:F9520)</f>
        <v>0</v>
      </c>
      <c r="G9521" s="16" cm="1">
        <f t="array" ref="G9521">SUM(G9519:G9520)</f>
        <v>0</v>
      </c>
      <c r="H9521" s="16" cm="1">
        <f t="array" ref="H9521">SUM(H9519:H9520)</f>
        <v>52.1</v>
      </c>
      <c r="I9521" s="16" cm="1">
        <f t="array" ref="I9521">SUM(I9519:I9520)</f>
        <v>52.1</v>
      </c>
    </row>
    <row r="9522" ht="20.65" customHeight="1">
      <c r="A9522" s="10">
        <v>45812</v>
      </c>
      <c r="B9522" t="s" s="11">
        <v>121</v>
      </c>
      <c r="C9522" t="s" s="12">
        <v>1075</v>
      </c>
      <c r="D9522" s="17"/>
      <c r="E9522" s="17">
        <v>3500</v>
      </c>
      <c r="F9522" s="18"/>
      <c r="G9522" s="18"/>
      <c r="H9522" s="18"/>
      <c r="I9522" s="18"/>
    </row>
    <row r="9523" ht="20.65" customHeight="1">
      <c r="A9523" s="10">
        <v>45812</v>
      </c>
      <c r="B9523" t="s" s="11">
        <v>12</v>
      </c>
      <c r="C9523" t="s" s="12">
        <v>1075</v>
      </c>
      <c r="D9523" s="13">
        <v>3500</v>
      </c>
      <c r="E9523" s="13"/>
      <c r="F9523" s="14"/>
      <c r="G9523" s="14"/>
      <c r="H9523" s="14"/>
      <c r="I9523" s="14"/>
    </row>
    <row r="9524" ht="20.7" customHeight="1">
      <c r="A9524" s="10">
        <v>45812</v>
      </c>
      <c r="B9524" t="s" s="11">
        <v>8</v>
      </c>
      <c r="C9524" t="s" s="12">
        <v>8</v>
      </c>
      <c r="D9524" s="15" cm="1">
        <f t="array" ref="D9524">SUM(D9522:D9523)</f>
        <v>3500</v>
      </c>
      <c r="E9524" s="15" cm="1">
        <f t="array" ref="E9524">SUM(E9522:E9523)</f>
        <v>3500</v>
      </c>
      <c r="F9524" s="16" cm="1">
        <f t="array" ref="F9524">SUM(F9522:F9523)</f>
        <v>0</v>
      </c>
      <c r="G9524" s="16" cm="1">
        <f t="array" ref="G9524">SUM(G9522:G9523)</f>
        <v>0</v>
      </c>
      <c r="H9524" s="16" cm="1">
        <f t="array" ref="H9524">SUM(H9522:H9523)</f>
        <v>0</v>
      </c>
      <c r="I9524" s="16" cm="1">
        <f t="array" ref="I9524">SUM(I9522:I9523)</f>
        <v>0</v>
      </c>
    </row>
    <row r="9525" ht="20.35" customHeight="1">
      <c r="A9525" s="10">
        <v>45812</v>
      </c>
      <c r="B9525" t="s" s="11">
        <v>814</v>
      </c>
      <c r="C9525" t="s" s="12">
        <v>96</v>
      </c>
      <c r="D9525" s="17"/>
      <c r="E9525" s="17">
        <v>171493</v>
      </c>
      <c r="F9525" s="18"/>
      <c r="G9525" s="18"/>
      <c r="H9525" s="18"/>
      <c r="I9525" s="18"/>
    </row>
    <row r="9526" ht="20.35" customHeight="1">
      <c r="A9526" s="10">
        <v>45812</v>
      </c>
      <c r="B9526" t="s" s="11">
        <v>5</v>
      </c>
      <c r="C9526" t="s" s="12">
        <v>96</v>
      </c>
      <c r="D9526" s="13">
        <v>171493</v>
      </c>
      <c r="E9526" s="13"/>
      <c r="F9526" s="14"/>
      <c r="G9526" s="14"/>
      <c r="H9526" s="14"/>
      <c r="I9526" s="14"/>
    </row>
    <row r="9527" ht="20.7" customHeight="1">
      <c r="A9527" s="10">
        <v>45812</v>
      </c>
      <c r="B9527" t="s" s="11">
        <v>8</v>
      </c>
      <c r="C9527" t="s" s="12">
        <v>8</v>
      </c>
      <c r="D9527" s="15" cm="1">
        <f t="array" ref="D9527">SUM(D9525:D9526)</f>
        <v>171493</v>
      </c>
      <c r="E9527" s="15" cm="1">
        <f t="array" ref="E9527">SUM(E9525:E9526)</f>
        <v>171493</v>
      </c>
      <c r="F9527" s="16" cm="1">
        <f t="array" ref="F9527">SUM(F9525:F9526)</f>
        <v>0</v>
      </c>
      <c r="G9527" s="16" cm="1">
        <f t="array" ref="G9527">SUM(G9525:G9526)</f>
        <v>0</v>
      </c>
      <c r="H9527" s="16" cm="1">
        <f t="array" ref="H9527">SUM(H9525:H9526)</f>
        <v>0</v>
      </c>
      <c r="I9527" s="16" cm="1">
        <f t="array" ref="I9527">SUM(I9525:I9526)</f>
        <v>0</v>
      </c>
    </row>
    <row r="9528" ht="20.35" customHeight="1">
      <c r="A9528" s="10">
        <v>45812</v>
      </c>
      <c r="B9528" t="s" s="11">
        <v>843</v>
      </c>
      <c r="C9528" t="s" s="12">
        <v>96</v>
      </c>
      <c r="D9528" s="17"/>
      <c r="E9528" s="17">
        <v>303064</v>
      </c>
      <c r="F9528" s="18"/>
      <c r="G9528" s="18"/>
      <c r="H9528" s="18"/>
      <c r="I9528" s="18"/>
    </row>
    <row r="9529" ht="20.35" customHeight="1">
      <c r="A9529" s="10">
        <v>45812</v>
      </c>
      <c r="B9529" t="s" s="11">
        <v>5</v>
      </c>
      <c r="C9529" t="s" s="12">
        <v>96</v>
      </c>
      <c r="D9529" s="13">
        <v>303064</v>
      </c>
      <c r="E9529" s="13"/>
      <c r="F9529" s="14"/>
      <c r="G9529" s="14"/>
      <c r="H9529" s="14"/>
      <c r="I9529" s="14"/>
    </row>
    <row r="9530" ht="20.7" customHeight="1">
      <c r="A9530" s="10">
        <v>45812</v>
      </c>
      <c r="B9530" t="s" s="11">
        <v>8</v>
      </c>
      <c r="C9530" t="s" s="12">
        <v>8</v>
      </c>
      <c r="D9530" s="15" cm="1">
        <f t="array" ref="D9530">SUM(D9528:D9529)</f>
        <v>303064</v>
      </c>
      <c r="E9530" s="15" cm="1">
        <f t="array" ref="E9530">SUM(E9528:E9529)</f>
        <v>303064</v>
      </c>
      <c r="F9530" s="16" cm="1">
        <f t="array" ref="F9530">SUM(F9528:F9529)</f>
        <v>0</v>
      </c>
      <c r="G9530" s="16" cm="1">
        <f t="array" ref="G9530">SUM(G9528:G9529)</f>
        <v>0</v>
      </c>
      <c r="H9530" s="16" cm="1">
        <f t="array" ref="H9530">SUM(H9528:H9529)</f>
        <v>0</v>
      </c>
      <c r="I9530" s="16" cm="1">
        <f t="array" ref="I9530">SUM(I9528:I9529)</f>
        <v>0</v>
      </c>
    </row>
    <row r="9531" ht="20.35" customHeight="1">
      <c r="A9531" s="10">
        <v>45812</v>
      </c>
      <c r="B9531" t="s" s="11">
        <v>5</v>
      </c>
      <c r="C9531" t="s" s="12">
        <v>1267</v>
      </c>
      <c r="D9531" s="17"/>
      <c r="E9531" s="17">
        <v>474557</v>
      </c>
      <c r="F9531" s="18"/>
      <c r="G9531" s="18"/>
      <c r="H9531" s="18"/>
      <c r="I9531" s="18"/>
    </row>
    <row r="9532" ht="20.35" customHeight="1">
      <c r="A9532" s="10">
        <v>45812</v>
      </c>
      <c r="B9532" t="s" s="11">
        <v>89</v>
      </c>
      <c r="C9532" t="s" s="12">
        <v>1267</v>
      </c>
      <c r="D9532" s="13">
        <v>474557</v>
      </c>
      <c r="E9532" s="13"/>
      <c r="F9532" s="14"/>
      <c r="G9532" s="14"/>
      <c r="H9532" s="14"/>
      <c r="I9532" s="14"/>
    </row>
    <row r="9533" ht="20.7" customHeight="1">
      <c r="A9533" s="10">
        <v>45812</v>
      </c>
      <c r="B9533" t="s" s="11">
        <v>8</v>
      </c>
      <c r="C9533" t="s" s="12">
        <v>8</v>
      </c>
      <c r="D9533" s="15" cm="1">
        <f t="array" ref="D9533">SUM(D9531:D9532)</f>
        <v>474557</v>
      </c>
      <c r="E9533" s="15" cm="1">
        <f t="array" ref="E9533">SUM(E9531:E9532)</f>
        <v>474557</v>
      </c>
      <c r="F9533" s="16" cm="1">
        <f t="array" ref="F9533">SUM(F9531:F9532)</f>
        <v>0</v>
      </c>
      <c r="G9533" s="16" cm="1">
        <f t="array" ref="G9533">SUM(G9531:G9532)</f>
        <v>0</v>
      </c>
      <c r="H9533" s="16" cm="1">
        <f t="array" ref="H9533">SUM(H9531:H9532)</f>
        <v>0</v>
      </c>
      <c r="I9533" s="16" cm="1">
        <f t="array" ref="I9533">SUM(I9531:I9532)</f>
        <v>0</v>
      </c>
    </row>
    <row r="9534" ht="20.35" customHeight="1">
      <c r="A9534" s="10">
        <v>45812</v>
      </c>
      <c r="B9534" t="s" s="11">
        <v>89</v>
      </c>
      <c r="C9534" t="s" s="12">
        <v>1267</v>
      </c>
      <c r="D9534" s="17"/>
      <c r="E9534" s="17">
        <v>474557</v>
      </c>
      <c r="F9534" s="18"/>
      <c r="G9534" s="18"/>
      <c r="H9534" s="18"/>
      <c r="I9534" s="18"/>
    </row>
    <row r="9535" ht="20.35" customHeight="1">
      <c r="A9535" s="10">
        <v>45812</v>
      </c>
      <c r="B9535" t="s" s="11">
        <v>10</v>
      </c>
      <c r="C9535" t="s" s="12">
        <v>1267</v>
      </c>
      <c r="D9535" s="13">
        <v>474557</v>
      </c>
      <c r="E9535" s="13"/>
      <c r="F9535" s="14"/>
      <c r="G9535" s="14"/>
      <c r="H9535" s="14"/>
      <c r="I9535" s="14"/>
    </row>
    <row r="9536" ht="20.7" customHeight="1">
      <c r="A9536" s="10">
        <v>45812</v>
      </c>
      <c r="B9536" t="s" s="11">
        <v>8</v>
      </c>
      <c r="C9536" t="s" s="12">
        <v>8</v>
      </c>
      <c r="D9536" s="15" cm="1">
        <f t="array" ref="D9536">SUM(D9534:D9535)</f>
        <v>474557</v>
      </c>
      <c r="E9536" s="15" cm="1">
        <f t="array" ref="E9536">SUM(E9534:E9535)</f>
        <v>474557</v>
      </c>
      <c r="F9536" s="16" cm="1">
        <f t="array" ref="F9536">SUM(F9534:F9535)</f>
        <v>0</v>
      </c>
      <c r="G9536" s="16" cm="1">
        <f t="array" ref="G9536">SUM(G9534:G9535)</f>
        <v>0</v>
      </c>
      <c r="H9536" s="16" cm="1">
        <f t="array" ref="H9536">SUM(H9534:H9535)</f>
        <v>0</v>
      </c>
      <c r="I9536" s="16" cm="1">
        <f t="array" ref="I9536">SUM(I9534:I9535)</f>
        <v>0</v>
      </c>
    </row>
    <row r="9537" ht="20.35" customHeight="1">
      <c r="A9537" s="10">
        <v>45812</v>
      </c>
      <c r="B9537" t="s" s="11">
        <v>1156</v>
      </c>
      <c r="C9537" t="s" s="12">
        <v>1268</v>
      </c>
      <c r="D9537" s="17"/>
      <c r="E9537" s="17"/>
      <c r="F9537" s="18"/>
      <c r="G9537" s="18"/>
      <c r="H9537" s="18"/>
      <c r="I9537" s="18">
        <v>2500</v>
      </c>
    </row>
    <row r="9538" ht="20.35" customHeight="1">
      <c r="A9538" s="10">
        <v>45812</v>
      </c>
      <c r="B9538" t="s" s="11">
        <v>1269</v>
      </c>
      <c r="C9538" t="s" s="12">
        <v>1268</v>
      </c>
      <c r="D9538" s="13"/>
      <c r="E9538" s="13"/>
      <c r="F9538" s="14"/>
      <c r="G9538" s="14"/>
      <c r="H9538" s="14">
        <v>2500</v>
      </c>
      <c r="I9538" s="14"/>
    </row>
    <row r="9539" ht="20.7" customHeight="1">
      <c r="A9539" s="10">
        <v>45812</v>
      </c>
      <c r="B9539" t="s" s="11">
        <v>8</v>
      </c>
      <c r="C9539" t="s" s="12">
        <v>8</v>
      </c>
      <c r="D9539" s="15" cm="1">
        <f t="array" ref="D9539">SUM(D9537:D9538)</f>
        <v>0</v>
      </c>
      <c r="E9539" s="15" cm="1">
        <f t="array" ref="E9539">SUM(E9537:E9538)</f>
        <v>0</v>
      </c>
      <c r="F9539" s="16" cm="1">
        <f t="array" ref="F9539">SUM(F9537:F9538)</f>
        <v>0</v>
      </c>
      <c r="G9539" s="16" cm="1">
        <f t="array" ref="G9539">SUM(G9537:G9538)</f>
        <v>0</v>
      </c>
      <c r="H9539" s="16" cm="1">
        <f t="array" ref="H9539">SUM(H9537:H9538)</f>
        <v>2500</v>
      </c>
      <c r="I9539" s="16" cm="1">
        <f t="array" ref="I9539">SUM(I9537:I9538)</f>
        <v>2500</v>
      </c>
    </row>
    <row r="9540" ht="21.25" customHeight="1">
      <c r="A9540" s="10">
        <v>45812</v>
      </c>
      <c r="B9540" t="s" s="11">
        <v>21</v>
      </c>
      <c r="C9540" t="s" s="12">
        <v>1270</v>
      </c>
      <c r="D9540" s="17"/>
      <c r="E9540" s="17">
        <v>2800</v>
      </c>
      <c r="F9540" s="18"/>
      <c r="G9540" s="18"/>
      <c r="H9540" s="18"/>
      <c r="I9540" s="18"/>
    </row>
    <row r="9541" ht="21.25" customHeight="1">
      <c r="A9541" s="10">
        <v>45812</v>
      </c>
      <c r="B9541" t="s" s="11">
        <v>16</v>
      </c>
      <c r="C9541" t="s" s="12">
        <v>1270</v>
      </c>
      <c r="D9541" s="13">
        <v>2800</v>
      </c>
      <c r="E9541" s="13"/>
      <c r="F9541" s="14"/>
      <c r="G9541" s="14"/>
      <c r="H9541" s="14"/>
      <c r="I9541" s="14"/>
    </row>
    <row r="9542" ht="20.7" customHeight="1">
      <c r="A9542" s="10">
        <v>45812</v>
      </c>
      <c r="B9542" t="s" s="11">
        <v>8</v>
      </c>
      <c r="C9542" t="s" s="12">
        <v>8</v>
      </c>
      <c r="D9542" s="15" cm="1">
        <f t="array" ref="D9542">SUM(D9540:D9541)</f>
        <v>2800</v>
      </c>
      <c r="E9542" s="15" cm="1">
        <f t="array" ref="E9542">SUM(E9540:E9541)</f>
        <v>2800</v>
      </c>
      <c r="F9542" s="16" cm="1">
        <f t="array" ref="F9542">SUM(F9540:F9541)</f>
        <v>0</v>
      </c>
      <c r="G9542" s="16" cm="1">
        <f t="array" ref="G9542">SUM(G9540:G9541)</f>
        <v>0</v>
      </c>
      <c r="H9542" s="16" cm="1">
        <f t="array" ref="H9542">SUM(H9540:H9541)</f>
        <v>0</v>
      </c>
      <c r="I9542" s="16" cm="1">
        <f t="array" ref="I9542">SUM(I9540:I9541)</f>
        <v>0</v>
      </c>
    </row>
    <row r="9543" ht="20.35" customHeight="1">
      <c r="A9543" s="10">
        <v>45813</v>
      </c>
      <c r="B9543" t="s" s="11">
        <v>121</v>
      </c>
      <c r="C9543" t="s" s="12">
        <v>96</v>
      </c>
      <c r="D9543" s="17"/>
      <c r="E9543" s="17">
        <v>5325</v>
      </c>
      <c r="F9543" s="18"/>
      <c r="G9543" s="18"/>
      <c r="H9543" s="18"/>
      <c r="I9543" s="18"/>
    </row>
    <row r="9544" ht="20.35" customHeight="1">
      <c r="A9544" s="10">
        <v>45813</v>
      </c>
      <c r="B9544" t="s" s="11">
        <v>5</v>
      </c>
      <c r="C9544" t="s" s="12">
        <v>96</v>
      </c>
      <c r="D9544" s="13">
        <v>5325</v>
      </c>
      <c r="E9544" s="13"/>
      <c r="F9544" s="14"/>
      <c r="G9544" s="14"/>
      <c r="H9544" s="14"/>
      <c r="I9544" s="14"/>
    </row>
    <row r="9545" ht="20.7" customHeight="1">
      <c r="A9545" s="10">
        <v>45813</v>
      </c>
      <c r="B9545" t="s" s="11">
        <v>8</v>
      </c>
      <c r="C9545" t="s" s="12">
        <v>8</v>
      </c>
      <c r="D9545" s="15" cm="1">
        <f t="array" ref="D9545">SUM(D9543:D9544)</f>
        <v>5325</v>
      </c>
      <c r="E9545" s="15" cm="1">
        <f t="array" ref="E9545">SUM(E9543:E9544)</f>
        <v>5325</v>
      </c>
      <c r="F9545" s="16" cm="1">
        <f t="array" ref="F9545">SUM(F9543:F9544)</f>
        <v>0</v>
      </c>
      <c r="G9545" s="16" cm="1">
        <f t="array" ref="G9545">SUM(G9543:G9544)</f>
        <v>0</v>
      </c>
      <c r="H9545" s="16" cm="1">
        <f t="array" ref="H9545">SUM(H9543:H9544)</f>
        <v>0</v>
      </c>
      <c r="I9545" s="16" cm="1">
        <f t="array" ref="I9545">SUM(I9543:I9544)</f>
        <v>0</v>
      </c>
    </row>
    <row r="9546" ht="20.35" customHeight="1">
      <c r="A9546" s="10">
        <v>45813</v>
      </c>
      <c r="B9546" t="s" s="11">
        <v>93</v>
      </c>
      <c r="C9546" t="s" s="12">
        <v>273</v>
      </c>
      <c r="D9546" s="17">
        <v>4500</v>
      </c>
      <c r="E9546" s="17"/>
      <c r="F9546" s="18"/>
      <c r="G9546" s="18"/>
      <c r="H9546" s="18"/>
      <c r="I9546" s="18"/>
    </row>
    <row r="9547" ht="20.35" customHeight="1">
      <c r="A9547" s="10">
        <v>45813</v>
      </c>
      <c r="B9547" t="s" s="11">
        <v>89</v>
      </c>
      <c r="C9547" t="s" s="12">
        <v>273</v>
      </c>
      <c r="D9547" s="13"/>
      <c r="E9547" s="13">
        <v>4500</v>
      </c>
      <c r="F9547" s="14"/>
      <c r="G9547" s="14"/>
      <c r="H9547" s="14"/>
      <c r="I9547" s="14"/>
    </row>
    <row r="9548" ht="20.7" customHeight="1">
      <c r="A9548" s="10">
        <v>45813</v>
      </c>
      <c r="B9548" t="s" s="11">
        <v>8</v>
      </c>
      <c r="C9548" t="s" s="12">
        <v>8</v>
      </c>
      <c r="D9548" s="15" cm="1">
        <f t="array" ref="D9548">SUM(D9546:D9547)</f>
        <v>4500</v>
      </c>
      <c r="E9548" s="15" cm="1">
        <f t="array" ref="E9548">SUM(E9546:E9547)</f>
        <v>4500</v>
      </c>
      <c r="F9548" s="16" cm="1">
        <f t="array" ref="F9548">SUM(F9546:F9547)</f>
        <v>0</v>
      </c>
      <c r="G9548" s="16" cm="1">
        <f t="array" ref="G9548">SUM(G9546:G9547)</f>
        <v>0</v>
      </c>
      <c r="H9548" s="16" cm="1">
        <f t="array" ref="H9548">SUM(H9546:H9547)</f>
        <v>0</v>
      </c>
      <c r="I9548" s="16" cm="1">
        <f t="array" ref="I9548">SUM(I9546:I9547)</f>
        <v>0</v>
      </c>
    </row>
    <row r="9549" ht="20.35" customHeight="1">
      <c r="A9549" s="10">
        <v>45813</v>
      </c>
      <c r="B9549" t="s" s="11">
        <v>93</v>
      </c>
      <c r="C9549" t="s" s="12">
        <v>273</v>
      </c>
      <c r="D9549" s="17">
        <v>400</v>
      </c>
      <c r="E9549" s="17"/>
      <c r="F9549" s="18"/>
      <c r="G9549" s="18"/>
      <c r="H9549" s="18"/>
      <c r="I9549" s="18"/>
    </row>
    <row r="9550" ht="20.35" customHeight="1">
      <c r="A9550" s="10">
        <v>45813</v>
      </c>
      <c r="B9550" t="s" s="11">
        <v>89</v>
      </c>
      <c r="C9550" t="s" s="12">
        <v>273</v>
      </c>
      <c r="D9550" s="13"/>
      <c r="E9550" s="13">
        <v>400</v>
      </c>
      <c r="F9550" s="14"/>
      <c r="G9550" s="14"/>
      <c r="H9550" s="14"/>
      <c r="I9550" s="14"/>
    </row>
    <row r="9551" ht="20.7" customHeight="1">
      <c r="A9551" s="10">
        <v>45813</v>
      </c>
      <c r="B9551" t="s" s="11">
        <v>8</v>
      </c>
      <c r="C9551" t="s" s="12">
        <v>8</v>
      </c>
      <c r="D9551" s="15" cm="1">
        <f t="array" ref="D9551">SUM(D9549:D9550)</f>
        <v>400</v>
      </c>
      <c r="E9551" s="15" cm="1">
        <f t="array" ref="E9551">SUM(E9549:E9550)</f>
        <v>400</v>
      </c>
      <c r="F9551" s="16" cm="1">
        <f t="array" ref="F9551">SUM(F9549:F9550)</f>
        <v>0</v>
      </c>
      <c r="G9551" s="16" cm="1">
        <f t="array" ref="G9551">SUM(G9549:G9550)</f>
        <v>0</v>
      </c>
      <c r="H9551" s="16" cm="1">
        <f t="array" ref="H9551">SUM(H9549:H9550)</f>
        <v>0</v>
      </c>
      <c r="I9551" s="16" cm="1">
        <f t="array" ref="I9551">SUM(I9549:I9550)</f>
        <v>0</v>
      </c>
    </row>
    <row r="9552" ht="20.35" customHeight="1">
      <c r="A9552" s="10">
        <v>45813</v>
      </c>
      <c r="B9552" t="s" s="11">
        <v>5</v>
      </c>
      <c r="C9552" t="s" s="12">
        <v>916</v>
      </c>
      <c r="D9552" s="17"/>
      <c r="E9552" s="17">
        <v>1800</v>
      </c>
      <c r="F9552" s="18"/>
      <c r="G9552" s="18"/>
      <c r="H9552" s="18"/>
      <c r="I9552" s="18"/>
    </row>
    <row r="9553" ht="20.35" customHeight="1">
      <c r="A9553" s="10">
        <v>45813</v>
      </c>
      <c r="B9553" t="s" s="11">
        <v>12</v>
      </c>
      <c r="C9553" t="s" s="12">
        <v>916</v>
      </c>
      <c r="D9553" s="13">
        <v>1800</v>
      </c>
      <c r="E9553" s="13"/>
      <c r="F9553" s="14"/>
      <c r="G9553" s="14"/>
      <c r="H9553" s="14"/>
      <c r="I9553" s="14"/>
    </row>
    <row r="9554" ht="20.7" customHeight="1">
      <c r="A9554" s="10">
        <v>45813</v>
      </c>
      <c r="B9554" t="s" s="11">
        <v>8</v>
      </c>
      <c r="C9554" t="s" s="12">
        <v>8</v>
      </c>
      <c r="D9554" s="15" cm="1">
        <f t="array" ref="D9554">SUM(D9552:D9553)</f>
        <v>1800</v>
      </c>
      <c r="E9554" s="15" cm="1">
        <f t="array" ref="E9554">SUM(E9552:E9553)</f>
        <v>1800</v>
      </c>
      <c r="F9554" s="16" cm="1">
        <f t="array" ref="F9554">SUM(F9552:F9553)</f>
        <v>0</v>
      </c>
      <c r="G9554" s="16" cm="1">
        <f t="array" ref="G9554">SUM(G9552:G9553)</f>
        <v>0</v>
      </c>
      <c r="H9554" s="16" cm="1">
        <f t="array" ref="H9554">SUM(H9552:H9553)</f>
        <v>0</v>
      </c>
      <c r="I9554" s="16" cm="1">
        <f t="array" ref="I9554">SUM(I9552:I9553)</f>
        <v>0</v>
      </c>
    </row>
    <row r="9555" ht="20.35" customHeight="1">
      <c r="A9555" s="10">
        <v>45813</v>
      </c>
      <c r="B9555" t="s" s="11">
        <v>5</v>
      </c>
      <c r="C9555" t="s" s="12">
        <v>916</v>
      </c>
      <c r="D9555" s="17"/>
      <c r="E9555" s="17">
        <v>1000</v>
      </c>
      <c r="F9555" s="18"/>
      <c r="G9555" s="18"/>
      <c r="H9555" s="18"/>
      <c r="I9555" s="18"/>
    </row>
    <row r="9556" ht="20.35" customHeight="1">
      <c r="A9556" s="10">
        <v>45813</v>
      </c>
      <c r="B9556" t="s" s="11">
        <v>12</v>
      </c>
      <c r="C9556" t="s" s="12">
        <v>916</v>
      </c>
      <c r="D9556" s="13">
        <v>1000</v>
      </c>
      <c r="E9556" s="13"/>
      <c r="F9556" s="14"/>
      <c r="G9556" s="14"/>
      <c r="H9556" s="14"/>
      <c r="I9556" s="14"/>
    </row>
    <row r="9557" ht="20.7" customHeight="1">
      <c r="A9557" s="10">
        <v>45813</v>
      </c>
      <c r="B9557" t="s" s="11">
        <v>8</v>
      </c>
      <c r="C9557" t="s" s="12">
        <v>8</v>
      </c>
      <c r="D9557" s="15" cm="1">
        <f t="array" ref="D9557">SUM(D9555:D9556)</f>
        <v>1000</v>
      </c>
      <c r="E9557" s="15" cm="1">
        <f t="array" ref="E9557">SUM(E9555:E9556)</f>
        <v>1000</v>
      </c>
      <c r="F9557" s="16" cm="1">
        <f t="array" ref="F9557">SUM(F9555:F9556)</f>
        <v>0</v>
      </c>
      <c r="G9557" s="16" cm="1">
        <f t="array" ref="G9557">SUM(G9555:G9556)</f>
        <v>0</v>
      </c>
      <c r="H9557" s="16" cm="1">
        <f t="array" ref="H9557">SUM(H9555:H9556)</f>
        <v>0</v>
      </c>
      <c r="I9557" s="16" cm="1">
        <f t="array" ref="I9557">SUM(I9555:I9556)</f>
        <v>0</v>
      </c>
    </row>
    <row r="9558" ht="20.35" customHeight="1">
      <c r="A9558" s="10">
        <v>45813</v>
      </c>
      <c r="B9558" t="s" s="11">
        <v>814</v>
      </c>
      <c r="C9558" t="s" s="12">
        <v>96</v>
      </c>
      <c r="D9558" s="17"/>
      <c r="E9558" s="17">
        <v>11225</v>
      </c>
      <c r="F9558" s="18"/>
      <c r="G9558" s="18"/>
      <c r="H9558" s="18"/>
      <c r="I9558" s="18"/>
    </row>
    <row r="9559" ht="20.35" customHeight="1">
      <c r="A9559" s="10">
        <v>45813</v>
      </c>
      <c r="B9559" t="s" s="11">
        <v>5</v>
      </c>
      <c r="C9559" t="s" s="12">
        <v>96</v>
      </c>
      <c r="D9559" s="13">
        <v>11225</v>
      </c>
      <c r="E9559" s="13"/>
      <c r="F9559" s="14"/>
      <c r="G9559" s="14"/>
      <c r="H9559" s="14"/>
      <c r="I9559" s="14"/>
    </row>
    <row r="9560" ht="20.7" customHeight="1">
      <c r="A9560" s="10">
        <v>45813</v>
      </c>
      <c r="B9560" t="s" s="11">
        <v>8</v>
      </c>
      <c r="C9560" t="s" s="12">
        <v>8</v>
      </c>
      <c r="D9560" s="15" cm="1">
        <f t="array" ref="D9560">SUM(D9558:D9559)</f>
        <v>11225</v>
      </c>
      <c r="E9560" s="15" cm="1">
        <f t="array" ref="E9560">SUM(E9558:E9559)</f>
        <v>11225</v>
      </c>
      <c r="F9560" s="16" cm="1">
        <f t="array" ref="F9560">SUM(F9558:F9559)</f>
        <v>0</v>
      </c>
      <c r="G9560" s="16" cm="1">
        <f t="array" ref="G9560">SUM(G9558:G9559)</f>
        <v>0</v>
      </c>
      <c r="H9560" s="16" cm="1">
        <f t="array" ref="H9560">SUM(H9558:H9559)</f>
        <v>0</v>
      </c>
      <c r="I9560" s="16" cm="1">
        <f t="array" ref="I9560">SUM(I9558:I9559)</f>
        <v>0</v>
      </c>
    </row>
    <row r="9561" ht="21.25" customHeight="1">
      <c r="A9561" s="10">
        <v>45813</v>
      </c>
      <c r="B9561" t="s" s="11">
        <v>5</v>
      </c>
      <c r="C9561" t="s" s="12">
        <v>276</v>
      </c>
      <c r="D9561" s="17"/>
      <c r="E9561" s="17">
        <v>13000</v>
      </c>
      <c r="F9561" s="18"/>
      <c r="G9561" s="18"/>
      <c r="H9561" s="18"/>
      <c r="I9561" s="18"/>
    </row>
    <row r="9562" ht="21.25" customHeight="1">
      <c r="A9562" s="10">
        <v>45813</v>
      </c>
      <c r="B9562" t="s" s="11">
        <v>10</v>
      </c>
      <c r="C9562" t="s" s="12">
        <v>276</v>
      </c>
      <c r="D9562" s="13">
        <v>13000</v>
      </c>
      <c r="E9562" s="13"/>
      <c r="F9562" s="14"/>
      <c r="G9562" s="14"/>
      <c r="H9562" s="14"/>
      <c r="I9562" s="14"/>
    </row>
    <row r="9563" ht="20.7" customHeight="1">
      <c r="A9563" s="10">
        <v>45813</v>
      </c>
      <c r="B9563" t="s" s="11">
        <v>8</v>
      </c>
      <c r="C9563" t="s" s="12">
        <v>8</v>
      </c>
      <c r="D9563" s="15" cm="1">
        <f t="array" ref="D9563">SUM(D9561:D9562)</f>
        <v>13000</v>
      </c>
      <c r="E9563" s="15" cm="1">
        <f t="array" ref="E9563">SUM(E9561:E9562)</f>
        <v>13000</v>
      </c>
      <c r="F9563" s="16" cm="1">
        <f t="array" ref="F9563">SUM(F9561:F9562)</f>
        <v>0</v>
      </c>
      <c r="G9563" s="16" cm="1">
        <f t="array" ref="G9563">SUM(G9561:G9562)</f>
        <v>0</v>
      </c>
      <c r="H9563" s="16" cm="1">
        <f t="array" ref="H9563">SUM(H9561:H9562)</f>
        <v>0</v>
      </c>
      <c r="I9563" s="16" cm="1">
        <f t="array" ref="I9563">SUM(I9561:I9562)</f>
        <v>0</v>
      </c>
    </row>
    <row r="9564" ht="20.35" customHeight="1">
      <c r="A9564" s="10">
        <v>45813</v>
      </c>
      <c r="B9564" t="s" s="11">
        <v>28</v>
      </c>
      <c r="C9564" t="s" s="12">
        <v>96</v>
      </c>
      <c r="D9564" s="17"/>
      <c r="E9564" s="17">
        <v>40000</v>
      </c>
      <c r="F9564" s="18"/>
      <c r="G9564" s="18"/>
      <c r="H9564" s="18"/>
      <c r="I9564" s="18"/>
    </row>
    <row r="9565" ht="20.35" customHeight="1">
      <c r="A9565" s="10">
        <v>45813</v>
      </c>
      <c r="B9565" t="s" s="11">
        <v>5</v>
      </c>
      <c r="C9565" t="s" s="12">
        <v>96</v>
      </c>
      <c r="D9565" s="13">
        <v>40000</v>
      </c>
      <c r="E9565" s="13"/>
      <c r="F9565" s="14"/>
      <c r="G9565" s="14"/>
      <c r="H9565" s="14"/>
      <c r="I9565" s="14"/>
    </row>
    <row r="9566" ht="20.7" customHeight="1">
      <c r="A9566" s="10">
        <v>45813</v>
      </c>
      <c r="B9566" t="s" s="11">
        <v>8</v>
      </c>
      <c r="C9566" t="s" s="12">
        <v>8</v>
      </c>
      <c r="D9566" s="15" cm="1">
        <f t="array" ref="D9566">SUM(D9564:D9565)</f>
        <v>40000</v>
      </c>
      <c r="E9566" s="15" cm="1">
        <f t="array" ref="E9566">SUM(E9564:E9565)</f>
        <v>40000</v>
      </c>
      <c r="F9566" s="16" cm="1">
        <f t="array" ref="F9566">SUM(F9564:F9565)</f>
        <v>0</v>
      </c>
      <c r="G9566" s="16" cm="1">
        <f t="array" ref="G9566">SUM(G9564:G9565)</f>
        <v>0</v>
      </c>
      <c r="H9566" s="16" cm="1">
        <f t="array" ref="H9566">SUM(H9564:H9565)</f>
        <v>0</v>
      </c>
      <c r="I9566" s="16" cm="1">
        <f t="array" ref="I9566">SUM(I9564:I9565)</f>
        <v>0</v>
      </c>
    </row>
    <row r="9567" ht="21.25" customHeight="1">
      <c r="A9567" s="10">
        <v>45813</v>
      </c>
      <c r="B9567" t="s" s="11">
        <v>5</v>
      </c>
      <c r="C9567" t="s" s="12">
        <v>1271</v>
      </c>
      <c r="D9567" s="17"/>
      <c r="E9567" s="17">
        <v>30000</v>
      </c>
      <c r="F9567" s="18"/>
      <c r="G9567" s="18"/>
      <c r="H9567" s="18"/>
      <c r="I9567" s="18"/>
    </row>
    <row r="9568" ht="21.25" customHeight="1">
      <c r="A9568" s="10">
        <v>45813</v>
      </c>
      <c r="B9568" t="s" s="11">
        <v>10</v>
      </c>
      <c r="C9568" t="s" s="12">
        <v>1271</v>
      </c>
      <c r="D9568" s="13">
        <v>30000</v>
      </c>
      <c r="E9568" s="13"/>
      <c r="F9568" s="14"/>
      <c r="G9568" s="14"/>
      <c r="H9568" s="14"/>
      <c r="I9568" s="14"/>
    </row>
    <row r="9569" ht="20.7" customHeight="1">
      <c r="A9569" s="10">
        <v>45813</v>
      </c>
      <c r="B9569" t="s" s="11">
        <v>8</v>
      </c>
      <c r="C9569" t="s" s="12">
        <v>8</v>
      </c>
      <c r="D9569" s="15" cm="1">
        <f t="array" ref="D9569">SUM(D9567:D9568)</f>
        <v>30000</v>
      </c>
      <c r="E9569" s="15" cm="1">
        <f t="array" ref="E9569">SUM(E9567:E9568)</f>
        <v>30000</v>
      </c>
      <c r="F9569" s="16" cm="1">
        <f t="array" ref="F9569">SUM(F9567:F9568)</f>
        <v>0</v>
      </c>
      <c r="G9569" s="16" cm="1">
        <f t="array" ref="G9569">SUM(G9567:G9568)</f>
        <v>0</v>
      </c>
      <c r="H9569" s="16" cm="1">
        <f t="array" ref="H9569">SUM(H9567:H9568)</f>
        <v>0</v>
      </c>
      <c r="I9569" s="16" cm="1">
        <f t="array" ref="I9569">SUM(I9567:I9568)</f>
        <v>0</v>
      </c>
    </row>
    <row r="9570" ht="20.35" customHeight="1">
      <c r="A9570" s="10">
        <v>45814</v>
      </c>
      <c r="B9570" t="s" s="11">
        <v>93</v>
      </c>
      <c r="C9570" t="s" s="12">
        <v>368</v>
      </c>
      <c r="D9570" s="17">
        <v>100000</v>
      </c>
      <c r="E9570" s="17"/>
      <c r="F9570" s="18"/>
      <c r="G9570" s="18"/>
      <c r="H9570" s="18"/>
      <c r="I9570" s="18"/>
    </row>
    <row r="9571" ht="20.35" customHeight="1">
      <c r="A9571" s="10">
        <v>45814</v>
      </c>
      <c r="B9571" t="s" s="11">
        <v>21</v>
      </c>
      <c r="C9571" t="s" s="12">
        <v>368</v>
      </c>
      <c r="D9571" s="13"/>
      <c r="E9571" s="13">
        <v>100000</v>
      </c>
      <c r="F9571" s="14"/>
      <c r="G9571" s="14"/>
      <c r="H9571" s="14"/>
      <c r="I9571" s="14"/>
    </row>
    <row r="9572" ht="20.7" customHeight="1">
      <c r="A9572" s="10">
        <v>45814</v>
      </c>
      <c r="B9572" t="s" s="11">
        <v>8</v>
      </c>
      <c r="C9572" t="s" s="12">
        <v>8</v>
      </c>
      <c r="D9572" s="15" cm="1">
        <f t="array" ref="D9572">SUM(D9570:D9571)</f>
        <v>100000</v>
      </c>
      <c r="E9572" s="15" cm="1">
        <f t="array" ref="E9572">SUM(E9570:E9571)</f>
        <v>100000</v>
      </c>
      <c r="F9572" s="16" cm="1">
        <f t="array" ref="F9572">SUM(F9570:F9571)</f>
        <v>0</v>
      </c>
      <c r="G9572" s="16" cm="1">
        <f t="array" ref="G9572">SUM(G9570:G9571)</f>
        <v>0</v>
      </c>
      <c r="H9572" s="16" cm="1">
        <f t="array" ref="H9572">SUM(H9570:H9571)</f>
        <v>0</v>
      </c>
      <c r="I9572" s="16" cm="1">
        <f t="array" ref="I9572">SUM(I9570:I9571)</f>
        <v>0</v>
      </c>
    </row>
    <row r="9573" ht="20.35" customHeight="1">
      <c r="A9573" s="10">
        <v>45814</v>
      </c>
      <c r="B9573" t="s" s="11">
        <v>5</v>
      </c>
      <c r="C9573" t="s" s="12">
        <v>1272</v>
      </c>
      <c r="D9573" s="17"/>
      <c r="E9573" s="17">
        <v>10167</v>
      </c>
      <c r="F9573" s="18"/>
      <c r="G9573" s="18"/>
      <c r="H9573" s="18"/>
      <c r="I9573" s="18"/>
    </row>
    <row r="9574" ht="20.35" customHeight="1">
      <c r="A9574" s="10">
        <v>45814</v>
      </c>
      <c r="B9574" t="s" s="11">
        <v>12</v>
      </c>
      <c r="C9574" t="s" s="12">
        <v>1272</v>
      </c>
      <c r="D9574" s="13">
        <v>10167</v>
      </c>
      <c r="E9574" s="13"/>
      <c r="F9574" s="14"/>
      <c r="G9574" s="14"/>
      <c r="H9574" s="14"/>
      <c r="I9574" s="14"/>
    </row>
    <row r="9575" ht="20.7" customHeight="1">
      <c r="A9575" s="10">
        <v>45814</v>
      </c>
      <c r="B9575" t="s" s="11">
        <v>8</v>
      </c>
      <c r="C9575" t="s" s="12">
        <v>8</v>
      </c>
      <c r="D9575" s="15" cm="1">
        <f t="array" ref="D9575">SUM(D9573:D9574)</f>
        <v>10167</v>
      </c>
      <c r="E9575" s="15" cm="1">
        <f t="array" ref="E9575">SUM(E9573:E9574)</f>
        <v>10167</v>
      </c>
      <c r="F9575" s="16" cm="1">
        <f t="array" ref="F9575">SUM(F9573:F9574)</f>
        <v>0</v>
      </c>
      <c r="G9575" s="16" cm="1">
        <f t="array" ref="G9575">SUM(G9573:G9574)</f>
        <v>0</v>
      </c>
      <c r="H9575" s="16" cm="1">
        <f t="array" ref="H9575">SUM(H9573:H9574)</f>
        <v>0</v>
      </c>
      <c r="I9575" s="16" cm="1">
        <f t="array" ref="I9575">SUM(I9573:I9574)</f>
        <v>0</v>
      </c>
    </row>
    <row r="9576" ht="21.25" customHeight="1">
      <c r="A9576" s="10">
        <v>45814</v>
      </c>
      <c r="B9576" t="s" s="11">
        <v>93</v>
      </c>
      <c r="C9576" t="s" s="12">
        <v>1273</v>
      </c>
      <c r="D9576" s="17"/>
      <c r="E9576" s="17">
        <v>7000</v>
      </c>
      <c r="F9576" s="18"/>
      <c r="G9576" s="18"/>
      <c r="H9576" s="18"/>
      <c r="I9576" s="18"/>
    </row>
    <row r="9577" ht="20.9" customHeight="1">
      <c r="A9577" s="10">
        <v>45814</v>
      </c>
      <c r="B9577" t="s" s="11">
        <v>12</v>
      </c>
      <c r="C9577" t="s" s="12">
        <v>1273</v>
      </c>
      <c r="D9577" s="19">
        <v>3500</v>
      </c>
      <c r="E9577" s="19"/>
      <c r="F9577" s="20"/>
      <c r="G9577" s="20"/>
      <c r="H9577" s="20"/>
      <c r="I9577" s="20"/>
    </row>
    <row r="9578" ht="21.25" customHeight="1">
      <c r="A9578" s="10">
        <v>45814</v>
      </c>
      <c r="B9578" t="s" s="11">
        <v>10</v>
      </c>
      <c r="C9578" t="s" s="12">
        <v>1273</v>
      </c>
      <c r="D9578" s="13">
        <v>3500</v>
      </c>
      <c r="E9578" s="13"/>
      <c r="F9578" s="14"/>
      <c r="G9578" s="14"/>
      <c r="H9578" s="14"/>
      <c r="I9578" s="14"/>
    </row>
    <row r="9579" ht="20.7" customHeight="1">
      <c r="A9579" s="10">
        <v>45814</v>
      </c>
      <c r="B9579" t="s" s="11">
        <v>8</v>
      </c>
      <c r="C9579" t="s" s="12">
        <v>8</v>
      </c>
      <c r="D9579" s="15" cm="1">
        <f t="array" ref="D9579">SUM(D9576:D9578)</f>
        <v>7000</v>
      </c>
      <c r="E9579" s="15" cm="1">
        <f t="array" ref="E9579">SUM(E9576:E9578)</f>
        <v>7000</v>
      </c>
      <c r="F9579" s="16" cm="1">
        <f t="array" ref="F9579">SUM(F9576:F9578)</f>
        <v>0</v>
      </c>
      <c r="G9579" s="16" cm="1">
        <f t="array" ref="G9579">SUM(G9576:G9578)</f>
        <v>0</v>
      </c>
      <c r="H9579" s="16" cm="1">
        <f t="array" ref="H9579">SUM(H9576:H9578)</f>
        <v>0</v>
      </c>
      <c r="I9579" s="16" cm="1">
        <f t="array" ref="I9579">SUM(I9576:I9578)</f>
        <v>0</v>
      </c>
    </row>
    <row r="9580" ht="21.25" customHeight="1">
      <c r="A9580" s="10">
        <v>45814</v>
      </c>
      <c r="B9580" t="s" s="11">
        <v>5</v>
      </c>
      <c r="C9580" t="s" s="12">
        <v>799</v>
      </c>
      <c r="D9580" s="17">
        <v>6</v>
      </c>
      <c r="E9580" s="17"/>
      <c r="F9580" s="18"/>
      <c r="G9580" s="18"/>
      <c r="H9580" s="18"/>
      <c r="I9580" s="18"/>
    </row>
    <row r="9581" ht="21.25" customHeight="1">
      <c r="A9581" s="10">
        <v>45814</v>
      </c>
      <c r="B9581" t="s" s="11">
        <v>18</v>
      </c>
      <c r="C9581" t="s" s="12">
        <v>799</v>
      </c>
      <c r="D9581" s="13"/>
      <c r="E9581" s="13">
        <v>6</v>
      </c>
      <c r="F9581" s="14"/>
      <c r="G9581" s="14"/>
      <c r="H9581" s="14"/>
      <c r="I9581" s="14"/>
    </row>
    <row r="9582" ht="20.7" customHeight="1">
      <c r="A9582" s="10">
        <v>45814</v>
      </c>
      <c r="B9582" t="s" s="11">
        <v>8</v>
      </c>
      <c r="C9582" t="s" s="12">
        <v>8</v>
      </c>
      <c r="D9582" s="15" cm="1">
        <f t="array" ref="D9582">SUM(D9580:D9581)</f>
        <v>6</v>
      </c>
      <c r="E9582" s="15" cm="1">
        <f t="array" ref="E9582">SUM(E9580:E9581)</f>
        <v>6</v>
      </c>
      <c r="F9582" s="16" cm="1">
        <f t="array" ref="F9582">SUM(F9580:F9581)</f>
        <v>0</v>
      </c>
      <c r="G9582" s="16" cm="1">
        <f t="array" ref="G9582">SUM(G9580:G9581)</f>
        <v>0</v>
      </c>
      <c r="H9582" s="16" cm="1">
        <f t="array" ref="H9582">SUM(H9580:H9581)</f>
        <v>0</v>
      </c>
      <c r="I9582" s="16" cm="1">
        <f t="array" ref="I9582">SUM(I9580:I9581)</f>
        <v>0</v>
      </c>
    </row>
    <row r="9583" ht="21.25" customHeight="1">
      <c r="A9583" s="10">
        <v>45814</v>
      </c>
      <c r="B9583" t="s" s="11">
        <v>93</v>
      </c>
      <c r="C9583" t="s" s="12">
        <v>1274</v>
      </c>
      <c r="D9583" s="17"/>
      <c r="E9583" s="17">
        <v>22610</v>
      </c>
      <c r="F9583" s="18"/>
      <c r="G9583" s="18"/>
      <c r="H9583" s="18"/>
      <c r="I9583" s="18"/>
    </row>
    <row r="9584" ht="21.25" customHeight="1">
      <c r="A9584" s="10">
        <v>45814</v>
      </c>
      <c r="B9584" t="s" s="11">
        <v>10</v>
      </c>
      <c r="C9584" t="s" s="12">
        <v>1274</v>
      </c>
      <c r="D9584" s="13">
        <v>22610</v>
      </c>
      <c r="E9584" s="13"/>
      <c r="F9584" s="14"/>
      <c r="G9584" s="14"/>
      <c r="H9584" s="14"/>
      <c r="I9584" s="14"/>
    </row>
    <row r="9585" ht="20.7" customHeight="1">
      <c r="A9585" s="10">
        <v>45814</v>
      </c>
      <c r="B9585" t="s" s="11">
        <v>8</v>
      </c>
      <c r="C9585" t="s" s="12">
        <v>8</v>
      </c>
      <c r="D9585" s="15" cm="1">
        <f t="array" ref="D9585">SUM(D9583:D9584)</f>
        <v>22610</v>
      </c>
      <c r="E9585" s="15" cm="1">
        <f t="array" ref="E9585">SUM(E9583:E9584)</f>
        <v>22610</v>
      </c>
      <c r="F9585" s="16" cm="1">
        <f t="array" ref="F9585">SUM(F9583:F9584)</f>
        <v>0</v>
      </c>
      <c r="G9585" s="16" cm="1">
        <f t="array" ref="G9585">SUM(G9583:G9584)</f>
        <v>0</v>
      </c>
      <c r="H9585" s="16" cm="1">
        <f t="array" ref="H9585">SUM(H9583:H9584)</f>
        <v>0</v>
      </c>
      <c r="I9585" s="16" cm="1">
        <f t="array" ref="I9585">SUM(I9583:I9584)</f>
        <v>0</v>
      </c>
    </row>
    <row r="9586" ht="20.35" customHeight="1">
      <c r="A9586" s="10">
        <v>45814</v>
      </c>
      <c r="B9586" t="s" s="11">
        <v>93</v>
      </c>
      <c r="C9586" t="s" s="12">
        <v>1275</v>
      </c>
      <c r="D9586" s="17"/>
      <c r="E9586" s="17">
        <v>50000</v>
      </c>
      <c r="F9586" s="18"/>
      <c r="G9586" s="18"/>
      <c r="H9586" s="18"/>
      <c r="I9586" s="18"/>
    </row>
    <row r="9587" ht="20.35" customHeight="1">
      <c r="A9587" s="10">
        <v>45814</v>
      </c>
      <c r="B9587" t="s" s="11">
        <v>10</v>
      </c>
      <c r="C9587" t="s" s="12">
        <v>1275</v>
      </c>
      <c r="D9587" s="13">
        <v>50000</v>
      </c>
      <c r="E9587" s="13"/>
      <c r="F9587" s="14"/>
      <c r="G9587" s="14"/>
      <c r="H9587" s="14"/>
      <c r="I9587" s="14"/>
    </row>
    <row r="9588" ht="20.7" customHeight="1">
      <c r="A9588" s="10">
        <v>45814</v>
      </c>
      <c r="B9588" t="s" s="11">
        <v>8</v>
      </c>
      <c r="C9588" t="s" s="12">
        <v>8</v>
      </c>
      <c r="D9588" s="15" cm="1">
        <f t="array" ref="D9588">SUM(D9586:D9587)</f>
        <v>50000</v>
      </c>
      <c r="E9588" s="15" cm="1">
        <f t="array" ref="E9588">SUM(E9586:E9587)</f>
        <v>50000</v>
      </c>
      <c r="F9588" s="16" cm="1">
        <f t="array" ref="F9588">SUM(F9586:F9587)</f>
        <v>0</v>
      </c>
      <c r="G9588" s="16" cm="1">
        <f t="array" ref="G9588">SUM(G9586:G9587)</f>
        <v>0</v>
      </c>
      <c r="H9588" s="16" cm="1">
        <f t="array" ref="H9588">SUM(H9586:H9587)</f>
        <v>0</v>
      </c>
      <c r="I9588" s="16" cm="1">
        <f t="array" ref="I9588">SUM(I9586:I9587)</f>
        <v>0</v>
      </c>
    </row>
    <row r="9589" ht="20.35" customHeight="1">
      <c r="A9589" s="10">
        <v>45814</v>
      </c>
      <c r="B9589" t="s" s="11">
        <v>1155</v>
      </c>
      <c r="C9589" t="s" s="12">
        <v>961</v>
      </c>
      <c r="D9589" s="17"/>
      <c r="E9589" s="17"/>
      <c r="F9589" s="18"/>
      <c r="G9589" s="18"/>
      <c r="H9589" s="18"/>
      <c r="I9589" s="18">
        <v>52.1</v>
      </c>
    </row>
    <row r="9590" ht="20.35" customHeight="1">
      <c r="A9590" s="10">
        <v>45814</v>
      </c>
      <c r="B9590" t="s" s="11">
        <v>1276</v>
      </c>
      <c r="C9590" t="s" s="12">
        <v>961</v>
      </c>
      <c r="D9590" s="13"/>
      <c r="E9590" s="13"/>
      <c r="F9590" s="14"/>
      <c r="G9590" s="14"/>
      <c r="H9590" s="14">
        <v>52.1</v>
      </c>
      <c r="I9590" s="14"/>
    </row>
    <row r="9591" ht="20.7" customHeight="1">
      <c r="A9591" s="10">
        <v>45814</v>
      </c>
      <c r="B9591" t="s" s="11">
        <v>8</v>
      </c>
      <c r="C9591" t="s" s="12">
        <v>8</v>
      </c>
      <c r="D9591" s="15" cm="1">
        <f t="array" ref="D9591">SUM(D9589:D9590)</f>
        <v>0</v>
      </c>
      <c r="E9591" s="15" cm="1">
        <f t="array" ref="E9591">SUM(E9589:E9590)</f>
        <v>0</v>
      </c>
      <c r="F9591" s="16" cm="1">
        <f t="array" ref="F9591">SUM(F9589:F9590)</f>
        <v>0</v>
      </c>
      <c r="G9591" s="16" cm="1">
        <f t="array" ref="G9591">SUM(G9589:G9590)</f>
        <v>0</v>
      </c>
      <c r="H9591" s="16" cm="1">
        <f t="array" ref="H9591">SUM(H9589:H9590)</f>
        <v>52.1</v>
      </c>
      <c r="I9591" s="16" cm="1">
        <f t="array" ref="I9591">SUM(I9589:I9590)</f>
        <v>52.1</v>
      </c>
    </row>
    <row r="9592" ht="21.25" customHeight="1">
      <c r="A9592" s="10">
        <v>45815</v>
      </c>
      <c r="B9592" t="s" s="11">
        <v>5</v>
      </c>
      <c r="C9592" t="s" s="12">
        <v>253</v>
      </c>
      <c r="D9592" s="24"/>
      <c r="E9592" s="17">
        <v>7890</v>
      </c>
      <c r="F9592" s="18"/>
      <c r="G9592" s="18"/>
      <c r="H9592" s="18"/>
      <c r="I9592" s="18"/>
    </row>
    <row r="9593" ht="21.25" customHeight="1">
      <c r="A9593" s="10">
        <v>45815</v>
      </c>
      <c r="B9593" t="s" s="11">
        <v>10</v>
      </c>
      <c r="C9593" t="s" s="12">
        <v>253</v>
      </c>
      <c r="D9593" s="13">
        <v>7890</v>
      </c>
      <c r="E9593" s="13"/>
      <c r="F9593" s="14"/>
      <c r="G9593" s="14"/>
      <c r="H9593" s="14"/>
      <c r="I9593" s="14"/>
    </row>
    <row r="9594" ht="20.7" customHeight="1">
      <c r="A9594" s="10">
        <v>45815</v>
      </c>
      <c r="B9594" t="s" s="11">
        <v>8</v>
      </c>
      <c r="C9594" t="s" s="12">
        <v>8</v>
      </c>
      <c r="D9594" s="15" cm="1">
        <f t="array" ref="D9594">SUM(D9592:D9593)</f>
        <v>7890</v>
      </c>
      <c r="E9594" s="15" cm="1">
        <f t="array" ref="E9594">SUM(E9592:E9593)</f>
        <v>7890</v>
      </c>
      <c r="F9594" s="16" cm="1">
        <f t="array" ref="F9594">SUM(F9592:F9593)</f>
        <v>0</v>
      </c>
      <c r="G9594" s="16" cm="1">
        <f t="array" ref="G9594">SUM(G9592:G9593)</f>
        <v>0</v>
      </c>
      <c r="H9594" s="16" cm="1">
        <f t="array" ref="H9594">SUM(H9592:H9593)</f>
        <v>0</v>
      </c>
      <c r="I9594" s="16" cm="1">
        <f t="array" ref="I9594">SUM(I9592:I9593)</f>
        <v>0</v>
      </c>
    </row>
    <row r="9595" ht="21.25" customHeight="1">
      <c r="A9595" s="10">
        <v>45815</v>
      </c>
      <c r="B9595" t="s" s="11">
        <v>1155</v>
      </c>
      <c r="C9595" t="s" s="12">
        <v>1277</v>
      </c>
      <c r="D9595" s="17"/>
      <c r="E9595" s="17"/>
      <c r="F9595" s="18"/>
      <c r="G9595" s="18"/>
      <c r="H9595" s="18"/>
      <c r="I9595" s="18">
        <v>143</v>
      </c>
    </row>
    <row r="9596" ht="21.25" customHeight="1">
      <c r="A9596" s="10">
        <v>45815</v>
      </c>
      <c r="B9596" t="s" s="11">
        <v>1276</v>
      </c>
      <c r="C9596" t="s" s="12">
        <v>1277</v>
      </c>
      <c r="D9596" s="13"/>
      <c r="E9596" s="13"/>
      <c r="F9596" s="14"/>
      <c r="G9596" s="14"/>
      <c r="H9596" s="14">
        <v>143</v>
      </c>
      <c r="I9596" s="14"/>
    </row>
    <row r="9597" ht="20.7" customHeight="1">
      <c r="A9597" s="10">
        <v>45815</v>
      </c>
      <c r="B9597" t="s" s="11">
        <v>8</v>
      </c>
      <c r="C9597" t="s" s="12">
        <v>8</v>
      </c>
      <c r="D9597" s="15" cm="1">
        <f t="array" ref="D9597">SUM(D9595:D9596)</f>
        <v>0</v>
      </c>
      <c r="E9597" s="15" cm="1">
        <f t="array" ref="E9597">SUM(E9595:E9596)</f>
        <v>0</v>
      </c>
      <c r="F9597" s="16" cm="1">
        <f t="array" ref="F9597">SUM(F9595:F9596)</f>
        <v>0</v>
      </c>
      <c r="G9597" s="16" cm="1">
        <f t="array" ref="G9597">SUM(G9595:G9596)</f>
        <v>0</v>
      </c>
      <c r="H9597" s="16" cm="1">
        <f t="array" ref="H9597">SUM(H9595:H9596)</f>
        <v>143</v>
      </c>
      <c r="I9597" s="16" cm="1">
        <f t="array" ref="I9597">SUM(I9595:I9596)</f>
        <v>143</v>
      </c>
    </row>
    <row r="9598" ht="20.35" customHeight="1">
      <c r="A9598" s="10">
        <v>45816</v>
      </c>
      <c r="B9598" t="s" s="11">
        <v>93</v>
      </c>
      <c r="C9598" t="s" s="12">
        <v>96</v>
      </c>
      <c r="D9598" s="17"/>
      <c r="E9598" s="17">
        <v>26390</v>
      </c>
      <c r="F9598" s="18"/>
      <c r="G9598" s="18"/>
      <c r="H9598" s="18"/>
      <c r="I9598" s="18"/>
    </row>
    <row r="9599" ht="20.35" customHeight="1">
      <c r="A9599" s="10">
        <v>45816</v>
      </c>
      <c r="B9599" t="s" s="11">
        <v>5</v>
      </c>
      <c r="C9599" t="s" s="12">
        <v>96</v>
      </c>
      <c r="D9599" s="13">
        <v>26390</v>
      </c>
      <c r="E9599" s="13"/>
      <c r="F9599" s="14"/>
      <c r="G9599" s="14"/>
      <c r="H9599" s="14"/>
      <c r="I9599" s="14"/>
    </row>
    <row r="9600" ht="20.7" customHeight="1">
      <c r="A9600" s="10">
        <v>45816</v>
      </c>
      <c r="B9600" t="s" s="11">
        <v>8</v>
      </c>
      <c r="C9600" t="s" s="12">
        <v>8</v>
      </c>
      <c r="D9600" s="15" cm="1">
        <f t="array" ref="D9600">SUM(D9598:D9599)</f>
        <v>26390</v>
      </c>
      <c r="E9600" s="15" cm="1">
        <f t="array" ref="E9600">SUM(E9598:E9599)</f>
        <v>26390</v>
      </c>
      <c r="F9600" s="16" cm="1">
        <f t="array" ref="F9600">SUM(F9598:F9599)</f>
        <v>0</v>
      </c>
      <c r="G9600" s="16" cm="1">
        <f t="array" ref="G9600">SUM(G9598:G9599)</f>
        <v>0</v>
      </c>
      <c r="H9600" s="16" cm="1">
        <f t="array" ref="H9600">SUM(H9598:H9599)</f>
        <v>0</v>
      </c>
      <c r="I9600" s="16" cm="1">
        <f t="array" ref="I9600">SUM(I9598:I9599)</f>
        <v>0</v>
      </c>
    </row>
    <row r="9601" ht="20.35" customHeight="1">
      <c r="A9601" s="10">
        <v>45816</v>
      </c>
      <c r="B9601" t="s" s="11">
        <v>5</v>
      </c>
      <c r="C9601" t="s" s="12">
        <v>439</v>
      </c>
      <c r="D9601" s="17"/>
      <c r="E9601" s="17">
        <v>28686</v>
      </c>
      <c r="F9601" s="18"/>
      <c r="G9601" s="18"/>
      <c r="H9601" s="18"/>
      <c r="I9601" s="18"/>
    </row>
    <row r="9602" ht="20.35" customHeight="1">
      <c r="A9602" s="10">
        <v>45816</v>
      </c>
      <c r="B9602" t="s" s="11">
        <v>121</v>
      </c>
      <c r="C9602" t="s" s="12">
        <v>439</v>
      </c>
      <c r="D9602" s="13">
        <v>28686</v>
      </c>
      <c r="E9602" s="13"/>
      <c r="F9602" s="14"/>
      <c r="G9602" s="14"/>
      <c r="H9602" s="14"/>
      <c r="I9602" s="14"/>
    </row>
    <row r="9603" ht="20.7" customHeight="1">
      <c r="A9603" s="10">
        <v>45816</v>
      </c>
      <c r="B9603" t="s" s="11">
        <v>8</v>
      </c>
      <c r="C9603" t="s" s="12">
        <v>8</v>
      </c>
      <c r="D9603" s="15" cm="1">
        <f t="array" ref="D9603">SUM(D9601:D9602)</f>
        <v>28686</v>
      </c>
      <c r="E9603" s="15" cm="1">
        <f t="array" ref="E9603">SUM(E9601:E9602)</f>
        <v>28686</v>
      </c>
      <c r="F9603" s="16" cm="1">
        <f t="array" ref="F9603">SUM(F9601:F9602)</f>
        <v>0</v>
      </c>
      <c r="G9603" s="16" cm="1">
        <f t="array" ref="G9603">SUM(G9601:G9602)</f>
        <v>0</v>
      </c>
      <c r="H9603" s="16" cm="1">
        <f t="array" ref="H9603">SUM(H9601:H9602)</f>
        <v>0</v>
      </c>
      <c r="I9603" s="16" cm="1">
        <f t="array" ref="I9603">SUM(I9601:I9602)</f>
        <v>0</v>
      </c>
    </row>
    <row r="9604" ht="21.25" customHeight="1">
      <c r="A9604" s="10">
        <v>45816</v>
      </c>
      <c r="B9604" t="s" s="11">
        <v>121</v>
      </c>
      <c r="C9604" t="s" s="12">
        <v>1278</v>
      </c>
      <c r="D9604" s="17"/>
      <c r="E9604" s="17">
        <v>11700</v>
      </c>
      <c r="F9604" s="18"/>
      <c r="G9604" s="18"/>
      <c r="H9604" s="18"/>
      <c r="I9604" s="18"/>
    </row>
    <row r="9605" ht="21.25" customHeight="1">
      <c r="A9605" s="10">
        <v>45816</v>
      </c>
      <c r="B9605" t="s" s="11">
        <v>12</v>
      </c>
      <c r="C9605" t="s" s="12">
        <v>1278</v>
      </c>
      <c r="D9605" s="13">
        <v>11700</v>
      </c>
      <c r="E9605" s="13"/>
      <c r="F9605" s="14"/>
      <c r="G9605" s="14"/>
      <c r="H9605" s="14"/>
      <c r="I9605" s="14"/>
    </row>
    <row r="9606" ht="20.7" customHeight="1">
      <c r="A9606" s="10">
        <v>45816</v>
      </c>
      <c r="B9606" t="s" s="11">
        <v>8</v>
      </c>
      <c r="C9606" t="s" s="12">
        <v>8</v>
      </c>
      <c r="D9606" s="15" cm="1">
        <f t="array" ref="D9606">SUM(D9604:D9605)</f>
        <v>11700</v>
      </c>
      <c r="E9606" s="15" cm="1">
        <f t="array" ref="E9606">SUM(E9604:E9605)</f>
        <v>11700</v>
      </c>
      <c r="F9606" s="16" cm="1">
        <f t="array" ref="F9606">SUM(F9604:F9605)</f>
        <v>0</v>
      </c>
      <c r="G9606" s="16" cm="1">
        <f t="array" ref="G9606">SUM(G9604:G9605)</f>
        <v>0</v>
      </c>
      <c r="H9606" s="16" cm="1">
        <f t="array" ref="H9606">SUM(H9604:H9605)</f>
        <v>0</v>
      </c>
      <c r="I9606" s="16" cm="1">
        <f t="array" ref="I9606">SUM(I9604:I9605)</f>
        <v>0</v>
      </c>
    </row>
    <row r="9607" ht="20.35" customHeight="1">
      <c r="A9607" s="10">
        <v>45816</v>
      </c>
      <c r="B9607" t="s" s="11">
        <v>121</v>
      </c>
      <c r="C9607" t="s" s="12">
        <v>604</v>
      </c>
      <c r="D9607" s="17"/>
      <c r="E9607" s="17">
        <v>10000</v>
      </c>
      <c r="F9607" s="18"/>
      <c r="G9607" s="18"/>
      <c r="H9607" s="18"/>
      <c r="I9607" s="18"/>
    </row>
    <row r="9608" ht="20.35" customHeight="1">
      <c r="A9608" s="10">
        <v>45816</v>
      </c>
      <c r="B9608" t="s" s="11">
        <v>93</v>
      </c>
      <c r="C9608" t="s" s="12">
        <v>604</v>
      </c>
      <c r="D9608" s="13">
        <v>10000</v>
      </c>
      <c r="E9608" s="13"/>
      <c r="F9608" s="14"/>
      <c r="G9608" s="14"/>
      <c r="H9608" s="14"/>
      <c r="I9608" s="14"/>
    </row>
    <row r="9609" ht="20.7" customHeight="1">
      <c r="A9609" s="10">
        <v>45816</v>
      </c>
      <c r="B9609" t="s" s="11">
        <v>8</v>
      </c>
      <c r="C9609" t="s" s="12">
        <v>8</v>
      </c>
      <c r="D9609" s="15" cm="1">
        <f t="array" ref="D9609">SUM(D9607:D9608)</f>
        <v>10000</v>
      </c>
      <c r="E9609" s="15" cm="1">
        <f t="array" ref="E9609">SUM(E9607:E9608)</f>
        <v>10000</v>
      </c>
      <c r="F9609" s="16" cm="1">
        <f t="array" ref="F9609">SUM(F9607:F9608)</f>
        <v>0</v>
      </c>
      <c r="G9609" s="16" cm="1">
        <f t="array" ref="G9609">SUM(G9607:G9608)</f>
        <v>0</v>
      </c>
      <c r="H9609" s="16" cm="1">
        <f t="array" ref="H9609">SUM(H9607:H9608)</f>
        <v>0</v>
      </c>
      <c r="I9609" s="16" cm="1">
        <f t="array" ref="I9609">SUM(I9607:I9608)</f>
        <v>0</v>
      </c>
    </row>
    <row r="9610" ht="21.25" customHeight="1">
      <c r="A9610" s="10">
        <v>45816</v>
      </c>
      <c r="B9610" t="s" s="11">
        <v>93</v>
      </c>
      <c r="C9610" t="s" s="12">
        <v>1279</v>
      </c>
      <c r="D9610" s="17"/>
      <c r="E9610" s="17">
        <v>9000</v>
      </c>
      <c r="F9610" s="18"/>
      <c r="G9610" s="18"/>
      <c r="H9610" s="18"/>
      <c r="I9610" s="18"/>
    </row>
    <row r="9611" ht="21.25" customHeight="1">
      <c r="A9611" s="10">
        <v>45816</v>
      </c>
      <c r="B9611" t="s" s="11">
        <v>10</v>
      </c>
      <c r="C9611" t="s" s="12">
        <v>1279</v>
      </c>
      <c r="D9611" s="13">
        <v>9000</v>
      </c>
      <c r="E9611" s="13"/>
      <c r="F9611" s="14"/>
      <c r="G9611" s="14"/>
      <c r="H9611" s="14"/>
      <c r="I9611" s="14"/>
    </row>
    <row r="9612" ht="20.7" customHeight="1">
      <c r="A9612" s="10">
        <v>45816</v>
      </c>
      <c r="B9612" t="s" s="11">
        <v>8</v>
      </c>
      <c r="C9612" t="s" s="12">
        <v>8</v>
      </c>
      <c r="D9612" s="15" cm="1">
        <f t="array" ref="D9612">SUM(D9610:D9611)</f>
        <v>9000</v>
      </c>
      <c r="E9612" s="15" cm="1">
        <f t="array" ref="E9612">SUM(E9610:E9611)</f>
        <v>9000</v>
      </c>
      <c r="F9612" s="16" cm="1">
        <f t="array" ref="F9612">SUM(F9610:F9611)</f>
        <v>0</v>
      </c>
      <c r="G9612" s="16" cm="1">
        <f t="array" ref="G9612">SUM(G9610:G9611)</f>
        <v>0</v>
      </c>
      <c r="H9612" s="16" cm="1">
        <f t="array" ref="H9612">SUM(H9610:H9611)</f>
        <v>0</v>
      </c>
      <c r="I9612" s="16" cm="1">
        <f t="array" ref="I9612">SUM(I9610:I9611)</f>
        <v>0</v>
      </c>
    </row>
    <row r="9613" ht="21.25" customHeight="1">
      <c r="A9613" s="10">
        <v>45816</v>
      </c>
      <c r="B9613" t="s" s="11">
        <v>21</v>
      </c>
      <c r="C9613" t="s" s="12">
        <v>1280</v>
      </c>
      <c r="D9613" s="17"/>
      <c r="E9613" s="17">
        <v>3800</v>
      </c>
      <c r="F9613" s="18"/>
      <c r="G9613" s="18"/>
      <c r="H9613" s="18"/>
      <c r="I9613" s="18"/>
    </row>
    <row r="9614" ht="21.25" customHeight="1">
      <c r="A9614" s="10">
        <v>45816</v>
      </c>
      <c r="B9614" t="s" s="11">
        <v>16</v>
      </c>
      <c r="C9614" t="s" s="12">
        <v>1280</v>
      </c>
      <c r="D9614" s="13">
        <v>3800</v>
      </c>
      <c r="E9614" s="13"/>
      <c r="F9614" s="14"/>
      <c r="G9614" s="14"/>
      <c r="H9614" s="14"/>
      <c r="I9614" s="14"/>
    </row>
    <row r="9615" ht="20.7" customHeight="1">
      <c r="A9615" s="10">
        <v>45816</v>
      </c>
      <c r="B9615" t="s" s="11">
        <v>8</v>
      </c>
      <c r="C9615" t="s" s="12">
        <v>8</v>
      </c>
      <c r="D9615" s="15" cm="1">
        <f t="array" ref="D9615">SUM(D9613:D9614)</f>
        <v>3800</v>
      </c>
      <c r="E9615" s="15" cm="1">
        <f t="array" ref="E9615">SUM(E9613:E9614)</f>
        <v>3800</v>
      </c>
      <c r="F9615" s="16" cm="1">
        <f t="array" ref="F9615">SUM(F9613:F9614)</f>
        <v>0</v>
      </c>
      <c r="G9615" s="16" cm="1">
        <f t="array" ref="G9615">SUM(G9613:G9614)</f>
        <v>0</v>
      </c>
      <c r="H9615" s="16" cm="1">
        <f t="array" ref="H9615">SUM(H9613:H9614)</f>
        <v>0</v>
      </c>
      <c r="I9615" s="16" cm="1">
        <f t="array" ref="I9615">SUM(I9613:I9614)</f>
        <v>0</v>
      </c>
    </row>
    <row r="9616" ht="20.35" customHeight="1">
      <c r="A9616" s="10">
        <v>45816</v>
      </c>
      <c r="B9616" t="s" s="11">
        <v>107</v>
      </c>
      <c r="C9616" t="s" s="12">
        <v>1281</v>
      </c>
      <c r="D9616" s="17">
        <v>13000</v>
      </c>
      <c r="E9616" s="17"/>
      <c r="F9616" s="18"/>
      <c r="G9616" s="18"/>
      <c r="H9616" s="18"/>
      <c r="I9616" s="18"/>
    </row>
    <row r="9617" ht="20.05" customHeight="1">
      <c r="A9617" s="10">
        <v>45816</v>
      </c>
      <c r="B9617" t="s" s="11">
        <v>91</v>
      </c>
      <c r="C9617" t="s" s="12">
        <v>1281</v>
      </c>
      <c r="D9617" s="19"/>
      <c r="E9617" s="19">
        <v>100</v>
      </c>
      <c r="F9617" s="20"/>
      <c r="G9617" s="20"/>
      <c r="H9617" s="20"/>
      <c r="I9617" s="20"/>
    </row>
    <row r="9618" ht="20.35" customHeight="1">
      <c r="A9618" s="10">
        <v>45816</v>
      </c>
      <c r="B9618" t="s" s="11">
        <v>10</v>
      </c>
      <c r="C9618" t="s" s="12">
        <v>1281</v>
      </c>
      <c r="D9618" s="13"/>
      <c r="E9618" s="13">
        <v>12900</v>
      </c>
      <c r="F9618" s="14"/>
      <c r="G9618" s="14"/>
      <c r="H9618" s="14"/>
      <c r="I9618" s="14"/>
    </row>
    <row r="9619" ht="20.7" customHeight="1">
      <c r="A9619" s="10">
        <v>45816</v>
      </c>
      <c r="B9619" t="s" s="11">
        <v>8</v>
      </c>
      <c r="C9619" t="s" s="12">
        <v>8</v>
      </c>
      <c r="D9619" s="15" cm="1">
        <f t="array" ref="D9619">SUM(D9616:D9618)</f>
        <v>13000</v>
      </c>
      <c r="E9619" s="15" cm="1">
        <f t="array" ref="E9619">SUM(E9616:E9618)</f>
        <v>13000</v>
      </c>
      <c r="F9619" s="16" cm="1">
        <f t="array" ref="F9619">SUM(F9616:F9618)</f>
        <v>0</v>
      </c>
      <c r="G9619" s="16" cm="1">
        <f t="array" ref="G9619">SUM(G9616:G9618)</f>
        <v>0</v>
      </c>
      <c r="H9619" s="16" cm="1">
        <f t="array" ref="H9619">SUM(H9616:H9618)</f>
        <v>0</v>
      </c>
      <c r="I9619" s="16" cm="1">
        <f t="array" ref="I9619">SUM(I9616:I9618)</f>
        <v>0</v>
      </c>
    </row>
    <row r="9620" ht="20.35" customHeight="1">
      <c r="A9620" s="10">
        <v>45817</v>
      </c>
      <c r="B9620" t="s" s="11">
        <v>1269</v>
      </c>
      <c r="C9620" t="s" s="12">
        <v>1282</v>
      </c>
      <c r="D9620" s="17"/>
      <c r="E9620" s="17"/>
      <c r="F9620" s="18"/>
      <c r="G9620" s="18"/>
      <c r="H9620" s="18"/>
      <c r="I9620" s="18">
        <v>1500</v>
      </c>
    </row>
    <row r="9621" ht="20.05" customHeight="1">
      <c r="A9621" s="10">
        <v>45817</v>
      </c>
      <c r="B9621" t="s" s="11">
        <v>1230</v>
      </c>
      <c r="C9621" t="s" s="12">
        <v>1282</v>
      </c>
      <c r="D9621" s="19"/>
      <c r="E9621" s="19"/>
      <c r="F9621" s="20"/>
      <c r="G9621" s="20"/>
      <c r="H9621" s="20">
        <v>500</v>
      </c>
      <c r="I9621" s="20"/>
    </row>
    <row r="9622" ht="20.35" customHeight="1">
      <c r="A9622" s="10">
        <v>45817</v>
      </c>
      <c r="B9622" t="s" s="11">
        <v>1191</v>
      </c>
      <c r="C9622" t="s" s="12">
        <v>1282</v>
      </c>
      <c r="D9622" s="13"/>
      <c r="E9622" s="13"/>
      <c r="F9622" s="14"/>
      <c r="G9622" s="14"/>
      <c r="H9622" s="14">
        <v>1000</v>
      </c>
      <c r="I9622" s="14"/>
    </row>
    <row r="9623" ht="20.7" customHeight="1">
      <c r="A9623" s="10">
        <v>45817</v>
      </c>
      <c r="B9623" t="s" s="11">
        <v>8</v>
      </c>
      <c r="C9623" t="s" s="12">
        <v>8</v>
      </c>
      <c r="D9623" s="15" cm="1">
        <f t="array" ref="D9623">SUM(D9620:D9622)</f>
        <v>0</v>
      </c>
      <c r="E9623" s="15" cm="1">
        <f t="array" ref="E9623">SUM(E9620:E9622)</f>
        <v>0</v>
      </c>
      <c r="F9623" s="16" cm="1">
        <f t="array" ref="F9623">SUM(F9620:F9622)</f>
        <v>0</v>
      </c>
      <c r="G9623" s="16" cm="1">
        <f t="array" ref="G9623">SUM(G9620:G9622)</f>
        <v>0</v>
      </c>
      <c r="H9623" s="16" cm="1">
        <f t="array" ref="H9623">SUM(H9620:H9622)</f>
        <v>1500</v>
      </c>
      <c r="I9623" s="16" cm="1">
        <f t="array" ref="I9623">SUM(I9620:I9622)</f>
        <v>1500</v>
      </c>
    </row>
    <row r="9624" ht="20.35" customHeight="1">
      <c r="A9624" s="10">
        <v>45817</v>
      </c>
      <c r="B9624" t="s" s="11">
        <v>107</v>
      </c>
      <c r="C9624" t="s" s="12">
        <v>1282</v>
      </c>
      <c r="D9624" s="17">
        <v>182360</v>
      </c>
      <c r="E9624" s="17"/>
      <c r="F9624" s="18"/>
      <c r="G9624" s="18"/>
      <c r="H9624" s="18"/>
      <c r="I9624" s="18"/>
    </row>
    <row r="9625" ht="20.35" customHeight="1">
      <c r="A9625" s="10">
        <v>45817</v>
      </c>
      <c r="B9625" t="s" s="11">
        <v>10</v>
      </c>
      <c r="C9625" t="s" s="12">
        <v>1282</v>
      </c>
      <c r="D9625" s="13"/>
      <c r="E9625" s="13">
        <v>182360</v>
      </c>
      <c r="F9625" s="14"/>
      <c r="G9625" s="14"/>
      <c r="H9625" s="14"/>
      <c r="I9625" s="14"/>
    </row>
    <row r="9626" ht="20.7" customHeight="1">
      <c r="A9626" s="10">
        <v>45817</v>
      </c>
      <c r="B9626" t="s" s="11">
        <v>8</v>
      </c>
      <c r="C9626" t="s" s="12">
        <v>8</v>
      </c>
      <c r="D9626" s="15" cm="1">
        <f t="array" ref="D9626">SUM(D9624:D9625)</f>
        <v>182360</v>
      </c>
      <c r="E9626" s="15" cm="1">
        <f t="array" ref="E9626">SUM(E9624:E9625)</f>
        <v>182360</v>
      </c>
      <c r="F9626" s="16" cm="1">
        <f t="array" ref="F9626">SUM(F9624:F9625)</f>
        <v>0</v>
      </c>
      <c r="G9626" s="16" cm="1">
        <f t="array" ref="G9626">SUM(G9624:G9625)</f>
        <v>0</v>
      </c>
      <c r="H9626" s="16" cm="1">
        <f t="array" ref="H9626">SUM(H9624:H9625)</f>
        <v>0</v>
      </c>
      <c r="I9626" s="16" cm="1">
        <f t="array" ref="I9626">SUM(I9624:I9625)</f>
        <v>0</v>
      </c>
    </row>
    <row r="9627" ht="20.35" customHeight="1">
      <c r="A9627" s="10">
        <v>45817</v>
      </c>
      <c r="B9627" t="s" s="11">
        <v>107</v>
      </c>
      <c r="C9627" t="s" s="12">
        <v>439</v>
      </c>
      <c r="D9627" s="17"/>
      <c r="E9627" s="17">
        <v>24068</v>
      </c>
      <c r="F9627" s="18"/>
      <c r="G9627" s="18"/>
      <c r="H9627" s="18"/>
      <c r="I9627" s="18"/>
    </row>
    <row r="9628" ht="20.35" customHeight="1">
      <c r="A9628" s="10">
        <v>45817</v>
      </c>
      <c r="B9628" t="s" s="11">
        <v>121</v>
      </c>
      <c r="C9628" t="s" s="12">
        <v>439</v>
      </c>
      <c r="D9628" s="13">
        <v>24068</v>
      </c>
      <c r="E9628" s="13"/>
      <c r="F9628" s="14"/>
      <c r="G9628" s="14"/>
      <c r="H9628" s="14"/>
      <c r="I9628" s="14"/>
    </row>
    <row r="9629" ht="20.7" customHeight="1">
      <c r="A9629" s="10">
        <v>45817</v>
      </c>
      <c r="B9629" t="s" s="11">
        <v>8</v>
      </c>
      <c r="C9629" t="s" s="12">
        <v>8</v>
      </c>
      <c r="D9629" s="15" cm="1">
        <f t="array" ref="D9629">SUM(D9627:D9628)</f>
        <v>24068</v>
      </c>
      <c r="E9629" s="15" cm="1">
        <f t="array" ref="E9629">SUM(E9627:E9628)</f>
        <v>24068</v>
      </c>
      <c r="F9629" s="16" cm="1">
        <f t="array" ref="F9629">SUM(F9627:F9628)</f>
        <v>0</v>
      </c>
      <c r="G9629" s="16" cm="1">
        <f t="array" ref="G9629">SUM(G9627:G9628)</f>
        <v>0</v>
      </c>
      <c r="H9629" s="16" cm="1">
        <f t="array" ref="H9629">SUM(H9627:H9628)</f>
        <v>0</v>
      </c>
      <c r="I9629" s="16" cm="1">
        <f t="array" ref="I9629">SUM(I9627:I9628)</f>
        <v>0</v>
      </c>
    </row>
    <row r="9630" ht="21.25" customHeight="1">
      <c r="A9630" s="10">
        <v>45817</v>
      </c>
      <c r="B9630" t="s" s="11">
        <v>121</v>
      </c>
      <c r="C9630" t="s" s="12">
        <v>1241</v>
      </c>
      <c r="D9630" s="17"/>
      <c r="E9630" s="17">
        <v>30495</v>
      </c>
      <c r="F9630" s="18"/>
      <c r="G9630" s="18"/>
      <c r="H9630" s="18"/>
      <c r="I9630" s="18"/>
    </row>
    <row r="9631" ht="21.25" customHeight="1">
      <c r="A9631" s="10">
        <v>45817</v>
      </c>
      <c r="B9631" t="s" s="11">
        <v>441</v>
      </c>
      <c r="C9631" t="s" s="12">
        <v>1241</v>
      </c>
      <c r="D9631" s="13">
        <v>30495</v>
      </c>
      <c r="E9631" s="13"/>
      <c r="F9631" s="14"/>
      <c r="G9631" s="14"/>
      <c r="H9631" s="14"/>
      <c r="I9631" s="14"/>
    </row>
    <row r="9632" ht="20.7" customHeight="1">
      <c r="A9632" s="10">
        <v>45817</v>
      </c>
      <c r="B9632" t="s" s="11">
        <v>8</v>
      </c>
      <c r="C9632" t="s" s="12">
        <v>8</v>
      </c>
      <c r="D9632" s="15" cm="1">
        <f t="array" ref="D9632">SUM(D9630:D9631)</f>
        <v>30495</v>
      </c>
      <c r="E9632" s="15" cm="1">
        <f t="array" ref="E9632">SUM(E9630:E9631)</f>
        <v>30495</v>
      </c>
      <c r="F9632" s="16" cm="1">
        <f t="array" ref="F9632">SUM(F9630:F9631)</f>
        <v>0</v>
      </c>
      <c r="G9632" s="16" cm="1">
        <f t="array" ref="G9632">SUM(G9630:G9631)</f>
        <v>0</v>
      </c>
      <c r="H9632" s="16" cm="1">
        <f t="array" ref="H9632">SUM(H9630:H9631)</f>
        <v>0</v>
      </c>
      <c r="I9632" s="16" cm="1">
        <f t="array" ref="I9632">SUM(I9630:I9631)</f>
        <v>0</v>
      </c>
    </row>
    <row r="9633" ht="20.35" customHeight="1">
      <c r="A9633" s="10">
        <v>45817</v>
      </c>
      <c r="B9633" t="s" s="11">
        <v>107</v>
      </c>
      <c r="C9633" t="s" s="12">
        <v>314</v>
      </c>
      <c r="D9633" s="17">
        <v>400000</v>
      </c>
      <c r="E9633" s="17"/>
      <c r="F9633" s="18"/>
      <c r="G9633" s="18"/>
      <c r="H9633" s="18"/>
      <c r="I9633" s="18"/>
    </row>
    <row r="9634" ht="20.35" customHeight="1">
      <c r="A9634" s="10">
        <v>45817</v>
      </c>
      <c r="B9634" t="s" s="11">
        <v>21</v>
      </c>
      <c r="C9634" t="s" s="12">
        <v>314</v>
      </c>
      <c r="D9634" s="13"/>
      <c r="E9634" s="13">
        <v>400000</v>
      </c>
      <c r="F9634" s="14"/>
      <c r="G9634" s="14"/>
      <c r="H9634" s="14"/>
      <c r="I9634" s="14"/>
    </row>
    <row r="9635" ht="20.7" customHeight="1">
      <c r="A9635" s="10">
        <v>45817</v>
      </c>
      <c r="B9635" t="s" s="11">
        <v>8</v>
      </c>
      <c r="C9635" t="s" s="12">
        <v>8</v>
      </c>
      <c r="D9635" s="15" cm="1">
        <f t="array" ref="D9635">SUM(D9633:D9634)</f>
        <v>400000</v>
      </c>
      <c r="E9635" s="15" cm="1">
        <f t="array" ref="E9635">SUM(E9633:E9634)</f>
        <v>400000</v>
      </c>
      <c r="F9635" s="16" cm="1">
        <f t="array" ref="F9635">SUM(F9633:F9634)</f>
        <v>0</v>
      </c>
      <c r="G9635" s="16" cm="1">
        <f t="array" ref="G9635">SUM(G9633:G9634)</f>
        <v>0</v>
      </c>
      <c r="H9635" s="16" cm="1">
        <f t="array" ref="H9635">SUM(H9633:H9634)</f>
        <v>0</v>
      </c>
      <c r="I9635" s="16" cm="1">
        <f t="array" ref="I9635">SUM(I9633:I9634)</f>
        <v>0</v>
      </c>
    </row>
    <row r="9636" ht="21.25" customHeight="1">
      <c r="A9636" s="10">
        <v>45817</v>
      </c>
      <c r="B9636" t="s" s="11">
        <v>107</v>
      </c>
      <c r="C9636" t="s" s="12">
        <v>1283</v>
      </c>
      <c r="D9636" s="17"/>
      <c r="E9636" s="17">
        <v>13000</v>
      </c>
      <c r="F9636" s="18"/>
      <c r="G9636" s="18"/>
      <c r="H9636" s="18"/>
      <c r="I9636" s="18"/>
    </row>
    <row r="9637" ht="21.25" customHeight="1">
      <c r="A9637" s="10">
        <v>45817</v>
      </c>
      <c r="B9637" t="s" s="11">
        <v>12</v>
      </c>
      <c r="C9637" t="s" s="12">
        <v>1283</v>
      </c>
      <c r="D9637" s="13">
        <v>13000</v>
      </c>
      <c r="E9637" s="13"/>
      <c r="F9637" s="14"/>
      <c r="G9637" s="14"/>
      <c r="H9637" s="14"/>
      <c r="I9637" s="14"/>
    </row>
    <row r="9638" ht="20.7" customHeight="1">
      <c r="A9638" s="10">
        <v>45817</v>
      </c>
      <c r="B9638" t="s" s="11">
        <v>8</v>
      </c>
      <c r="C9638" t="s" s="12">
        <v>8</v>
      </c>
      <c r="D9638" s="15" cm="1">
        <f t="array" ref="D9638">SUM(D9636:D9637)</f>
        <v>13000</v>
      </c>
      <c r="E9638" s="15" cm="1">
        <f t="array" ref="E9638">SUM(E9636:E9637)</f>
        <v>13000</v>
      </c>
      <c r="F9638" s="16" cm="1">
        <f t="array" ref="F9638">SUM(F9636:F9637)</f>
        <v>0</v>
      </c>
      <c r="G9638" s="16" cm="1">
        <f t="array" ref="G9638">SUM(G9636:G9637)</f>
        <v>0</v>
      </c>
      <c r="H9638" s="16" cm="1">
        <f t="array" ref="H9638">SUM(H9636:H9637)</f>
        <v>0</v>
      </c>
      <c r="I9638" s="16" cm="1">
        <f t="array" ref="I9638">SUM(I9636:I9637)</f>
        <v>0</v>
      </c>
    </row>
    <row r="9639" ht="21.25" customHeight="1">
      <c r="A9639" s="10">
        <v>45817</v>
      </c>
      <c r="B9639" t="s" s="11">
        <v>121</v>
      </c>
      <c r="C9639" t="s" s="12">
        <v>1209</v>
      </c>
      <c r="D9639" s="17"/>
      <c r="E9639" s="17">
        <v>559</v>
      </c>
      <c r="F9639" s="18"/>
      <c r="G9639" s="18"/>
      <c r="H9639" s="18"/>
      <c r="I9639" s="18"/>
    </row>
    <row r="9640" ht="21.25" customHeight="1">
      <c r="A9640" s="10">
        <v>45817</v>
      </c>
      <c r="B9640" t="s" s="11">
        <v>21</v>
      </c>
      <c r="C9640" t="s" s="12">
        <v>1209</v>
      </c>
      <c r="D9640" s="13">
        <v>559</v>
      </c>
      <c r="E9640" s="13"/>
      <c r="F9640" s="14"/>
      <c r="G9640" s="14"/>
      <c r="H9640" s="14"/>
      <c r="I9640" s="14"/>
    </row>
    <row r="9641" ht="20.7" customHeight="1">
      <c r="A9641" s="10">
        <v>45817</v>
      </c>
      <c r="B9641" t="s" s="11">
        <v>8</v>
      </c>
      <c r="C9641" t="s" s="12">
        <v>8</v>
      </c>
      <c r="D9641" s="15" cm="1">
        <f t="array" ref="D9641">SUM(D9639:D9640)</f>
        <v>559</v>
      </c>
      <c r="E9641" s="15" cm="1">
        <f t="array" ref="E9641">SUM(E9639:E9640)</f>
        <v>559</v>
      </c>
      <c r="F9641" s="16" cm="1">
        <f t="array" ref="F9641">SUM(F9639:F9640)</f>
        <v>0</v>
      </c>
      <c r="G9641" s="16" cm="1">
        <f t="array" ref="G9641">SUM(G9639:G9640)</f>
        <v>0</v>
      </c>
      <c r="H9641" s="16" cm="1">
        <f t="array" ref="H9641">SUM(H9639:H9640)</f>
        <v>0</v>
      </c>
      <c r="I9641" s="16" cm="1">
        <f t="array" ref="I9641">SUM(I9639:I9640)</f>
        <v>0</v>
      </c>
    </row>
    <row r="9642" ht="20.35" customHeight="1">
      <c r="A9642" s="10">
        <v>45817</v>
      </c>
      <c r="B9642" t="s" s="11">
        <v>107</v>
      </c>
      <c r="C9642" t="s" s="12">
        <v>439</v>
      </c>
      <c r="D9642" s="17"/>
      <c r="E9642" s="17">
        <v>15000</v>
      </c>
      <c r="F9642" s="18"/>
      <c r="G9642" s="18"/>
      <c r="H9642" s="18"/>
      <c r="I9642" s="18"/>
    </row>
    <row r="9643" ht="20.35" customHeight="1">
      <c r="A9643" s="10">
        <v>45817</v>
      </c>
      <c r="B9643" t="s" s="11">
        <v>121</v>
      </c>
      <c r="C9643" t="s" s="12">
        <v>439</v>
      </c>
      <c r="D9643" s="13">
        <v>15000</v>
      </c>
      <c r="E9643" s="13"/>
      <c r="F9643" s="14"/>
      <c r="G9643" s="14"/>
      <c r="H9643" s="14"/>
      <c r="I9643" s="14"/>
    </row>
    <row r="9644" ht="20.7" customHeight="1">
      <c r="A9644" s="10">
        <v>45817</v>
      </c>
      <c r="B9644" t="s" s="11">
        <v>8</v>
      </c>
      <c r="C9644" t="s" s="12">
        <v>8</v>
      </c>
      <c r="D9644" s="15" cm="1">
        <f t="array" ref="D9644">SUM(D9642:D9643)</f>
        <v>15000</v>
      </c>
      <c r="E9644" s="15" cm="1">
        <f t="array" ref="E9644">SUM(E9642:E9643)</f>
        <v>15000</v>
      </c>
      <c r="F9644" s="16" cm="1">
        <f t="array" ref="F9644">SUM(F9642:F9643)</f>
        <v>0</v>
      </c>
      <c r="G9644" s="16" cm="1">
        <f t="array" ref="G9644">SUM(G9642:G9643)</f>
        <v>0</v>
      </c>
      <c r="H9644" s="16" cm="1">
        <f t="array" ref="H9644">SUM(H9642:H9643)</f>
        <v>0</v>
      </c>
      <c r="I9644" s="16" cm="1">
        <f t="array" ref="I9644">SUM(I9642:I9643)</f>
        <v>0</v>
      </c>
    </row>
    <row r="9645" ht="20.35" customHeight="1">
      <c r="A9645" s="10">
        <v>45817</v>
      </c>
      <c r="B9645" t="s" s="11">
        <v>107</v>
      </c>
      <c r="C9645" t="s" s="12">
        <v>604</v>
      </c>
      <c r="D9645" s="17"/>
      <c r="E9645" s="17">
        <v>99000</v>
      </c>
      <c r="F9645" s="18"/>
      <c r="G9645" s="18"/>
      <c r="H9645" s="18"/>
      <c r="I9645" s="18"/>
    </row>
    <row r="9646" ht="20.35" customHeight="1">
      <c r="A9646" s="10">
        <v>45817</v>
      </c>
      <c r="B9646" t="s" s="11">
        <v>93</v>
      </c>
      <c r="C9646" t="s" s="12">
        <v>604</v>
      </c>
      <c r="D9646" s="13">
        <v>99000</v>
      </c>
      <c r="E9646" s="13"/>
      <c r="F9646" s="14"/>
      <c r="G9646" s="14"/>
      <c r="H9646" s="14"/>
      <c r="I9646" s="14"/>
    </row>
    <row r="9647" ht="20.7" customHeight="1">
      <c r="A9647" s="10">
        <v>45817</v>
      </c>
      <c r="B9647" t="s" s="11">
        <v>8</v>
      </c>
      <c r="C9647" t="s" s="12">
        <v>8</v>
      </c>
      <c r="D9647" s="15" cm="1">
        <f t="array" ref="D9647">SUM(D9645:D9646)</f>
        <v>99000</v>
      </c>
      <c r="E9647" s="15" cm="1">
        <f t="array" ref="E9647">SUM(E9645:E9646)</f>
        <v>99000</v>
      </c>
      <c r="F9647" s="16" cm="1">
        <f t="array" ref="F9647">SUM(F9645:F9646)</f>
        <v>0</v>
      </c>
      <c r="G9647" s="16" cm="1">
        <f t="array" ref="G9647">SUM(G9645:G9646)</f>
        <v>0</v>
      </c>
      <c r="H9647" s="16" cm="1">
        <f t="array" ref="H9647">SUM(H9645:H9646)</f>
        <v>0</v>
      </c>
      <c r="I9647" s="16" cm="1">
        <f t="array" ref="I9647">SUM(I9645:I9646)</f>
        <v>0</v>
      </c>
    </row>
    <row r="9648" ht="20.35" customHeight="1">
      <c r="A9648" s="10">
        <v>45817</v>
      </c>
      <c r="B9648" t="s" s="11">
        <v>93</v>
      </c>
      <c r="C9648" t="s" s="12">
        <v>368</v>
      </c>
      <c r="D9648" s="17"/>
      <c r="E9648" s="17">
        <v>100000</v>
      </c>
      <c r="F9648" s="18"/>
      <c r="G9648" s="18"/>
      <c r="H9648" s="18"/>
      <c r="I9648" s="18"/>
    </row>
    <row r="9649" ht="20.35" customHeight="1">
      <c r="A9649" s="10">
        <v>45817</v>
      </c>
      <c r="B9649" t="s" s="11">
        <v>21</v>
      </c>
      <c r="C9649" t="s" s="12">
        <v>368</v>
      </c>
      <c r="D9649" s="13">
        <v>100000</v>
      </c>
      <c r="E9649" s="13"/>
      <c r="F9649" s="14"/>
      <c r="G9649" s="14"/>
      <c r="H9649" s="14"/>
      <c r="I9649" s="14"/>
    </row>
    <row r="9650" ht="20.7" customHeight="1">
      <c r="A9650" s="10">
        <v>45817</v>
      </c>
      <c r="B9650" t="s" s="11">
        <v>8</v>
      </c>
      <c r="C9650" t="s" s="12">
        <v>8</v>
      </c>
      <c r="D9650" s="15" cm="1">
        <f t="array" ref="D9650">SUM(D9648:D9649)</f>
        <v>100000</v>
      </c>
      <c r="E9650" s="15" cm="1">
        <f t="array" ref="E9650">SUM(E9648:E9649)</f>
        <v>100000</v>
      </c>
      <c r="F9650" s="16" cm="1">
        <f t="array" ref="F9650">SUM(F9648:F9649)</f>
        <v>0</v>
      </c>
      <c r="G9650" s="16" cm="1">
        <f t="array" ref="G9650">SUM(G9648:G9649)</f>
        <v>0</v>
      </c>
      <c r="H9650" s="16" cm="1">
        <f t="array" ref="H9650">SUM(H9648:H9649)</f>
        <v>0</v>
      </c>
      <c r="I9650" s="16" cm="1">
        <f t="array" ref="I9650">SUM(I9648:I9649)</f>
        <v>0</v>
      </c>
    </row>
    <row r="9651" ht="21.25" customHeight="1">
      <c r="A9651" s="10">
        <v>45817</v>
      </c>
      <c r="B9651" t="s" s="11">
        <v>28</v>
      </c>
      <c r="C9651" t="s" s="12">
        <v>1284</v>
      </c>
      <c r="D9651" s="17"/>
      <c r="E9651" s="17">
        <v>7000</v>
      </c>
      <c r="F9651" s="18"/>
      <c r="G9651" s="18"/>
      <c r="H9651" s="18"/>
      <c r="I9651" s="18"/>
    </row>
    <row r="9652" ht="21.25" customHeight="1">
      <c r="A9652" s="10">
        <v>45817</v>
      </c>
      <c r="B9652" t="s" s="11">
        <v>10</v>
      </c>
      <c r="C9652" t="s" s="12">
        <v>1284</v>
      </c>
      <c r="D9652" s="13">
        <v>7000</v>
      </c>
      <c r="E9652" s="13"/>
      <c r="F9652" s="14"/>
      <c r="G9652" s="14"/>
      <c r="H9652" s="14"/>
      <c r="I9652" s="14"/>
    </row>
    <row r="9653" ht="20.7" customHeight="1">
      <c r="A9653" s="10">
        <v>45817</v>
      </c>
      <c r="B9653" t="s" s="11">
        <v>8</v>
      </c>
      <c r="C9653" t="s" s="12">
        <v>8</v>
      </c>
      <c r="D9653" s="15" cm="1">
        <f t="array" ref="D9653">SUM(D9651:D9652)</f>
        <v>7000</v>
      </c>
      <c r="E9653" s="15" cm="1">
        <f t="array" ref="E9653">SUM(E9651:E9652)</f>
        <v>7000</v>
      </c>
      <c r="F9653" s="16" cm="1">
        <f t="array" ref="F9653">SUM(F9651:F9652)</f>
        <v>0</v>
      </c>
      <c r="G9653" s="16" cm="1">
        <f t="array" ref="G9653">SUM(G9651:G9652)</f>
        <v>0</v>
      </c>
      <c r="H9653" s="16" cm="1">
        <f t="array" ref="H9653">SUM(H9651:H9652)</f>
        <v>0</v>
      </c>
      <c r="I9653" s="16" cm="1">
        <f t="array" ref="I9653">SUM(I9651:I9652)</f>
        <v>0</v>
      </c>
    </row>
    <row r="9654" ht="20.35" customHeight="1">
      <c r="A9654" s="10">
        <v>45817</v>
      </c>
      <c r="B9654" t="s" s="11">
        <v>107</v>
      </c>
      <c r="C9654" t="s" s="12">
        <v>96</v>
      </c>
      <c r="D9654" s="17"/>
      <c r="E9654" s="17">
        <v>400000</v>
      </c>
      <c r="F9654" s="18"/>
      <c r="G9654" s="18"/>
      <c r="H9654" s="18"/>
      <c r="I9654" s="18"/>
    </row>
    <row r="9655" ht="20.35" customHeight="1">
      <c r="A9655" s="10">
        <v>45817</v>
      </c>
      <c r="B9655" t="s" s="11">
        <v>5</v>
      </c>
      <c r="C9655" t="s" s="12">
        <v>96</v>
      </c>
      <c r="D9655" s="13">
        <v>400000</v>
      </c>
      <c r="E9655" s="13"/>
      <c r="F9655" s="14"/>
      <c r="G9655" s="14"/>
      <c r="H9655" s="14"/>
      <c r="I9655" s="14"/>
    </row>
    <row r="9656" ht="20.7" customHeight="1">
      <c r="A9656" s="10">
        <v>45817</v>
      </c>
      <c r="B9656" t="s" s="11">
        <v>8</v>
      </c>
      <c r="C9656" t="s" s="12">
        <v>8</v>
      </c>
      <c r="D9656" s="15" cm="1">
        <f t="array" ref="D9656">SUM(D9654:D9655)</f>
        <v>400000</v>
      </c>
      <c r="E9656" s="15" cm="1">
        <f t="array" ref="E9656">SUM(E9654:E9655)</f>
        <v>400000</v>
      </c>
      <c r="F9656" s="16" cm="1">
        <f t="array" ref="F9656">SUM(F9654:F9655)</f>
        <v>0</v>
      </c>
      <c r="G9656" s="16" cm="1">
        <f t="array" ref="G9656">SUM(G9654:G9655)</f>
        <v>0</v>
      </c>
      <c r="H9656" s="16" cm="1">
        <f t="array" ref="H9656">SUM(H9654:H9655)</f>
        <v>0</v>
      </c>
      <c r="I9656" s="16" cm="1">
        <f t="array" ref="I9656">SUM(I9654:I9655)</f>
        <v>0</v>
      </c>
    </row>
    <row r="9657" ht="20.35" customHeight="1">
      <c r="A9657" s="10">
        <v>45817</v>
      </c>
      <c r="B9657" t="s" s="11">
        <v>5</v>
      </c>
      <c r="C9657" t="s" s="12">
        <v>867</v>
      </c>
      <c r="D9657" s="17"/>
      <c r="E9657" s="17">
        <v>400000</v>
      </c>
      <c r="F9657" s="18"/>
      <c r="G9657" s="18"/>
      <c r="H9657" s="18"/>
      <c r="I9657" s="18"/>
    </row>
    <row r="9658" ht="20.35" customHeight="1">
      <c r="A9658" s="10">
        <v>45817</v>
      </c>
      <c r="B9658" t="s" s="11">
        <v>843</v>
      </c>
      <c r="C9658" t="s" s="12">
        <v>867</v>
      </c>
      <c r="D9658" s="13">
        <v>400000</v>
      </c>
      <c r="E9658" s="13"/>
      <c r="F9658" s="14"/>
      <c r="G9658" s="14"/>
      <c r="H9658" s="14"/>
      <c r="I9658" s="14"/>
    </row>
    <row r="9659" ht="20.7" customHeight="1">
      <c r="A9659" s="10">
        <v>45817</v>
      </c>
      <c r="B9659" t="s" s="11">
        <v>8</v>
      </c>
      <c r="C9659" t="s" s="12">
        <v>8</v>
      </c>
      <c r="D9659" s="15" cm="1">
        <f t="array" ref="D9659">SUM(D9657:D9658)</f>
        <v>400000</v>
      </c>
      <c r="E9659" s="15" cm="1">
        <f t="array" ref="E9659">SUM(E9657:E9658)</f>
        <v>400000</v>
      </c>
      <c r="F9659" s="16" cm="1">
        <f t="array" ref="F9659">SUM(F9657:F9658)</f>
        <v>0</v>
      </c>
      <c r="G9659" s="16" cm="1">
        <f t="array" ref="G9659">SUM(G9657:G9658)</f>
        <v>0</v>
      </c>
      <c r="H9659" s="16" cm="1">
        <f t="array" ref="H9659">SUM(H9657:H9658)</f>
        <v>0</v>
      </c>
      <c r="I9659" s="16" cm="1">
        <f t="array" ref="I9659">SUM(I9657:I9658)</f>
        <v>0</v>
      </c>
    </row>
    <row r="9660" ht="20.35" customHeight="1">
      <c r="A9660" s="10">
        <v>45817</v>
      </c>
      <c r="B9660" t="s" s="11">
        <v>1269</v>
      </c>
      <c r="C9660" t="s" s="12">
        <v>1282</v>
      </c>
      <c r="D9660" s="17"/>
      <c r="E9660" s="17"/>
      <c r="F9660" s="18"/>
      <c r="G9660" s="18"/>
      <c r="H9660" s="18">
        <v>500</v>
      </c>
      <c r="I9660" s="18"/>
    </row>
    <row r="9661" ht="20.35" customHeight="1">
      <c r="A9661" s="10">
        <v>45817</v>
      </c>
      <c r="B9661" t="s" s="11">
        <v>1230</v>
      </c>
      <c r="C9661" t="s" s="12">
        <v>1282</v>
      </c>
      <c r="D9661" s="13"/>
      <c r="E9661" s="13"/>
      <c r="F9661" s="14"/>
      <c r="G9661" s="14"/>
      <c r="H9661" s="14"/>
      <c r="I9661" s="14">
        <v>500</v>
      </c>
    </row>
    <row r="9662" ht="20.7" customHeight="1">
      <c r="A9662" s="10">
        <v>45817</v>
      </c>
      <c r="B9662" t="s" s="11">
        <v>8</v>
      </c>
      <c r="C9662" t="s" s="12">
        <v>8</v>
      </c>
      <c r="D9662" s="15" cm="1">
        <f t="array" ref="D9662">SUM(D9660:D9661)</f>
        <v>0</v>
      </c>
      <c r="E9662" s="15" cm="1">
        <f t="array" ref="E9662">SUM(E9660:E9661)</f>
        <v>0</v>
      </c>
      <c r="F9662" s="16" cm="1">
        <f t="array" ref="F9662">SUM(F9660:F9661)</f>
        <v>0</v>
      </c>
      <c r="G9662" s="16" cm="1">
        <f t="array" ref="G9662">SUM(G9660:G9661)</f>
        <v>0</v>
      </c>
      <c r="H9662" s="16" cm="1">
        <f t="array" ref="H9662">SUM(H9660:H9661)</f>
        <v>500</v>
      </c>
      <c r="I9662" s="16" cm="1">
        <f t="array" ref="I9662">SUM(I9660:I9661)</f>
        <v>500</v>
      </c>
    </row>
    <row r="9663" ht="20.35" customHeight="1">
      <c r="A9663" s="10">
        <v>45817</v>
      </c>
      <c r="B9663" t="s" s="11">
        <v>1155</v>
      </c>
      <c r="C9663" t="s" s="12">
        <v>1285</v>
      </c>
      <c r="D9663" s="17"/>
      <c r="E9663" s="17"/>
      <c r="F9663" s="18"/>
      <c r="G9663" s="18"/>
      <c r="H9663" s="18"/>
      <c r="I9663" s="18">
        <v>9.99</v>
      </c>
    </row>
    <row r="9664" ht="20.35" customHeight="1">
      <c r="A9664" s="10">
        <v>45817</v>
      </c>
      <c r="B9664" t="s" s="11">
        <v>1191</v>
      </c>
      <c r="C9664" t="s" s="12">
        <v>1285</v>
      </c>
      <c r="D9664" s="13"/>
      <c r="E9664" s="13"/>
      <c r="F9664" s="14"/>
      <c r="G9664" s="14"/>
      <c r="H9664" s="14">
        <v>9.99</v>
      </c>
      <c r="I9664" s="14"/>
    </row>
    <row r="9665" ht="20.7" customHeight="1">
      <c r="A9665" s="10">
        <v>45817</v>
      </c>
      <c r="B9665" t="s" s="11">
        <v>8</v>
      </c>
      <c r="C9665" t="s" s="12">
        <v>8</v>
      </c>
      <c r="D9665" s="15" cm="1">
        <f t="array" ref="D9665">SUM(D9663:D9664)</f>
        <v>0</v>
      </c>
      <c r="E9665" s="15" cm="1">
        <f t="array" ref="E9665">SUM(E9663:E9664)</f>
        <v>0</v>
      </c>
      <c r="F9665" s="16" cm="1">
        <f t="array" ref="F9665">SUM(F9663:F9664)</f>
        <v>0</v>
      </c>
      <c r="G9665" s="16" cm="1">
        <f t="array" ref="G9665">SUM(G9663:G9664)</f>
        <v>0</v>
      </c>
      <c r="H9665" s="16" cm="1">
        <f t="array" ref="H9665">SUM(H9663:H9664)</f>
        <v>9.99</v>
      </c>
      <c r="I9665" s="16" cm="1">
        <f t="array" ref="I9665">SUM(I9663:I9664)</f>
        <v>9.99</v>
      </c>
    </row>
    <row r="9666" ht="20.35" customHeight="1">
      <c r="A9666" s="10">
        <v>45818</v>
      </c>
      <c r="B9666" t="s" s="11">
        <v>107</v>
      </c>
      <c r="C9666" t="s" s="12">
        <v>890</v>
      </c>
      <c r="D9666" s="17"/>
      <c r="E9666" s="17">
        <v>750</v>
      </c>
      <c r="F9666" s="18"/>
      <c r="G9666" s="18"/>
      <c r="H9666" s="18"/>
      <c r="I9666" s="18"/>
    </row>
    <row r="9667" ht="20.35" customHeight="1">
      <c r="A9667" s="10">
        <v>45818</v>
      </c>
      <c r="B9667" t="s" s="11">
        <v>10</v>
      </c>
      <c r="C9667" t="s" s="12">
        <v>890</v>
      </c>
      <c r="D9667" s="13">
        <v>750</v>
      </c>
      <c r="E9667" s="13"/>
      <c r="F9667" s="14"/>
      <c r="G9667" s="14"/>
      <c r="H9667" s="14"/>
      <c r="I9667" s="14"/>
    </row>
    <row r="9668" ht="20.7" customHeight="1">
      <c r="A9668" s="10">
        <v>45818</v>
      </c>
      <c r="B9668" t="s" s="11">
        <v>8</v>
      </c>
      <c r="C9668" t="s" s="12">
        <v>8</v>
      </c>
      <c r="D9668" s="15" cm="1">
        <f t="array" ref="D9668">SUM(D9666:D9667)</f>
        <v>750</v>
      </c>
      <c r="E9668" s="15" cm="1">
        <f t="array" ref="E9668">SUM(E9666:E9667)</f>
        <v>750</v>
      </c>
      <c r="F9668" s="16" cm="1">
        <f t="array" ref="F9668">SUM(F9666:F9667)</f>
        <v>0</v>
      </c>
      <c r="G9668" s="16" cm="1">
        <f t="array" ref="G9668">SUM(G9666:G9667)</f>
        <v>0</v>
      </c>
      <c r="H9668" s="16" cm="1">
        <f t="array" ref="H9668">SUM(H9666:H9667)</f>
        <v>0</v>
      </c>
      <c r="I9668" s="16" cm="1">
        <f t="array" ref="I9668">SUM(I9666:I9667)</f>
        <v>0</v>
      </c>
    </row>
    <row r="9669" ht="20.65" customHeight="1">
      <c r="A9669" s="10">
        <v>45818</v>
      </c>
      <c r="B9669" t="s" s="11">
        <v>843</v>
      </c>
      <c r="C9669" t="s" s="12">
        <v>820</v>
      </c>
      <c r="D9669" s="17">
        <v>17</v>
      </c>
      <c r="E9669" s="17"/>
      <c r="F9669" s="18"/>
      <c r="G9669" s="18"/>
      <c r="H9669" s="18"/>
      <c r="I9669" s="18"/>
    </row>
    <row r="9670" ht="20.65" customHeight="1">
      <c r="A9670" s="10">
        <v>45818</v>
      </c>
      <c r="B9670" t="s" s="11">
        <v>7</v>
      </c>
      <c r="C9670" t="s" s="12">
        <v>820</v>
      </c>
      <c r="D9670" s="13"/>
      <c r="E9670" s="13">
        <v>17</v>
      </c>
      <c r="F9670" s="14"/>
      <c r="G9670" s="14"/>
      <c r="H9670" s="14"/>
      <c r="I9670" s="14"/>
    </row>
    <row r="9671" ht="20.7" customHeight="1">
      <c r="A9671" s="10">
        <v>45818</v>
      </c>
      <c r="B9671" t="s" s="11">
        <v>8</v>
      </c>
      <c r="C9671" t="s" s="12">
        <v>8</v>
      </c>
      <c r="D9671" s="15" cm="1">
        <f t="array" ref="D9671">SUM(D9669:D9670)</f>
        <v>17</v>
      </c>
      <c r="E9671" s="15" cm="1">
        <f t="array" ref="E9671">SUM(E9669:E9670)</f>
        <v>17</v>
      </c>
      <c r="F9671" s="16" cm="1">
        <f t="array" ref="F9671">SUM(F9669:F9670)</f>
        <v>0</v>
      </c>
      <c r="G9671" s="16" cm="1">
        <f t="array" ref="G9671">SUM(G9669:G9670)</f>
        <v>0</v>
      </c>
      <c r="H9671" s="16" cm="1">
        <f t="array" ref="H9671">SUM(H9669:H9670)</f>
        <v>0</v>
      </c>
      <c r="I9671" s="16" cm="1">
        <f t="array" ref="I9671">SUM(I9669:I9670)</f>
        <v>0</v>
      </c>
    </row>
    <row r="9672" ht="20.35" customHeight="1">
      <c r="A9672" s="10">
        <v>45818</v>
      </c>
      <c r="B9672" t="s" s="11">
        <v>107</v>
      </c>
      <c r="C9672" t="s" s="12">
        <v>96</v>
      </c>
      <c r="D9672" s="17"/>
      <c r="E9672" s="17">
        <v>10000</v>
      </c>
      <c r="F9672" s="18"/>
      <c r="G9672" s="18"/>
      <c r="H9672" s="18"/>
      <c r="I9672" s="18"/>
    </row>
    <row r="9673" ht="20.35" customHeight="1">
      <c r="A9673" s="10">
        <v>45818</v>
      </c>
      <c r="B9673" t="s" s="11">
        <v>5</v>
      </c>
      <c r="C9673" t="s" s="12">
        <v>96</v>
      </c>
      <c r="D9673" s="13">
        <v>10000</v>
      </c>
      <c r="E9673" s="13"/>
      <c r="F9673" s="14"/>
      <c r="G9673" s="14"/>
      <c r="H9673" s="14"/>
      <c r="I9673" s="14"/>
    </row>
    <row r="9674" ht="20.7" customHeight="1">
      <c r="A9674" s="10">
        <v>45818</v>
      </c>
      <c r="B9674" t="s" s="11">
        <v>8</v>
      </c>
      <c r="C9674" t="s" s="12">
        <v>8</v>
      </c>
      <c r="D9674" s="15" cm="1">
        <f t="array" ref="D9674">SUM(D9672:D9673)</f>
        <v>10000</v>
      </c>
      <c r="E9674" s="15" cm="1">
        <f t="array" ref="E9674">SUM(E9672:E9673)</f>
        <v>10000</v>
      </c>
      <c r="F9674" s="16" cm="1">
        <f t="array" ref="F9674">SUM(F9672:F9673)</f>
        <v>0</v>
      </c>
      <c r="G9674" s="16" cm="1">
        <f t="array" ref="G9674">SUM(G9672:G9673)</f>
        <v>0</v>
      </c>
      <c r="H9674" s="16" cm="1">
        <f t="array" ref="H9674">SUM(H9672:H9673)</f>
        <v>0</v>
      </c>
      <c r="I9674" s="16" cm="1">
        <f t="array" ref="I9674">SUM(I9672:I9673)</f>
        <v>0</v>
      </c>
    </row>
    <row r="9675" ht="20.35" customHeight="1">
      <c r="A9675" s="10">
        <v>45818</v>
      </c>
      <c r="B9675" t="s" s="11">
        <v>5</v>
      </c>
      <c r="C9675" t="s" s="12">
        <v>604</v>
      </c>
      <c r="D9675" s="17"/>
      <c r="E9675" s="17">
        <v>10000</v>
      </c>
      <c r="F9675" s="18"/>
      <c r="G9675" s="18"/>
      <c r="H9675" s="18"/>
      <c r="I9675" s="18"/>
    </row>
    <row r="9676" ht="20.35" customHeight="1">
      <c r="A9676" s="10">
        <v>45818</v>
      </c>
      <c r="B9676" t="s" s="11">
        <v>93</v>
      </c>
      <c r="C9676" t="s" s="12">
        <v>604</v>
      </c>
      <c r="D9676" s="13">
        <v>10000</v>
      </c>
      <c r="E9676" s="13"/>
      <c r="F9676" s="14"/>
      <c r="G9676" s="14"/>
      <c r="H9676" s="14"/>
      <c r="I9676" s="14"/>
    </row>
    <row r="9677" ht="20.7" customHeight="1">
      <c r="A9677" s="10">
        <v>45818</v>
      </c>
      <c r="B9677" t="s" s="11">
        <v>8</v>
      </c>
      <c r="C9677" t="s" s="12">
        <v>8</v>
      </c>
      <c r="D9677" s="15" cm="1">
        <f t="array" ref="D9677">SUM(D9675:D9676)</f>
        <v>10000</v>
      </c>
      <c r="E9677" s="15" cm="1">
        <f t="array" ref="E9677">SUM(E9675:E9676)</f>
        <v>10000</v>
      </c>
      <c r="F9677" s="16" cm="1">
        <f t="array" ref="F9677">SUM(F9675:F9676)</f>
        <v>0</v>
      </c>
      <c r="G9677" s="16" cm="1">
        <f t="array" ref="G9677">SUM(G9675:G9676)</f>
        <v>0</v>
      </c>
      <c r="H9677" s="16" cm="1">
        <f t="array" ref="H9677">SUM(H9675:H9676)</f>
        <v>0</v>
      </c>
      <c r="I9677" s="16" cm="1">
        <f t="array" ref="I9677">SUM(I9675:I9676)</f>
        <v>0</v>
      </c>
    </row>
    <row r="9678" ht="20.35" customHeight="1">
      <c r="A9678" s="10">
        <v>45818</v>
      </c>
      <c r="B9678" t="s" s="11">
        <v>93</v>
      </c>
      <c r="C9678" t="s" s="12">
        <v>1286</v>
      </c>
      <c r="D9678" s="17"/>
      <c r="E9678" s="17">
        <v>5000</v>
      </c>
      <c r="F9678" s="18"/>
      <c r="G9678" s="18"/>
      <c r="H9678" s="18"/>
      <c r="I9678" s="18"/>
    </row>
    <row r="9679" ht="20.35" customHeight="1">
      <c r="A9679" s="10">
        <v>45818</v>
      </c>
      <c r="B9679" t="s" s="11">
        <v>10</v>
      </c>
      <c r="C9679" t="s" s="12">
        <v>1286</v>
      </c>
      <c r="D9679" s="13">
        <v>5000</v>
      </c>
      <c r="E9679" s="13"/>
      <c r="F9679" s="14"/>
      <c r="G9679" s="14"/>
      <c r="H9679" s="14"/>
      <c r="I9679" s="14"/>
    </row>
    <row r="9680" ht="20.7" customHeight="1">
      <c r="A9680" s="10">
        <v>45818</v>
      </c>
      <c r="B9680" t="s" s="11">
        <v>8</v>
      </c>
      <c r="C9680" t="s" s="12">
        <v>8</v>
      </c>
      <c r="D9680" s="15" cm="1">
        <f t="array" ref="D9680">SUM(D9678:D9679)</f>
        <v>5000</v>
      </c>
      <c r="E9680" s="15" cm="1">
        <f t="array" ref="E9680">SUM(E9678:E9679)</f>
        <v>5000</v>
      </c>
      <c r="F9680" s="16" cm="1">
        <f t="array" ref="F9680">SUM(F9678:F9679)</f>
        <v>0</v>
      </c>
      <c r="G9680" s="16" cm="1">
        <f t="array" ref="G9680">SUM(G9678:G9679)</f>
        <v>0</v>
      </c>
      <c r="H9680" s="16" cm="1">
        <f t="array" ref="H9680">SUM(H9678:H9679)</f>
        <v>0</v>
      </c>
      <c r="I9680" s="16" cm="1">
        <f t="array" ref="I9680">SUM(I9678:I9679)</f>
        <v>0</v>
      </c>
    </row>
    <row r="9681" ht="21.25" customHeight="1">
      <c r="A9681" s="10">
        <v>45818</v>
      </c>
      <c r="B9681" t="s" s="11">
        <v>5</v>
      </c>
      <c r="C9681" t="s" s="12">
        <v>1209</v>
      </c>
      <c r="D9681" s="17"/>
      <c r="E9681" s="17">
        <v>1400</v>
      </c>
      <c r="F9681" s="18"/>
      <c r="G9681" s="18"/>
      <c r="H9681" s="18"/>
      <c r="I9681" s="18"/>
    </row>
    <row r="9682" ht="21.25" customHeight="1">
      <c r="A9682" s="10">
        <v>45818</v>
      </c>
      <c r="B9682" t="s" s="11">
        <v>21</v>
      </c>
      <c r="C9682" t="s" s="12">
        <v>1209</v>
      </c>
      <c r="D9682" s="13">
        <v>1400</v>
      </c>
      <c r="E9682" s="13"/>
      <c r="F9682" s="14"/>
      <c r="G9682" s="14"/>
      <c r="H9682" s="14"/>
      <c r="I9682" s="14"/>
    </row>
    <row r="9683" ht="20.7" customHeight="1">
      <c r="A9683" s="10">
        <v>45818</v>
      </c>
      <c r="B9683" t="s" s="11">
        <v>8</v>
      </c>
      <c r="C9683" t="s" s="12">
        <v>8</v>
      </c>
      <c r="D9683" s="15" cm="1">
        <f t="array" ref="D9683">SUM(D9681:D9682)</f>
        <v>1400</v>
      </c>
      <c r="E9683" s="15" cm="1">
        <f t="array" ref="E9683">SUM(E9681:E9682)</f>
        <v>1400</v>
      </c>
      <c r="F9683" s="16" cm="1">
        <f t="array" ref="F9683">SUM(F9681:F9682)</f>
        <v>0</v>
      </c>
      <c r="G9683" s="16" cm="1">
        <f t="array" ref="G9683">SUM(G9681:G9682)</f>
        <v>0</v>
      </c>
      <c r="H9683" s="16" cm="1">
        <f t="array" ref="H9683">SUM(H9681:H9682)</f>
        <v>0</v>
      </c>
      <c r="I9683" s="16" cm="1">
        <f t="array" ref="I9683">SUM(I9681:I9682)</f>
        <v>0</v>
      </c>
    </row>
    <row r="9684" ht="20.35" customHeight="1">
      <c r="A9684" s="10">
        <v>45818</v>
      </c>
      <c r="B9684" t="s" s="11">
        <v>121</v>
      </c>
      <c r="C9684" t="s" s="12">
        <v>209</v>
      </c>
      <c r="D9684" s="17"/>
      <c r="E9684" s="17">
        <v>10000</v>
      </c>
      <c r="F9684" s="18"/>
      <c r="G9684" s="18"/>
      <c r="H9684" s="18"/>
      <c r="I9684" s="18"/>
    </row>
    <row r="9685" ht="20.35" customHeight="1">
      <c r="A9685" s="10">
        <v>45818</v>
      </c>
      <c r="B9685" t="s" s="11">
        <v>107</v>
      </c>
      <c r="C9685" t="s" s="12">
        <v>209</v>
      </c>
      <c r="D9685" s="13">
        <v>10000</v>
      </c>
      <c r="E9685" s="13"/>
      <c r="F9685" s="14"/>
      <c r="G9685" s="14"/>
      <c r="H9685" s="14"/>
      <c r="I9685" s="14"/>
    </row>
    <row r="9686" ht="20.7" customHeight="1">
      <c r="A9686" s="10">
        <v>45818</v>
      </c>
      <c r="B9686" t="s" s="11">
        <v>8</v>
      </c>
      <c r="C9686" t="s" s="12">
        <v>8</v>
      </c>
      <c r="D9686" s="15" cm="1">
        <f t="array" ref="D9686">SUM(D9684:D9685)</f>
        <v>10000</v>
      </c>
      <c r="E9686" s="15" cm="1">
        <f t="array" ref="E9686">SUM(E9684:E9685)</f>
        <v>10000</v>
      </c>
      <c r="F9686" s="16" cm="1">
        <f t="array" ref="F9686">SUM(F9684:F9685)</f>
        <v>0</v>
      </c>
      <c r="G9686" s="16" cm="1">
        <f t="array" ref="G9686">SUM(G9684:G9685)</f>
        <v>0</v>
      </c>
      <c r="H9686" s="16" cm="1">
        <f t="array" ref="H9686">SUM(H9684:H9685)</f>
        <v>0</v>
      </c>
      <c r="I9686" s="16" cm="1">
        <f t="array" ref="I9686">SUM(I9684:I9685)</f>
        <v>0</v>
      </c>
    </row>
    <row r="9687" ht="20.35" customHeight="1">
      <c r="A9687" s="10">
        <v>45818</v>
      </c>
      <c r="B9687" t="s" s="11">
        <v>107</v>
      </c>
      <c r="C9687" t="s" s="12">
        <v>916</v>
      </c>
      <c r="D9687" s="17"/>
      <c r="E9687" s="17">
        <v>36300</v>
      </c>
      <c r="F9687" s="18"/>
      <c r="G9687" s="18"/>
      <c r="H9687" s="18"/>
      <c r="I9687" s="18"/>
    </row>
    <row r="9688" ht="20.35" customHeight="1">
      <c r="A9688" s="10">
        <v>45818</v>
      </c>
      <c r="B9688" t="s" s="11">
        <v>12</v>
      </c>
      <c r="C9688" t="s" s="12">
        <v>916</v>
      </c>
      <c r="D9688" s="13">
        <v>36300</v>
      </c>
      <c r="E9688" s="13"/>
      <c r="F9688" s="14"/>
      <c r="G9688" s="14"/>
      <c r="H9688" s="14"/>
      <c r="I9688" s="14"/>
    </row>
    <row r="9689" ht="20.7" customHeight="1">
      <c r="A9689" s="10">
        <v>45818</v>
      </c>
      <c r="B9689" t="s" s="11">
        <v>8</v>
      </c>
      <c r="C9689" t="s" s="12">
        <v>8</v>
      </c>
      <c r="D9689" s="15" cm="1">
        <f t="array" ref="D9689">SUM(D9687:D9688)</f>
        <v>36300</v>
      </c>
      <c r="E9689" s="15" cm="1">
        <f t="array" ref="E9689">SUM(E9687:E9688)</f>
        <v>36300</v>
      </c>
      <c r="F9689" s="16" cm="1">
        <f t="array" ref="F9689">SUM(F9687:F9688)</f>
        <v>0</v>
      </c>
      <c r="G9689" s="16" cm="1">
        <f t="array" ref="G9689">SUM(G9687:G9688)</f>
        <v>0</v>
      </c>
      <c r="H9689" s="16" cm="1">
        <f t="array" ref="H9689">SUM(H9687:H9688)</f>
        <v>0</v>
      </c>
      <c r="I9689" s="16" cm="1">
        <f t="array" ref="I9689">SUM(I9687:I9688)</f>
        <v>0</v>
      </c>
    </row>
    <row r="9690" ht="20.35" customHeight="1">
      <c r="A9690" s="10">
        <v>45818</v>
      </c>
      <c r="B9690" t="s" s="11">
        <v>107</v>
      </c>
      <c r="C9690" t="s" s="12">
        <v>96</v>
      </c>
      <c r="D9690" s="17"/>
      <c r="E9690" s="17">
        <v>7242</v>
      </c>
      <c r="F9690" s="18"/>
      <c r="G9690" s="18"/>
      <c r="H9690" s="18"/>
      <c r="I9690" s="18"/>
    </row>
    <row r="9691" ht="20.35" customHeight="1">
      <c r="A9691" s="10">
        <v>45818</v>
      </c>
      <c r="B9691" t="s" s="11">
        <v>5</v>
      </c>
      <c r="C9691" t="s" s="12">
        <v>96</v>
      </c>
      <c r="D9691" s="13">
        <v>7242</v>
      </c>
      <c r="E9691" s="13"/>
      <c r="F9691" s="14"/>
      <c r="G9691" s="14"/>
      <c r="H9691" s="14"/>
      <c r="I9691" s="14"/>
    </row>
    <row r="9692" ht="20.7" customHeight="1">
      <c r="A9692" s="10">
        <v>45818</v>
      </c>
      <c r="B9692" t="s" s="11">
        <v>8</v>
      </c>
      <c r="C9692" t="s" s="12">
        <v>8</v>
      </c>
      <c r="D9692" s="15" cm="1">
        <f t="array" ref="D9692">SUM(D9690:D9691)</f>
        <v>7242</v>
      </c>
      <c r="E9692" s="15" cm="1">
        <f t="array" ref="E9692">SUM(E9690:E9691)</f>
        <v>7242</v>
      </c>
      <c r="F9692" s="16" cm="1">
        <f t="array" ref="F9692">SUM(F9690:F9691)</f>
        <v>0</v>
      </c>
      <c r="G9692" s="16" cm="1">
        <f t="array" ref="G9692">SUM(G9690:G9691)</f>
        <v>0</v>
      </c>
      <c r="H9692" s="16" cm="1">
        <f t="array" ref="H9692">SUM(H9690:H9691)</f>
        <v>0</v>
      </c>
      <c r="I9692" s="16" cm="1">
        <f t="array" ref="I9692">SUM(I9690:I9691)</f>
        <v>0</v>
      </c>
    </row>
    <row r="9693" ht="20.35" customHeight="1">
      <c r="A9693" s="10">
        <v>45818</v>
      </c>
      <c r="B9693" t="s" s="11">
        <v>5</v>
      </c>
      <c r="C9693" t="s" s="12">
        <v>209</v>
      </c>
      <c r="D9693" s="17"/>
      <c r="E9693" s="17">
        <v>3000</v>
      </c>
      <c r="F9693" s="18"/>
      <c r="G9693" s="18"/>
      <c r="H9693" s="18"/>
      <c r="I9693" s="18"/>
    </row>
    <row r="9694" ht="20.35" customHeight="1">
      <c r="A9694" s="10">
        <v>45818</v>
      </c>
      <c r="B9694" t="s" s="11">
        <v>107</v>
      </c>
      <c r="C9694" t="s" s="12">
        <v>209</v>
      </c>
      <c r="D9694" s="13">
        <v>3000</v>
      </c>
      <c r="E9694" s="13"/>
      <c r="F9694" s="14"/>
      <c r="G9694" s="14"/>
      <c r="H9694" s="14"/>
      <c r="I9694" s="14"/>
    </row>
    <row r="9695" ht="20.7" customHeight="1">
      <c r="A9695" s="10">
        <v>45818</v>
      </c>
      <c r="B9695" t="s" s="11">
        <v>8</v>
      </c>
      <c r="C9695" t="s" s="12">
        <v>8</v>
      </c>
      <c r="D9695" s="15" cm="1">
        <f t="array" ref="D9695">SUM(D9693:D9694)</f>
        <v>3000</v>
      </c>
      <c r="E9695" s="15" cm="1">
        <f t="array" ref="E9695">SUM(E9693:E9694)</f>
        <v>3000</v>
      </c>
      <c r="F9695" s="16" cm="1">
        <f t="array" ref="F9695">SUM(F9693:F9694)</f>
        <v>0</v>
      </c>
      <c r="G9695" s="16" cm="1">
        <f t="array" ref="G9695">SUM(G9693:G9694)</f>
        <v>0</v>
      </c>
      <c r="H9695" s="16" cm="1">
        <f t="array" ref="H9695">SUM(H9693:H9694)</f>
        <v>0</v>
      </c>
      <c r="I9695" s="16" cm="1">
        <f t="array" ref="I9695">SUM(I9693:I9694)</f>
        <v>0</v>
      </c>
    </row>
    <row r="9696" ht="21.25" customHeight="1">
      <c r="A9696" s="10">
        <v>45818</v>
      </c>
      <c r="B9696" t="s" s="11">
        <v>121</v>
      </c>
      <c r="C9696" t="s" s="12">
        <v>1209</v>
      </c>
      <c r="D9696" s="17"/>
      <c r="E9696" s="17">
        <v>5000</v>
      </c>
      <c r="F9696" s="18"/>
      <c r="G9696" s="18"/>
      <c r="H9696" s="18"/>
      <c r="I9696" s="18"/>
    </row>
    <row r="9697" ht="21.25" customHeight="1">
      <c r="A9697" s="10">
        <v>45818</v>
      </c>
      <c r="B9697" t="s" s="11">
        <v>21</v>
      </c>
      <c r="C9697" t="s" s="12">
        <v>1209</v>
      </c>
      <c r="D9697" s="13">
        <v>5000</v>
      </c>
      <c r="E9697" s="13"/>
      <c r="F9697" s="14"/>
      <c r="G9697" s="14"/>
      <c r="H9697" s="14"/>
      <c r="I9697" s="14"/>
    </row>
    <row r="9698" ht="20.7" customHeight="1">
      <c r="A9698" s="10">
        <v>45818</v>
      </c>
      <c r="B9698" t="s" s="11">
        <v>8</v>
      </c>
      <c r="C9698" t="s" s="12">
        <v>8</v>
      </c>
      <c r="D9698" s="15" cm="1">
        <f t="array" ref="D9698">SUM(D9696:D9697)</f>
        <v>5000</v>
      </c>
      <c r="E9698" s="15" cm="1">
        <f t="array" ref="E9698">SUM(E9696:E9697)</f>
        <v>5000</v>
      </c>
      <c r="F9698" s="16" cm="1">
        <f t="array" ref="F9698">SUM(F9696:F9697)</f>
        <v>0</v>
      </c>
      <c r="G9698" s="16" cm="1">
        <f t="array" ref="G9698">SUM(G9696:G9697)</f>
        <v>0</v>
      </c>
      <c r="H9698" s="16" cm="1">
        <f t="array" ref="H9698">SUM(H9696:H9697)</f>
        <v>0</v>
      </c>
      <c r="I9698" s="16" cm="1">
        <f t="array" ref="I9698">SUM(I9696:I9697)</f>
        <v>0</v>
      </c>
    </row>
    <row r="9699" ht="20.35" customHeight="1">
      <c r="A9699" s="10">
        <v>45818</v>
      </c>
      <c r="B9699" t="s" s="11">
        <v>121</v>
      </c>
      <c r="C9699" t="s" s="12">
        <v>439</v>
      </c>
      <c r="D9699" s="17">
        <v>5000</v>
      </c>
      <c r="E9699" s="17"/>
      <c r="F9699" s="18"/>
      <c r="G9699" s="18"/>
      <c r="H9699" s="18"/>
      <c r="I9699" s="18"/>
    </row>
    <row r="9700" ht="20.35" customHeight="1">
      <c r="A9700" s="10">
        <v>45818</v>
      </c>
      <c r="B9700" t="s" s="11">
        <v>93</v>
      </c>
      <c r="C9700" t="s" s="12">
        <v>439</v>
      </c>
      <c r="D9700" s="13"/>
      <c r="E9700" s="13">
        <v>5000</v>
      </c>
      <c r="F9700" s="14"/>
      <c r="G9700" s="14"/>
      <c r="H9700" s="14"/>
      <c r="I9700" s="14"/>
    </row>
    <row r="9701" ht="20.7" customHeight="1">
      <c r="A9701" s="10">
        <v>45818</v>
      </c>
      <c r="B9701" t="s" s="11">
        <v>8</v>
      </c>
      <c r="C9701" t="s" s="12">
        <v>8</v>
      </c>
      <c r="D9701" s="15" cm="1">
        <f t="array" ref="D9701">SUM(D9699:D9700)</f>
        <v>5000</v>
      </c>
      <c r="E9701" s="15" cm="1">
        <f t="array" ref="E9701">SUM(E9699:E9700)</f>
        <v>5000</v>
      </c>
      <c r="F9701" s="16" cm="1">
        <f t="array" ref="F9701">SUM(F9699:F9700)</f>
        <v>0</v>
      </c>
      <c r="G9701" s="16" cm="1">
        <f t="array" ref="G9701">SUM(G9699:G9700)</f>
        <v>0</v>
      </c>
      <c r="H9701" s="16" cm="1">
        <f t="array" ref="H9701">SUM(H9699:H9700)</f>
        <v>0</v>
      </c>
      <c r="I9701" s="16" cm="1">
        <f t="array" ref="I9701">SUM(I9699:I9700)</f>
        <v>0</v>
      </c>
    </row>
    <row r="9702" ht="20.35" customHeight="1">
      <c r="A9702" s="10">
        <v>45818</v>
      </c>
      <c r="B9702" t="s" s="11">
        <v>843</v>
      </c>
      <c r="C9702" t="s" s="12">
        <v>96</v>
      </c>
      <c r="D9702" s="17"/>
      <c r="E9702" s="17">
        <v>48290</v>
      </c>
      <c r="F9702" s="18"/>
      <c r="G9702" s="18"/>
      <c r="H9702" s="18"/>
      <c r="I9702" s="18"/>
    </row>
    <row r="9703" ht="20.35" customHeight="1">
      <c r="A9703" s="10">
        <v>45818</v>
      </c>
      <c r="B9703" t="s" s="11">
        <v>5</v>
      </c>
      <c r="C9703" t="s" s="12">
        <v>96</v>
      </c>
      <c r="D9703" s="13">
        <v>48290</v>
      </c>
      <c r="E9703" s="13"/>
      <c r="F9703" s="14"/>
      <c r="G9703" s="14"/>
      <c r="H9703" s="14"/>
      <c r="I9703" s="14"/>
    </row>
    <row r="9704" ht="20.7" customHeight="1">
      <c r="A9704" s="10">
        <v>45818</v>
      </c>
      <c r="B9704" t="s" s="11">
        <v>8</v>
      </c>
      <c r="C9704" t="s" s="12">
        <v>8</v>
      </c>
      <c r="D9704" s="15" cm="1">
        <f t="array" ref="D9704">SUM(D9702:D9703)</f>
        <v>48290</v>
      </c>
      <c r="E9704" s="15" cm="1">
        <f t="array" ref="E9704">SUM(E9702:E9703)</f>
        <v>48290</v>
      </c>
      <c r="F9704" s="16" cm="1">
        <f t="array" ref="F9704">SUM(F9702:F9703)</f>
        <v>0</v>
      </c>
      <c r="G9704" s="16" cm="1">
        <f t="array" ref="G9704">SUM(G9702:G9703)</f>
        <v>0</v>
      </c>
      <c r="H9704" s="16" cm="1">
        <f t="array" ref="H9704">SUM(H9702:H9703)</f>
        <v>0</v>
      </c>
      <c r="I9704" s="16" cm="1">
        <f t="array" ref="I9704">SUM(I9702:I9703)</f>
        <v>0</v>
      </c>
    </row>
    <row r="9705" ht="20.35" customHeight="1">
      <c r="A9705" s="10">
        <v>45818</v>
      </c>
      <c r="B9705" t="s" s="11">
        <v>5</v>
      </c>
      <c r="C9705" t="s" s="12">
        <v>1071</v>
      </c>
      <c r="D9705" s="17"/>
      <c r="E9705" s="17">
        <v>24080</v>
      </c>
      <c r="F9705" s="18"/>
      <c r="G9705" s="18"/>
      <c r="H9705" s="18"/>
      <c r="I9705" s="18"/>
    </row>
    <row r="9706" ht="20.05" customHeight="1">
      <c r="A9706" s="10">
        <v>45818</v>
      </c>
      <c r="B9706" t="s" s="11">
        <v>89</v>
      </c>
      <c r="C9706" t="s" s="12">
        <v>1071</v>
      </c>
      <c r="D9706" s="19">
        <v>12040</v>
      </c>
      <c r="E9706" s="19"/>
      <c r="F9706" s="20"/>
      <c r="G9706" s="20"/>
      <c r="H9706" s="20"/>
      <c r="I9706" s="20"/>
    </row>
    <row r="9707" ht="20.35" customHeight="1">
      <c r="A9707" s="10">
        <v>45818</v>
      </c>
      <c r="B9707" t="s" s="11">
        <v>74</v>
      </c>
      <c r="C9707" t="s" s="12">
        <v>1071</v>
      </c>
      <c r="D9707" s="13">
        <v>12040</v>
      </c>
      <c r="E9707" s="13"/>
      <c r="F9707" s="14"/>
      <c r="G9707" s="14"/>
      <c r="H9707" s="14"/>
      <c r="I9707" s="14"/>
    </row>
    <row r="9708" ht="20.7" customHeight="1">
      <c r="A9708" s="10">
        <v>45818</v>
      </c>
      <c r="B9708" t="s" s="11">
        <v>8</v>
      </c>
      <c r="C9708" t="s" s="12">
        <v>8</v>
      </c>
      <c r="D9708" s="15" cm="1">
        <f t="array" ref="D9708">SUM(D9705:D9707)</f>
        <v>24080</v>
      </c>
      <c r="E9708" s="15" cm="1">
        <f t="array" ref="E9708">SUM(E9705:E9707)</f>
        <v>24080</v>
      </c>
      <c r="F9708" s="16" cm="1">
        <f t="array" ref="F9708">SUM(F9705:F9707)</f>
        <v>0</v>
      </c>
      <c r="G9708" s="16" cm="1">
        <f t="array" ref="G9708">SUM(G9705:G9707)</f>
        <v>0</v>
      </c>
      <c r="H9708" s="16" cm="1">
        <f t="array" ref="H9708">SUM(H9705:H9707)</f>
        <v>0</v>
      </c>
      <c r="I9708" s="16" cm="1">
        <f t="array" ref="I9708">SUM(I9705:I9707)</f>
        <v>0</v>
      </c>
    </row>
    <row r="9709" ht="20.35" customHeight="1">
      <c r="A9709" s="10">
        <v>45818</v>
      </c>
      <c r="B9709" t="s" s="11">
        <v>5</v>
      </c>
      <c r="C9709" t="s" s="12">
        <v>1072</v>
      </c>
      <c r="D9709" s="17"/>
      <c r="E9709" s="17">
        <v>24210</v>
      </c>
      <c r="F9709" s="18"/>
      <c r="G9709" s="18"/>
      <c r="H9709" s="18"/>
      <c r="I9709" s="18"/>
    </row>
    <row r="9710" ht="20.05" customHeight="1">
      <c r="A9710" s="10">
        <v>45818</v>
      </c>
      <c r="B9710" t="s" s="11">
        <v>89</v>
      </c>
      <c r="C9710" t="s" s="12">
        <v>1072</v>
      </c>
      <c r="D9710" s="19">
        <v>12105</v>
      </c>
      <c r="E9710" s="19"/>
      <c r="F9710" s="20"/>
      <c r="G9710" s="20"/>
      <c r="H9710" s="20"/>
      <c r="I9710" s="20"/>
    </row>
    <row r="9711" ht="20.35" customHeight="1">
      <c r="A9711" s="10">
        <v>45818</v>
      </c>
      <c r="B9711" t="s" s="11">
        <v>74</v>
      </c>
      <c r="C9711" t="s" s="12">
        <v>1072</v>
      </c>
      <c r="D9711" s="13">
        <v>12105</v>
      </c>
      <c r="E9711" s="13"/>
      <c r="F9711" s="14"/>
      <c r="G9711" s="14"/>
      <c r="H9711" s="14"/>
      <c r="I9711" s="14"/>
    </row>
    <row r="9712" ht="20.7" customHeight="1">
      <c r="A9712" s="10">
        <v>45818</v>
      </c>
      <c r="B9712" t="s" s="11">
        <v>8</v>
      </c>
      <c r="C9712" t="s" s="12">
        <v>8</v>
      </c>
      <c r="D9712" s="15" cm="1">
        <f t="array" ref="D9712">SUM(D9709:D9711)</f>
        <v>24210</v>
      </c>
      <c r="E9712" s="15" cm="1">
        <f t="array" ref="E9712">SUM(E9709:E9711)</f>
        <v>24210</v>
      </c>
      <c r="F9712" s="16" cm="1">
        <f t="array" ref="F9712">SUM(F9709:F9711)</f>
        <v>0</v>
      </c>
      <c r="G9712" s="16" cm="1">
        <f t="array" ref="G9712">SUM(G9709:G9711)</f>
        <v>0</v>
      </c>
      <c r="H9712" s="16" cm="1">
        <f t="array" ref="H9712">SUM(H9709:H9711)</f>
        <v>0</v>
      </c>
      <c r="I9712" s="16" cm="1">
        <f t="array" ref="I9712">SUM(I9709:I9711)</f>
        <v>0</v>
      </c>
    </row>
    <row r="9713" ht="21.25" customHeight="1">
      <c r="A9713" s="10">
        <v>45818</v>
      </c>
      <c r="B9713" t="s" s="11">
        <v>121</v>
      </c>
      <c r="C9713" t="s" s="12">
        <v>1287</v>
      </c>
      <c r="D9713" s="17"/>
      <c r="E9713" s="17">
        <v>400</v>
      </c>
      <c r="F9713" s="18"/>
      <c r="G9713" s="18"/>
      <c r="H9713" s="18"/>
      <c r="I9713" s="18"/>
    </row>
    <row r="9714" ht="21.25" customHeight="1">
      <c r="A9714" s="10">
        <v>45818</v>
      </c>
      <c r="B9714" t="s" s="11">
        <v>21</v>
      </c>
      <c r="C9714" t="s" s="12">
        <v>1287</v>
      </c>
      <c r="D9714" s="13">
        <v>400</v>
      </c>
      <c r="E9714" s="13"/>
      <c r="F9714" s="14"/>
      <c r="G9714" s="14"/>
      <c r="H9714" s="14"/>
      <c r="I9714" s="14"/>
    </row>
    <row r="9715" ht="20.7" customHeight="1">
      <c r="A9715" s="10">
        <v>45818</v>
      </c>
      <c r="B9715" t="s" s="11">
        <v>8</v>
      </c>
      <c r="C9715" t="s" s="12">
        <v>8</v>
      </c>
      <c r="D9715" s="15" cm="1">
        <f t="array" ref="D9715">SUM(D9713:D9714)</f>
        <v>400</v>
      </c>
      <c r="E9715" s="15" cm="1">
        <f t="array" ref="E9715">SUM(E9713:E9714)</f>
        <v>400</v>
      </c>
      <c r="F9715" s="16" cm="1">
        <f t="array" ref="F9715">SUM(F9713:F9714)</f>
        <v>0</v>
      </c>
      <c r="G9715" s="16" cm="1">
        <f t="array" ref="G9715">SUM(G9713:G9714)</f>
        <v>0</v>
      </c>
      <c r="H9715" s="16" cm="1">
        <f t="array" ref="H9715">SUM(H9713:H9714)</f>
        <v>0</v>
      </c>
      <c r="I9715" s="16" cm="1">
        <f t="array" ref="I9715">SUM(I9713:I9714)</f>
        <v>0</v>
      </c>
    </row>
    <row r="9716" ht="21.25" customHeight="1">
      <c r="A9716" s="10">
        <v>45818</v>
      </c>
      <c r="B9716" t="s" s="11">
        <v>121</v>
      </c>
      <c r="C9716" t="s" s="12">
        <v>1287</v>
      </c>
      <c r="D9716" s="17"/>
      <c r="E9716" s="17">
        <v>4600</v>
      </c>
      <c r="F9716" s="18"/>
      <c r="G9716" s="18"/>
      <c r="H9716" s="18"/>
      <c r="I9716" s="18"/>
    </row>
    <row r="9717" ht="21.25" customHeight="1">
      <c r="A9717" s="10">
        <v>45818</v>
      </c>
      <c r="B9717" t="s" s="11">
        <v>21</v>
      </c>
      <c r="C9717" t="s" s="12">
        <v>1287</v>
      </c>
      <c r="D9717" s="13">
        <v>4600</v>
      </c>
      <c r="E9717" s="13"/>
      <c r="F9717" s="14"/>
      <c r="G9717" s="14"/>
      <c r="H9717" s="14"/>
      <c r="I9717" s="14"/>
    </row>
    <row r="9718" ht="20.7" customHeight="1">
      <c r="A9718" s="10">
        <v>45818</v>
      </c>
      <c r="B9718" t="s" s="11">
        <v>8</v>
      </c>
      <c r="C9718" t="s" s="12">
        <v>8</v>
      </c>
      <c r="D9718" s="15" cm="1">
        <f t="array" ref="D9718">SUM(D9716:D9717)</f>
        <v>4600</v>
      </c>
      <c r="E9718" s="15" cm="1">
        <f t="array" ref="E9718">SUM(E9716:E9717)</f>
        <v>4600</v>
      </c>
      <c r="F9718" s="16" cm="1">
        <f t="array" ref="F9718">SUM(F9716:F9717)</f>
        <v>0</v>
      </c>
      <c r="G9718" s="16" cm="1">
        <f t="array" ref="G9718">SUM(G9716:G9717)</f>
        <v>0</v>
      </c>
      <c r="H9718" s="16" cm="1">
        <f t="array" ref="H9718">SUM(H9716:H9717)</f>
        <v>0</v>
      </c>
      <c r="I9718" s="16" cm="1">
        <f t="array" ref="I9718">SUM(I9716:I9717)</f>
        <v>0</v>
      </c>
    </row>
    <row r="9719" ht="20.65" customHeight="1">
      <c r="A9719" s="10">
        <v>45819</v>
      </c>
      <c r="B9719" t="s" s="11">
        <v>843</v>
      </c>
      <c r="C9719" t="s" s="12">
        <v>820</v>
      </c>
      <c r="D9719" s="17">
        <v>15</v>
      </c>
      <c r="E9719" s="17"/>
      <c r="F9719" s="18"/>
      <c r="G9719" s="18"/>
      <c r="H9719" s="18"/>
      <c r="I9719" s="18"/>
    </row>
    <row r="9720" ht="20.65" customHeight="1">
      <c r="A9720" s="10">
        <v>45819</v>
      </c>
      <c r="B9720" t="s" s="11">
        <v>7</v>
      </c>
      <c r="C9720" t="s" s="12">
        <v>820</v>
      </c>
      <c r="D9720" s="13"/>
      <c r="E9720" s="13">
        <v>15</v>
      </c>
      <c r="F9720" s="14"/>
      <c r="G9720" s="14"/>
      <c r="H9720" s="14"/>
      <c r="I9720" s="14"/>
    </row>
    <row r="9721" ht="20.7" customHeight="1">
      <c r="A9721" s="10">
        <v>45819</v>
      </c>
      <c r="B9721" t="s" s="11">
        <v>8</v>
      </c>
      <c r="C9721" t="s" s="12">
        <v>8</v>
      </c>
      <c r="D9721" s="15" cm="1">
        <f t="array" ref="D9721">SUM(D9719:D9720)</f>
        <v>15</v>
      </c>
      <c r="E9721" s="15" cm="1">
        <f t="array" ref="E9721">SUM(E9719:E9720)</f>
        <v>15</v>
      </c>
      <c r="F9721" s="16" cm="1">
        <f t="array" ref="F9721">SUM(F9719:F9720)</f>
        <v>0</v>
      </c>
      <c r="G9721" s="16" cm="1">
        <f t="array" ref="G9721">SUM(G9719:G9720)</f>
        <v>0</v>
      </c>
      <c r="H9721" s="16" cm="1">
        <f t="array" ref="H9721">SUM(H9719:H9720)</f>
        <v>0</v>
      </c>
      <c r="I9721" s="16" cm="1">
        <f t="array" ref="I9721">SUM(I9719:I9720)</f>
        <v>0</v>
      </c>
    </row>
    <row r="9722" ht="20.35" customHeight="1">
      <c r="A9722" s="10">
        <v>45819</v>
      </c>
      <c r="B9722" t="s" s="11">
        <v>843</v>
      </c>
      <c r="C9722" t="s" s="12">
        <v>96</v>
      </c>
      <c r="D9722" s="17"/>
      <c r="E9722" s="17">
        <v>10000</v>
      </c>
      <c r="F9722" s="18"/>
      <c r="G9722" s="18"/>
      <c r="H9722" s="18"/>
      <c r="I9722" s="18"/>
    </row>
    <row r="9723" ht="20.35" customHeight="1">
      <c r="A9723" s="10">
        <v>45819</v>
      </c>
      <c r="B9723" t="s" s="11">
        <v>5</v>
      </c>
      <c r="C9723" t="s" s="12">
        <v>96</v>
      </c>
      <c r="D9723" s="13">
        <v>10000</v>
      </c>
      <c r="E9723" s="13"/>
      <c r="F9723" s="14"/>
      <c r="G9723" s="14"/>
      <c r="H9723" s="14"/>
      <c r="I9723" s="14"/>
    </row>
    <row r="9724" ht="20.7" customHeight="1">
      <c r="A9724" s="10">
        <v>45819</v>
      </c>
      <c r="B9724" t="s" s="11">
        <v>8</v>
      </c>
      <c r="C9724" t="s" s="12">
        <v>8</v>
      </c>
      <c r="D9724" s="15" cm="1">
        <f t="array" ref="D9724">SUM(D9722:D9723)</f>
        <v>10000</v>
      </c>
      <c r="E9724" s="15" cm="1">
        <f t="array" ref="E9724">SUM(E9722:E9723)</f>
        <v>10000</v>
      </c>
      <c r="F9724" s="16" cm="1">
        <f t="array" ref="F9724">SUM(F9722:F9723)</f>
        <v>0</v>
      </c>
      <c r="G9724" s="16" cm="1">
        <f t="array" ref="G9724">SUM(G9722:G9723)</f>
        <v>0</v>
      </c>
      <c r="H9724" s="16" cm="1">
        <f t="array" ref="H9724">SUM(H9722:H9723)</f>
        <v>0</v>
      </c>
      <c r="I9724" s="16" cm="1">
        <f t="array" ref="I9724">SUM(I9722:I9723)</f>
        <v>0</v>
      </c>
    </row>
    <row r="9725" ht="20.35" customHeight="1">
      <c r="A9725" s="10">
        <v>45819</v>
      </c>
      <c r="B9725" t="s" s="11">
        <v>5</v>
      </c>
      <c r="C9725" t="s" s="12">
        <v>735</v>
      </c>
      <c r="D9725" s="17"/>
      <c r="E9725" s="17">
        <v>10000</v>
      </c>
      <c r="F9725" s="18"/>
      <c r="G9725" s="18"/>
      <c r="H9725" s="18"/>
      <c r="I9725" s="18"/>
    </row>
    <row r="9726" ht="20.35" customHeight="1">
      <c r="A9726" s="10">
        <v>45819</v>
      </c>
      <c r="B9726" t="s" s="11">
        <v>28</v>
      </c>
      <c r="C9726" t="s" s="12">
        <v>735</v>
      </c>
      <c r="D9726" s="13">
        <v>10000</v>
      </c>
      <c r="E9726" s="13"/>
      <c r="F9726" s="14"/>
      <c r="G9726" s="14"/>
      <c r="H9726" s="14"/>
      <c r="I9726" s="14"/>
    </row>
    <row r="9727" ht="20.7" customHeight="1">
      <c r="A9727" s="10">
        <v>45819</v>
      </c>
      <c r="B9727" t="s" s="11">
        <v>8</v>
      </c>
      <c r="C9727" t="s" s="12">
        <v>8</v>
      </c>
      <c r="D9727" s="15" cm="1">
        <f t="array" ref="D9727">SUM(D9725:D9726)</f>
        <v>10000</v>
      </c>
      <c r="E9727" s="15" cm="1">
        <f t="array" ref="E9727">SUM(E9725:E9726)</f>
        <v>10000</v>
      </c>
      <c r="F9727" s="16" cm="1">
        <f t="array" ref="F9727">SUM(F9725:F9726)</f>
        <v>0</v>
      </c>
      <c r="G9727" s="16" cm="1">
        <f t="array" ref="G9727">SUM(G9725:G9726)</f>
        <v>0</v>
      </c>
      <c r="H9727" s="16" cm="1">
        <f t="array" ref="H9727">SUM(H9725:H9726)</f>
        <v>0</v>
      </c>
      <c r="I9727" s="16" cm="1">
        <f t="array" ref="I9727">SUM(I9725:I9726)</f>
        <v>0</v>
      </c>
    </row>
    <row r="9728" ht="20.65" customHeight="1">
      <c r="A9728" s="10">
        <v>45819</v>
      </c>
      <c r="B9728" t="s" s="11">
        <v>28</v>
      </c>
      <c r="C9728" t="s" s="12">
        <v>218</v>
      </c>
      <c r="D9728" s="17"/>
      <c r="E9728" s="17">
        <v>5000</v>
      </c>
      <c r="F9728" s="18"/>
      <c r="G9728" s="18"/>
      <c r="H9728" s="18"/>
      <c r="I9728" s="18"/>
    </row>
    <row r="9729" ht="20.65" customHeight="1">
      <c r="A9729" s="10">
        <v>45819</v>
      </c>
      <c r="B9729" t="s" s="11">
        <v>12</v>
      </c>
      <c r="C9729" t="s" s="12">
        <v>218</v>
      </c>
      <c r="D9729" s="13">
        <v>5000</v>
      </c>
      <c r="E9729" s="13"/>
      <c r="F9729" s="14"/>
      <c r="G9729" s="14"/>
      <c r="H9729" s="14"/>
      <c r="I9729" s="14"/>
    </row>
    <row r="9730" ht="20.7" customHeight="1">
      <c r="A9730" s="10">
        <v>45819</v>
      </c>
      <c r="B9730" t="s" s="11">
        <v>8</v>
      </c>
      <c r="C9730" t="s" s="12">
        <v>8</v>
      </c>
      <c r="D9730" s="15" cm="1">
        <f t="array" ref="D9730">SUM(D9728:D9729)</f>
        <v>5000</v>
      </c>
      <c r="E9730" s="15" cm="1">
        <f t="array" ref="E9730">SUM(E9728:E9729)</f>
        <v>5000</v>
      </c>
      <c r="F9730" s="16" cm="1">
        <f t="array" ref="F9730">SUM(F9728:F9729)</f>
        <v>0</v>
      </c>
      <c r="G9730" s="16" cm="1">
        <f t="array" ref="G9730">SUM(G9728:G9729)</f>
        <v>0</v>
      </c>
      <c r="H9730" s="16" cm="1">
        <f t="array" ref="H9730">SUM(H9728:H9729)</f>
        <v>0</v>
      </c>
      <c r="I9730" s="16" cm="1">
        <f t="array" ref="I9730">SUM(I9728:I9729)</f>
        <v>0</v>
      </c>
    </row>
    <row r="9731" ht="20.65" customHeight="1">
      <c r="A9731" s="10">
        <v>45820</v>
      </c>
      <c r="B9731" t="s" s="11">
        <v>843</v>
      </c>
      <c r="C9731" t="s" s="12">
        <v>820</v>
      </c>
      <c r="D9731" s="17">
        <v>14</v>
      </c>
      <c r="E9731" s="17"/>
      <c r="F9731" s="18"/>
      <c r="G9731" s="18"/>
      <c r="H9731" s="18"/>
      <c r="I9731" s="18"/>
    </row>
    <row r="9732" ht="20.65" customHeight="1">
      <c r="A9732" s="10">
        <v>45820</v>
      </c>
      <c r="B9732" t="s" s="11">
        <v>7</v>
      </c>
      <c r="C9732" t="s" s="12">
        <v>820</v>
      </c>
      <c r="D9732" s="13"/>
      <c r="E9732" s="13">
        <v>14</v>
      </c>
      <c r="F9732" s="14"/>
      <c r="G9732" s="14"/>
      <c r="H9732" s="14"/>
      <c r="I9732" s="14"/>
    </row>
    <row r="9733" ht="20.7" customHeight="1">
      <c r="A9733" s="10">
        <v>45820</v>
      </c>
      <c r="B9733" t="s" s="11">
        <v>8</v>
      </c>
      <c r="C9733" t="s" s="12">
        <v>8</v>
      </c>
      <c r="D9733" s="15" cm="1">
        <f t="array" ref="D9733">SUM(D9731:D9732)</f>
        <v>14</v>
      </c>
      <c r="E9733" s="15" cm="1">
        <f t="array" ref="E9733">SUM(E9731:E9732)</f>
        <v>14</v>
      </c>
      <c r="F9733" s="16" cm="1">
        <f t="array" ref="F9733">SUM(F9731:F9732)</f>
        <v>0</v>
      </c>
      <c r="G9733" s="16" cm="1">
        <f t="array" ref="G9733">SUM(G9731:G9732)</f>
        <v>0</v>
      </c>
      <c r="H9733" s="16" cm="1">
        <f t="array" ref="H9733">SUM(H9731:H9732)</f>
        <v>0</v>
      </c>
      <c r="I9733" s="16" cm="1">
        <f t="array" ref="I9733">SUM(I9731:I9732)</f>
        <v>0</v>
      </c>
    </row>
    <row r="9734" ht="20.35" customHeight="1">
      <c r="A9734" s="10">
        <v>45820</v>
      </c>
      <c r="B9734" t="s" s="11">
        <v>843</v>
      </c>
      <c r="C9734" t="s" s="12">
        <v>96</v>
      </c>
      <c r="D9734" s="17"/>
      <c r="E9734" s="17">
        <v>20000</v>
      </c>
      <c r="F9734" s="18"/>
      <c r="G9734" s="18"/>
      <c r="H9734" s="18"/>
      <c r="I9734" s="18"/>
    </row>
    <row r="9735" ht="20.35" customHeight="1">
      <c r="A9735" s="10">
        <v>45820</v>
      </c>
      <c r="B9735" t="s" s="11">
        <v>5</v>
      </c>
      <c r="C9735" t="s" s="12">
        <v>96</v>
      </c>
      <c r="D9735" s="13">
        <v>20000</v>
      </c>
      <c r="E9735" s="13"/>
      <c r="F9735" s="14"/>
      <c r="G9735" s="14"/>
      <c r="H9735" s="14"/>
      <c r="I9735" s="14"/>
    </row>
    <row r="9736" ht="20.7" customHeight="1">
      <c r="A9736" s="10">
        <v>45820</v>
      </c>
      <c r="B9736" t="s" s="11">
        <v>8</v>
      </c>
      <c r="C9736" t="s" s="12">
        <v>8</v>
      </c>
      <c r="D9736" s="15" cm="1">
        <f t="array" ref="D9736">SUM(D9734:D9735)</f>
        <v>20000</v>
      </c>
      <c r="E9736" s="15" cm="1">
        <f t="array" ref="E9736">SUM(E9734:E9735)</f>
        <v>20000</v>
      </c>
      <c r="F9736" s="16" cm="1">
        <f t="array" ref="F9736">SUM(F9734:F9735)</f>
        <v>0</v>
      </c>
      <c r="G9736" s="16" cm="1">
        <f t="array" ref="G9736">SUM(G9734:G9735)</f>
        <v>0</v>
      </c>
      <c r="H9736" s="16" cm="1">
        <f t="array" ref="H9736">SUM(H9734:H9735)</f>
        <v>0</v>
      </c>
      <c r="I9736" s="16" cm="1">
        <f t="array" ref="I9736">SUM(I9734:I9735)</f>
        <v>0</v>
      </c>
    </row>
    <row r="9737" ht="20.35" customHeight="1">
      <c r="A9737" s="10">
        <v>45820</v>
      </c>
      <c r="B9737" t="s" s="11">
        <v>843</v>
      </c>
      <c r="C9737" t="s" s="12">
        <v>96</v>
      </c>
      <c r="D9737" s="17"/>
      <c r="E9737" s="17">
        <v>40000</v>
      </c>
      <c r="F9737" s="18"/>
      <c r="G9737" s="18"/>
      <c r="H9737" s="18"/>
      <c r="I9737" s="18"/>
    </row>
    <row r="9738" ht="20.35" customHeight="1">
      <c r="A9738" s="10">
        <v>45820</v>
      </c>
      <c r="B9738" t="s" s="11">
        <v>5</v>
      </c>
      <c r="C9738" t="s" s="12">
        <v>96</v>
      </c>
      <c r="D9738" s="13">
        <v>40000</v>
      </c>
      <c r="E9738" s="13"/>
      <c r="F9738" s="14"/>
      <c r="G9738" s="14"/>
      <c r="H9738" s="14"/>
      <c r="I9738" s="14"/>
    </row>
    <row r="9739" ht="20.7" customHeight="1">
      <c r="A9739" s="10">
        <v>45820</v>
      </c>
      <c r="B9739" t="s" s="11">
        <v>8</v>
      </c>
      <c r="C9739" t="s" s="12">
        <v>8</v>
      </c>
      <c r="D9739" s="15" cm="1">
        <f t="array" ref="D9739">SUM(D9737:D9738)</f>
        <v>40000</v>
      </c>
      <c r="E9739" s="15" cm="1">
        <f t="array" ref="E9739">SUM(E9737:E9738)</f>
        <v>40000</v>
      </c>
      <c r="F9739" s="16" cm="1">
        <f t="array" ref="F9739">SUM(F9737:F9738)</f>
        <v>0</v>
      </c>
      <c r="G9739" s="16" cm="1">
        <f t="array" ref="G9739">SUM(G9737:G9738)</f>
        <v>0</v>
      </c>
      <c r="H9739" s="16" cm="1">
        <f t="array" ref="H9739">SUM(H9737:H9738)</f>
        <v>0</v>
      </c>
      <c r="I9739" s="16" cm="1">
        <f t="array" ref="I9739">SUM(I9737:I9738)</f>
        <v>0</v>
      </c>
    </row>
    <row r="9740" ht="21.25" customHeight="1">
      <c r="A9740" s="10">
        <v>45820</v>
      </c>
      <c r="B9740" t="s" s="11">
        <v>5</v>
      </c>
      <c r="C9740" t="s" s="12">
        <v>1277</v>
      </c>
      <c r="D9740" s="17"/>
      <c r="E9740" s="17">
        <v>56000</v>
      </c>
      <c r="F9740" s="18"/>
      <c r="G9740" s="18"/>
      <c r="H9740" s="18"/>
      <c r="I9740" s="18"/>
    </row>
    <row r="9741" ht="20.9" customHeight="1">
      <c r="A9741" s="10">
        <v>45820</v>
      </c>
      <c r="B9741" t="s" s="11">
        <v>12</v>
      </c>
      <c r="C9741" t="s" s="12">
        <v>1277</v>
      </c>
      <c r="D9741" s="19">
        <v>28000</v>
      </c>
      <c r="E9741" s="19"/>
      <c r="F9741" s="20"/>
      <c r="G9741" s="20"/>
      <c r="H9741" s="20"/>
      <c r="I9741" s="20"/>
    </row>
    <row r="9742" ht="21.25" customHeight="1">
      <c r="A9742" s="10">
        <v>45820</v>
      </c>
      <c r="B9742" t="s" s="11">
        <v>10</v>
      </c>
      <c r="C9742" t="s" s="12">
        <v>1277</v>
      </c>
      <c r="D9742" s="13">
        <v>28000</v>
      </c>
      <c r="E9742" s="13"/>
      <c r="F9742" s="14"/>
      <c r="G9742" s="14"/>
      <c r="H9742" s="14"/>
      <c r="I9742" s="14"/>
    </row>
    <row r="9743" ht="20.7" customHeight="1">
      <c r="A9743" s="10">
        <v>45820</v>
      </c>
      <c r="B9743" t="s" s="11">
        <v>8</v>
      </c>
      <c r="C9743" t="s" s="12">
        <v>8</v>
      </c>
      <c r="D9743" s="15" cm="1">
        <f t="array" ref="D9743">SUM(D9740:D9742)</f>
        <v>56000</v>
      </c>
      <c r="E9743" s="15" cm="1">
        <f t="array" ref="E9743">SUM(E9740:E9742)</f>
        <v>56000</v>
      </c>
      <c r="F9743" s="16" cm="1">
        <f t="array" ref="F9743">SUM(F9740:F9742)</f>
        <v>0</v>
      </c>
      <c r="G9743" s="16" cm="1">
        <f t="array" ref="G9743">SUM(G9740:G9742)</f>
        <v>0</v>
      </c>
      <c r="H9743" s="16" cm="1">
        <f t="array" ref="H9743">SUM(H9740:H9742)</f>
        <v>0</v>
      </c>
      <c r="I9743" s="16" cm="1">
        <f t="array" ref="I9743">SUM(I9740:I9742)</f>
        <v>0</v>
      </c>
    </row>
    <row r="9744" ht="21.25" customHeight="1">
      <c r="A9744" s="10">
        <v>45820</v>
      </c>
      <c r="B9744" t="s" s="11">
        <v>5</v>
      </c>
      <c r="C9744" t="s" s="12">
        <v>1288</v>
      </c>
      <c r="D9744" s="17"/>
      <c r="E9744" s="17">
        <v>4740</v>
      </c>
      <c r="F9744" s="18"/>
      <c r="G9744" s="18"/>
      <c r="H9744" s="18"/>
      <c r="I9744" s="18"/>
    </row>
    <row r="9745" ht="21.25" customHeight="1">
      <c r="A9745" s="10">
        <v>45820</v>
      </c>
      <c r="B9745" t="s" s="11">
        <v>10</v>
      </c>
      <c r="C9745" t="s" s="12">
        <v>1288</v>
      </c>
      <c r="D9745" s="13">
        <v>4740</v>
      </c>
      <c r="E9745" s="13"/>
      <c r="F9745" s="14"/>
      <c r="G9745" s="14"/>
      <c r="H9745" s="14"/>
      <c r="I9745" s="14"/>
    </row>
    <row r="9746" ht="20.7" customHeight="1">
      <c r="A9746" s="10">
        <v>45820</v>
      </c>
      <c r="B9746" t="s" s="11">
        <v>8</v>
      </c>
      <c r="C9746" t="s" s="12">
        <v>8</v>
      </c>
      <c r="D9746" s="15" cm="1">
        <f t="array" ref="D9746">SUM(D9744:D9745)</f>
        <v>4740</v>
      </c>
      <c r="E9746" s="15" cm="1">
        <f t="array" ref="E9746">SUM(E9744:E9745)</f>
        <v>4740</v>
      </c>
      <c r="F9746" s="16" cm="1">
        <f t="array" ref="F9746">SUM(F9744:F9745)</f>
        <v>0</v>
      </c>
      <c r="G9746" s="16" cm="1">
        <f t="array" ref="G9746">SUM(G9744:G9745)</f>
        <v>0</v>
      </c>
      <c r="H9746" s="16" cm="1">
        <f t="array" ref="H9746">SUM(H9744:H9745)</f>
        <v>0</v>
      </c>
      <c r="I9746" s="16" cm="1">
        <f t="array" ref="I9746">SUM(I9744:I9745)</f>
        <v>0</v>
      </c>
    </row>
    <row r="9747" ht="20.65" customHeight="1">
      <c r="A9747" s="10">
        <v>45821</v>
      </c>
      <c r="B9747" t="s" s="11">
        <v>843</v>
      </c>
      <c r="C9747" t="s" s="12">
        <v>820</v>
      </c>
      <c r="D9747" s="17">
        <v>12</v>
      </c>
      <c r="E9747" s="17"/>
      <c r="F9747" s="18"/>
      <c r="G9747" s="18"/>
      <c r="H9747" s="18"/>
      <c r="I9747" s="18"/>
    </row>
    <row r="9748" ht="20.65" customHeight="1">
      <c r="A9748" s="10">
        <v>45821</v>
      </c>
      <c r="B9748" t="s" s="11">
        <v>7</v>
      </c>
      <c r="C9748" t="s" s="12">
        <v>820</v>
      </c>
      <c r="D9748" s="13"/>
      <c r="E9748" s="13">
        <v>12</v>
      </c>
      <c r="F9748" s="14"/>
      <c r="G9748" s="14"/>
      <c r="H9748" s="14"/>
      <c r="I9748" s="14"/>
    </row>
    <row r="9749" ht="20.7" customHeight="1">
      <c r="A9749" s="10">
        <v>45821</v>
      </c>
      <c r="B9749" t="s" s="11">
        <v>8</v>
      </c>
      <c r="C9749" t="s" s="12">
        <v>8</v>
      </c>
      <c r="D9749" s="15" cm="1">
        <f t="array" ref="D9749">SUM(D9747:D9748)</f>
        <v>12</v>
      </c>
      <c r="E9749" s="15" cm="1">
        <f t="array" ref="E9749">SUM(E9747:E9748)</f>
        <v>12</v>
      </c>
      <c r="F9749" s="16" cm="1">
        <f t="array" ref="F9749">SUM(F9747:F9748)</f>
        <v>0</v>
      </c>
      <c r="G9749" s="16" cm="1">
        <f t="array" ref="G9749">SUM(G9747:G9748)</f>
        <v>0</v>
      </c>
      <c r="H9749" s="16" cm="1">
        <f t="array" ref="H9749">SUM(H9747:H9748)</f>
        <v>0</v>
      </c>
      <c r="I9749" s="16" cm="1">
        <f t="array" ref="I9749">SUM(I9747:I9748)</f>
        <v>0</v>
      </c>
    </row>
    <row r="9750" ht="21.25" customHeight="1">
      <c r="A9750" s="10">
        <v>45821</v>
      </c>
      <c r="B9750" t="s" s="11">
        <v>107</v>
      </c>
      <c r="C9750" t="s" s="12">
        <v>1287</v>
      </c>
      <c r="D9750" s="17"/>
      <c r="E9750" s="17">
        <v>1500</v>
      </c>
      <c r="F9750" s="18"/>
      <c r="G9750" s="18"/>
      <c r="H9750" s="18"/>
      <c r="I9750" s="18"/>
    </row>
    <row r="9751" ht="21.25" customHeight="1">
      <c r="A9751" s="10">
        <v>45821</v>
      </c>
      <c r="B9751" t="s" s="11">
        <v>21</v>
      </c>
      <c r="C9751" t="s" s="12">
        <v>1287</v>
      </c>
      <c r="D9751" s="13">
        <v>1500</v>
      </c>
      <c r="E9751" s="13"/>
      <c r="F9751" s="14"/>
      <c r="G9751" s="14"/>
      <c r="H9751" s="14"/>
      <c r="I9751" s="14"/>
    </row>
    <row r="9752" ht="20.7" customHeight="1">
      <c r="A9752" s="10">
        <v>45821</v>
      </c>
      <c r="B9752" t="s" s="11">
        <v>8</v>
      </c>
      <c r="C9752" t="s" s="12">
        <v>8</v>
      </c>
      <c r="D9752" s="15" cm="1">
        <f t="array" ref="D9752">SUM(D9750:D9751)</f>
        <v>1500</v>
      </c>
      <c r="E9752" s="15" cm="1">
        <f t="array" ref="E9752">SUM(E9750:E9751)</f>
        <v>1500</v>
      </c>
      <c r="F9752" s="16" cm="1">
        <f t="array" ref="F9752">SUM(F9750:F9751)</f>
        <v>0</v>
      </c>
      <c r="G9752" s="16" cm="1">
        <f t="array" ref="G9752">SUM(G9750:G9751)</f>
        <v>0</v>
      </c>
      <c r="H9752" s="16" cm="1">
        <f t="array" ref="H9752">SUM(H9750:H9751)</f>
        <v>0</v>
      </c>
      <c r="I9752" s="16" cm="1">
        <f t="array" ref="I9752">SUM(I9750:I9751)</f>
        <v>0</v>
      </c>
    </row>
    <row r="9753" ht="20.35" customHeight="1">
      <c r="A9753" s="10">
        <v>45821</v>
      </c>
      <c r="B9753" t="s" s="11">
        <v>5</v>
      </c>
      <c r="C9753" t="s" s="12">
        <v>961</v>
      </c>
      <c r="D9753" s="17">
        <v>700000</v>
      </c>
      <c r="E9753" s="17"/>
      <c r="F9753" s="18"/>
      <c r="G9753" s="18"/>
      <c r="H9753" s="18"/>
      <c r="I9753" s="18"/>
    </row>
    <row r="9754" ht="20.05" customHeight="1">
      <c r="A9754" s="10">
        <v>45821</v>
      </c>
      <c r="B9754" t="s" s="11">
        <v>89</v>
      </c>
      <c r="C9754" t="s" s="12">
        <v>961</v>
      </c>
      <c r="D9754" s="19"/>
      <c r="E9754" s="19">
        <v>694495</v>
      </c>
      <c r="F9754" s="20"/>
      <c r="G9754" s="20"/>
      <c r="H9754" s="20"/>
      <c r="I9754" s="20"/>
    </row>
    <row r="9755" ht="20.35" customHeight="1">
      <c r="A9755" s="10">
        <v>45821</v>
      </c>
      <c r="B9755" t="s" s="11">
        <v>21</v>
      </c>
      <c r="C9755" t="s" s="12">
        <v>961</v>
      </c>
      <c r="D9755" s="13"/>
      <c r="E9755" s="13">
        <v>5505</v>
      </c>
      <c r="F9755" s="14"/>
      <c r="G9755" s="14"/>
      <c r="H9755" s="14"/>
      <c r="I9755" s="14"/>
    </row>
    <row r="9756" ht="20.7" customHeight="1">
      <c r="A9756" s="10">
        <v>45821</v>
      </c>
      <c r="B9756" t="s" s="11">
        <v>8</v>
      </c>
      <c r="C9756" t="s" s="12">
        <v>8</v>
      </c>
      <c r="D9756" s="15" cm="1">
        <f t="array" ref="D9756">SUM(D9753:D9755)</f>
        <v>700000</v>
      </c>
      <c r="E9756" s="15" cm="1">
        <f t="array" ref="E9756">SUM(E9753:E9755)</f>
        <v>700000</v>
      </c>
      <c r="F9756" s="16" cm="1">
        <f t="array" ref="F9756">SUM(F9753:F9755)</f>
        <v>0</v>
      </c>
      <c r="G9756" s="16" cm="1">
        <f t="array" ref="G9756">SUM(G9753:G9755)</f>
        <v>0</v>
      </c>
      <c r="H9756" s="16" cm="1">
        <f t="array" ref="H9756">SUM(H9753:H9755)</f>
        <v>0</v>
      </c>
      <c r="I9756" s="16" cm="1">
        <f t="array" ref="I9756">SUM(I9753:I9755)</f>
        <v>0</v>
      </c>
    </row>
    <row r="9757" ht="20.35" customHeight="1">
      <c r="A9757" s="10">
        <v>45821</v>
      </c>
      <c r="B9757" t="s" s="11">
        <v>5</v>
      </c>
      <c r="C9757" t="s" s="12">
        <v>604</v>
      </c>
      <c r="D9757" s="17"/>
      <c r="E9757" s="17">
        <v>10000</v>
      </c>
      <c r="F9757" s="18"/>
      <c r="G9757" s="18"/>
      <c r="H9757" s="18"/>
      <c r="I9757" s="18"/>
    </row>
    <row r="9758" ht="20.35" customHeight="1">
      <c r="A9758" s="10">
        <v>45821</v>
      </c>
      <c r="B9758" t="s" s="11">
        <v>93</v>
      </c>
      <c r="C9758" t="s" s="12">
        <v>604</v>
      </c>
      <c r="D9758" s="13">
        <v>10000</v>
      </c>
      <c r="E9758" s="13"/>
      <c r="F9758" s="14"/>
      <c r="G9758" s="14"/>
      <c r="H9758" s="14"/>
      <c r="I9758" s="14"/>
    </row>
    <row r="9759" ht="20.7" customHeight="1">
      <c r="A9759" s="10">
        <v>45821</v>
      </c>
      <c r="B9759" t="s" s="11">
        <v>8</v>
      </c>
      <c r="C9759" t="s" s="12">
        <v>8</v>
      </c>
      <c r="D9759" s="15" cm="1">
        <f t="array" ref="D9759">SUM(D9757:D9758)</f>
        <v>10000</v>
      </c>
      <c r="E9759" s="15" cm="1">
        <f t="array" ref="E9759">SUM(E9757:E9758)</f>
        <v>10000</v>
      </c>
      <c r="F9759" s="16" cm="1">
        <f t="array" ref="F9759">SUM(F9757:F9758)</f>
        <v>0</v>
      </c>
      <c r="G9759" s="16" cm="1">
        <f t="array" ref="G9759">SUM(G9757:G9758)</f>
        <v>0</v>
      </c>
      <c r="H9759" s="16" cm="1">
        <f t="array" ref="H9759">SUM(H9757:H9758)</f>
        <v>0</v>
      </c>
      <c r="I9759" s="16" cm="1">
        <f t="array" ref="I9759">SUM(I9757:I9758)</f>
        <v>0</v>
      </c>
    </row>
    <row r="9760" ht="20.35" customHeight="1">
      <c r="A9760" s="10">
        <v>45821</v>
      </c>
      <c r="B9760" t="s" s="11">
        <v>93</v>
      </c>
      <c r="C9760" t="s" s="12">
        <v>1289</v>
      </c>
      <c r="D9760" s="17"/>
      <c r="E9760" s="17">
        <v>5000</v>
      </c>
      <c r="F9760" s="18"/>
      <c r="G9760" s="18"/>
      <c r="H9760" s="18"/>
      <c r="I9760" s="18"/>
    </row>
    <row r="9761" ht="20.35" customHeight="1">
      <c r="A9761" s="10">
        <v>45821</v>
      </c>
      <c r="B9761" t="s" s="11">
        <v>10</v>
      </c>
      <c r="C9761" t="s" s="12">
        <v>1289</v>
      </c>
      <c r="D9761" s="13">
        <v>5000</v>
      </c>
      <c r="E9761" s="13"/>
      <c r="F9761" s="14"/>
      <c r="G9761" s="14"/>
      <c r="H9761" s="14"/>
      <c r="I9761" s="14"/>
    </row>
    <row r="9762" ht="20.7" customHeight="1">
      <c r="A9762" s="10">
        <v>45821</v>
      </c>
      <c r="B9762" t="s" s="11">
        <v>8</v>
      </c>
      <c r="C9762" t="s" s="12">
        <v>8</v>
      </c>
      <c r="D9762" s="15" cm="1">
        <f t="array" ref="D9762">SUM(D9760:D9761)</f>
        <v>5000</v>
      </c>
      <c r="E9762" s="15" cm="1">
        <f t="array" ref="E9762">SUM(E9760:E9761)</f>
        <v>5000</v>
      </c>
      <c r="F9762" s="16" cm="1">
        <f t="array" ref="F9762">SUM(F9760:F9761)</f>
        <v>0</v>
      </c>
      <c r="G9762" s="16" cm="1">
        <f t="array" ref="G9762">SUM(G9760:G9761)</f>
        <v>0</v>
      </c>
      <c r="H9762" s="16" cm="1">
        <f t="array" ref="H9762">SUM(H9760:H9761)</f>
        <v>0</v>
      </c>
      <c r="I9762" s="16" cm="1">
        <f t="array" ref="I9762">SUM(I9760:I9761)</f>
        <v>0</v>
      </c>
    </row>
    <row r="9763" ht="20.35" customHeight="1">
      <c r="A9763" s="10">
        <v>45821</v>
      </c>
      <c r="B9763" t="s" s="11">
        <v>5</v>
      </c>
      <c r="C9763" t="s" s="12">
        <v>916</v>
      </c>
      <c r="D9763" s="17"/>
      <c r="E9763" s="17">
        <v>4000</v>
      </c>
      <c r="F9763" s="18"/>
      <c r="G9763" s="18"/>
      <c r="H9763" s="18"/>
      <c r="I9763" s="18"/>
    </row>
    <row r="9764" ht="20.35" customHeight="1">
      <c r="A9764" s="10">
        <v>45821</v>
      </c>
      <c r="B9764" t="s" s="11">
        <v>12</v>
      </c>
      <c r="C9764" t="s" s="12">
        <v>916</v>
      </c>
      <c r="D9764" s="13">
        <v>4000</v>
      </c>
      <c r="E9764" s="13"/>
      <c r="F9764" s="14"/>
      <c r="G9764" s="14"/>
      <c r="H9764" s="14"/>
      <c r="I9764" s="14"/>
    </row>
    <row r="9765" ht="20.7" customHeight="1">
      <c r="A9765" s="10">
        <v>45821</v>
      </c>
      <c r="B9765" t="s" s="11">
        <v>8</v>
      </c>
      <c r="C9765" t="s" s="12">
        <v>8</v>
      </c>
      <c r="D9765" s="15" cm="1">
        <f t="array" ref="D9765">SUM(D9763:D9764)</f>
        <v>4000</v>
      </c>
      <c r="E9765" s="15" cm="1">
        <f t="array" ref="E9765">SUM(E9763:E9764)</f>
        <v>4000</v>
      </c>
      <c r="F9765" s="16" cm="1">
        <f t="array" ref="F9765">SUM(F9763:F9764)</f>
        <v>0</v>
      </c>
      <c r="G9765" s="16" cm="1">
        <f t="array" ref="G9765">SUM(G9763:G9764)</f>
        <v>0</v>
      </c>
      <c r="H9765" s="16" cm="1">
        <f t="array" ref="H9765">SUM(H9763:H9764)</f>
        <v>0</v>
      </c>
      <c r="I9765" s="16" cm="1">
        <f t="array" ref="I9765">SUM(I9763:I9764)</f>
        <v>0</v>
      </c>
    </row>
    <row r="9766" ht="20.65" customHeight="1">
      <c r="A9766" s="10">
        <v>45822</v>
      </c>
      <c r="B9766" t="s" s="11">
        <v>843</v>
      </c>
      <c r="C9766" t="s" s="12">
        <v>820</v>
      </c>
      <c r="D9766" s="17">
        <v>12</v>
      </c>
      <c r="E9766" s="17"/>
      <c r="F9766" s="18"/>
      <c r="G9766" s="18"/>
      <c r="H9766" s="18"/>
      <c r="I9766" s="18"/>
    </row>
    <row r="9767" ht="20.65" customHeight="1">
      <c r="A9767" s="10">
        <v>45822</v>
      </c>
      <c r="B9767" t="s" s="11">
        <v>7</v>
      </c>
      <c r="C9767" t="s" s="12">
        <v>820</v>
      </c>
      <c r="D9767" s="13"/>
      <c r="E9767" s="13">
        <v>12</v>
      </c>
      <c r="F9767" s="14"/>
      <c r="G9767" s="14"/>
      <c r="H9767" s="14"/>
      <c r="I9767" s="14"/>
    </row>
    <row r="9768" ht="20.7" customHeight="1">
      <c r="A9768" s="10">
        <v>45822</v>
      </c>
      <c r="B9768" t="s" s="11">
        <v>8</v>
      </c>
      <c r="C9768" t="s" s="12">
        <v>8</v>
      </c>
      <c r="D9768" s="15" cm="1">
        <f t="array" ref="D9768">SUM(D9766:D9767)</f>
        <v>12</v>
      </c>
      <c r="E9768" s="15" cm="1">
        <f t="array" ref="E9768">SUM(E9766:E9767)</f>
        <v>12</v>
      </c>
      <c r="F9768" s="16" cm="1">
        <f t="array" ref="F9768">SUM(F9766:F9767)</f>
        <v>0</v>
      </c>
      <c r="G9768" s="16" cm="1">
        <f t="array" ref="G9768">SUM(G9766:G9767)</f>
        <v>0</v>
      </c>
      <c r="H9768" s="16" cm="1">
        <f t="array" ref="H9768">SUM(H9766:H9767)</f>
        <v>0</v>
      </c>
      <c r="I9768" s="16" cm="1">
        <f t="array" ref="I9768">SUM(I9766:I9767)</f>
        <v>0</v>
      </c>
    </row>
    <row r="9769" ht="20.35" customHeight="1">
      <c r="A9769" s="10">
        <v>45822</v>
      </c>
      <c r="B9769" t="s" s="11">
        <v>5</v>
      </c>
      <c r="C9769" t="s" s="12">
        <v>735</v>
      </c>
      <c r="D9769" s="17"/>
      <c r="E9769" s="17">
        <v>50000</v>
      </c>
      <c r="F9769" s="18"/>
      <c r="G9769" s="18"/>
      <c r="H9769" s="18"/>
      <c r="I9769" s="18"/>
    </row>
    <row r="9770" ht="20.35" customHeight="1">
      <c r="A9770" s="10">
        <v>45822</v>
      </c>
      <c r="B9770" t="s" s="11">
        <v>28</v>
      </c>
      <c r="C9770" t="s" s="12">
        <v>735</v>
      </c>
      <c r="D9770" s="13">
        <v>50000</v>
      </c>
      <c r="E9770" s="13"/>
      <c r="F9770" s="14"/>
      <c r="G9770" s="14"/>
      <c r="H9770" s="14"/>
      <c r="I9770" s="14"/>
    </row>
    <row r="9771" ht="20.7" customHeight="1">
      <c r="A9771" s="10">
        <v>45822</v>
      </c>
      <c r="B9771" t="s" s="11">
        <v>8</v>
      </c>
      <c r="C9771" t="s" s="12">
        <v>8</v>
      </c>
      <c r="D9771" s="15" cm="1">
        <f t="array" ref="D9771">SUM(D9769:D9770)</f>
        <v>50000</v>
      </c>
      <c r="E9771" s="15" cm="1">
        <f t="array" ref="E9771">SUM(E9769:E9770)</f>
        <v>50000</v>
      </c>
      <c r="F9771" s="16" cm="1">
        <f t="array" ref="F9771">SUM(F9769:F9770)</f>
        <v>0</v>
      </c>
      <c r="G9771" s="16" cm="1">
        <f t="array" ref="G9771">SUM(G9769:G9770)</f>
        <v>0</v>
      </c>
      <c r="H9771" s="16" cm="1">
        <f t="array" ref="H9771">SUM(H9769:H9770)</f>
        <v>0</v>
      </c>
      <c r="I9771" s="16" cm="1">
        <f t="array" ref="I9771">SUM(I9769:I9770)</f>
        <v>0</v>
      </c>
    </row>
    <row r="9772" ht="21.25" customHeight="1">
      <c r="A9772" s="10">
        <v>45822</v>
      </c>
      <c r="B9772" t="s" s="11">
        <v>28</v>
      </c>
      <c r="C9772" t="s" s="12">
        <v>1290</v>
      </c>
      <c r="D9772" s="17"/>
      <c r="E9772" s="17">
        <v>33000</v>
      </c>
      <c r="F9772" s="18"/>
      <c r="G9772" s="18"/>
      <c r="H9772" s="18"/>
      <c r="I9772" s="18"/>
    </row>
    <row r="9773" ht="21.25" customHeight="1">
      <c r="A9773" s="10">
        <v>45822</v>
      </c>
      <c r="B9773" t="s" s="11">
        <v>10</v>
      </c>
      <c r="C9773" t="s" s="12">
        <v>1290</v>
      </c>
      <c r="D9773" s="13">
        <v>33000</v>
      </c>
      <c r="E9773" s="13"/>
      <c r="F9773" s="14"/>
      <c r="G9773" s="14"/>
      <c r="H9773" s="14"/>
      <c r="I9773" s="14"/>
    </row>
    <row r="9774" ht="20.7" customHeight="1">
      <c r="A9774" s="10">
        <v>45822</v>
      </c>
      <c r="B9774" t="s" s="11">
        <v>8</v>
      </c>
      <c r="C9774" t="s" s="12">
        <v>8</v>
      </c>
      <c r="D9774" s="15" cm="1">
        <f t="array" ref="D9774">SUM(D9772:D9773)</f>
        <v>33000</v>
      </c>
      <c r="E9774" s="15" cm="1">
        <f t="array" ref="E9774">SUM(E9772:E9773)</f>
        <v>33000</v>
      </c>
      <c r="F9774" s="16" cm="1">
        <f t="array" ref="F9774">SUM(F9772:F9773)</f>
        <v>0</v>
      </c>
      <c r="G9774" s="16" cm="1">
        <f t="array" ref="G9774">SUM(G9772:G9773)</f>
        <v>0</v>
      </c>
      <c r="H9774" s="16" cm="1">
        <f t="array" ref="H9774">SUM(H9772:H9773)</f>
        <v>0</v>
      </c>
      <c r="I9774" s="16" cm="1">
        <f t="array" ref="I9774">SUM(I9772:I9773)</f>
        <v>0</v>
      </c>
    </row>
    <row r="9775" ht="20.35" customHeight="1">
      <c r="A9775" s="10">
        <v>45822</v>
      </c>
      <c r="B9775" t="s" s="11">
        <v>5</v>
      </c>
      <c r="C9775" t="s" s="12">
        <v>19</v>
      </c>
      <c r="D9775" s="17"/>
      <c r="E9775" s="17">
        <v>6100</v>
      </c>
      <c r="F9775" s="18"/>
      <c r="G9775" s="18"/>
      <c r="H9775" s="18"/>
      <c r="I9775" s="18"/>
    </row>
    <row r="9776" ht="20.35" customHeight="1">
      <c r="A9776" s="10">
        <v>45822</v>
      </c>
      <c r="B9776" t="s" s="11">
        <v>10</v>
      </c>
      <c r="C9776" t="s" s="12">
        <v>19</v>
      </c>
      <c r="D9776" s="13">
        <v>6100</v>
      </c>
      <c r="E9776" s="13"/>
      <c r="F9776" s="14"/>
      <c r="G9776" s="14"/>
      <c r="H9776" s="14"/>
      <c r="I9776" s="14"/>
    </row>
    <row r="9777" ht="20.7" customHeight="1">
      <c r="A9777" s="10">
        <v>45822</v>
      </c>
      <c r="B9777" t="s" s="11">
        <v>8</v>
      </c>
      <c r="C9777" t="s" s="12">
        <v>8</v>
      </c>
      <c r="D9777" s="15" cm="1">
        <f t="array" ref="D9777">SUM(D9775:D9776)</f>
        <v>6100</v>
      </c>
      <c r="E9777" s="15" cm="1">
        <f t="array" ref="E9777">SUM(E9775:E9776)</f>
        <v>6100</v>
      </c>
      <c r="F9777" s="16" cm="1">
        <f t="array" ref="F9777">SUM(F9775:F9776)</f>
        <v>0</v>
      </c>
      <c r="G9777" s="16" cm="1">
        <f t="array" ref="G9777">SUM(G9775:G9776)</f>
        <v>0</v>
      </c>
      <c r="H9777" s="16" cm="1">
        <f t="array" ref="H9777">SUM(H9775:H9776)</f>
        <v>0</v>
      </c>
      <c r="I9777" s="16" cm="1">
        <f t="array" ref="I9777">SUM(I9775:I9776)</f>
        <v>0</v>
      </c>
    </row>
    <row r="9778" ht="20.35" customHeight="1">
      <c r="A9778" s="10">
        <v>45822</v>
      </c>
      <c r="B9778" t="s" s="11">
        <v>5</v>
      </c>
      <c r="C9778" t="s" s="12">
        <v>17</v>
      </c>
      <c r="D9778" s="17">
        <v>100</v>
      </c>
      <c r="E9778" s="17"/>
      <c r="F9778" s="18"/>
      <c r="G9778" s="18"/>
      <c r="H9778" s="18"/>
      <c r="I9778" s="18"/>
    </row>
    <row r="9779" ht="20.35" customHeight="1">
      <c r="A9779" s="10">
        <v>45822</v>
      </c>
      <c r="B9779" t="s" s="11">
        <v>18</v>
      </c>
      <c r="C9779" t="s" s="12">
        <v>17</v>
      </c>
      <c r="D9779" s="13"/>
      <c r="E9779" s="13">
        <v>100</v>
      </c>
      <c r="F9779" s="14"/>
      <c r="G9779" s="14"/>
      <c r="H9779" s="14"/>
      <c r="I9779" s="14"/>
    </row>
    <row r="9780" ht="20.7" customHeight="1">
      <c r="A9780" s="10">
        <v>45822</v>
      </c>
      <c r="B9780" t="s" s="11">
        <v>8</v>
      </c>
      <c r="C9780" t="s" s="12">
        <v>8</v>
      </c>
      <c r="D9780" s="15" cm="1">
        <f t="array" ref="D9780">SUM(D9778:D9779)</f>
        <v>100</v>
      </c>
      <c r="E9780" s="15" cm="1">
        <f t="array" ref="E9780">SUM(E9778:E9779)</f>
        <v>100</v>
      </c>
      <c r="F9780" s="16" cm="1">
        <f t="array" ref="F9780">SUM(F9778:F9779)</f>
        <v>0</v>
      </c>
      <c r="G9780" s="16" cm="1">
        <f t="array" ref="G9780">SUM(G9778:G9779)</f>
        <v>0</v>
      </c>
      <c r="H9780" s="16" cm="1">
        <f t="array" ref="H9780">SUM(H9778:H9779)</f>
        <v>0</v>
      </c>
      <c r="I9780" s="16" cm="1">
        <f t="array" ref="I9780">SUM(I9778:I9779)</f>
        <v>0</v>
      </c>
    </row>
    <row r="9781" ht="20.35" customHeight="1">
      <c r="A9781" s="10">
        <v>45822</v>
      </c>
      <c r="B9781" t="s" s="11">
        <v>39</v>
      </c>
      <c r="C9781" t="s" s="12">
        <v>68</v>
      </c>
      <c r="D9781" s="17"/>
      <c r="E9781" s="17"/>
      <c r="F9781" s="18">
        <v>3.83</v>
      </c>
      <c r="G9781" s="18"/>
      <c r="H9781" s="18"/>
      <c r="I9781" s="18"/>
    </row>
    <row r="9782" ht="20.35" customHeight="1">
      <c r="A9782" s="10">
        <v>45822</v>
      </c>
      <c r="B9782" t="s" s="11">
        <v>44</v>
      </c>
      <c r="C9782" t="s" s="12">
        <v>68</v>
      </c>
      <c r="D9782" s="13"/>
      <c r="E9782" s="13"/>
      <c r="F9782" s="14"/>
      <c r="G9782" s="14">
        <v>3.83</v>
      </c>
      <c r="H9782" s="14"/>
      <c r="I9782" s="14"/>
    </row>
    <row r="9783" ht="20.7" customHeight="1">
      <c r="A9783" s="10">
        <v>45822</v>
      </c>
      <c r="B9783" t="s" s="11">
        <v>8</v>
      </c>
      <c r="C9783" t="s" s="12">
        <v>8</v>
      </c>
      <c r="D9783" s="15" cm="1">
        <f t="array" ref="D9783">SUM(D9781:D9782)</f>
        <v>0</v>
      </c>
      <c r="E9783" s="15" cm="1">
        <f t="array" ref="E9783">SUM(E9781:E9782)</f>
        <v>0</v>
      </c>
      <c r="F9783" s="16" cm="1">
        <f t="array" ref="F9783">SUM(F9781:F9782)</f>
        <v>3.83</v>
      </c>
      <c r="G9783" s="16" cm="1">
        <f t="array" ref="G9783">SUM(G9781:G9782)</f>
        <v>3.83</v>
      </c>
      <c r="H9783" s="16" cm="1">
        <f t="array" ref="H9783">SUM(H9781:H9782)</f>
        <v>0</v>
      </c>
      <c r="I9783" s="16" cm="1">
        <f t="array" ref="I9783">SUM(I9781:I9782)</f>
        <v>0</v>
      </c>
    </row>
    <row r="9784" ht="20.65" customHeight="1">
      <c r="A9784" s="10">
        <v>45823</v>
      </c>
      <c r="B9784" t="s" s="11">
        <v>843</v>
      </c>
      <c r="C9784" t="s" s="12">
        <v>820</v>
      </c>
      <c r="D9784" s="17">
        <v>12</v>
      </c>
      <c r="E9784" s="17"/>
      <c r="F9784" s="18"/>
      <c r="G9784" s="18"/>
      <c r="H9784" s="18"/>
      <c r="I9784" s="18"/>
    </row>
    <row r="9785" ht="20.65" customHeight="1">
      <c r="A9785" s="10">
        <v>45823</v>
      </c>
      <c r="B9785" t="s" s="11">
        <v>7</v>
      </c>
      <c r="C9785" t="s" s="12">
        <v>820</v>
      </c>
      <c r="D9785" s="13"/>
      <c r="E9785" s="13">
        <v>12</v>
      </c>
      <c r="F9785" s="14"/>
      <c r="G9785" s="14"/>
      <c r="H9785" s="14"/>
      <c r="I9785" s="14"/>
    </row>
    <row r="9786" ht="20.7" customHeight="1">
      <c r="A9786" s="10">
        <v>45823</v>
      </c>
      <c r="B9786" t="s" s="11">
        <v>8</v>
      </c>
      <c r="C9786" t="s" s="12">
        <v>8</v>
      </c>
      <c r="D9786" s="15" cm="1">
        <f t="array" ref="D9786">SUM(D9784:D9785)</f>
        <v>12</v>
      </c>
      <c r="E9786" s="15" cm="1">
        <f t="array" ref="E9786">SUM(E9784:E9785)</f>
        <v>12</v>
      </c>
      <c r="F9786" s="16" cm="1">
        <f t="array" ref="F9786">SUM(F9784:F9785)</f>
        <v>0</v>
      </c>
      <c r="G9786" s="16" cm="1">
        <f t="array" ref="G9786">SUM(G9784:G9785)</f>
        <v>0</v>
      </c>
      <c r="H9786" s="16" cm="1">
        <f t="array" ref="H9786">SUM(H9784:H9785)</f>
        <v>0</v>
      </c>
      <c r="I9786" s="16" cm="1">
        <f t="array" ref="I9786">SUM(I9784:I9785)</f>
        <v>0</v>
      </c>
    </row>
    <row r="9787" ht="21.25" customHeight="1">
      <c r="A9787" s="10">
        <v>45823</v>
      </c>
      <c r="B9787" t="s" s="11">
        <v>5</v>
      </c>
      <c r="C9787" t="s" s="12">
        <v>1291</v>
      </c>
      <c r="D9787" s="17">
        <v>2</v>
      </c>
      <c r="E9787" s="17"/>
      <c r="F9787" s="18"/>
      <c r="G9787" s="18"/>
      <c r="H9787" s="18"/>
      <c r="I9787" s="18"/>
    </row>
    <row r="9788" ht="21.25" customHeight="1">
      <c r="A9788" s="10">
        <v>45823</v>
      </c>
      <c r="B9788" t="s" s="11">
        <v>18</v>
      </c>
      <c r="C9788" t="s" s="12">
        <v>1291</v>
      </c>
      <c r="D9788" s="13"/>
      <c r="E9788" s="13">
        <v>2</v>
      </c>
      <c r="F9788" s="14"/>
      <c r="G9788" s="14"/>
      <c r="H9788" s="14"/>
      <c r="I9788" s="14"/>
    </row>
    <row r="9789" ht="20.7" customHeight="1">
      <c r="A9789" s="10">
        <v>45823</v>
      </c>
      <c r="B9789" t="s" s="11">
        <v>8</v>
      </c>
      <c r="C9789" t="s" s="12">
        <v>8</v>
      </c>
      <c r="D9789" s="15" cm="1">
        <f t="array" ref="D9789">SUM(D9787:D9788)</f>
        <v>2</v>
      </c>
      <c r="E9789" s="15" cm="1">
        <f t="array" ref="E9789">SUM(E9787:E9788)</f>
        <v>2</v>
      </c>
      <c r="F9789" s="16" cm="1">
        <f t="array" ref="F9789">SUM(F9787:F9788)</f>
        <v>0</v>
      </c>
      <c r="G9789" s="16" cm="1">
        <f t="array" ref="G9789">SUM(G9787:G9788)</f>
        <v>0</v>
      </c>
      <c r="H9789" s="16" cm="1">
        <f t="array" ref="H9789">SUM(H9787:H9788)</f>
        <v>0</v>
      </c>
      <c r="I9789" s="16" cm="1">
        <f t="array" ref="I9789">SUM(I9787:I9788)</f>
        <v>0</v>
      </c>
    </row>
    <row r="9790" ht="20.35" customHeight="1">
      <c r="A9790" s="10">
        <v>45823</v>
      </c>
      <c r="B9790" t="s" s="11">
        <v>5</v>
      </c>
      <c r="C9790" t="s" s="12">
        <v>604</v>
      </c>
      <c r="D9790" s="17"/>
      <c r="E9790" s="17">
        <v>10000</v>
      </c>
      <c r="F9790" s="18"/>
      <c r="G9790" s="18"/>
      <c r="H9790" s="18"/>
      <c r="I9790" s="18"/>
    </row>
    <row r="9791" ht="20.35" customHeight="1">
      <c r="A9791" s="10">
        <v>45823</v>
      </c>
      <c r="B9791" t="s" s="11">
        <v>93</v>
      </c>
      <c r="C9791" t="s" s="12">
        <v>604</v>
      </c>
      <c r="D9791" s="13">
        <v>10000</v>
      </c>
      <c r="E9791" s="13"/>
      <c r="F9791" s="14"/>
      <c r="G9791" s="14"/>
      <c r="H9791" s="14"/>
      <c r="I9791" s="14"/>
    </row>
    <row r="9792" ht="20.7" customHeight="1">
      <c r="A9792" s="10">
        <v>45823</v>
      </c>
      <c r="B9792" t="s" s="11">
        <v>8</v>
      </c>
      <c r="C9792" t="s" s="12">
        <v>8</v>
      </c>
      <c r="D9792" s="15" cm="1">
        <f t="array" ref="D9792">SUM(D9790:D9791)</f>
        <v>10000</v>
      </c>
      <c r="E9792" s="15" cm="1">
        <f t="array" ref="E9792">SUM(E9790:E9791)</f>
        <v>10000</v>
      </c>
      <c r="F9792" s="16" cm="1">
        <f t="array" ref="F9792">SUM(F9790:F9791)</f>
        <v>0</v>
      </c>
      <c r="G9792" s="16" cm="1">
        <f t="array" ref="G9792">SUM(G9790:G9791)</f>
        <v>0</v>
      </c>
      <c r="H9792" s="16" cm="1">
        <f t="array" ref="H9792">SUM(H9790:H9791)</f>
        <v>0</v>
      </c>
      <c r="I9792" s="16" cm="1">
        <f t="array" ref="I9792">SUM(I9790:I9791)</f>
        <v>0</v>
      </c>
    </row>
    <row r="9793" ht="20.35" customHeight="1">
      <c r="A9793" s="10">
        <v>45823</v>
      </c>
      <c r="B9793" t="s" s="11">
        <v>93</v>
      </c>
      <c r="C9793" t="s" s="12">
        <v>1292</v>
      </c>
      <c r="D9793" s="17"/>
      <c r="E9793" s="17">
        <v>12500</v>
      </c>
      <c r="F9793" s="18"/>
      <c r="G9793" s="18"/>
      <c r="H9793" s="18"/>
      <c r="I9793" s="18"/>
    </row>
    <row r="9794" ht="20.35" customHeight="1">
      <c r="A9794" s="10">
        <v>45823</v>
      </c>
      <c r="B9794" t="s" s="11">
        <v>12</v>
      </c>
      <c r="C9794" t="s" s="12">
        <v>1292</v>
      </c>
      <c r="D9794" s="13">
        <v>12500</v>
      </c>
      <c r="E9794" s="13"/>
      <c r="F9794" s="14"/>
      <c r="G9794" s="14"/>
      <c r="H9794" s="14"/>
      <c r="I9794" s="14"/>
    </row>
    <row r="9795" ht="20.7" customHeight="1">
      <c r="A9795" s="10">
        <v>45823</v>
      </c>
      <c r="B9795" t="s" s="11">
        <v>8</v>
      </c>
      <c r="C9795" t="s" s="12">
        <v>8</v>
      </c>
      <c r="D9795" s="15" cm="1">
        <f t="array" ref="D9795">SUM(D9793:D9794)</f>
        <v>12500</v>
      </c>
      <c r="E9795" s="15" cm="1">
        <f t="array" ref="E9795">SUM(E9793:E9794)</f>
        <v>12500</v>
      </c>
      <c r="F9795" s="16" cm="1">
        <f t="array" ref="F9795">SUM(F9793:F9794)</f>
        <v>0</v>
      </c>
      <c r="G9795" s="16" cm="1">
        <f t="array" ref="G9795">SUM(G9793:G9794)</f>
        <v>0</v>
      </c>
      <c r="H9795" s="16" cm="1">
        <f t="array" ref="H9795">SUM(H9793:H9794)</f>
        <v>0</v>
      </c>
      <c r="I9795" s="16" cm="1">
        <f t="array" ref="I9795">SUM(I9793:I9794)</f>
        <v>0</v>
      </c>
    </row>
    <row r="9796" ht="20.35" customHeight="1">
      <c r="A9796" s="10">
        <v>45823</v>
      </c>
      <c r="B9796" t="s" s="11">
        <v>5</v>
      </c>
      <c r="C9796" t="s" s="12">
        <v>695</v>
      </c>
      <c r="D9796" s="17"/>
      <c r="E9796" s="17">
        <v>10600</v>
      </c>
      <c r="F9796" s="18"/>
      <c r="G9796" s="18"/>
      <c r="H9796" s="18"/>
      <c r="I9796" s="18"/>
    </row>
    <row r="9797" ht="20.35" customHeight="1">
      <c r="A9797" s="10">
        <v>45823</v>
      </c>
      <c r="B9797" t="s" s="11">
        <v>16</v>
      </c>
      <c r="C9797" t="s" s="12">
        <v>695</v>
      </c>
      <c r="D9797" s="13">
        <v>10600</v>
      </c>
      <c r="E9797" s="13"/>
      <c r="F9797" s="14"/>
      <c r="G9797" s="14"/>
      <c r="H9797" s="14"/>
      <c r="I9797" s="14"/>
    </row>
    <row r="9798" ht="20.7" customHeight="1">
      <c r="A9798" s="10">
        <v>45823</v>
      </c>
      <c r="B9798" t="s" s="11">
        <v>8</v>
      </c>
      <c r="C9798" t="s" s="12">
        <v>8</v>
      </c>
      <c r="D9798" s="15" cm="1">
        <f t="array" ref="D9798">SUM(D9796:D9797)</f>
        <v>10600</v>
      </c>
      <c r="E9798" s="15" cm="1">
        <f t="array" ref="E9798">SUM(E9796:E9797)</f>
        <v>10600</v>
      </c>
      <c r="F9798" s="16" cm="1">
        <f t="array" ref="F9798">SUM(F9796:F9797)</f>
        <v>0</v>
      </c>
      <c r="G9798" s="16" cm="1">
        <f t="array" ref="G9798">SUM(G9796:G9797)</f>
        <v>0</v>
      </c>
      <c r="H9798" s="16" cm="1">
        <f t="array" ref="H9798">SUM(H9796:H9797)</f>
        <v>0</v>
      </c>
      <c r="I9798" s="16" cm="1">
        <f t="array" ref="I9798">SUM(I9796:I9797)</f>
        <v>0</v>
      </c>
    </row>
    <row r="9799" ht="20.35" customHeight="1">
      <c r="A9799" s="10">
        <v>45823</v>
      </c>
      <c r="B9799" t="s" s="11">
        <v>5</v>
      </c>
      <c r="C9799" t="s" s="12">
        <v>439</v>
      </c>
      <c r="D9799" s="17"/>
      <c r="E9799" s="17">
        <v>10000</v>
      </c>
      <c r="F9799" s="18"/>
      <c r="G9799" s="18"/>
      <c r="H9799" s="18"/>
      <c r="I9799" s="18"/>
    </row>
    <row r="9800" ht="20.35" customHeight="1">
      <c r="A9800" s="10">
        <v>45823</v>
      </c>
      <c r="B9800" t="s" s="11">
        <v>121</v>
      </c>
      <c r="C9800" t="s" s="12">
        <v>439</v>
      </c>
      <c r="D9800" s="13">
        <v>10000</v>
      </c>
      <c r="E9800" s="13"/>
      <c r="F9800" s="14"/>
      <c r="G9800" s="14"/>
      <c r="H9800" s="14"/>
      <c r="I9800" s="14"/>
    </row>
    <row r="9801" ht="20.7" customHeight="1">
      <c r="A9801" s="10">
        <v>45823</v>
      </c>
      <c r="B9801" t="s" s="11">
        <v>8</v>
      </c>
      <c r="C9801" t="s" s="12">
        <v>8</v>
      </c>
      <c r="D9801" s="15" cm="1">
        <f t="array" ref="D9801">SUM(D9799:D9800)</f>
        <v>10000</v>
      </c>
      <c r="E9801" s="15" cm="1">
        <f t="array" ref="E9801">SUM(E9799:E9800)</f>
        <v>10000</v>
      </c>
      <c r="F9801" s="16" cm="1">
        <f t="array" ref="F9801">SUM(F9799:F9800)</f>
        <v>0</v>
      </c>
      <c r="G9801" s="16" cm="1">
        <f t="array" ref="G9801">SUM(G9799:G9800)</f>
        <v>0</v>
      </c>
      <c r="H9801" s="16" cm="1">
        <f t="array" ref="H9801">SUM(H9799:H9800)</f>
        <v>0</v>
      </c>
      <c r="I9801" s="16" cm="1">
        <f t="array" ref="I9801">SUM(I9799:I9800)</f>
        <v>0</v>
      </c>
    </row>
    <row r="9802" ht="20.35" customHeight="1">
      <c r="A9802" s="10">
        <v>45823</v>
      </c>
      <c r="B9802" t="s" s="11">
        <v>5</v>
      </c>
      <c r="C9802" t="s" s="12">
        <v>867</v>
      </c>
      <c r="D9802" s="17"/>
      <c r="E9802" s="17">
        <v>501504</v>
      </c>
      <c r="F9802" s="18"/>
      <c r="G9802" s="18"/>
      <c r="H9802" s="18"/>
      <c r="I9802" s="18"/>
    </row>
    <row r="9803" ht="20.35" customHeight="1">
      <c r="A9803" s="10">
        <v>45823</v>
      </c>
      <c r="B9803" t="s" s="11">
        <v>814</v>
      </c>
      <c r="C9803" t="s" s="12">
        <v>867</v>
      </c>
      <c r="D9803" s="13">
        <v>501504</v>
      </c>
      <c r="E9803" s="13"/>
      <c r="F9803" s="14"/>
      <c r="G9803" s="14"/>
      <c r="H9803" s="14"/>
      <c r="I9803" s="14"/>
    </row>
    <row r="9804" ht="20.7" customHeight="1">
      <c r="A9804" s="10">
        <v>45823</v>
      </c>
      <c r="B9804" t="s" s="11">
        <v>8</v>
      </c>
      <c r="C9804" t="s" s="12">
        <v>8</v>
      </c>
      <c r="D9804" s="15" cm="1">
        <f t="array" ref="D9804">SUM(D9802:D9803)</f>
        <v>501504</v>
      </c>
      <c r="E9804" s="15" cm="1">
        <f t="array" ref="E9804">SUM(E9802:E9803)</f>
        <v>501504</v>
      </c>
      <c r="F9804" s="16" cm="1">
        <f t="array" ref="F9804">SUM(F9802:F9803)</f>
        <v>0</v>
      </c>
      <c r="G9804" s="16" cm="1">
        <f t="array" ref="G9804">SUM(G9802:G9803)</f>
        <v>0</v>
      </c>
      <c r="H9804" s="16" cm="1">
        <f t="array" ref="H9804">SUM(H9802:H9803)</f>
        <v>0</v>
      </c>
      <c r="I9804" s="16" cm="1">
        <f t="array" ref="I9804">SUM(I9802:I9803)</f>
        <v>0</v>
      </c>
    </row>
    <row r="9805" ht="21.25" customHeight="1">
      <c r="A9805" s="10">
        <v>45823</v>
      </c>
      <c r="B9805" t="s" s="11">
        <v>121</v>
      </c>
      <c r="C9805" t="s" s="12">
        <v>71</v>
      </c>
      <c r="D9805" s="17"/>
      <c r="E9805" s="17">
        <v>10000</v>
      </c>
      <c r="F9805" s="18"/>
      <c r="G9805" s="18"/>
      <c r="H9805" s="18"/>
      <c r="I9805" s="18"/>
    </row>
    <row r="9806" ht="21.25" customHeight="1">
      <c r="A9806" s="10">
        <v>45823</v>
      </c>
      <c r="B9806" t="s" s="11">
        <v>1293</v>
      </c>
      <c r="C9806" t="s" s="12">
        <v>71</v>
      </c>
      <c r="D9806" s="13">
        <v>10000</v>
      </c>
      <c r="E9806" s="13"/>
      <c r="F9806" s="14"/>
      <c r="G9806" s="14"/>
      <c r="H9806" s="14"/>
      <c r="I9806" s="14"/>
    </row>
    <row r="9807" ht="20.7" customHeight="1">
      <c r="A9807" s="10">
        <v>45823</v>
      </c>
      <c r="B9807" t="s" s="11">
        <v>8</v>
      </c>
      <c r="C9807" t="s" s="12">
        <v>8</v>
      </c>
      <c r="D9807" s="15" cm="1">
        <f t="array" ref="D9807">SUM(D9805:D9806)</f>
        <v>10000</v>
      </c>
      <c r="E9807" s="15" cm="1">
        <f t="array" ref="E9807">SUM(E9805:E9806)</f>
        <v>10000</v>
      </c>
      <c r="F9807" s="16" cm="1">
        <f t="array" ref="F9807">SUM(F9805:F9806)</f>
        <v>0</v>
      </c>
      <c r="G9807" s="16" cm="1">
        <f t="array" ref="G9807">SUM(G9805:G9806)</f>
        <v>0</v>
      </c>
      <c r="H9807" s="16" cm="1">
        <f t="array" ref="H9807">SUM(H9805:H9806)</f>
        <v>0</v>
      </c>
      <c r="I9807" s="16" cm="1">
        <f t="array" ref="I9807">SUM(I9805:I9806)</f>
        <v>0</v>
      </c>
    </row>
    <row r="9808" ht="20.35" customHeight="1">
      <c r="A9808" s="10">
        <v>45823</v>
      </c>
      <c r="B9808" t="s" s="11">
        <v>5</v>
      </c>
      <c r="C9808" t="s" s="12">
        <v>439</v>
      </c>
      <c r="D9808" s="17"/>
      <c r="E9808" s="17">
        <v>25000</v>
      </c>
      <c r="F9808" s="18"/>
      <c r="G9808" s="18"/>
      <c r="H9808" s="18"/>
      <c r="I9808" s="18"/>
    </row>
    <row r="9809" ht="20.35" customHeight="1">
      <c r="A9809" s="10">
        <v>45823</v>
      </c>
      <c r="B9809" t="s" s="11">
        <v>121</v>
      </c>
      <c r="C9809" t="s" s="12">
        <v>439</v>
      </c>
      <c r="D9809" s="13">
        <v>25000</v>
      </c>
      <c r="E9809" s="13"/>
      <c r="F9809" s="14"/>
      <c r="G9809" s="14"/>
      <c r="H9809" s="14"/>
      <c r="I9809" s="14"/>
    </row>
    <row r="9810" ht="20.7" customHeight="1">
      <c r="A9810" s="10">
        <v>45823</v>
      </c>
      <c r="B9810" t="s" s="11">
        <v>8</v>
      </c>
      <c r="C9810" t="s" s="12">
        <v>8</v>
      </c>
      <c r="D9810" s="15" cm="1">
        <f t="array" ref="D9810">SUM(D9808:D9809)</f>
        <v>25000</v>
      </c>
      <c r="E9810" s="15" cm="1">
        <f t="array" ref="E9810">SUM(E9808:E9809)</f>
        <v>25000</v>
      </c>
      <c r="F9810" s="16" cm="1">
        <f t="array" ref="F9810">SUM(F9808:F9809)</f>
        <v>0</v>
      </c>
      <c r="G9810" s="16" cm="1">
        <f t="array" ref="G9810">SUM(G9808:G9809)</f>
        <v>0</v>
      </c>
      <c r="H9810" s="16" cm="1">
        <f t="array" ref="H9810">SUM(H9808:H9809)</f>
        <v>0</v>
      </c>
      <c r="I9810" s="16" cm="1">
        <f t="array" ref="I9810">SUM(I9808:I9809)</f>
        <v>0</v>
      </c>
    </row>
    <row r="9811" ht="20.35" customHeight="1">
      <c r="A9811" s="10">
        <v>45823</v>
      </c>
      <c r="B9811" t="s" s="11">
        <v>5</v>
      </c>
      <c r="C9811" t="s" s="12">
        <v>209</v>
      </c>
      <c r="D9811" s="17"/>
      <c r="E9811" s="17">
        <v>10000</v>
      </c>
      <c r="F9811" s="18"/>
      <c r="G9811" s="18"/>
      <c r="H9811" s="18"/>
      <c r="I9811" s="18"/>
    </row>
    <row r="9812" ht="20.35" customHeight="1">
      <c r="A9812" s="10">
        <v>45823</v>
      </c>
      <c r="B9812" t="s" s="11">
        <v>107</v>
      </c>
      <c r="C9812" t="s" s="12">
        <v>209</v>
      </c>
      <c r="D9812" s="13">
        <v>10000</v>
      </c>
      <c r="E9812" s="13"/>
      <c r="F9812" s="14"/>
      <c r="G9812" s="14"/>
      <c r="H9812" s="14"/>
      <c r="I9812" s="14"/>
    </row>
    <row r="9813" ht="20.7" customHeight="1">
      <c r="A9813" s="10">
        <v>45823</v>
      </c>
      <c r="B9813" t="s" s="11">
        <v>8</v>
      </c>
      <c r="C9813" t="s" s="12">
        <v>8</v>
      </c>
      <c r="D9813" s="15" cm="1">
        <f t="array" ref="D9813">SUM(D9811:D9812)</f>
        <v>10000</v>
      </c>
      <c r="E9813" s="15" cm="1">
        <f t="array" ref="E9813">SUM(E9811:E9812)</f>
        <v>10000</v>
      </c>
      <c r="F9813" s="16" cm="1">
        <f t="array" ref="F9813">SUM(F9811:F9812)</f>
        <v>0</v>
      </c>
      <c r="G9813" s="16" cm="1">
        <f t="array" ref="G9813">SUM(G9811:G9812)</f>
        <v>0</v>
      </c>
      <c r="H9813" s="16" cm="1">
        <f t="array" ref="H9813">SUM(H9811:H9812)</f>
        <v>0</v>
      </c>
      <c r="I9813" s="16" cm="1">
        <f t="array" ref="I9813">SUM(I9811:I9812)</f>
        <v>0</v>
      </c>
    </row>
    <row r="9814" ht="20.35" customHeight="1">
      <c r="A9814" s="10">
        <v>45823</v>
      </c>
      <c r="B9814" t="s" s="11">
        <v>814</v>
      </c>
      <c r="C9814" t="s" s="12">
        <v>96</v>
      </c>
      <c r="D9814" s="17"/>
      <c r="E9814" s="17">
        <v>230000</v>
      </c>
      <c r="F9814" s="18"/>
      <c r="G9814" s="18"/>
      <c r="H9814" s="18"/>
      <c r="I9814" s="18"/>
    </row>
    <row r="9815" ht="20.35" customHeight="1">
      <c r="A9815" s="10">
        <v>45823</v>
      </c>
      <c r="B9815" t="s" s="11">
        <v>5</v>
      </c>
      <c r="C9815" t="s" s="12">
        <v>96</v>
      </c>
      <c r="D9815" s="13">
        <v>230000</v>
      </c>
      <c r="E9815" s="13"/>
      <c r="F9815" s="14"/>
      <c r="G9815" s="14"/>
      <c r="H9815" s="14"/>
      <c r="I9815" s="14"/>
    </row>
    <row r="9816" ht="20.7" customHeight="1">
      <c r="A9816" s="10">
        <v>45823</v>
      </c>
      <c r="B9816" t="s" s="11">
        <v>8</v>
      </c>
      <c r="C9816" t="s" s="12">
        <v>8</v>
      </c>
      <c r="D9816" s="15" cm="1">
        <f t="array" ref="D9816">SUM(D9814:D9815)</f>
        <v>230000</v>
      </c>
      <c r="E9816" s="15" cm="1">
        <f t="array" ref="E9816">SUM(E9814:E9815)</f>
        <v>230000</v>
      </c>
      <c r="F9816" s="16" cm="1">
        <f t="array" ref="F9816">SUM(F9814:F9815)</f>
        <v>0</v>
      </c>
      <c r="G9816" s="16" cm="1">
        <f t="array" ref="G9816">SUM(G9814:G9815)</f>
        <v>0</v>
      </c>
      <c r="H9816" s="16" cm="1">
        <f t="array" ref="H9816">SUM(H9814:H9815)</f>
        <v>0</v>
      </c>
      <c r="I9816" s="16" cm="1">
        <f t="array" ref="I9816">SUM(I9814:I9815)</f>
        <v>0</v>
      </c>
    </row>
    <row r="9817" ht="20.35" customHeight="1">
      <c r="A9817" s="10">
        <v>45823</v>
      </c>
      <c r="B9817" t="s" s="11">
        <v>5</v>
      </c>
      <c r="C9817" t="s" s="12">
        <v>1294</v>
      </c>
      <c r="D9817" s="17"/>
      <c r="E9817" s="17">
        <v>230000</v>
      </c>
      <c r="F9817" s="18"/>
      <c r="G9817" s="18"/>
      <c r="H9817" s="18"/>
      <c r="I9817" s="18"/>
    </row>
    <row r="9818" ht="20.35" customHeight="1">
      <c r="A9818" s="10">
        <v>45823</v>
      </c>
      <c r="B9818" t="s" s="11">
        <v>89</v>
      </c>
      <c r="C9818" t="s" s="12">
        <v>1294</v>
      </c>
      <c r="D9818" s="13">
        <v>230000</v>
      </c>
      <c r="E9818" s="13"/>
      <c r="F9818" s="14"/>
      <c r="G9818" s="14"/>
      <c r="H9818" s="14"/>
      <c r="I9818" s="14"/>
    </row>
    <row r="9819" ht="20.7" customHeight="1">
      <c r="A9819" s="10">
        <v>45823</v>
      </c>
      <c r="B9819" t="s" s="11">
        <v>8</v>
      </c>
      <c r="C9819" t="s" s="12">
        <v>8</v>
      </c>
      <c r="D9819" s="15" cm="1">
        <f t="array" ref="D9819">SUM(D9817:D9818)</f>
        <v>230000</v>
      </c>
      <c r="E9819" s="15" cm="1">
        <f t="array" ref="E9819">SUM(E9817:E9818)</f>
        <v>230000</v>
      </c>
      <c r="F9819" s="16" cm="1">
        <f t="array" ref="F9819">SUM(F9817:F9818)</f>
        <v>0</v>
      </c>
      <c r="G9819" s="16" cm="1">
        <f t="array" ref="G9819">SUM(G9817:G9818)</f>
        <v>0</v>
      </c>
      <c r="H9819" s="16" cm="1">
        <f t="array" ref="H9819">SUM(H9817:H9818)</f>
        <v>0</v>
      </c>
      <c r="I9819" s="16" cm="1">
        <f t="array" ref="I9819">SUM(I9817:I9818)</f>
        <v>0</v>
      </c>
    </row>
    <row r="9820" ht="20.35" customHeight="1">
      <c r="A9820" s="10">
        <v>45823</v>
      </c>
      <c r="B9820" t="s" s="11">
        <v>5</v>
      </c>
      <c r="C9820" t="s" s="12">
        <v>20</v>
      </c>
      <c r="D9820" s="17"/>
      <c r="E9820" s="17">
        <v>10000</v>
      </c>
      <c r="F9820" s="18"/>
      <c r="G9820" s="18"/>
      <c r="H9820" s="18"/>
      <c r="I9820" s="18"/>
    </row>
    <row r="9821" ht="20.35" customHeight="1">
      <c r="A9821" s="10">
        <v>45823</v>
      </c>
      <c r="B9821" t="s" s="11">
        <v>89</v>
      </c>
      <c r="C9821" t="s" s="12">
        <v>20</v>
      </c>
      <c r="D9821" s="13">
        <v>10000</v>
      </c>
      <c r="E9821" s="13"/>
      <c r="F9821" s="14"/>
      <c r="G9821" s="14"/>
      <c r="H9821" s="14"/>
      <c r="I9821" s="14"/>
    </row>
    <row r="9822" ht="20.7" customHeight="1">
      <c r="A9822" s="10">
        <v>45823</v>
      </c>
      <c r="B9822" t="s" s="11">
        <v>8</v>
      </c>
      <c r="C9822" t="s" s="12">
        <v>8</v>
      </c>
      <c r="D9822" s="15" cm="1">
        <f t="array" ref="D9822">SUM(D9820:D9821)</f>
        <v>10000</v>
      </c>
      <c r="E9822" s="15" cm="1">
        <f t="array" ref="E9822">SUM(E9820:E9821)</f>
        <v>10000</v>
      </c>
      <c r="F9822" s="16" cm="1">
        <f t="array" ref="F9822">SUM(F9820:F9821)</f>
        <v>0</v>
      </c>
      <c r="G9822" s="16" cm="1">
        <f t="array" ref="G9822">SUM(G9820:G9821)</f>
        <v>0</v>
      </c>
      <c r="H9822" s="16" cm="1">
        <f t="array" ref="H9822">SUM(H9820:H9821)</f>
        <v>0</v>
      </c>
      <c r="I9822" s="16" cm="1">
        <f t="array" ref="I9822">SUM(I9820:I9821)</f>
        <v>0</v>
      </c>
    </row>
    <row r="9823" ht="20.35" customHeight="1">
      <c r="A9823" s="10">
        <v>45823</v>
      </c>
      <c r="B9823" t="s" s="11">
        <v>107</v>
      </c>
      <c r="C9823" t="s" s="12">
        <v>1294</v>
      </c>
      <c r="D9823" s="17">
        <v>230000</v>
      </c>
      <c r="E9823" s="17"/>
      <c r="F9823" s="18"/>
      <c r="G9823" s="18"/>
      <c r="H9823" s="18"/>
      <c r="I9823" s="18"/>
    </row>
    <row r="9824" ht="20.35" customHeight="1">
      <c r="A9824" s="10">
        <v>45823</v>
      </c>
      <c r="B9824" t="s" s="11">
        <v>89</v>
      </c>
      <c r="C9824" t="s" s="12">
        <v>1294</v>
      </c>
      <c r="D9824" s="13"/>
      <c r="E9824" s="13">
        <v>230000</v>
      </c>
      <c r="F9824" s="14"/>
      <c r="G9824" s="14"/>
      <c r="H9824" s="14"/>
      <c r="I9824" s="14"/>
    </row>
    <row r="9825" ht="20.7" customHeight="1">
      <c r="A9825" s="10">
        <v>45823</v>
      </c>
      <c r="B9825" t="s" s="11">
        <v>8</v>
      </c>
      <c r="C9825" t="s" s="12">
        <v>8</v>
      </c>
      <c r="D9825" s="15" cm="1">
        <f t="array" ref="D9825">SUM(D9823:D9824)</f>
        <v>230000</v>
      </c>
      <c r="E9825" s="15" cm="1">
        <f t="array" ref="E9825">SUM(E9823:E9824)</f>
        <v>230000</v>
      </c>
      <c r="F9825" s="16" cm="1">
        <f t="array" ref="F9825">SUM(F9823:F9824)</f>
        <v>0</v>
      </c>
      <c r="G9825" s="16" cm="1">
        <f t="array" ref="G9825">SUM(G9823:G9824)</f>
        <v>0</v>
      </c>
      <c r="H9825" s="16" cm="1">
        <f t="array" ref="H9825">SUM(H9823:H9824)</f>
        <v>0</v>
      </c>
      <c r="I9825" s="16" cm="1">
        <f t="array" ref="I9825">SUM(I9823:I9824)</f>
        <v>0</v>
      </c>
    </row>
    <row r="9826" ht="21.25" customHeight="1">
      <c r="A9826" s="10">
        <v>45823</v>
      </c>
      <c r="B9826" t="s" s="11">
        <v>21</v>
      </c>
      <c r="C9826" t="s" s="12">
        <v>940</v>
      </c>
      <c r="D9826" s="17"/>
      <c r="E9826" s="17">
        <v>1500</v>
      </c>
      <c r="F9826" s="18"/>
      <c r="G9826" s="18"/>
      <c r="H9826" s="18"/>
      <c r="I9826" s="18"/>
    </row>
    <row r="9827" ht="21.25" customHeight="1">
      <c r="A9827" s="10">
        <v>45823</v>
      </c>
      <c r="B9827" t="s" s="11">
        <v>16</v>
      </c>
      <c r="C9827" t="s" s="12">
        <v>940</v>
      </c>
      <c r="D9827" s="13">
        <v>1500</v>
      </c>
      <c r="E9827" s="13"/>
      <c r="F9827" s="14"/>
      <c r="G9827" s="14"/>
      <c r="H9827" s="14"/>
      <c r="I9827" s="14"/>
    </row>
    <row r="9828" ht="20.7" customHeight="1">
      <c r="A9828" s="10">
        <v>45823</v>
      </c>
      <c r="B9828" t="s" s="11">
        <v>8</v>
      </c>
      <c r="C9828" t="s" s="12">
        <v>8</v>
      </c>
      <c r="D9828" s="15" cm="1">
        <f t="array" ref="D9828">SUM(D9826:D9827)</f>
        <v>1500</v>
      </c>
      <c r="E9828" s="15" cm="1">
        <f t="array" ref="E9828">SUM(E9826:E9827)</f>
        <v>1500</v>
      </c>
      <c r="F9828" s="16" cm="1">
        <f t="array" ref="F9828">SUM(F9826:F9827)</f>
        <v>0</v>
      </c>
      <c r="G9828" s="16" cm="1">
        <f t="array" ref="G9828">SUM(G9826:G9827)</f>
        <v>0</v>
      </c>
      <c r="H9828" s="16" cm="1">
        <f t="array" ref="H9828">SUM(H9826:H9827)</f>
        <v>0</v>
      </c>
      <c r="I9828" s="16" cm="1">
        <f t="array" ref="I9828">SUM(I9826:I9827)</f>
        <v>0</v>
      </c>
    </row>
    <row r="9829" ht="20.65" customHeight="1">
      <c r="A9829" s="10">
        <v>45824</v>
      </c>
      <c r="B9829" t="s" s="11">
        <v>843</v>
      </c>
      <c r="C9829" t="s" s="12">
        <v>820</v>
      </c>
      <c r="D9829" s="17">
        <v>12</v>
      </c>
      <c r="E9829" s="17"/>
      <c r="F9829" s="18"/>
      <c r="G9829" s="18"/>
      <c r="H9829" s="18"/>
      <c r="I9829" s="18"/>
    </row>
    <row r="9830" ht="20.65" customHeight="1">
      <c r="A9830" s="10">
        <v>45824</v>
      </c>
      <c r="B9830" t="s" s="11">
        <v>7</v>
      </c>
      <c r="C9830" t="s" s="12">
        <v>820</v>
      </c>
      <c r="D9830" s="13"/>
      <c r="E9830" s="13">
        <v>12</v>
      </c>
      <c r="F9830" s="14"/>
      <c r="G9830" s="14"/>
      <c r="H9830" s="14"/>
      <c r="I9830" s="14"/>
    </row>
    <row r="9831" ht="20.7" customHeight="1">
      <c r="A9831" s="10">
        <v>45824</v>
      </c>
      <c r="B9831" t="s" s="11">
        <v>8</v>
      </c>
      <c r="C9831" t="s" s="12">
        <v>8</v>
      </c>
      <c r="D9831" s="15" cm="1">
        <f t="array" ref="D9831">SUM(D9829:D9830)</f>
        <v>12</v>
      </c>
      <c r="E9831" s="15" cm="1">
        <f t="array" ref="E9831">SUM(E9829:E9830)</f>
        <v>12</v>
      </c>
      <c r="F9831" s="16" cm="1">
        <f t="array" ref="F9831">SUM(F9829:F9830)</f>
        <v>0</v>
      </c>
      <c r="G9831" s="16" cm="1">
        <f t="array" ref="G9831">SUM(G9829:G9830)</f>
        <v>0</v>
      </c>
      <c r="H9831" s="16" cm="1">
        <f t="array" ref="H9831">SUM(H9829:H9830)</f>
        <v>0</v>
      </c>
      <c r="I9831" s="16" cm="1">
        <f t="array" ref="I9831">SUM(I9829:I9830)</f>
        <v>0</v>
      </c>
    </row>
    <row r="9832" ht="20.65" customHeight="1">
      <c r="A9832" s="10">
        <v>45824</v>
      </c>
      <c r="B9832" t="s" s="11">
        <v>814</v>
      </c>
      <c r="C9832" t="s" s="12">
        <v>820</v>
      </c>
      <c r="D9832" s="17">
        <v>12</v>
      </c>
      <c r="E9832" s="17"/>
      <c r="F9832" s="18"/>
      <c r="G9832" s="18"/>
      <c r="H9832" s="18"/>
      <c r="I9832" s="18"/>
    </row>
    <row r="9833" ht="20.65" customHeight="1">
      <c r="A9833" s="10">
        <v>45824</v>
      </c>
      <c r="B9833" t="s" s="11">
        <v>7</v>
      </c>
      <c r="C9833" t="s" s="12">
        <v>820</v>
      </c>
      <c r="D9833" s="13"/>
      <c r="E9833" s="13">
        <v>12</v>
      </c>
      <c r="F9833" s="14"/>
      <c r="G9833" s="14"/>
      <c r="H9833" s="14"/>
      <c r="I9833" s="14"/>
    </row>
    <row r="9834" ht="20.7" customHeight="1">
      <c r="A9834" s="10">
        <v>45824</v>
      </c>
      <c r="B9834" t="s" s="11">
        <v>8</v>
      </c>
      <c r="C9834" t="s" s="12">
        <v>8</v>
      </c>
      <c r="D9834" s="15" cm="1">
        <f t="array" ref="D9834">SUM(D9832:D9833)</f>
        <v>12</v>
      </c>
      <c r="E9834" s="15" cm="1">
        <f t="array" ref="E9834">SUM(E9832:E9833)</f>
        <v>12</v>
      </c>
      <c r="F9834" s="16" cm="1">
        <f t="array" ref="F9834">SUM(F9832:F9833)</f>
        <v>0</v>
      </c>
      <c r="G9834" s="16" cm="1">
        <f t="array" ref="G9834">SUM(G9832:G9833)</f>
        <v>0</v>
      </c>
      <c r="H9834" s="16" cm="1">
        <f t="array" ref="H9834">SUM(H9832:H9833)</f>
        <v>0</v>
      </c>
      <c r="I9834" s="16" cm="1">
        <f t="array" ref="I9834">SUM(I9832:I9833)</f>
        <v>0</v>
      </c>
    </row>
    <row r="9835" ht="20.35" customHeight="1">
      <c r="A9835" s="10">
        <v>45824</v>
      </c>
      <c r="B9835" t="s" s="11">
        <v>814</v>
      </c>
      <c r="C9835" t="s" s="12">
        <v>867</v>
      </c>
      <c r="D9835" s="17">
        <v>230000</v>
      </c>
      <c r="E9835" s="17"/>
      <c r="F9835" s="18"/>
      <c r="G9835" s="18"/>
      <c r="H9835" s="18"/>
      <c r="I9835" s="18"/>
    </row>
    <row r="9836" ht="20.35" customHeight="1">
      <c r="A9836" s="10">
        <v>45824</v>
      </c>
      <c r="B9836" t="s" s="11">
        <v>5</v>
      </c>
      <c r="C9836" t="s" s="12">
        <v>867</v>
      </c>
      <c r="D9836" s="13"/>
      <c r="E9836" s="13">
        <v>230000</v>
      </c>
      <c r="F9836" s="14"/>
      <c r="G9836" s="14"/>
      <c r="H9836" s="14"/>
      <c r="I9836" s="14"/>
    </row>
    <row r="9837" ht="20.7" customHeight="1">
      <c r="A9837" s="10">
        <v>45824</v>
      </c>
      <c r="B9837" t="s" s="11">
        <v>8</v>
      </c>
      <c r="C9837" t="s" s="12">
        <v>8</v>
      </c>
      <c r="D9837" s="15" cm="1">
        <f t="array" ref="D9837">SUM(D9835:D9836)</f>
        <v>230000</v>
      </c>
      <c r="E9837" s="15" cm="1">
        <f t="array" ref="E9837">SUM(E9835:E9836)</f>
        <v>230000</v>
      </c>
      <c r="F9837" s="16" cm="1">
        <f t="array" ref="F9837">SUM(F9835:F9836)</f>
        <v>0</v>
      </c>
      <c r="G9837" s="16" cm="1">
        <f t="array" ref="G9837">SUM(G9835:G9836)</f>
        <v>0</v>
      </c>
      <c r="H9837" s="16" cm="1">
        <f t="array" ref="H9837">SUM(H9835:H9836)</f>
        <v>0</v>
      </c>
      <c r="I9837" s="16" cm="1">
        <f t="array" ref="I9837">SUM(I9835:I9836)</f>
        <v>0</v>
      </c>
    </row>
    <row r="9838" ht="20.35" customHeight="1">
      <c r="A9838" s="10">
        <v>45824</v>
      </c>
      <c r="B9838" t="s" s="11">
        <v>107</v>
      </c>
      <c r="C9838" t="s" s="12">
        <v>96</v>
      </c>
      <c r="D9838" s="17"/>
      <c r="E9838" s="17">
        <v>230000</v>
      </c>
      <c r="F9838" s="18"/>
      <c r="G9838" s="18"/>
      <c r="H9838" s="18"/>
      <c r="I9838" s="18"/>
    </row>
    <row r="9839" ht="20.35" customHeight="1">
      <c r="A9839" s="10">
        <v>45824</v>
      </c>
      <c r="B9839" t="s" s="11">
        <v>5</v>
      </c>
      <c r="C9839" t="s" s="12">
        <v>96</v>
      </c>
      <c r="D9839" s="13">
        <v>230000</v>
      </c>
      <c r="E9839" s="13"/>
      <c r="F9839" s="14"/>
      <c r="G9839" s="14"/>
      <c r="H9839" s="14"/>
      <c r="I9839" s="14"/>
    </row>
    <row r="9840" ht="20.7" customHeight="1">
      <c r="A9840" s="10">
        <v>45824</v>
      </c>
      <c r="B9840" t="s" s="11">
        <v>8</v>
      </c>
      <c r="C9840" t="s" s="12">
        <v>8</v>
      </c>
      <c r="D9840" s="15" cm="1">
        <f t="array" ref="D9840">SUM(D9838:D9839)</f>
        <v>230000</v>
      </c>
      <c r="E9840" s="15" cm="1">
        <f t="array" ref="E9840">SUM(E9838:E9839)</f>
        <v>230000</v>
      </c>
      <c r="F9840" s="16" cm="1">
        <f t="array" ref="F9840">SUM(F9838:F9839)</f>
        <v>0</v>
      </c>
      <c r="G9840" s="16" cm="1">
        <f t="array" ref="G9840">SUM(G9838:G9839)</f>
        <v>0</v>
      </c>
      <c r="H9840" s="16" cm="1">
        <f t="array" ref="H9840">SUM(H9838:H9839)</f>
        <v>0</v>
      </c>
      <c r="I9840" s="16" cm="1">
        <f t="array" ref="I9840">SUM(I9838:I9839)</f>
        <v>0</v>
      </c>
    </row>
    <row r="9841" ht="20.65" customHeight="1">
      <c r="A9841" s="10">
        <v>45824</v>
      </c>
      <c r="B9841" t="s" s="11">
        <v>5</v>
      </c>
      <c r="C9841" t="s" s="12">
        <v>1295</v>
      </c>
      <c r="D9841" s="17"/>
      <c r="E9841" s="17">
        <v>22000</v>
      </c>
      <c r="F9841" s="18"/>
      <c r="G9841" s="18"/>
      <c r="H9841" s="18"/>
      <c r="I9841" s="18"/>
    </row>
    <row r="9842" ht="20.65" customHeight="1">
      <c r="A9842" s="10">
        <v>45824</v>
      </c>
      <c r="B9842" t="s" s="11">
        <v>12</v>
      </c>
      <c r="C9842" t="s" s="12">
        <v>1295</v>
      </c>
      <c r="D9842" s="13">
        <v>22000</v>
      </c>
      <c r="E9842" s="13"/>
      <c r="F9842" s="14"/>
      <c r="G9842" s="14"/>
      <c r="H9842" s="14"/>
      <c r="I9842" s="14"/>
    </row>
    <row r="9843" ht="20.7" customHeight="1">
      <c r="A9843" s="10">
        <v>45824</v>
      </c>
      <c r="B9843" t="s" s="11">
        <v>8</v>
      </c>
      <c r="C9843" t="s" s="12">
        <v>8</v>
      </c>
      <c r="D9843" s="15" cm="1">
        <f t="array" ref="D9843">SUM(D9841:D9842)</f>
        <v>22000</v>
      </c>
      <c r="E9843" s="15" cm="1">
        <f t="array" ref="E9843">SUM(E9841:E9842)</f>
        <v>22000</v>
      </c>
      <c r="F9843" s="16" cm="1">
        <f t="array" ref="F9843">SUM(F9841:F9842)</f>
        <v>0</v>
      </c>
      <c r="G9843" s="16" cm="1">
        <f t="array" ref="G9843">SUM(G9841:G9842)</f>
        <v>0</v>
      </c>
      <c r="H9843" s="16" cm="1">
        <f t="array" ref="H9843">SUM(H9841:H9842)</f>
        <v>0</v>
      </c>
      <c r="I9843" s="16" cm="1">
        <f t="array" ref="I9843">SUM(I9841:I9842)</f>
        <v>0</v>
      </c>
    </row>
    <row r="9844" ht="21.25" customHeight="1">
      <c r="A9844" s="10">
        <v>45824</v>
      </c>
      <c r="B9844" t="s" s="11">
        <v>121</v>
      </c>
      <c r="C9844" t="s" s="12">
        <v>1287</v>
      </c>
      <c r="D9844" s="17"/>
      <c r="E9844" s="17">
        <v>5900</v>
      </c>
      <c r="F9844" s="18"/>
      <c r="G9844" s="18"/>
      <c r="H9844" s="18"/>
      <c r="I9844" s="18"/>
    </row>
    <row r="9845" ht="21.25" customHeight="1">
      <c r="A9845" s="10">
        <v>45824</v>
      </c>
      <c r="B9845" t="s" s="11">
        <v>21</v>
      </c>
      <c r="C9845" t="s" s="12">
        <v>1287</v>
      </c>
      <c r="D9845" s="13">
        <v>5900</v>
      </c>
      <c r="E9845" s="13"/>
      <c r="F9845" s="14"/>
      <c r="G9845" s="14"/>
      <c r="H9845" s="14"/>
      <c r="I9845" s="14"/>
    </row>
    <row r="9846" ht="20.7" customHeight="1">
      <c r="A9846" s="10">
        <v>45824</v>
      </c>
      <c r="B9846" t="s" s="11">
        <v>8</v>
      </c>
      <c r="C9846" t="s" s="12">
        <v>8</v>
      </c>
      <c r="D9846" s="15" cm="1">
        <f t="array" ref="D9846">SUM(D9844:D9845)</f>
        <v>5900</v>
      </c>
      <c r="E9846" s="15" cm="1">
        <f t="array" ref="E9846">SUM(E9844:E9845)</f>
        <v>5900</v>
      </c>
      <c r="F9846" s="16" cm="1">
        <f t="array" ref="F9846">SUM(F9844:F9845)</f>
        <v>0</v>
      </c>
      <c r="G9846" s="16" cm="1">
        <f t="array" ref="G9846">SUM(G9844:G9845)</f>
        <v>0</v>
      </c>
      <c r="H9846" s="16" cm="1">
        <f t="array" ref="H9846">SUM(H9844:H9845)</f>
        <v>0</v>
      </c>
      <c r="I9846" s="16" cm="1">
        <f t="array" ref="I9846">SUM(I9844:I9845)</f>
        <v>0</v>
      </c>
    </row>
    <row r="9847" ht="21.25" customHeight="1">
      <c r="A9847" s="10">
        <v>45824</v>
      </c>
      <c r="B9847" t="s" s="11">
        <v>121</v>
      </c>
      <c r="C9847" t="s" s="12">
        <v>1287</v>
      </c>
      <c r="D9847" s="17"/>
      <c r="E9847" s="17">
        <v>4700</v>
      </c>
      <c r="F9847" s="18"/>
      <c r="G9847" s="18"/>
      <c r="H9847" s="18"/>
      <c r="I9847" s="18"/>
    </row>
    <row r="9848" ht="21.25" customHeight="1">
      <c r="A9848" s="10">
        <v>45824</v>
      </c>
      <c r="B9848" t="s" s="11">
        <v>21</v>
      </c>
      <c r="C9848" t="s" s="12">
        <v>1287</v>
      </c>
      <c r="D9848" s="13">
        <v>4700</v>
      </c>
      <c r="E9848" s="13"/>
      <c r="F9848" s="14"/>
      <c r="G9848" s="14"/>
      <c r="H9848" s="14"/>
      <c r="I9848" s="14"/>
    </row>
    <row r="9849" ht="20.7" customHeight="1">
      <c r="A9849" s="10">
        <v>45824</v>
      </c>
      <c r="B9849" t="s" s="11">
        <v>8</v>
      </c>
      <c r="C9849" t="s" s="12">
        <v>8</v>
      </c>
      <c r="D9849" s="15" cm="1">
        <f t="array" ref="D9849">SUM(D9847:D9848)</f>
        <v>4700</v>
      </c>
      <c r="E9849" s="15" cm="1">
        <f t="array" ref="E9849">SUM(E9847:E9848)</f>
        <v>4700</v>
      </c>
      <c r="F9849" s="16" cm="1">
        <f t="array" ref="F9849">SUM(F9847:F9848)</f>
        <v>0</v>
      </c>
      <c r="G9849" s="16" cm="1">
        <f t="array" ref="G9849">SUM(G9847:G9848)</f>
        <v>0</v>
      </c>
      <c r="H9849" s="16" cm="1">
        <f t="array" ref="H9849">SUM(H9847:H9848)</f>
        <v>0</v>
      </c>
      <c r="I9849" s="16" cm="1">
        <f t="array" ref="I9849">SUM(I9847:I9848)</f>
        <v>0</v>
      </c>
    </row>
    <row r="9850" ht="21.25" customHeight="1">
      <c r="A9850" s="10">
        <v>45824</v>
      </c>
      <c r="B9850" t="s" s="11">
        <v>121</v>
      </c>
      <c r="C9850" t="s" s="12">
        <v>1209</v>
      </c>
      <c r="D9850" s="17"/>
      <c r="E9850" s="17">
        <v>741</v>
      </c>
      <c r="F9850" s="18"/>
      <c r="G9850" s="18"/>
      <c r="H9850" s="18"/>
      <c r="I9850" s="18"/>
    </row>
    <row r="9851" ht="21.25" customHeight="1">
      <c r="A9851" s="10">
        <v>45824</v>
      </c>
      <c r="B9851" t="s" s="11">
        <v>21</v>
      </c>
      <c r="C9851" t="s" s="12">
        <v>1209</v>
      </c>
      <c r="D9851" s="13">
        <v>741</v>
      </c>
      <c r="E9851" s="13"/>
      <c r="F9851" s="14"/>
      <c r="G9851" s="14"/>
      <c r="H9851" s="14"/>
      <c r="I9851" s="14"/>
    </row>
    <row r="9852" ht="20.7" customHeight="1">
      <c r="A9852" s="10">
        <v>45824</v>
      </c>
      <c r="B9852" t="s" s="11">
        <v>8</v>
      </c>
      <c r="C9852" t="s" s="12">
        <v>8</v>
      </c>
      <c r="D9852" s="15" cm="1">
        <f t="array" ref="D9852">SUM(D9850:D9851)</f>
        <v>741</v>
      </c>
      <c r="E9852" s="15" cm="1">
        <f t="array" ref="E9852">SUM(E9850:E9851)</f>
        <v>741</v>
      </c>
      <c r="F9852" s="16" cm="1">
        <f t="array" ref="F9852">SUM(F9850:F9851)</f>
        <v>0</v>
      </c>
      <c r="G9852" s="16" cm="1">
        <f t="array" ref="G9852">SUM(G9850:G9851)</f>
        <v>0</v>
      </c>
      <c r="H9852" s="16" cm="1">
        <f t="array" ref="H9852">SUM(H9850:H9851)</f>
        <v>0</v>
      </c>
      <c r="I9852" s="16" cm="1">
        <f t="array" ref="I9852">SUM(I9850:I9851)</f>
        <v>0</v>
      </c>
    </row>
    <row r="9853" ht="21.25" customHeight="1">
      <c r="A9853" s="10">
        <v>45824</v>
      </c>
      <c r="B9853" t="s" s="11">
        <v>21</v>
      </c>
      <c r="C9853" t="s" s="12">
        <v>940</v>
      </c>
      <c r="D9853" s="17"/>
      <c r="E9853" s="17">
        <v>1500</v>
      </c>
      <c r="F9853" s="18"/>
      <c r="G9853" s="18"/>
      <c r="H9853" s="18"/>
      <c r="I9853" s="18"/>
    </row>
    <row r="9854" ht="21.25" customHeight="1">
      <c r="A9854" s="10">
        <v>45824</v>
      </c>
      <c r="B9854" t="s" s="11">
        <v>16</v>
      </c>
      <c r="C9854" t="s" s="12">
        <v>940</v>
      </c>
      <c r="D9854" s="13">
        <v>1500</v>
      </c>
      <c r="E9854" s="13"/>
      <c r="F9854" s="14"/>
      <c r="G9854" s="14"/>
      <c r="H9854" s="14"/>
      <c r="I9854" s="14"/>
    </row>
    <row r="9855" ht="20.7" customHeight="1">
      <c r="A9855" s="10">
        <v>45824</v>
      </c>
      <c r="B9855" t="s" s="11">
        <v>8</v>
      </c>
      <c r="C9855" t="s" s="12">
        <v>8</v>
      </c>
      <c r="D9855" s="15" cm="1">
        <f t="array" ref="D9855">SUM(D9853:D9854)</f>
        <v>1500</v>
      </c>
      <c r="E9855" s="15" cm="1">
        <f t="array" ref="E9855">SUM(E9853:E9854)</f>
        <v>1500</v>
      </c>
      <c r="F9855" s="16" cm="1">
        <f t="array" ref="F9855">SUM(F9853:F9854)</f>
        <v>0</v>
      </c>
      <c r="G9855" s="16" cm="1">
        <f t="array" ref="G9855">SUM(G9853:G9854)</f>
        <v>0</v>
      </c>
      <c r="H9855" s="16" cm="1">
        <f t="array" ref="H9855">SUM(H9853:H9854)</f>
        <v>0</v>
      </c>
      <c r="I9855" s="16" cm="1">
        <f t="array" ref="I9855">SUM(I9853:I9854)</f>
        <v>0</v>
      </c>
    </row>
    <row r="9856" ht="20.65" customHeight="1">
      <c r="A9856" s="10">
        <v>45825</v>
      </c>
      <c r="B9856" t="s" s="11">
        <v>843</v>
      </c>
      <c r="C9856" t="s" s="12">
        <v>820</v>
      </c>
      <c r="D9856" s="17">
        <v>12</v>
      </c>
      <c r="E9856" s="17"/>
      <c r="F9856" s="18"/>
      <c r="G9856" s="18"/>
      <c r="H9856" s="18"/>
      <c r="I9856" s="18"/>
    </row>
    <row r="9857" ht="20.65" customHeight="1">
      <c r="A9857" s="10">
        <v>45825</v>
      </c>
      <c r="B9857" t="s" s="11">
        <v>7</v>
      </c>
      <c r="C9857" t="s" s="12">
        <v>820</v>
      </c>
      <c r="D9857" s="13"/>
      <c r="E9857" s="13">
        <v>12</v>
      </c>
      <c r="F9857" s="14"/>
      <c r="G9857" s="14"/>
      <c r="H9857" s="14"/>
      <c r="I9857" s="14"/>
    </row>
    <row r="9858" ht="20.7" customHeight="1">
      <c r="A9858" s="10">
        <v>45825</v>
      </c>
      <c r="B9858" t="s" s="11">
        <v>8</v>
      </c>
      <c r="C9858" t="s" s="12">
        <v>8</v>
      </c>
      <c r="D9858" s="15" cm="1">
        <f t="array" ref="D9858">SUM(D9856:D9857)</f>
        <v>12</v>
      </c>
      <c r="E9858" s="15" cm="1">
        <f t="array" ref="E9858">SUM(E9856:E9857)</f>
        <v>12</v>
      </c>
      <c r="F9858" s="16" cm="1">
        <f t="array" ref="F9858">SUM(F9856:F9857)</f>
        <v>0</v>
      </c>
      <c r="G9858" s="16" cm="1">
        <f t="array" ref="G9858">SUM(G9856:G9857)</f>
        <v>0</v>
      </c>
      <c r="H9858" s="16" cm="1">
        <f t="array" ref="H9858">SUM(H9856:H9857)</f>
        <v>0</v>
      </c>
      <c r="I9858" s="16" cm="1">
        <f t="array" ref="I9858">SUM(I9856:I9857)</f>
        <v>0</v>
      </c>
    </row>
    <row r="9859" ht="20.65" customHeight="1">
      <c r="A9859" s="10">
        <v>45825</v>
      </c>
      <c r="B9859" t="s" s="11">
        <v>814</v>
      </c>
      <c r="C9859" t="s" s="12">
        <v>820</v>
      </c>
      <c r="D9859" s="17">
        <v>21</v>
      </c>
      <c r="E9859" s="17"/>
      <c r="F9859" s="18"/>
      <c r="G9859" s="18"/>
      <c r="H9859" s="18"/>
      <c r="I9859" s="18"/>
    </row>
    <row r="9860" ht="20.65" customHeight="1">
      <c r="A9860" s="10">
        <v>45825</v>
      </c>
      <c r="B9860" t="s" s="11">
        <v>7</v>
      </c>
      <c r="C9860" t="s" s="12">
        <v>820</v>
      </c>
      <c r="D9860" s="13"/>
      <c r="E9860" s="13">
        <v>21</v>
      </c>
      <c r="F9860" s="14"/>
      <c r="G9860" s="14"/>
      <c r="H9860" s="14"/>
      <c r="I9860" s="14"/>
    </row>
    <row r="9861" ht="20.7" customHeight="1">
      <c r="A9861" s="10">
        <v>45825</v>
      </c>
      <c r="B9861" t="s" s="11">
        <v>8</v>
      </c>
      <c r="C9861" t="s" s="12">
        <v>8</v>
      </c>
      <c r="D9861" s="15" cm="1">
        <f t="array" ref="D9861">SUM(D9859:D9860)</f>
        <v>21</v>
      </c>
      <c r="E9861" s="15" cm="1">
        <f t="array" ref="E9861">SUM(E9859:E9860)</f>
        <v>21</v>
      </c>
      <c r="F9861" s="16" cm="1">
        <f t="array" ref="F9861">SUM(F9859:F9860)</f>
        <v>0</v>
      </c>
      <c r="G9861" s="16" cm="1">
        <f t="array" ref="G9861">SUM(G9859:G9860)</f>
        <v>0</v>
      </c>
      <c r="H9861" s="16" cm="1">
        <f t="array" ref="H9861">SUM(H9859:H9860)</f>
        <v>0</v>
      </c>
      <c r="I9861" s="16" cm="1">
        <f t="array" ref="I9861">SUM(I9859:I9860)</f>
        <v>0</v>
      </c>
    </row>
    <row r="9862" ht="20.65" customHeight="1">
      <c r="A9862" s="10">
        <v>45825</v>
      </c>
      <c r="B9862" t="s" s="11">
        <v>121</v>
      </c>
      <c r="C9862" t="s" s="12">
        <v>1296</v>
      </c>
      <c r="D9862" s="17"/>
      <c r="E9862" s="17">
        <v>3500</v>
      </c>
      <c r="F9862" s="18"/>
      <c r="G9862" s="18"/>
      <c r="H9862" s="18"/>
      <c r="I9862" s="18"/>
    </row>
    <row r="9863" ht="20.65" customHeight="1">
      <c r="A9863" s="10">
        <v>45825</v>
      </c>
      <c r="B9863" t="s" s="11">
        <v>12</v>
      </c>
      <c r="C9863" t="s" s="12">
        <v>1296</v>
      </c>
      <c r="D9863" s="13">
        <v>3500</v>
      </c>
      <c r="E9863" s="13"/>
      <c r="F9863" s="14"/>
      <c r="G9863" s="14"/>
      <c r="H9863" s="14"/>
      <c r="I9863" s="14"/>
    </row>
    <row r="9864" ht="20.7" customHeight="1">
      <c r="A9864" s="10">
        <v>45825</v>
      </c>
      <c r="B9864" t="s" s="11">
        <v>8</v>
      </c>
      <c r="C9864" t="s" s="12">
        <v>8</v>
      </c>
      <c r="D9864" s="15" cm="1">
        <f t="array" ref="D9864">SUM(D9862:D9863)</f>
        <v>3500</v>
      </c>
      <c r="E9864" s="15" cm="1">
        <f t="array" ref="E9864">SUM(E9862:E9863)</f>
        <v>3500</v>
      </c>
      <c r="F9864" s="16" cm="1">
        <f t="array" ref="F9864">SUM(F9862:F9863)</f>
        <v>0</v>
      </c>
      <c r="G9864" s="16" cm="1">
        <f t="array" ref="G9864">SUM(G9862:G9863)</f>
        <v>0</v>
      </c>
      <c r="H9864" s="16" cm="1">
        <f t="array" ref="H9864">SUM(H9862:H9863)</f>
        <v>0</v>
      </c>
      <c r="I9864" s="16" cm="1">
        <f t="array" ref="I9864">SUM(I9862:I9863)</f>
        <v>0</v>
      </c>
    </row>
    <row r="9865" ht="21.25" customHeight="1">
      <c r="A9865" s="10">
        <v>45825</v>
      </c>
      <c r="B9865" t="s" s="11">
        <v>5</v>
      </c>
      <c r="C9865" t="s" s="12">
        <v>1297</v>
      </c>
      <c r="D9865" s="17"/>
      <c r="E9865" s="17">
        <v>9000</v>
      </c>
      <c r="F9865" s="18"/>
      <c r="G9865" s="18"/>
      <c r="H9865" s="18"/>
      <c r="I9865" s="18"/>
    </row>
    <row r="9866" ht="21.25" customHeight="1">
      <c r="A9866" s="10">
        <v>45825</v>
      </c>
      <c r="B9866" t="s" s="11">
        <v>12</v>
      </c>
      <c r="C9866" t="s" s="12">
        <v>1297</v>
      </c>
      <c r="D9866" s="13">
        <v>9000</v>
      </c>
      <c r="E9866" s="13"/>
      <c r="F9866" s="14"/>
      <c r="G9866" s="14"/>
      <c r="H9866" s="14"/>
      <c r="I9866" s="14"/>
    </row>
    <row r="9867" ht="20.7" customHeight="1">
      <c r="A9867" s="10">
        <v>45825</v>
      </c>
      <c r="B9867" t="s" s="11">
        <v>8</v>
      </c>
      <c r="C9867" t="s" s="12">
        <v>8</v>
      </c>
      <c r="D9867" s="15" cm="1">
        <f t="array" ref="D9867">SUM(D9865:D9866)</f>
        <v>9000</v>
      </c>
      <c r="E9867" s="15" cm="1">
        <f t="array" ref="E9867">SUM(E9865:E9866)</f>
        <v>9000</v>
      </c>
      <c r="F9867" s="16" cm="1">
        <f t="array" ref="F9867">SUM(F9865:F9866)</f>
        <v>0</v>
      </c>
      <c r="G9867" s="16" cm="1">
        <f t="array" ref="G9867">SUM(G9865:G9866)</f>
        <v>0</v>
      </c>
      <c r="H9867" s="16" cm="1">
        <f t="array" ref="H9867">SUM(H9865:H9866)</f>
        <v>0</v>
      </c>
      <c r="I9867" s="16" cm="1">
        <f t="array" ref="I9867">SUM(I9865:I9866)</f>
        <v>0</v>
      </c>
    </row>
    <row r="9868" ht="20.35" customHeight="1">
      <c r="A9868" s="10">
        <v>45825</v>
      </c>
      <c r="B9868" t="s" s="11">
        <v>5</v>
      </c>
      <c r="C9868" t="s" s="12">
        <v>1298</v>
      </c>
      <c r="D9868" s="17"/>
      <c r="E9868" s="17">
        <v>20000</v>
      </c>
      <c r="F9868" s="18"/>
      <c r="G9868" s="18"/>
      <c r="H9868" s="18"/>
      <c r="I9868" s="18"/>
    </row>
    <row r="9869" ht="20.35" customHeight="1">
      <c r="A9869" s="10">
        <v>45825</v>
      </c>
      <c r="B9869" t="s" s="11">
        <v>10</v>
      </c>
      <c r="C9869" t="s" s="12">
        <v>1298</v>
      </c>
      <c r="D9869" s="13">
        <v>20000</v>
      </c>
      <c r="E9869" s="13"/>
      <c r="F9869" s="14"/>
      <c r="G9869" s="14"/>
      <c r="H9869" s="14"/>
      <c r="I9869" s="14"/>
    </row>
    <row r="9870" ht="20.7" customHeight="1">
      <c r="A9870" s="10">
        <v>45825</v>
      </c>
      <c r="B9870" t="s" s="11">
        <v>8</v>
      </c>
      <c r="C9870" t="s" s="12">
        <v>8</v>
      </c>
      <c r="D9870" s="15" cm="1">
        <f t="array" ref="D9870">SUM(D9868:D9869)</f>
        <v>20000</v>
      </c>
      <c r="E9870" s="15" cm="1">
        <f t="array" ref="E9870">SUM(E9868:E9869)</f>
        <v>20000</v>
      </c>
      <c r="F9870" s="16" cm="1">
        <f t="array" ref="F9870">SUM(F9868:F9869)</f>
        <v>0</v>
      </c>
      <c r="G9870" s="16" cm="1">
        <f t="array" ref="G9870">SUM(G9868:G9869)</f>
        <v>0</v>
      </c>
      <c r="H9870" s="16" cm="1">
        <f t="array" ref="H9870">SUM(H9868:H9869)</f>
        <v>0</v>
      </c>
      <c r="I9870" s="16" cm="1">
        <f t="array" ref="I9870">SUM(I9868:I9869)</f>
        <v>0</v>
      </c>
    </row>
    <row r="9871" ht="21.25" customHeight="1">
      <c r="A9871" s="10">
        <v>45825</v>
      </c>
      <c r="B9871" t="s" s="11">
        <v>121</v>
      </c>
      <c r="C9871" t="s" s="12">
        <v>1287</v>
      </c>
      <c r="D9871" s="17"/>
      <c r="E9871" s="17">
        <v>200</v>
      </c>
      <c r="F9871" s="18"/>
      <c r="G9871" s="18"/>
      <c r="H9871" s="18"/>
      <c r="I9871" s="18"/>
    </row>
    <row r="9872" ht="21.25" customHeight="1">
      <c r="A9872" s="10">
        <v>45825</v>
      </c>
      <c r="B9872" t="s" s="11">
        <v>21</v>
      </c>
      <c r="C9872" t="s" s="12">
        <v>1287</v>
      </c>
      <c r="D9872" s="13">
        <v>200</v>
      </c>
      <c r="E9872" s="13"/>
      <c r="F9872" s="14"/>
      <c r="G9872" s="14"/>
      <c r="H9872" s="14"/>
      <c r="I9872" s="14"/>
    </row>
    <row r="9873" ht="20.7" customHeight="1">
      <c r="A9873" s="10">
        <v>45825</v>
      </c>
      <c r="B9873" t="s" s="11">
        <v>8</v>
      </c>
      <c r="C9873" t="s" s="12">
        <v>8</v>
      </c>
      <c r="D9873" s="15" cm="1">
        <f t="array" ref="D9873">SUM(D9871:D9872)</f>
        <v>200</v>
      </c>
      <c r="E9873" s="15" cm="1">
        <f t="array" ref="E9873">SUM(E9871:E9872)</f>
        <v>200</v>
      </c>
      <c r="F9873" s="16" cm="1">
        <f t="array" ref="F9873">SUM(F9871:F9872)</f>
        <v>0</v>
      </c>
      <c r="G9873" s="16" cm="1">
        <f t="array" ref="G9873">SUM(G9871:G9872)</f>
        <v>0</v>
      </c>
      <c r="H9873" s="16" cm="1">
        <f t="array" ref="H9873">SUM(H9871:H9872)</f>
        <v>0</v>
      </c>
      <c r="I9873" s="16" cm="1">
        <f t="array" ref="I9873">SUM(I9871:I9872)</f>
        <v>0</v>
      </c>
    </row>
    <row r="9874" ht="21.25" customHeight="1">
      <c r="A9874" s="10">
        <v>45825</v>
      </c>
      <c r="B9874" t="s" s="11">
        <v>121</v>
      </c>
      <c r="C9874" t="s" s="12">
        <v>1287</v>
      </c>
      <c r="D9874" s="17"/>
      <c r="E9874" s="17">
        <v>3600</v>
      </c>
      <c r="F9874" s="18"/>
      <c r="G9874" s="18"/>
      <c r="H9874" s="18"/>
      <c r="I9874" s="18"/>
    </row>
    <row r="9875" ht="21.25" customHeight="1">
      <c r="A9875" s="10">
        <v>45825</v>
      </c>
      <c r="B9875" t="s" s="11">
        <v>21</v>
      </c>
      <c r="C9875" t="s" s="12">
        <v>1287</v>
      </c>
      <c r="D9875" s="13">
        <v>3600</v>
      </c>
      <c r="E9875" s="13"/>
      <c r="F9875" s="14"/>
      <c r="G9875" s="14"/>
      <c r="H9875" s="14"/>
      <c r="I9875" s="14"/>
    </row>
    <row r="9876" ht="20.7" customHeight="1">
      <c r="A9876" s="10">
        <v>45825</v>
      </c>
      <c r="B9876" t="s" s="11">
        <v>8</v>
      </c>
      <c r="C9876" t="s" s="12">
        <v>8</v>
      </c>
      <c r="D9876" s="15" cm="1">
        <f t="array" ref="D9876">SUM(D9874:D9875)</f>
        <v>3600</v>
      </c>
      <c r="E9876" s="15" cm="1">
        <f t="array" ref="E9876">SUM(E9874:E9875)</f>
        <v>3600</v>
      </c>
      <c r="F9876" s="16" cm="1">
        <f t="array" ref="F9876">SUM(F9874:F9875)</f>
        <v>0</v>
      </c>
      <c r="G9876" s="16" cm="1">
        <f t="array" ref="G9876">SUM(G9874:G9875)</f>
        <v>0</v>
      </c>
      <c r="H9876" s="16" cm="1">
        <f t="array" ref="H9876">SUM(H9874:H9875)</f>
        <v>0</v>
      </c>
      <c r="I9876" s="16" cm="1">
        <f t="array" ref="I9876">SUM(I9874:I9875)</f>
        <v>0</v>
      </c>
    </row>
    <row r="9877" ht="20.65" customHeight="1">
      <c r="A9877" s="10">
        <v>45826</v>
      </c>
      <c r="B9877" t="s" s="11">
        <v>843</v>
      </c>
      <c r="C9877" t="s" s="12">
        <v>820</v>
      </c>
      <c r="D9877" s="17">
        <v>12</v>
      </c>
      <c r="E9877" s="17"/>
      <c r="F9877" s="18"/>
      <c r="G9877" s="18"/>
      <c r="H9877" s="18"/>
      <c r="I9877" s="18"/>
    </row>
    <row r="9878" ht="20.65" customHeight="1">
      <c r="A9878" s="10">
        <v>45826</v>
      </c>
      <c r="B9878" t="s" s="11">
        <v>7</v>
      </c>
      <c r="C9878" t="s" s="12">
        <v>820</v>
      </c>
      <c r="D9878" s="13"/>
      <c r="E9878" s="13">
        <v>12</v>
      </c>
      <c r="F9878" s="14"/>
      <c r="G9878" s="14"/>
      <c r="H9878" s="14"/>
      <c r="I9878" s="14"/>
    </row>
    <row r="9879" ht="20.7" customHeight="1">
      <c r="A9879" s="10">
        <v>45826</v>
      </c>
      <c r="B9879" t="s" s="11">
        <v>8</v>
      </c>
      <c r="C9879" t="s" s="12">
        <v>8</v>
      </c>
      <c r="D9879" s="15" cm="1">
        <f t="array" ref="D9879">SUM(D9877:D9878)</f>
        <v>12</v>
      </c>
      <c r="E9879" s="15" cm="1">
        <f t="array" ref="E9879">SUM(E9877:E9878)</f>
        <v>12</v>
      </c>
      <c r="F9879" s="16" cm="1">
        <f t="array" ref="F9879">SUM(F9877:F9878)</f>
        <v>0</v>
      </c>
      <c r="G9879" s="16" cm="1">
        <f t="array" ref="G9879">SUM(G9877:G9878)</f>
        <v>0</v>
      </c>
      <c r="H9879" s="16" cm="1">
        <f t="array" ref="H9879">SUM(H9877:H9878)</f>
        <v>0</v>
      </c>
      <c r="I9879" s="16" cm="1">
        <f t="array" ref="I9879">SUM(I9877:I9878)</f>
        <v>0</v>
      </c>
    </row>
    <row r="9880" ht="20.65" customHeight="1">
      <c r="A9880" s="10">
        <v>45826</v>
      </c>
      <c r="B9880" t="s" s="11">
        <v>814</v>
      </c>
      <c r="C9880" t="s" s="12">
        <v>820</v>
      </c>
      <c r="D9880" s="17">
        <v>21</v>
      </c>
      <c r="E9880" s="17"/>
      <c r="F9880" s="18"/>
      <c r="G9880" s="18"/>
      <c r="H9880" s="18"/>
      <c r="I9880" s="18"/>
    </row>
    <row r="9881" ht="20.65" customHeight="1">
      <c r="A9881" s="10">
        <v>45826</v>
      </c>
      <c r="B9881" t="s" s="11">
        <v>7</v>
      </c>
      <c r="C9881" t="s" s="12">
        <v>820</v>
      </c>
      <c r="D9881" s="13"/>
      <c r="E9881" s="13">
        <v>21</v>
      </c>
      <c r="F9881" s="14"/>
      <c r="G9881" s="14"/>
      <c r="H9881" s="14"/>
      <c r="I9881" s="14"/>
    </row>
    <row r="9882" ht="20.7" customHeight="1">
      <c r="A9882" s="10">
        <v>45826</v>
      </c>
      <c r="B9882" t="s" s="11">
        <v>8</v>
      </c>
      <c r="C9882" t="s" s="12">
        <v>8</v>
      </c>
      <c r="D9882" s="15" cm="1">
        <f t="array" ref="D9882">SUM(D9880:D9881)</f>
        <v>21</v>
      </c>
      <c r="E9882" s="15" cm="1">
        <f t="array" ref="E9882">SUM(E9880:E9881)</f>
        <v>21</v>
      </c>
      <c r="F9882" s="16" cm="1">
        <f t="array" ref="F9882">SUM(F9880:F9881)</f>
        <v>0</v>
      </c>
      <c r="G9882" s="16" cm="1">
        <f t="array" ref="G9882">SUM(G9880:G9881)</f>
        <v>0</v>
      </c>
      <c r="H9882" s="16" cm="1">
        <f t="array" ref="H9882">SUM(H9880:H9881)</f>
        <v>0</v>
      </c>
      <c r="I9882" s="16" cm="1">
        <f t="array" ref="I9882">SUM(I9880:I9881)</f>
        <v>0</v>
      </c>
    </row>
    <row r="9883" ht="20.35" customHeight="1">
      <c r="A9883" s="10">
        <v>45826</v>
      </c>
      <c r="B9883" t="s" s="11">
        <v>814</v>
      </c>
      <c r="C9883" t="s" s="12">
        <v>96</v>
      </c>
      <c r="D9883" s="17"/>
      <c r="E9883" s="17">
        <v>33641</v>
      </c>
      <c r="F9883" s="18"/>
      <c r="G9883" s="18"/>
      <c r="H9883" s="18"/>
      <c r="I9883" s="18"/>
    </row>
    <row r="9884" ht="20.35" customHeight="1">
      <c r="A9884" s="10">
        <v>45826</v>
      </c>
      <c r="B9884" t="s" s="11">
        <v>5</v>
      </c>
      <c r="C9884" t="s" s="12">
        <v>96</v>
      </c>
      <c r="D9884" s="13">
        <v>33641</v>
      </c>
      <c r="E9884" s="13"/>
      <c r="F9884" s="14"/>
      <c r="G9884" s="14"/>
      <c r="H9884" s="14"/>
      <c r="I9884" s="14"/>
    </row>
    <row r="9885" ht="20.7" customHeight="1">
      <c r="A9885" s="10">
        <v>45826</v>
      </c>
      <c r="B9885" t="s" s="11">
        <v>8</v>
      </c>
      <c r="C9885" t="s" s="12">
        <v>8</v>
      </c>
      <c r="D9885" s="15" cm="1">
        <f t="array" ref="D9885">SUM(D9883:D9884)</f>
        <v>33641</v>
      </c>
      <c r="E9885" s="15" cm="1">
        <f t="array" ref="E9885">SUM(E9883:E9884)</f>
        <v>33641</v>
      </c>
      <c r="F9885" s="16" cm="1">
        <f t="array" ref="F9885">SUM(F9883:F9884)</f>
        <v>0</v>
      </c>
      <c r="G9885" s="16" cm="1">
        <f t="array" ref="G9885">SUM(G9883:G9884)</f>
        <v>0</v>
      </c>
      <c r="H9885" s="16" cm="1">
        <f t="array" ref="H9885">SUM(H9883:H9884)</f>
        <v>0</v>
      </c>
      <c r="I9885" s="16" cm="1">
        <f t="array" ref="I9885">SUM(I9883:I9884)</f>
        <v>0</v>
      </c>
    </row>
    <row r="9886" ht="21.25" customHeight="1">
      <c r="A9886" s="10">
        <v>45826</v>
      </c>
      <c r="B9886" t="s" s="11">
        <v>91</v>
      </c>
      <c r="C9886" t="s" s="12">
        <v>1299</v>
      </c>
      <c r="D9886" s="17"/>
      <c r="E9886" s="17">
        <v>20000</v>
      </c>
      <c r="F9886" s="18"/>
      <c r="G9886" s="18"/>
      <c r="H9886" s="18"/>
      <c r="I9886" s="18"/>
    </row>
    <row r="9887" ht="21.25" customHeight="1">
      <c r="A9887" s="10">
        <v>45826</v>
      </c>
      <c r="B9887" t="s" s="11">
        <v>28</v>
      </c>
      <c r="C9887" t="s" s="12">
        <v>1299</v>
      </c>
      <c r="D9887" s="13">
        <v>20000</v>
      </c>
      <c r="E9887" s="13"/>
      <c r="F9887" s="14"/>
      <c r="G9887" s="14"/>
      <c r="H9887" s="14"/>
      <c r="I9887" s="14"/>
    </row>
    <row r="9888" ht="20.7" customHeight="1">
      <c r="A9888" s="10">
        <v>45826</v>
      </c>
      <c r="B9888" t="s" s="11">
        <v>8</v>
      </c>
      <c r="C9888" t="s" s="12">
        <v>8</v>
      </c>
      <c r="D9888" s="15" cm="1">
        <f t="array" ref="D9888">SUM(D9886:D9887)</f>
        <v>20000</v>
      </c>
      <c r="E9888" s="15" cm="1">
        <f t="array" ref="E9888">SUM(E9886:E9887)</f>
        <v>20000</v>
      </c>
      <c r="F9888" s="16" cm="1">
        <f t="array" ref="F9888">SUM(F9886:F9887)</f>
        <v>0</v>
      </c>
      <c r="G9888" s="16" cm="1">
        <f t="array" ref="G9888">SUM(G9886:G9887)</f>
        <v>0</v>
      </c>
      <c r="H9888" s="16" cm="1">
        <f t="array" ref="H9888">SUM(H9886:H9887)</f>
        <v>0</v>
      </c>
      <c r="I9888" s="16" cm="1">
        <f t="array" ref="I9888">SUM(I9886:I9887)</f>
        <v>0</v>
      </c>
    </row>
    <row r="9889" ht="20.35" customHeight="1">
      <c r="A9889" s="10">
        <v>45826</v>
      </c>
      <c r="B9889" t="s" s="11">
        <v>5</v>
      </c>
      <c r="C9889" t="s" s="12">
        <v>439</v>
      </c>
      <c r="D9889" s="17"/>
      <c r="E9889" s="17">
        <v>33641</v>
      </c>
      <c r="F9889" s="18"/>
      <c r="G9889" s="18"/>
      <c r="H9889" s="18"/>
      <c r="I9889" s="18"/>
    </row>
    <row r="9890" ht="20.35" customHeight="1">
      <c r="A9890" s="10">
        <v>45826</v>
      </c>
      <c r="B9890" t="s" s="11">
        <v>121</v>
      </c>
      <c r="C9890" t="s" s="12">
        <v>439</v>
      </c>
      <c r="D9890" s="13">
        <v>33641</v>
      </c>
      <c r="E9890" s="13"/>
      <c r="F9890" s="14"/>
      <c r="G9890" s="14"/>
      <c r="H9890" s="14"/>
      <c r="I9890" s="14"/>
    </row>
    <row r="9891" ht="20.7" customHeight="1">
      <c r="A9891" s="10">
        <v>45826</v>
      </c>
      <c r="B9891" t="s" s="11">
        <v>8</v>
      </c>
      <c r="C9891" t="s" s="12">
        <v>8</v>
      </c>
      <c r="D9891" s="15" cm="1">
        <f t="array" ref="D9891">SUM(D9889:D9890)</f>
        <v>33641</v>
      </c>
      <c r="E9891" s="15" cm="1">
        <f t="array" ref="E9891">SUM(E9889:E9890)</f>
        <v>33641</v>
      </c>
      <c r="F9891" s="16" cm="1">
        <f t="array" ref="F9891">SUM(F9889:F9890)</f>
        <v>0</v>
      </c>
      <c r="G9891" s="16" cm="1">
        <f t="array" ref="G9891">SUM(G9889:G9890)</f>
        <v>0</v>
      </c>
      <c r="H9891" s="16" cm="1">
        <f t="array" ref="H9891">SUM(H9889:H9890)</f>
        <v>0</v>
      </c>
      <c r="I9891" s="16" cm="1">
        <f t="array" ref="I9891">SUM(I9889:I9890)</f>
        <v>0</v>
      </c>
    </row>
    <row r="9892" ht="20.35" customHeight="1">
      <c r="A9892" s="10">
        <v>45826</v>
      </c>
      <c r="B9892" t="s" s="11">
        <v>121</v>
      </c>
      <c r="C9892" t="s" s="12">
        <v>630</v>
      </c>
      <c r="D9892" s="17"/>
      <c r="E9892" s="17">
        <v>18700</v>
      </c>
      <c r="F9892" s="18"/>
      <c r="G9892" s="18"/>
      <c r="H9892" s="18"/>
      <c r="I9892" s="18"/>
    </row>
    <row r="9893" ht="20.05" customHeight="1">
      <c r="A9893" s="10">
        <v>45826</v>
      </c>
      <c r="B9893" t="s" s="11">
        <v>89</v>
      </c>
      <c r="C9893" t="s" s="12">
        <v>630</v>
      </c>
      <c r="D9893" s="19">
        <v>9350</v>
      </c>
      <c r="E9893" s="19"/>
      <c r="F9893" s="20"/>
      <c r="G9893" s="20"/>
      <c r="H9893" s="20"/>
      <c r="I9893" s="20"/>
    </row>
    <row r="9894" ht="20.35" customHeight="1">
      <c r="A9894" s="10">
        <v>45826</v>
      </c>
      <c r="B9894" t="s" s="11">
        <v>12</v>
      </c>
      <c r="C9894" t="s" s="12">
        <v>630</v>
      </c>
      <c r="D9894" s="13">
        <v>9350</v>
      </c>
      <c r="E9894" s="13"/>
      <c r="F9894" s="14"/>
      <c r="G9894" s="14"/>
      <c r="H9894" s="14"/>
      <c r="I9894" s="14"/>
    </row>
    <row r="9895" ht="20.7" customHeight="1">
      <c r="A9895" s="10">
        <v>45826</v>
      </c>
      <c r="B9895" t="s" s="11">
        <v>8</v>
      </c>
      <c r="C9895" t="s" s="12">
        <v>8</v>
      </c>
      <c r="D9895" s="15" cm="1">
        <f t="array" ref="D9895">SUM(D9892:D9894)</f>
        <v>18700</v>
      </c>
      <c r="E9895" s="15" cm="1">
        <f t="array" ref="E9895">SUM(E9892:E9894)</f>
        <v>18700</v>
      </c>
      <c r="F9895" s="16" cm="1">
        <f t="array" ref="F9895">SUM(F9892:F9894)</f>
        <v>0</v>
      </c>
      <c r="G9895" s="16" cm="1">
        <f t="array" ref="G9895">SUM(G9892:G9894)</f>
        <v>0</v>
      </c>
      <c r="H9895" s="16" cm="1">
        <f t="array" ref="H9895">SUM(H9892:H9894)</f>
        <v>0</v>
      </c>
      <c r="I9895" s="16" cm="1">
        <f t="array" ref="I9895">SUM(I9892:I9894)</f>
        <v>0</v>
      </c>
    </row>
    <row r="9896" ht="20.65" customHeight="1">
      <c r="A9896" s="10">
        <v>45827</v>
      </c>
      <c r="B9896" t="s" s="11">
        <v>843</v>
      </c>
      <c r="C9896" t="s" s="12">
        <v>820</v>
      </c>
      <c r="D9896" s="17">
        <v>12</v>
      </c>
      <c r="E9896" s="17"/>
      <c r="F9896" s="18"/>
      <c r="G9896" s="18"/>
      <c r="H9896" s="18"/>
      <c r="I9896" s="18"/>
    </row>
    <row r="9897" ht="20.65" customHeight="1">
      <c r="A9897" s="10">
        <v>45827</v>
      </c>
      <c r="B9897" t="s" s="11">
        <v>7</v>
      </c>
      <c r="C9897" t="s" s="12">
        <v>820</v>
      </c>
      <c r="D9897" s="13"/>
      <c r="E9897" s="13">
        <v>12</v>
      </c>
      <c r="F9897" s="14"/>
      <c r="G9897" s="14"/>
      <c r="H9897" s="14"/>
      <c r="I9897" s="14"/>
    </row>
    <row r="9898" ht="20.7" customHeight="1">
      <c r="A9898" s="10">
        <v>45827</v>
      </c>
      <c r="B9898" t="s" s="11">
        <v>8</v>
      </c>
      <c r="C9898" t="s" s="12">
        <v>8</v>
      </c>
      <c r="D9898" s="15" cm="1">
        <f t="array" ref="D9898">SUM(D9896:D9897)</f>
        <v>12</v>
      </c>
      <c r="E9898" s="15" cm="1">
        <f t="array" ref="E9898">SUM(E9896:E9897)</f>
        <v>12</v>
      </c>
      <c r="F9898" s="16" cm="1">
        <f t="array" ref="F9898">SUM(F9896:F9897)</f>
        <v>0</v>
      </c>
      <c r="G9898" s="16" cm="1">
        <f t="array" ref="G9898">SUM(G9896:G9897)</f>
        <v>0</v>
      </c>
      <c r="H9898" s="16" cm="1">
        <f t="array" ref="H9898">SUM(H9896:H9897)</f>
        <v>0</v>
      </c>
      <c r="I9898" s="16" cm="1">
        <f t="array" ref="I9898">SUM(I9896:I9897)</f>
        <v>0</v>
      </c>
    </row>
    <row r="9899" ht="20.65" customHeight="1">
      <c r="A9899" s="10">
        <v>45827</v>
      </c>
      <c r="B9899" t="s" s="11">
        <v>814</v>
      </c>
      <c r="C9899" t="s" s="12">
        <v>820</v>
      </c>
      <c r="D9899" s="17">
        <v>20</v>
      </c>
      <c r="E9899" s="17"/>
      <c r="F9899" s="18"/>
      <c r="G9899" s="18"/>
      <c r="H9899" s="18"/>
      <c r="I9899" s="18"/>
    </row>
    <row r="9900" ht="20.65" customHeight="1">
      <c r="A9900" s="10">
        <v>45827</v>
      </c>
      <c r="B9900" t="s" s="11">
        <v>7</v>
      </c>
      <c r="C9900" t="s" s="12">
        <v>820</v>
      </c>
      <c r="D9900" s="13"/>
      <c r="E9900" s="13">
        <v>20</v>
      </c>
      <c r="F9900" s="14"/>
      <c r="G9900" s="14"/>
      <c r="H9900" s="14"/>
      <c r="I9900" s="14"/>
    </row>
    <row r="9901" ht="20.7" customHeight="1">
      <c r="A9901" s="10">
        <v>45827</v>
      </c>
      <c r="B9901" t="s" s="11">
        <v>8</v>
      </c>
      <c r="C9901" t="s" s="12">
        <v>8</v>
      </c>
      <c r="D9901" s="15" cm="1">
        <f t="array" ref="D9901">SUM(D9899:D9900)</f>
        <v>20</v>
      </c>
      <c r="E9901" s="15" cm="1">
        <f t="array" ref="E9901">SUM(E9899:E9900)</f>
        <v>20</v>
      </c>
      <c r="F9901" s="16" cm="1">
        <f t="array" ref="F9901">SUM(F9899:F9900)</f>
        <v>0</v>
      </c>
      <c r="G9901" s="16" cm="1">
        <f t="array" ref="G9901">SUM(G9899:G9900)</f>
        <v>0</v>
      </c>
      <c r="H9901" s="16" cm="1">
        <f t="array" ref="H9901">SUM(H9899:H9900)</f>
        <v>0</v>
      </c>
      <c r="I9901" s="16" cm="1">
        <f t="array" ref="I9901">SUM(I9899:I9900)</f>
        <v>0</v>
      </c>
    </row>
    <row r="9902" ht="21.25" customHeight="1">
      <c r="A9902" s="10">
        <v>45827</v>
      </c>
      <c r="B9902" t="s" s="11">
        <v>107</v>
      </c>
      <c r="C9902" t="s" s="12">
        <v>1300</v>
      </c>
      <c r="D9902" s="17"/>
      <c r="E9902" s="17">
        <v>4800</v>
      </c>
      <c r="F9902" s="18"/>
      <c r="G9902" s="18"/>
      <c r="H9902" s="18"/>
      <c r="I9902" s="18"/>
    </row>
    <row r="9903" ht="21.25" customHeight="1">
      <c r="A9903" s="10">
        <v>45827</v>
      </c>
      <c r="B9903" t="s" s="11">
        <v>12</v>
      </c>
      <c r="C9903" t="s" s="12">
        <v>1300</v>
      </c>
      <c r="D9903" s="13">
        <v>4800</v>
      </c>
      <c r="E9903" s="13"/>
      <c r="F9903" s="14"/>
      <c r="G9903" s="14"/>
      <c r="H9903" s="14"/>
      <c r="I9903" s="14"/>
    </row>
    <row r="9904" ht="20.7" customHeight="1">
      <c r="A9904" s="10">
        <v>45827</v>
      </c>
      <c r="B9904" t="s" s="11">
        <v>8</v>
      </c>
      <c r="C9904" t="s" s="12">
        <v>8</v>
      </c>
      <c r="D9904" s="15" cm="1">
        <f t="array" ref="D9904">SUM(D9902:D9903)</f>
        <v>4800</v>
      </c>
      <c r="E9904" s="15" cm="1">
        <f t="array" ref="E9904">SUM(E9902:E9903)</f>
        <v>4800</v>
      </c>
      <c r="F9904" s="16" cm="1">
        <f t="array" ref="F9904">SUM(F9902:F9903)</f>
        <v>0</v>
      </c>
      <c r="G9904" s="16" cm="1">
        <f t="array" ref="G9904">SUM(G9902:G9903)</f>
        <v>0</v>
      </c>
      <c r="H9904" s="16" cm="1">
        <f t="array" ref="H9904">SUM(H9902:H9903)</f>
        <v>0</v>
      </c>
      <c r="I9904" s="16" cm="1">
        <f t="array" ref="I9904">SUM(I9902:I9903)</f>
        <v>0</v>
      </c>
    </row>
    <row r="9905" ht="20.35" customHeight="1">
      <c r="A9905" s="10">
        <v>45827</v>
      </c>
      <c r="B9905" t="s" s="11">
        <v>814</v>
      </c>
      <c r="C9905" t="s" s="12">
        <v>96</v>
      </c>
      <c r="D9905" s="17"/>
      <c r="E9905" s="17">
        <v>10000</v>
      </c>
      <c r="F9905" s="18"/>
      <c r="G9905" s="18"/>
      <c r="H9905" s="18"/>
      <c r="I9905" s="18"/>
    </row>
    <row r="9906" ht="20.35" customHeight="1">
      <c r="A9906" s="10">
        <v>45827</v>
      </c>
      <c r="B9906" t="s" s="11">
        <v>5</v>
      </c>
      <c r="C9906" t="s" s="12">
        <v>96</v>
      </c>
      <c r="D9906" s="13">
        <v>10000</v>
      </c>
      <c r="E9906" s="13"/>
      <c r="F9906" s="14"/>
      <c r="G9906" s="14"/>
      <c r="H9906" s="14"/>
      <c r="I9906" s="14"/>
    </row>
    <row r="9907" ht="20.7" customHeight="1">
      <c r="A9907" s="10">
        <v>45827</v>
      </c>
      <c r="B9907" t="s" s="11">
        <v>8</v>
      </c>
      <c r="C9907" t="s" s="12">
        <v>8</v>
      </c>
      <c r="D9907" s="15" cm="1">
        <f t="array" ref="D9907">SUM(D9905:D9906)</f>
        <v>10000</v>
      </c>
      <c r="E9907" s="15" cm="1">
        <f t="array" ref="E9907">SUM(E9905:E9906)</f>
        <v>10000</v>
      </c>
      <c r="F9907" s="16" cm="1">
        <f t="array" ref="F9907">SUM(F9905:F9906)</f>
        <v>0</v>
      </c>
      <c r="G9907" s="16" cm="1">
        <f t="array" ref="G9907">SUM(G9905:G9906)</f>
        <v>0</v>
      </c>
      <c r="H9907" s="16" cm="1">
        <f t="array" ref="H9907">SUM(H9905:H9906)</f>
        <v>0</v>
      </c>
      <c r="I9907" s="16" cm="1">
        <f t="array" ref="I9907">SUM(I9905:I9906)</f>
        <v>0</v>
      </c>
    </row>
    <row r="9908" ht="20.35" customHeight="1">
      <c r="A9908" s="10">
        <v>45827</v>
      </c>
      <c r="B9908" t="s" s="11">
        <v>5</v>
      </c>
      <c r="C9908" t="s" s="12">
        <v>209</v>
      </c>
      <c r="D9908" s="17"/>
      <c r="E9908" s="17">
        <v>10000</v>
      </c>
      <c r="F9908" s="18"/>
      <c r="G9908" s="18"/>
      <c r="H9908" s="18"/>
      <c r="I9908" s="18"/>
    </row>
    <row r="9909" ht="20.35" customHeight="1">
      <c r="A9909" s="10">
        <v>45827</v>
      </c>
      <c r="B9909" t="s" s="11">
        <v>107</v>
      </c>
      <c r="C9909" t="s" s="12">
        <v>209</v>
      </c>
      <c r="D9909" s="13">
        <v>10000</v>
      </c>
      <c r="E9909" s="13"/>
      <c r="F9909" s="14"/>
      <c r="G9909" s="14"/>
      <c r="H9909" s="14"/>
      <c r="I9909" s="14"/>
    </row>
    <row r="9910" ht="20.7" customHeight="1">
      <c r="A9910" s="10">
        <v>45827</v>
      </c>
      <c r="B9910" t="s" s="11">
        <v>8</v>
      </c>
      <c r="C9910" t="s" s="12">
        <v>8</v>
      </c>
      <c r="D9910" s="15" cm="1">
        <f t="array" ref="D9910">SUM(D9908:D9909)</f>
        <v>10000</v>
      </c>
      <c r="E9910" s="15" cm="1">
        <f t="array" ref="E9910">SUM(E9908:E9909)</f>
        <v>10000</v>
      </c>
      <c r="F9910" s="16" cm="1">
        <f t="array" ref="F9910">SUM(F9908:F9909)</f>
        <v>0</v>
      </c>
      <c r="G9910" s="16" cm="1">
        <f t="array" ref="G9910">SUM(G9908:G9909)</f>
        <v>0</v>
      </c>
      <c r="H9910" s="16" cm="1">
        <f t="array" ref="H9910">SUM(H9908:H9909)</f>
        <v>0</v>
      </c>
      <c r="I9910" s="16" cm="1">
        <f t="array" ref="I9910">SUM(I9908:I9909)</f>
        <v>0</v>
      </c>
    </row>
    <row r="9911" ht="21.25" customHeight="1">
      <c r="A9911" s="10">
        <v>45827</v>
      </c>
      <c r="B9911" t="s" s="11">
        <v>107</v>
      </c>
      <c r="C9911" t="s" s="12">
        <v>1301</v>
      </c>
      <c r="D9911" s="17"/>
      <c r="E9911" s="17">
        <v>5000</v>
      </c>
      <c r="F9911" s="18"/>
      <c r="G9911" s="18"/>
      <c r="H9911" s="18"/>
      <c r="I9911" s="18"/>
    </row>
    <row r="9912" ht="21.25" customHeight="1">
      <c r="A9912" s="10">
        <v>45827</v>
      </c>
      <c r="B9912" t="s" s="11">
        <v>10</v>
      </c>
      <c r="C9912" t="s" s="12">
        <v>1301</v>
      </c>
      <c r="D9912" s="13">
        <v>5000</v>
      </c>
      <c r="E9912" s="13"/>
      <c r="F9912" s="14"/>
      <c r="G9912" s="14"/>
      <c r="H9912" s="14"/>
      <c r="I9912" s="14"/>
    </row>
    <row r="9913" ht="20.7" customHeight="1">
      <c r="A9913" s="10">
        <v>45827</v>
      </c>
      <c r="B9913" t="s" s="11">
        <v>8</v>
      </c>
      <c r="C9913" t="s" s="12">
        <v>8</v>
      </c>
      <c r="D9913" s="15" cm="1">
        <f t="array" ref="D9913">SUM(D9911:D9912)</f>
        <v>5000</v>
      </c>
      <c r="E9913" s="15" cm="1">
        <f t="array" ref="E9913">SUM(E9911:E9912)</f>
        <v>5000</v>
      </c>
      <c r="F9913" s="16" cm="1">
        <f t="array" ref="F9913">SUM(F9911:F9912)</f>
        <v>0</v>
      </c>
      <c r="G9913" s="16" cm="1">
        <f t="array" ref="G9913">SUM(G9911:G9912)</f>
        <v>0</v>
      </c>
      <c r="H9913" s="16" cm="1">
        <f t="array" ref="H9913">SUM(H9911:H9912)</f>
        <v>0</v>
      </c>
      <c r="I9913" s="16" cm="1">
        <f t="array" ref="I9913">SUM(I9911:I9912)</f>
        <v>0</v>
      </c>
    </row>
    <row r="9914" ht="21.25" customHeight="1">
      <c r="A9914" s="10">
        <v>45827</v>
      </c>
      <c r="B9914" t="s" s="11">
        <v>107</v>
      </c>
      <c r="C9914" t="s" s="12">
        <v>1302</v>
      </c>
      <c r="D9914" s="17"/>
      <c r="E9914" s="17">
        <v>4200</v>
      </c>
      <c r="F9914" s="18"/>
      <c r="G9914" s="18"/>
      <c r="H9914" s="18"/>
      <c r="I9914" s="18"/>
    </row>
    <row r="9915" ht="21.25" customHeight="1">
      <c r="A9915" s="10">
        <v>45827</v>
      </c>
      <c r="B9915" t="s" s="11">
        <v>12</v>
      </c>
      <c r="C9915" t="s" s="12">
        <v>1302</v>
      </c>
      <c r="D9915" s="13">
        <v>4200</v>
      </c>
      <c r="E9915" s="13"/>
      <c r="F9915" s="14"/>
      <c r="G9915" s="14"/>
      <c r="H9915" s="14"/>
      <c r="I9915" s="14"/>
    </row>
    <row r="9916" ht="20.7" customHeight="1">
      <c r="A9916" s="10">
        <v>45827</v>
      </c>
      <c r="B9916" t="s" s="11">
        <v>8</v>
      </c>
      <c r="C9916" t="s" s="12">
        <v>8</v>
      </c>
      <c r="D9916" s="15" cm="1">
        <f t="array" ref="D9916">SUM(D9914:D9915)</f>
        <v>4200</v>
      </c>
      <c r="E9916" s="15" cm="1">
        <f t="array" ref="E9916">SUM(E9914:E9915)</f>
        <v>4200</v>
      </c>
      <c r="F9916" s="16" cm="1">
        <f t="array" ref="F9916">SUM(F9914:F9915)</f>
        <v>0</v>
      </c>
      <c r="G9916" s="16" cm="1">
        <f t="array" ref="G9916">SUM(G9914:G9915)</f>
        <v>0</v>
      </c>
      <c r="H9916" s="16" cm="1">
        <f t="array" ref="H9916">SUM(H9914:H9915)</f>
        <v>0</v>
      </c>
      <c r="I9916" s="16" cm="1">
        <f t="array" ref="I9916">SUM(I9914:I9915)</f>
        <v>0</v>
      </c>
    </row>
    <row r="9917" ht="20.35" customHeight="1">
      <c r="A9917" s="10">
        <v>45827</v>
      </c>
      <c r="B9917" t="s" s="11">
        <v>814</v>
      </c>
      <c r="C9917" t="s" s="12">
        <v>96</v>
      </c>
      <c r="D9917" s="17"/>
      <c r="E9917" s="17">
        <v>20000</v>
      </c>
      <c r="F9917" s="18"/>
      <c r="G9917" s="18"/>
      <c r="H9917" s="18"/>
      <c r="I9917" s="18"/>
    </row>
    <row r="9918" ht="20.35" customHeight="1">
      <c r="A9918" s="10">
        <v>45827</v>
      </c>
      <c r="B9918" t="s" s="11">
        <v>5</v>
      </c>
      <c r="C9918" t="s" s="12">
        <v>96</v>
      </c>
      <c r="D9918" s="13">
        <v>20000</v>
      </c>
      <c r="E9918" s="13"/>
      <c r="F9918" s="14"/>
      <c r="G9918" s="14"/>
      <c r="H9918" s="14"/>
      <c r="I9918" s="14"/>
    </row>
    <row r="9919" ht="20.7" customHeight="1">
      <c r="A9919" s="10">
        <v>45827</v>
      </c>
      <c r="B9919" t="s" s="11">
        <v>8</v>
      </c>
      <c r="C9919" t="s" s="12">
        <v>8</v>
      </c>
      <c r="D9919" s="15" cm="1">
        <f t="array" ref="D9919">SUM(D9917:D9918)</f>
        <v>20000</v>
      </c>
      <c r="E9919" s="15" cm="1">
        <f t="array" ref="E9919">SUM(E9917:E9918)</f>
        <v>20000</v>
      </c>
      <c r="F9919" s="16" cm="1">
        <f t="array" ref="F9919">SUM(F9917:F9918)</f>
        <v>0</v>
      </c>
      <c r="G9919" s="16" cm="1">
        <f t="array" ref="G9919">SUM(G9917:G9918)</f>
        <v>0</v>
      </c>
      <c r="H9919" s="16" cm="1">
        <f t="array" ref="H9919">SUM(H9917:H9918)</f>
        <v>0</v>
      </c>
      <c r="I9919" s="16" cm="1">
        <f t="array" ref="I9919">SUM(I9917:I9918)</f>
        <v>0</v>
      </c>
    </row>
    <row r="9920" ht="20.35" customHeight="1">
      <c r="A9920" s="10">
        <v>45827</v>
      </c>
      <c r="B9920" t="s" s="11">
        <v>5</v>
      </c>
      <c r="C9920" t="s" s="12">
        <v>209</v>
      </c>
      <c r="D9920" s="17"/>
      <c r="E9920" s="17">
        <v>20000</v>
      </c>
      <c r="F9920" s="18"/>
      <c r="G9920" s="18"/>
      <c r="H9920" s="18"/>
      <c r="I9920" s="18"/>
    </row>
    <row r="9921" ht="20.35" customHeight="1">
      <c r="A9921" s="10">
        <v>45827</v>
      </c>
      <c r="B9921" t="s" s="11">
        <v>107</v>
      </c>
      <c r="C9921" t="s" s="12">
        <v>209</v>
      </c>
      <c r="D9921" s="13">
        <v>20000</v>
      </c>
      <c r="E9921" s="13"/>
      <c r="F9921" s="14"/>
      <c r="G9921" s="14"/>
      <c r="H9921" s="14"/>
      <c r="I9921" s="14"/>
    </row>
    <row r="9922" ht="20.7" customHeight="1">
      <c r="A9922" s="10">
        <v>45827</v>
      </c>
      <c r="B9922" t="s" s="11">
        <v>8</v>
      </c>
      <c r="C9922" t="s" s="12">
        <v>8</v>
      </c>
      <c r="D9922" s="15" cm="1">
        <f t="array" ref="D9922">SUM(D9920:D9921)</f>
        <v>20000</v>
      </c>
      <c r="E9922" s="15" cm="1">
        <f t="array" ref="E9922">SUM(E9920:E9921)</f>
        <v>20000</v>
      </c>
      <c r="F9922" s="16" cm="1">
        <f t="array" ref="F9922">SUM(F9920:F9921)</f>
        <v>0</v>
      </c>
      <c r="G9922" s="16" cm="1">
        <f t="array" ref="G9922">SUM(G9920:G9921)</f>
        <v>0</v>
      </c>
      <c r="H9922" s="16" cm="1">
        <f t="array" ref="H9922">SUM(H9920:H9921)</f>
        <v>0</v>
      </c>
      <c r="I9922" s="16" cm="1">
        <f t="array" ref="I9922">SUM(I9920:I9921)</f>
        <v>0</v>
      </c>
    </row>
    <row r="9923" ht="20.65" customHeight="1">
      <c r="A9923" s="10">
        <v>45827</v>
      </c>
      <c r="B9923" t="s" s="11">
        <v>107</v>
      </c>
      <c r="C9923" t="s" s="12">
        <v>1303</v>
      </c>
      <c r="D9923" s="17"/>
      <c r="E9923" s="17">
        <v>14900</v>
      </c>
      <c r="F9923" s="18"/>
      <c r="G9923" s="18"/>
      <c r="H9923" s="18"/>
      <c r="I9923" s="18"/>
    </row>
    <row r="9924" ht="20.65" customHeight="1">
      <c r="A9924" s="10">
        <v>45827</v>
      </c>
      <c r="B9924" t="s" s="11">
        <v>12</v>
      </c>
      <c r="C9924" t="s" s="12">
        <v>1303</v>
      </c>
      <c r="D9924" s="13">
        <v>14900</v>
      </c>
      <c r="E9924" s="13"/>
      <c r="F9924" s="14"/>
      <c r="G9924" s="14"/>
      <c r="H9924" s="14"/>
      <c r="I9924" s="14"/>
    </row>
    <row r="9925" ht="20.7" customHeight="1">
      <c r="A9925" s="10">
        <v>45827</v>
      </c>
      <c r="B9925" t="s" s="11">
        <v>8</v>
      </c>
      <c r="C9925" t="s" s="12">
        <v>8</v>
      </c>
      <c r="D9925" s="15" cm="1">
        <f t="array" ref="D9925">SUM(D9923:D9924)</f>
        <v>14900</v>
      </c>
      <c r="E9925" s="15" cm="1">
        <f t="array" ref="E9925">SUM(E9923:E9924)</f>
        <v>14900</v>
      </c>
      <c r="F9925" s="16" cm="1">
        <f t="array" ref="F9925">SUM(F9923:F9924)</f>
        <v>0</v>
      </c>
      <c r="G9925" s="16" cm="1">
        <f t="array" ref="G9925">SUM(G9923:G9924)</f>
        <v>0</v>
      </c>
      <c r="H9925" s="16" cm="1">
        <f t="array" ref="H9925">SUM(H9923:H9924)</f>
        <v>0</v>
      </c>
      <c r="I9925" s="16" cm="1">
        <f t="array" ref="I9925">SUM(I9923:I9924)</f>
        <v>0</v>
      </c>
    </row>
    <row r="9926" ht="20.65" customHeight="1">
      <c r="A9926" s="10">
        <v>45828</v>
      </c>
      <c r="B9926" t="s" s="11">
        <v>843</v>
      </c>
      <c r="C9926" t="s" s="12">
        <v>820</v>
      </c>
      <c r="D9926" s="17">
        <v>12</v>
      </c>
      <c r="E9926" s="17"/>
      <c r="F9926" s="18"/>
      <c r="G9926" s="18"/>
      <c r="H9926" s="18"/>
      <c r="I9926" s="18"/>
    </row>
    <row r="9927" ht="20.65" customHeight="1">
      <c r="A9927" s="10">
        <v>45828</v>
      </c>
      <c r="B9927" t="s" s="11">
        <v>7</v>
      </c>
      <c r="C9927" t="s" s="12">
        <v>820</v>
      </c>
      <c r="D9927" s="13"/>
      <c r="E9927" s="13">
        <v>12</v>
      </c>
      <c r="F9927" s="14"/>
      <c r="G9927" s="14"/>
      <c r="H9927" s="14"/>
      <c r="I9927" s="14"/>
    </row>
    <row r="9928" ht="20.7" customHeight="1">
      <c r="A9928" s="10">
        <v>45828</v>
      </c>
      <c r="B9928" t="s" s="11">
        <v>8</v>
      </c>
      <c r="C9928" t="s" s="12">
        <v>8</v>
      </c>
      <c r="D9928" s="15" cm="1">
        <f t="array" ref="D9928">SUM(D9926:D9927)</f>
        <v>12</v>
      </c>
      <c r="E9928" s="15" cm="1">
        <f t="array" ref="E9928">SUM(E9926:E9927)</f>
        <v>12</v>
      </c>
      <c r="F9928" s="16" cm="1">
        <f t="array" ref="F9928">SUM(F9926:F9927)</f>
        <v>0</v>
      </c>
      <c r="G9928" s="16" cm="1">
        <f t="array" ref="G9928">SUM(G9926:G9927)</f>
        <v>0</v>
      </c>
      <c r="H9928" s="16" cm="1">
        <f t="array" ref="H9928">SUM(H9926:H9927)</f>
        <v>0</v>
      </c>
      <c r="I9928" s="16" cm="1">
        <f t="array" ref="I9928">SUM(I9926:I9927)</f>
        <v>0</v>
      </c>
    </row>
    <row r="9929" ht="20.65" customHeight="1">
      <c r="A9929" s="10">
        <v>45828</v>
      </c>
      <c r="B9929" t="s" s="11">
        <v>814</v>
      </c>
      <c r="C9929" t="s" s="12">
        <v>820</v>
      </c>
      <c r="D9929" s="17">
        <v>19</v>
      </c>
      <c r="E9929" s="17"/>
      <c r="F9929" s="18"/>
      <c r="G9929" s="18"/>
      <c r="H9929" s="18"/>
      <c r="I9929" s="18"/>
    </row>
    <row r="9930" ht="20.65" customHeight="1">
      <c r="A9930" s="10">
        <v>45828</v>
      </c>
      <c r="B9930" t="s" s="11">
        <v>7</v>
      </c>
      <c r="C9930" t="s" s="12">
        <v>820</v>
      </c>
      <c r="D9930" s="13"/>
      <c r="E9930" s="13">
        <v>19</v>
      </c>
      <c r="F9930" s="14"/>
      <c r="G9930" s="14"/>
      <c r="H9930" s="14"/>
      <c r="I9930" s="14"/>
    </row>
    <row r="9931" ht="20.7" customHeight="1">
      <c r="A9931" s="10">
        <v>45828</v>
      </c>
      <c r="B9931" t="s" s="11">
        <v>8</v>
      </c>
      <c r="C9931" t="s" s="12">
        <v>8</v>
      </c>
      <c r="D9931" s="15" cm="1">
        <f t="array" ref="D9931">SUM(D9929:D9930)</f>
        <v>19</v>
      </c>
      <c r="E9931" s="15" cm="1">
        <f t="array" ref="E9931">SUM(E9929:E9930)</f>
        <v>19</v>
      </c>
      <c r="F9931" s="16" cm="1">
        <f t="array" ref="F9931">SUM(F9929:F9930)</f>
        <v>0</v>
      </c>
      <c r="G9931" s="16" cm="1">
        <f t="array" ref="G9931">SUM(G9929:G9930)</f>
        <v>0</v>
      </c>
      <c r="H9931" s="16" cm="1">
        <f t="array" ref="H9931">SUM(H9929:H9930)</f>
        <v>0</v>
      </c>
      <c r="I9931" s="16" cm="1">
        <f t="array" ref="I9931">SUM(I9929:I9930)</f>
        <v>0</v>
      </c>
    </row>
    <row r="9932" ht="20.35" customHeight="1">
      <c r="A9932" s="10">
        <v>45828</v>
      </c>
      <c r="B9932" t="s" s="11">
        <v>814</v>
      </c>
      <c r="C9932" t="s" s="12">
        <v>96</v>
      </c>
      <c r="D9932" s="17"/>
      <c r="E9932" s="17">
        <v>10000</v>
      </c>
      <c r="F9932" s="18"/>
      <c r="G9932" s="18"/>
      <c r="H9932" s="18"/>
      <c r="I9932" s="18"/>
    </row>
    <row r="9933" ht="20.35" customHeight="1">
      <c r="A9933" s="10">
        <v>45828</v>
      </c>
      <c r="B9933" t="s" s="11">
        <v>5</v>
      </c>
      <c r="C9933" t="s" s="12">
        <v>96</v>
      </c>
      <c r="D9933" s="13">
        <v>10000</v>
      </c>
      <c r="E9933" s="13"/>
      <c r="F9933" s="14"/>
      <c r="G9933" s="14"/>
      <c r="H9933" s="14"/>
      <c r="I9933" s="14"/>
    </row>
    <row r="9934" ht="20.7" customHeight="1">
      <c r="A9934" s="10">
        <v>45828</v>
      </c>
      <c r="B9934" t="s" s="11">
        <v>8</v>
      </c>
      <c r="C9934" t="s" s="12">
        <v>8</v>
      </c>
      <c r="D9934" s="15" cm="1">
        <f t="array" ref="D9934">SUM(D9932:D9933)</f>
        <v>10000</v>
      </c>
      <c r="E9934" s="15" cm="1">
        <f t="array" ref="E9934">SUM(E9932:E9933)</f>
        <v>10000</v>
      </c>
      <c r="F9934" s="16" cm="1">
        <f t="array" ref="F9934">SUM(F9932:F9933)</f>
        <v>0</v>
      </c>
      <c r="G9934" s="16" cm="1">
        <f t="array" ref="G9934">SUM(G9932:G9933)</f>
        <v>0</v>
      </c>
      <c r="H9934" s="16" cm="1">
        <f t="array" ref="H9934">SUM(H9932:H9933)</f>
        <v>0</v>
      </c>
      <c r="I9934" s="16" cm="1">
        <f t="array" ref="I9934">SUM(I9932:I9933)</f>
        <v>0</v>
      </c>
    </row>
    <row r="9935" ht="21.25" customHeight="1">
      <c r="A9935" s="10">
        <v>45828</v>
      </c>
      <c r="B9935" t="s" s="11">
        <v>121</v>
      </c>
      <c r="C9935" t="s" s="12">
        <v>1304</v>
      </c>
      <c r="D9935" s="17"/>
      <c r="E9935" s="17">
        <v>11900</v>
      </c>
      <c r="F9935" s="18"/>
      <c r="G9935" s="18"/>
      <c r="H9935" s="18"/>
      <c r="I9935" s="18"/>
    </row>
    <row r="9936" ht="21.25" customHeight="1">
      <c r="A9936" s="10">
        <v>45828</v>
      </c>
      <c r="B9936" t="s" s="11">
        <v>89</v>
      </c>
      <c r="C9936" t="s" s="12">
        <v>1304</v>
      </c>
      <c r="D9936" s="13">
        <v>11900</v>
      </c>
      <c r="E9936" s="13"/>
      <c r="F9936" s="14"/>
      <c r="G9936" s="14"/>
      <c r="H9936" s="14"/>
      <c r="I9936" s="14"/>
    </row>
    <row r="9937" ht="20.7" customHeight="1">
      <c r="A9937" s="10">
        <v>45828</v>
      </c>
      <c r="B9937" t="s" s="11">
        <v>8</v>
      </c>
      <c r="C9937" t="s" s="12">
        <v>8</v>
      </c>
      <c r="D9937" s="15" cm="1">
        <f t="array" ref="D9937">SUM(D9935:D9936)</f>
        <v>11900</v>
      </c>
      <c r="E9937" s="15" cm="1">
        <f t="array" ref="E9937">SUM(E9935:E9936)</f>
        <v>11900</v>
      </c>
      <c r="F9937" s="16" cm="1">
        <f t="array" ref="F9937">SUM(F9935:F9936)</f>
        <v>0</v>
      </c>
      <c r="G9937" s="16" cm="1">
        <f t="array" ref="G9937">SUM(G9935:G9936)</f>
        <v>0</v>
      </c>
      <c r="H9937" s="16" cm="1">
        <f t="array" ref="H9937">SUM(H9935:H9936)</f>
        <v>0</v>
      </c>
      <c r="I9937" s="16" cm="1">
        <f t="array" ref="I9937">SUM(I9935:I9936)</f>
        <v>0</v>
      </c>
    </row>
    <row r="9938" ht="20.35" customHeight="1">
      <c r="A9938" s="10">
        <v>45828</v>
      </c>
      <c r="B9938" t="s" s="11">
        <v>5</v>
      </c>
      <c r="C9938" t="s" s="12">
        <v>439</v>
      </c>
      <c r="D9938" s="17"/>
      <c r="E9938" s="17">
        <v>5000</v>
      </c>
      <c r="F9938" s="18"/>
      <c r="G9938" s="18"/>
      <c r="H9938" s="18"/>
      <c r="I9938" s="18"/>
    </row>
    <row r="9939" ht="20.35" customHeight="1">
      <c r="A9939" s="10">
        <v>45828</v>
      </c>
      <c r="B9939" t="s" s="11">
        <v>121</v>
      </c>
      <c r="C9939" t="s" s="12">
        <v>439</v>
      </c>
      <c r="D9939" s="13">
        <v>5000</v>
      </c>
      <c r="E9939" s="13"/>
      <c r="F9939" s="14"/>
      <c r="G9939" s="14"/>
      <c r="H9939" s="14"/>
      <c r="I9939" s="14"/>
    </row>
    <row r="9940" ht="20.7" customHeight="1">
      <c r="A9940" s="10">
        <v>45828</v>
      </c>
      <c r="B9940" t="s" s="11">
        <v>8</v>
      </c>
      <c r="C9940" t="s" s="12">
        <v>8</v>
      </c>
      <c r="D9940" s="15" cm="1">
        <f t="array" ref="D9940">SUM(D9938:D9939)</f>
        <v>5000</v>
      </c>
      <c r="E9940" s="15" cm="1">
        <f t="array" ref="E9940">SUM(E9938:E9939)</f>
        <v>5000</v>
      </c>
      <c r="F9940" s="16" cm="1">
        <f t="array" ref="F9940">SUM(F9938:F9939)</f>
        <v>0</v>
      </c>
      <c r="G9940" s="16" cm="1">
        <f t="array" ref="G9940">SUM(G9938:G9939)</f>
        <v>0</v>
      </c>
      <c r="H9940" s="16" cm="1">
        <f t="array" ref="H9940">SUM(H9938:H9939)</f>
        <v>0</v>
      </c>
      <c r="I9940" s="16" cm="1">
        <f t="array" ref="I9940">SUM(I9938:I9939)</f>
        <v>0</v>
      </c>
    </row>
    <row r="9941" ht="21.25" customHeight="1">
      <c r="A9941" s="10">
        <v>45828</v>
      </c>
      <c r="B9941" t="s" s="11">
        <v>121</v>
      </c>
      <c r="C9941" t="s" s="12">
        <v>1304</v>
      </c>
      <c r="D9941" s="17"/>
      <c r="E9941" s="17">
        <v>11000</v>
      </c>
      <c r="F9941" s="18"/>
      <c r="G9941" s="18"/>
      <c r="H9941" s="18"/>
      <c r="I9941" s="18"/>
    </row>
    <row r="9942" ht="21.25" customHeight="1">
      <c r="A9942" s="10">
        <v>45828</v>
      </c>
      <c r="B9942" t="s" s="11">
        <v>89</v>
      </c>
      <c r="C9942" t="s" s="12">
        <v>1304</v>
      </c>
      <c r="D9942" s="13">
        <v>11000</v>
      </c>
      <c r="E9942" s="13"/>
      <c r="F9942" s="14"/>
      <c r="G9942" s="14"/>
      <c r="H9942" s="14"/>
      <c r="I9942" s="14"/>
    </row>
    <row r="9943" ht="20.7" customHeight="1">
      <c r="A9943" s="10">
        <v>45828</v>
      </c>
      <c r="B9943" t="s" s="11">
        <v>8</v>
      </c>
      <c r="C9943" t="s" s="12">
        <v>8</v>
      </c>
      <c r="D9943" s="15" cm="1">
        <f t="array" ref="D9943">SUM(D9941:D9942)</f>
        <v>11000</v>
      </c>
      <c r="E9943" s="15" cm="1">
        <f t="array" ref="E9943">SUM(E9941:E9942)</f>
        <v>11000</v>
      </c>
      <c r="F9943" s="16" cm="1">
        <f t="array" ref="F9943">SUM(F9941:F9942)</f>
        <v>0</v>
      </c>
      <c r="G9943" s="16" cm="1">
        <f t="array" ref="G9943">SUM(G9941:G9942)</f>
        <v>0</v>
      </c>
      <c r="H9943" s="16" cm="1">
        <f t="array" ref="H9943">SUM(H9941:H9942)</f>
        <v>0</v>
      </c>
      <c r="I9943" s="16" cm="1">
        <f t="array" ref="I9943">SUM(I9941:I9942)</f>
        <v>0</v>
      </c>
    </row>
    <row r="9944" ht="20.35" customHeight="1">
      <c r="A9944" s="10">
        <v>45828</v>
      </c>
      <c r="B9944" t="s" s="11">
        <v>814</v>
      </c>
      <c r="C9944" t="s" s="12">
        <v>96</v>
      </c>
      <c r="D9944" s="17"/>
      <c r="E9944" s="17">
        <v>70000</v>
      </c>
      <c r="F9944" s="18"/>
      <c r="G9944" s="18"/>
      <c r="H9944" s="18"/>
      <c r="I9944" s="18"/>
    </row>
    <row r="9945" ht="20.35" customHeight="1">
      <c r="A9945" s="10">
        <v>45828</v>
      </c>
      <c r="B9945" t="s" s="11">
        <v>5</v>
      </c>
      <c r="C9945" t="s" s="12">
        <v>96</v>
      </c>
      <c r="D9945" s="13">
        <v>70000</v>
      </c>
      <c r="E9945" s="13"/>
      <c r="F9945" s="14"/>
      <c r="G9945" s="14"/>
      <c r="H9945" s="14"/>
      <c r="I9945" s="14"/>
    </row>
    <row r="9946" ht="20.7" customHeight="1">
      <c r="A9946" s="10">
        <v>45828</v>
      </c>
      <c r="B9946" t="s" s="11">
        <v>8</v>
      </c>
      <c r="C9946" t="s" s="12">
        <v>8</v>
      </c>
      <c r="D9946" s="15" cm="1">
        <f t="array" ref="D9946">SUM(D9944:D9945)</f>
        <v>70000</v>
      </c>
      <c r="E9946" s="15" cm="1">
        <f t="array" ref="E9946">SUM(E9944:E9945)</f>
        <v>70000</v>
      </c>
      <c r="F9946" s="16" cm="1">
        <f t="array" ref="F9946">SUM(F9944:F9945)</f>
        <v>0</v>
      </c>
      <c r="G9946" s="16" cm="1">
        <f t="array" ref="G9946">SUM(G9944:G9945)</f>
        <v>0</v>
      </c>
      <c r="H9946" s="16" cm="1">
        <f t="array" ref="H9946">SUM(H9944:H9945)</f>
        <v>0</v>
      </c>
      <c r="I9946" s="16" cm="1">
        <f t="array" ref="I9946">SUM(I9944:I9945)</f>
        <v>0</v>
      </c>
    </row>
    <row r="9947" ht="20.35" customHeight="1">
      <c r="A9947" s="10">
        <v>45828</v>
      </c>
      <c r="B9947" t="s" s="11">
        <v>5</v>
      </c>
      <c r="C9947" t="s" s="12">
        <v>921</v>
      </c>
      <c r="D9947" s="17"/>
      <c r="E9947" s="17">
        <v>70000</v>
      </c>
      <c r="F9947" s="18"/>
      <c r="G9947" s="18"/>
      <c r="H9947" s="18"/>
      <c r="I9947" s="18"/>
    </row>
    <row r="9948" ht="20.35" customHeight="1">
      <c r="A9948" s="10">
        <v>45828</v>
      </c>
      <c r="B9948" t="s" s="11">
        <v>106</v>
      </c>
      <c r="C9948" t="s" s="12">
        <v>921</v>
      </c>
      <c r="D9948" s="13">
        <v>70000</v>
      </c>
      <c r="E9948" s="13"/>
      <c r="F9948" s="14"/>
      <c r="G9948" s="14"/>
      <c r="H9948" s="14"/>
      <c r="I9948" s="14"/>
    </row>
    <row r="9949" ht="20.7" customHeight="1">
      <c r="A9949" s="10">
        <v>45828</v>
      </c>
      <c r="B9949" t="s" s="11">
        <v>8</v>
      </c>
      <c r="C9949" t="s" s="12">
        <v>8</v>
      </c>
      <c r="D9949" s="15" cm="1">
        <f t="array" ref="D9949">SUM(D9947:D9948)</f>
        <v>70000</v>
      </c>
      <c r="E9949" s="15" cm="1">
        <f t="array" ref="E9949">SUM(E9947:E9948)</f>
        <v>70000</v>
      </c>
      <c r="F9949" s="16" cm="1">
        <f t="array" ref="F9949">SUM(F9947:F9948)</f>
        <v>0</v>
      </c>
      <c r="G9949" s="16" cm="1">
        <f t="array" ref="G9949">SUM(G9947:G9948)</f>
        <v>0</v>
      </c>
      <c r="H9949" s="16" cm="1">
        <f t="array" ref="H9949">SUM(H9947:H9948)</f>
        <v>0</v>
      </c>
      <c r="I9949" s="16" cm="1">
        <f t="array" ref="I9949">SUM(I9947:I9948)</f>
        <v>0</v>
      </c>
    </row>
    <row r="9950" ht="20.35" customHeight="1">
      <c r="A9950" s="10">
        <v>45828</v>
      </c>
      <c r="B9950" t="s" s="11">
        <v>814</v>
      </c>
      <c r="C9950" t="s" s="12">
        <v>96</v>
      </c>
      <c r="D9950" s="17"/>
      <c r="E9950" s="17">
        <v>30000</v>
      </c>
      <c r="F9950" s="18"/>
      <c r="G9950" s="18"/>
      <c r="H9950" s="18"/>
      <c r="I9950" s="18"/>
    </row>
    <row r="9951" ht="20.35" customHeight="1">
      <c r="A9951" s="10">
        <v>45828</v>
      </c>
      <c r="B9951" t="s" s="11">
        <v>5</v>
      </c>
      <c r="C9951" t="s" s="12">
        <v>96</v>
      </c>
      <c r="D9951" s="13">
        <v>30000</v>
      </c>
      <c r="E9951" s="13"/>
      <c r="F9951" s="14"/>
      <c r="G9951" s="14"/>
      <c r="H9951" s="14"/>
      <c r="I9951" s="14"/>
    </row>
    <row r="9952" ht="20.7" customHeight="1">
      <c r="A9952" s="10">
        <v>45828</v>
      </c>
      <c r="B9952" t="s" s="11">
        <v>8</v>
      </c>
      <c r="C9952" t="s" s="12">
        <v>8</v>
      </c>
      <c r="D9952" s="15" cm="1">
        <f t="array" ref="D9952">SUM(D9950:D9951)</f>
        <v>30000</v>
      </c>
      <c r="E9952" s="15" cm="1">
        <f t="array" ref="E9952">SUM(E9950:E9951)</f>
        <v>30000</v>
      </c>
      <c r="F9952" s="16" cm="1">
        <f t="array" ref="F9952">SUM(F9950:F9951)</f>
        <v>0</v>
      </c>
      <c r="G9952" s="16" cm="1">
        <f t="array" ref="G9952">SUM(G9950:G9951)</f>
        <v>0</v>
      </c>
      <c r="H9952" s="16" cm="1">
        <f t="array" ref="H9952">SUM(H9950:H9951)</f>
        <v>0</v>
      </c>
      <c r="I9952" s="16" cm="1">
        <f t="array" ref="I9952">SUM(I9950:I9951)</f>
        <v>0</v>
      </c>
    </row>
    <row r="9953" ht="20.35" customHeight="1">
      <c r="A9953" s="10">
        <v>45828</v>
      </c>
      <c r="B9953" t="s" s="11">
        <v>5</v>
      </c>
      <c r="C9953" t="s" s="12">
        <v>439</v>
      </c>
      <c r="D9953" s="17"/>
      <c r="E9953" s="17">
        <v>30000</v>
      </c>
      <c r="F9953" s="18"/>
      <c r="G9953" s="18"/>
      <c r="H9953" s="18"/>
      <c r="I9953" s="18"/>
    </row>
    <row r="9954" ht="20.35" customHeight="1">
      <c r="A9954" s="10">
        <v>45828</v>
      </c>
      <c r="B9954" t="s" s="11">
        <v>121</v>
      </c>
      <c r="C9954" t="s" s="12">
        <v>439</v>
      </c>
      <c r="D9954" s="13">
        <v>30000</v>
      </c>
      <c r="E9954" s="13"/>
      <c r="F9954" s="14"/>
      <c r="G9954" s="14"/>
      <c r="H9954" s="14"/>
      <c r="I9954" s="14"/>
    </row>
    <row r="9955" ht="20.7" customHeight="1">
      <c r="A9955" s="10">
        <v>45828</v>
      </c>
      <c r="B9955" t="s" s="11">
        <v>8</v>
      </c>
      <c r="C9955" t="s" s="12">
        <v>8</v>
      </c>
      <c r="D9955" s="15" cm="1">
        <f t="array" ref="D9955">SUM(D9953:D9954)</f>
        <v>30000</v>
      </c>
      <c r="E9955" s="15" cm="1">
        <f t="array" ref="E9955">SUM(E9953:E9954)</f>
        <v>30000</v>
      </c>
      <c r="F9955" s="16" cm="1">
        <f t="array" ref="F9955">SUM(F9953:F9954)</f>
        <v>0</v>
      </c>
      <c r="G9955" s="16" cm="1">
        <f t="array" ref="G9955">SUM(G9953:G9954)</f>
        <v>0</v>
      </c>
      <c r="H9955" s="16" cm="1">
        <f t="array" ref="H9955">SUM(H9953:H9954)</f>
        <v>0</v>
      </c>
      <c r="I9955" s="16" cm="1">
        <f t="array" ref="I9955">SUM(I9953:I9954)</f>
        <v>0</v>
      </c>
    </row>
    <row r="9956" ht="21.25" customHeight="1">
      <c r="A9956" s="10">
        <v>45828</v>
      </c>
      <c r="B9956" t="s" s="11">
        <v>121</v>
      </c>
      <c r="C9956" t="s" s="12">
        <v>1305</v>
      </c>
      <c r="D9956" s="17"/>
      <c r="E9956" s="17">
        <v>14500</v>
      </c>
      <c r="F9956" s="18"/>
      <c r="G9956" s="18"/>
      <c r="H9956" s="18"/>
      <c r="I9956" s="18"/>
    </row>
    <row r="9957" ht="21.25" customHeight="1">
      <c r="A9957" s="10">
        <v>45828</v>
      </c>
      <c r="B9957" t="s" s="11">
        <v>89</v>
      </c>
      <c r="C9957" t="s" s="12">
        <v>1305</v>
      </c>
      <c r="D9957" s="13">
        <v>14500</v>
      </c>
      <c r="E9957" s="13"/>
      <c r="F9957" s="14"/>
      <c r="G9957" s="14"/>
      <c r="H9957" s="14"/>
      <c r="I9957" s="14"/>
    </row>
    <row r="9958" ht="20.7" customHeight="1">
      <c r="A9958" s="10">
        <v>45828</v>
      </c>
      <c r="B9958" t="s" s="11">
        <v>8</v>
      </c>
      <c r="C9958" t="s" s="12">
        <v>8</v>
      </c>
      <c r="D9958" s="15" cm="1">
        <f t="array" ref="D9958">SUM(D9956:D9957)</f>
        <v>14500</v>
      </c>
      <c r="E9958" s="15" cm="1">
        <f t="array" ref="E9958">SUM(E9956:E9957)</f>
        <v>14500</v>
      </c>
      <c r="F9958" s="16" cm="1">
        <f t="array" ref="F9958">SUM(F9956:F9957)</f>
        <v>0</v>
      </c>
      <c r="G9958" s="16" cm="1">
        <f t="array" ref="G9958">SUM(G9956:G9957)</f>
        <v>0</v>
      </c>
      <c r="H9958" s="16" cm="1">
        <f t="array" ref="H9958">SUM(H9956:H9957)</f>
        <v>0</v>
      </c>
      <c r="I9958" s="16" cm="1">
        <f t="array" ref="I9958">SUM(I9956:I9957)</f>
        <v>0</v>
      </c>
    </row>
    <row r="9959" ht="20.35" customHeight="1">
      <c r="A9959" s="10">
        <v>45828</v>
      </c>
      <c r="B9959" t="s" s="11">
        <v>121</v>
      </c>
      <c r="C9959" t="s" s="12">
        <v>1306</v>
      </c>
      <c r="D9959" s="17"/>
      <c r="E9959" s="17">
        <v>9900</v>
      </c>
      <c r="F9959" s="18"/>
      <c r="G9959" s="18"/>
      <c r="H9959" s="18"/>
      <c r="I9959" s="18"/>
    </row>
    <row r="9960" ht="20.35" customHeight="1">
      <c r="A9960" s="10">
        <v>45828</v>
      </c>
      <c r="B9960" t="s" s="11">
        <v>10</v>
      </c>
      <c r="C9960" t="s" s="12">
        <v>1306</v>
      </c>
      <c r="D9960" s="13">
        <v>9900</v>
      </c>
      <c r="E9960" s="13"/>
      <c r="F9960" s="14"/>
      <c r="G9960" s="14"/>
      <c r="H9960" s="14"/>
      <c r="I9960" s="14"/>
    </row>
    <row r="9961" ht="20.7" customHeight="1">
      <c r="A9961" s="10">
        <v>45828</v>
      </c>
      <c r="B9961" t="s" s="11">
        <v>8</v>
      </c>
      <c r="C9961" t="s" s="12">
        <v>8</v>
      </c>
      <c r="D9961" s="15" cm="1">
        <f t="array" ref="D9961">SUM(D9959:D9960)</f>
        <v>9900</v>
      </c>
      <c r="E9961" s="15" cm="1">
        <f t="array" ref="E9961">SUM(E9959:E9960)</f>
        <v>9900</v>
      </c>
      <c r="F9961" s="16" cm="1">
        <f t="array" ref="F9961">SUM(F9959:F9960)</f>
        <v>0</v>
      </c>
      <c r="G9961" s="16" cm="1">
        <f t="array" ref="G9961">SUM(G9959:G9960)</f>
        <v>0</v>
      </c>
      <c r="H9961" s="16" cm="1">
        <f t="array" ref="H9961">SUM(H9959:H9960)</f>
        <v>0</v>
      </c>
      <c r="I9961" s="16" cm="1">
        <f t="array" ref="I9961">SUM(I9959:I9960)</f>
        <v>0</v>
      </c>
    </row>
    <row r="9962" ht="20.35" customHeight="1">
      <c r="A9962" s="10">
        <v>45828</v>
      </c>
      <c r="B9962" t="s" s="11">
        <v>28</v>
      </c>
      <c r="C9962" t="s" s="12">
        <v>1307</v>
      </c>
      <c r="D9962" s="17"/>
      <c r="E9962" s="17">
        <v>10000</v>
      </c>
      <c r="F9962" s="18"/>
      <c r="G9962" s="18"/>
      <c r="H9962" s="18"/>
      <c r="I9962" s="18"/>
    </row>
    <row r="9963" ht="20.35" customHeight="1">
      <c r="A9963" s="10">
        <v>45828</v>
      </c>
      <c r="B9963" t="s" s="11">
        <v>89</v>
      </c>
      <c r="C9963" t="s" s="12">
        <v>1307</v>
      </c>
      <c r="D9963" s="13">
        <v>10000</v>
      </c>
      <c r="E9963" s="13"/>
      <c r="F9963" s="14"/>
      <c r="G9963" s="14"/>
      <c r="H9963" s="14"/>
      <c r="I9963" s="14"/>
    </row>
    <row r="9964" ht="20.7" customHeight="1">
      <c r="A9964" s="10">
        <v>45828</v>
      </c>
      <c r="B9964" t="s" s="11">
        <v>8</v>
      </c>
      <c r="C9964" t="s" s="12">
        <v>8</v>
      </c>
      <c r="D9964" s="15" cm="1">
        <f t="array" ref="D9964">SUM(D9962:D9963)</f>
        <v>10000</v>
      </c>
      <c r="E9964" s="15" cm="1">
        <f t="array" ref="E9964">SUM(E9962:E9963)</f>
        <v>10000</v>
      </c>
      <c r="F9964" s="16" cm="1">
        <f t="array" ref="F9964">SUM(F9962:F9963)</f>
        <v>0</v>
      </c>
      <c r="G9964" s="16" cm="1">
        <f t="array" ref="G9964">SUM(G9962:G9963)</f>
        <v>0</v>
      </c>
      <c r="H9964" s="16" cm="1">
        <f t="array" ref="H9964">SUM(H9962:H9963)</f>
        <v>0</v>
      </c>
      <c r="I9964" s="16" cm="1">
        <f t="array" ref="I9964">SUM(I9962:I9963)</f>
        <v>0</v>
      </c>
    </row>
    <row r="9965" ht="20.35" customHeight="1">
      <c r="A9965" s="10">
        <v>45828</v>
      </c>
      <c r="B9965" t="s" s="11">
        <v>5</v>
      </c>
      <c r="C9965" t="s" s="12">
        <v>1307</v>
      </c>
      <c r="D9965" s="17">
        <v>10000</v>
      </c>
      <c r="E9965" s="17"/>
      <c r="F9965" s="18"/>
      <c r="G9965" s="18"/>
      <c r="H9965" s="18"/>
      <c r="I9965" s="18"/>
    </row>
    <row r="9966" ht="20.35" customHeight="1">
      <c r="A9966" s="10">
        <v>45828</v>
      </c>
      <c r="B9966" t="s" s="11">
        <v>89</v>
      </c>
      <c r="C9966" t="s" s="12">
        <v>1307</v>
      </c>
      <c r="D9966" s="13"/>
      <c r="E9966" s="13">
        <v>10000</v>
      </c>
      <c r="F9966" s="14"/>
      <c r="G9966" s="14"/>
      <c r="H9966" s="14"/>
      <c r="I9966" s="14"/>
    </row>
    <row r="9967" ht="20.7" customHeight="1">
      <c r="A9967" s="10">
        <v>45828</v>
      </c>
      <c r="B9967" t="s" s="11">
        <v>8</v>
      </c>
      <c r="C9967" t="s" s="12">
        <v>8</v>
      </c>
      <c r="D9967" s="15" cm="1">
        <f t="array" ref="D9967">SUM(D9965:D9966)</f>
        <v>10000</v>
      </c>
      <c r="E9967" s="15" cm="1">
        <f t="array" ref="E9967">SUM(E9965:E9966)</f>
        <v>10000</v>
      </c>
      <c r="F9967" s="16" cm="1">
        <f t="array" ref="F9967">SUM(F9965:F9966)</f>
        <v>0</v>
      </c>
      <c r="G9967" s="16" cm="1">
        <f t="array" ref="G9967">SUM(G9965:G9966)</f>
        <v>0</v>
      </c>
      <c r="H9967" s="16" cm="1">
        <f t="array" ref="H9967">SUM(H9965:H9966)</f>
        <v>0</v>
      </c>
      <c r="I9967" s="16" cm="1">
        <f t="array" ref="I9967">SUM(I9965:I9966)</f>
        <v>0</v>
      </c>
    </row>
    <row r="9968" ht="20.35" customHeight="1">
      <c r="A9968" s="10">
        <v>45828</v>
      </c>
      <c r="B9968" t="s" s="11">
        <v>5</v>
      </c>
      <c r="C9968" t="s" s="12">
        <v>604</v>
      </c>
      <c r="D9968" s="17"/>
      <c r="E9968" s="17">
        <v>10000</v>
      </c>
      <c r="F9968" s="18"/>
      <c r="G9968" s="18"/>
      <c r="H9968" s="18"/>
      <c r="I9968" s="18"/>
    </row>
    <row r="9969" ht="20.35" customHeight="1">
      <c r="A9969" s="10">
        <v>45828</v>
      </c>
      <c r="B9969" t="s" s="11">
        <v>93</v>
      </c>
      <c r="C9969" t="s" s="12">
        <v>604</v>
      </c>
      <c r="D9969" s="13">
        <v>10000</v>
      </c>
      <c r="E9969" s="13"/>
      <c r="F9969" s="14"/>
      <c r="G9969" s="14"/>
      <c r="H9969" s="14"/>
      <c r="I9969" s="14"/>
    </row>
    <row r="9970" ht="20.7" customHeight="1">
      <c r="A9970" s="10">
        <v>45828</v>
      </c>
      <c r="B9970" t="s" s="11">
        <v>8</v>
      </c>
      <c r="C9970" t="s" s="12">
        <v>8</v>
      </c>
      <c r="D9970" s="15" cm="1">
        <f t="array" ref="D9970">SUM(D9968:D9969)</f>
        <v>10000</v>
      </c>
      <c r="E9970" s="15" cm="1">
        <f t="array" ref="E9970">SUM(E9968:E9969)</f>
        <v>10000</v>
      </c>
      <c r="F9970" s="16" cm="1">
        <f t="array" ref="F9970">SUM(F9968:F9969)</f>
        <v>0</v>
      </c>
      <c r="G9970" s="16" cm="1">
        <f t="array" ref="G9970">SUM(G9968:G9969)</f>
        <v>0</v>
      </c>
      <c r="H9970" s="16" cm="1">
        <f t="array" ref="H9970">SUM(H9968:H9969)</f>
        <v>0</v>
      </c>
      <c r="I9970" s="16" cm="1">
        <f t="array" ref="I9970">SUM(I9968:I9969)</f>
        <v>0</v>
      </c>
    </row>
    <row r="9971" ht="20.35" customHeight="1">
      <c r="A9971" s="10">
        <v>45828</v>
      </c>
      <c r="B9971" t="s" s="11">
        <v>93</v>
      </c>
      <c r="C9971" t="s" s="12">
        <v>54</v>
      </c>
      <c r="D9971" s="17"/>
      <c r="E9971" s="17">
        <v>3300</v>
      </c>
      <c r="F9971" s="18"/>
      <c r="G9971" s="18"/>
      <c r="H9971" s="18"/>
      <c r="I9971" s="18"/>
    </row>
    <row r="9972" ht="20.35" customHeight="1">
      <c r="A9972" s="10">
        <v>45828</v>
      </c>
      <c r="B9972" t="s" s="11">
        <v>10</v>
      </c>
      <c r="C9972" t="s" s="12">
        <v>54</v>
      </c>
      <c r="D9972" s="13">
        <v>3300</v>
      </c>
      <c r="E9972" s="13"/>
      <c r="F9972" s="14"/>
      <c r="G9972" s="14"/>
      <c r="H9972" s="14"/>
      <c r="I9972" s="14"/>
    </row>
    <row r="9973" ht="20.7" customHeight="1">
      <c r="A9973" s="10">
        <v>45828</v>
      </c>
      <c r="B9973" t="s" s="11">
        <v>8</v>
      </c>
      <c r="C9973" t="s" s="12">
        <v>8</v>
      </c>
      <c r="D9973" s="15" cm="1">
        <f t="array" ref="D9973">SUM(D9971:D9972)</f>
        <v>3300</v>
      </c>
      <c r="E9973" s="15" cm="1">
        <f t="array" ref="E9973">SUM(E9971:E9972)</f>
        <v>3300</v>
      </c>
      <c r="F9973" s="16" cm="1">
        <f t="array" ref="F9973">SUM(F9971:F9972)</f>
        <v>0</v>
      </c>
      <c r="G9973" s="16" cm="1">
        <f t="array" ref="G9973">SUM(G9971:G9972)</f>
        <v>0</v>
      </c>
      <c r="H9973" s="16" cm="1">
        <f t="array" ref="H9973">SUM(H9971:H9972)</f>
        <v>0</v>
      </c>
      <c r="I9973" s="16" cm="1">
        <f t="array" ref="I9973">SUM(I9971:I9972)</f>
        <v>0</v>
      </c>
    </row>
    <row r="9974" ht="20.35" customHeight="1">
      <c r="A9974" s="10">
        <v>45828</v>
      </c>
      <c r="B9974" t="s" s="11">
        <v>93</v>
      </c>
      <c r="C9974" t="s" s="12">
        <v>1308</v>
      </c>
      <c r="D9974" s="17">
        <v>37400</v>
      </c>
      <c r="E9974" s="17"/>
      <c r="F9974" s="18"/>
      <c r="G9974" s="18"/>
      <c r="H9974" s="18"/>
      <c r="I9974" s="18"/>
    </row>
    <row r="9975" ht="20.35" customHeight="1">
      <c r="A9975" s="10">
        <v>45828</v>
      </c>
      <c r="B9975" t="s" s="11">
        <v>89</v>
      </c>
      <c r="C9975" t="s" s="12">
        <v>1308</v>
      </c>
      <c r="D9975" s="13"/>
      <c r="E9975" s="13">
        <v>37400</v>
      </c>
      <c r="F9975" s="14"/>
      <c r="G9975" s="14"/>
      <c r="H9975" s="14"/>
      <c r="I9975" s="14"/>
    </row>
    <row r="9976" ht="20.7" customHeight="1">
      <c r="A9976" s="10">
        <v>45828</v>
      </c>
      <c r="B9976" t="s" s="11">
        <v>8</v>
      </c>
      <c r="C9976" t="s" s="12">
        <v>8</v>
      </c>
      <c r="D9976" s="15" cm="1">
        <f t="array" ref="D9976">SUM(D9974:D9975)</f>
        <v>37400</v>
      </c>
      <c r="E9976" s="15" cm="1">
        <f t="array" ref="E9976">SUM(E9974:E9975)</f>
        <v>37400</v>
      </c>
      <c r="F9976" s="16" cm="1">
        <f t="array" ref="F9976">SUM(F9974:F9975)</f>
        <v>0</v>
      </c>
      <c r="G9976" s="16" cm="1">
        <f t="array" ref="G9976">SUM(G9974:G9975)</f>
        <v>0</v>
      </c>
      <c r="H9976" s="16" cm="1">
        <f t="array" ref="H9976">SUM(H9974:H9975)</f>
        <v>0</v>
      </c>
      <c r="I9976" s="16" cm="1">
        <f t="array" ref="I9976">SUM(I9974:I9975)</f>
        <v>0</v>
      </c>
    </row>
    <row r="9977" ht="20.35" customHeight="1">
      <c r="A9977" s="10">
        <v>45828</v>
      </c>
      <c r="B9977" t="s" s="11">
        <v>93</v>
      </c>
      <c r="C9977" t="s" s="12">
        <v>209</v>
      </c>
      <c r="D9977" s="17"/>
      <c r="E9977" s="17">
        <v>46600</v>
      </c>
      <c r="F9977" s="18"/>
      <c r="G9977" s="18"/>
      <c r="H9977" s="18"/>
      <c r="I9977" s="18"/>
    </row>
    <row r="9978" ht="20.35" customHeight="1">
      <c r="A9978" s="10">
        <v>45828</v>
      </c>
      <c r="B9978" t="s" s="11">
        <v>107</v>
      </c>
      <c r="C9978" t="s" s="12">
        <v>209</v>
      </c>
      <c r="D9978" s="13">
        <v>46600</v>
      </c>
      <c r="E9978" s="13"/>
      <c r="F9978" s="14"/>
      <c r="G9978" s="14"/>
      <c r="H9978" s="14"/>
      <c r="I9978" s="14"/>
    </row>
    <row r="9979" ht="20.7" customHeight="1">
      <c r="A9979" s="10">
        <v>45828</v>
      </c>
      <c r="B9979" t="s" s="11">
        <v>8</v>
      </c>
      <c r="C9979" t="s" s="12">
        <v>8</v>
      </c>
      <c r="D9979" s="15" cm="1">
        <f t="array" ref="D9979">SUM(D9977:D9978)</f>
        <v>46600</v>
      </c>
      <c r="E9979" s="15" cm="1">
        <f t="array" ref="E9979">SUM(E9977:E9978)</f>
        <v>46600</v>
      </c>
      <c r="F9979" s="16" cm="1">
        <f t="array" ref="F9979">SUM(F9977:F9978)</f>
        <v>0</v>
      </c>
      <c r="G9979" s="16" cm="1">
        <f t="array" ref="G9979">SUM(G9977:G9978)</f>
        <v>0</v>
      </c>
      <c r="H9979" s="16" cm="1">
        <f t="array" ref="H9979">SUM(H9977:H9978)</f>
        <v>0</v>
      </c>
      <c r="I9979" s="16" cm="1">
        <f t="array" ref="I9979">SUM(I9977:I9978)</f>
        <v>0</v>
      </c>
    </row>
    <row r="9980" ht="21.25" customHeight="1">
      <c r="A9980" s="10">
        <v>45828</v>
      </c>
      <c r="B9980" t="s" s="11">
        <v>21</v>
      </c>
      <c r="C9980" t="s" s="12">
        <v>763</v>
      </c>
      <c r="D9980" s="17"/>
      <c r="E9980" s="17">
        <v>1500</v>
      </c>
      <c r="F9980" s="18"/>
      <c r="G9980" s="18"/>
      <c r="H9980" s="18"/>
      <c r="I9980" s="18"/>
    </row>
    <row r="9981" ht="21.25" customHeight="1">
      <c r="A9981" s="10">
        <v>45828</v>
      </c>
      <c r="B9981" t="s" s="11">
        <v>16</v>
      </c>
      <c r="C9981" t="s" s="12">
        <v>763</v>
      </c>
      <c r="D9981" s="13">
        <v>1500</v>
      </c>
      <c r="E9981" s="13"/>
      <c r="F9981" s="14"/>
      <c r="G9981" s="14"/>
      <c r="H9981" s="14"/>
      <c r="I9981" s="14"/>
    </row>
    <row r="9982" ht="20.7" customHeight="1">
      <c r="A9982" s="10">
        <v>45828</v>
      </c>
      <c r="B9982" t="s" s="11">
        <v>8</v>
      </c>
      <c r="C9982" t="s" s="12">
        <v>8</v>
      </c>
      <c r="D9982" s="15" cm="1">
        <f t="array" ref="D9982">SUM(D9980:D9981)</f>
        <v>1500</v>
      </c>
      <c r="E9982" s="15" cm="1">
        <f t="array" ref="E9982">SUM(E9980:E9981)</f>
        <v>1500</v>
      </c>
      <c r="F9982" s="16" cm="1">
        <f t="array" ref="F9982">SUM(F9980:F9981)</f>
        <v>0</v>
      </c>
      <c r="G9982" s="16" cm="1">
        <f t="array" ref="G9982">SUM(G9980:G9981)</f>
        <v>0</v>
      </c>
      <c r="H9982" s="16" cm="1">
        <f t="array" ref="H9982">SUM(H9980:H9981)</f>
        <v>0</v>
      </c>
      <c r="I9982" s="16" cm="1">
        <f t="array" ref="I9982">SUM(I9980:I9981)</f>
        <v>0</v>
      </c>
    </row>
    <row r="9983" ht="20.35" customHeight="1">
      <c r="A9983" s="10">
        <v>45829</v>
      </c>
      <c r="B9983" t="s" s="11">
        <v>814</v>
      </c>
      <c r="C9983" t="s" s="12">
        <v>96</v>
      </c>
      <c r="D9983" s="17"/>
      <c r="E9983" s="17">
        <v>50000</v>
      </c>
      <c r="F9983" s="18"/>
      <c r="G9983" s="18"/>
      <c r="H9983" s="18"/>
      <c r="I9983" s="18"/>
    </row>
    <row r="9984" ht="20.35" customHeight="1">
      <c r="A9984" s="10">
        <v>45829</v>
      </c>
      <c r="B9984" t="s" s="11">
        <v>5</v>
      </c>
      <c r="C9984" t="s" s="12">
        <v>96</v>
      </c>
      <c r="D9984" s="13">
        <v>50000</v>
      </c>
      <c r="E9984" s="13"/>
      <c r="F9984" s="14"/>
      <c r="G9984" s="14"/>
      <c r="H9984" s="14"/>
      <c r="I9984" s="14"/>
    </row>
    <row r="9985" ht="20.7" customHeight="1">
      <c r="A9985" s="10">
        <v>45829</v>
      </c>
      <c r="B9985" t="s" s="11">
        <v>8</v>
      </c>
      <c r="C9985" t="s" s="12">
        <v>8</v>
      </c>
      <c r="D9985" s="15" cm="1">
        <f t="array" ref="D9985">SUM(D9983:D9984)</f>
        <v>50000</v>
      </c>
      <c r="E9985" s="15" cm="1">
        <f t="array" ref="E9985">SUM(E9983:E9984)</f>
        <v>50000</v>
      </c>
      <c r="F9985" s="16" cm="1">
        <f t="array" ref="F9985">SUM(F9983:F9984)</f>
        <v>0</v>
      </c>
      <c r="G9985" s="16" cm="1">
        <f t="array" ref="G9985">SUM(G9983:G9984)</f>
        <v>0</v>
      </c>
      <c r="H9985" s="16" cm="1">
        <f t="array" ref="H9985">SUM(H9983:H9984)</f>
        <v>0</v>
      </c>
      <c r="I9985" s="16" cm="1">
        <f t="array" ref="I9985">SUM(I9983:I9984)</f>
        <v>0</v>
      </c>
    </row>
    <row r="9986" ht="20.65" customHeight="1">
      <c r="A9986" s="10">
        <v>45829</v>
      </c>
      <c r="B9986" t="s" s="11">
        <v>5</v>
      </c>
      <c r="C9986" t="s" s="12">
        <v>738</v>
      </c>
      <c r="D9986" s="17"/>
      <c r="E9986" s="17">
        <v>50000</v>
      </c>
      <c r="F9986" s="18"/>
      <c r="G9986" s="18"/>
      <c r="H9986" s="18"/>
      <c r="I9986" s="18"/>
    </row>
    <row r="9987" ht="20.65" customHeight="1">
      <c r="A9987" s="10">
        <v>45829</v>
      </c>
      <c r="B9987" t="s" s="11">
        <v>89</v>
      </c>
      <c r="C9987" t="s" s="12">
        <v>738</v>
      </c>
      <c r="D9987" s="13">
        <v>50000</v>
      </c>
      <c r="E9987" s="13"/>
      <c r="F9987" s="14"/>
      <c r="G9987" s="14"/>
      <c r="H9987" s="14"/>
      <c r="I9987" s="14"/>
    </row>
    <row r="9988" ht="20.7" customHeight="1">
      <c r="A9988" s="10">
        <v>45829</v>
      </c>
      <c r="B9988" t="s" s="11">
        <v>8</v>
      </c>
      <c r="C9988" t="s" s="12">
        <v>8</v>
      </c>
      <c r="D9988" s="15" cm="1">
        <f t="array" ref="D9988">SUM(D9986:D9987)</f>
        <v>50000</v>
      </c>
      <c r="E9988" s="15" cm="1">
        <f t="array" ref="E9988">SUM(E9986:E9987)</f>
        <v>50000</v>
      </c>
      <c r="F9988" s="16" cm="1">
        <f t="array" ref="F9988">SUM(F9986:F9987)</f>
        <v>0</v>
      </c>
      <c r="G9988" s="16" cm="1">
        <f t="array" ref="G9988">SUM(G9986:G9987)</f>
        <v>0</v>
      </c>
      <c r="H9988" s="16" cm="1">
        <f t="array" ref="H9988">SUM(H9986:H9987)</f>
        <v>0</v>
      </c>
      <c r="I9988" s="16" cm="1">
        <f t="array" ref="I9988">SUM(I9986:I9987)</f>
        <v>0</v>
      </c>
    </row>
    <row r="9989" ht="20.65" customHeight="1">
      <c r="A9989" s="10">
        <v>45829</v>
      </c>
      <c r="B9989" t="s" s="11">
        <v>7</v>
      </c>
      <c r="C9989" t="s" s="12">
        <v>734</v>
      </c>
      <c r="D9989" s="17"/>
      <c r="E9989" s="17">
        <v>3</v>
      </c>
      <c r="F9989" s="18"/>
      <c r="G9989" s="18"/>
      <c r="H9989" s="18"/>
      <c r="I9989" s="18"/>
    </row>
    <row r="9990" ht="20.65" customHeight="1">
      <c r="A9990" s="10">
        <v>45829</v>
      </c>
      <c r="B9990" t="s" s="11">
        <v>121</v>
      </c>
      <c r="C9990" t="s" s="12">
        <v>734</v>
      </c>
      <c r="D9990" s="13">
        <v>3</v>
      </c>
      <c r="E9990" s="13"/>
      <c r="F9990" s="14"/>
      <c r="G9990" s="14"/>
      <c r="H9990" s="14"/>
      <c r="I9990" s="14"/>
    </row>
    <row r="9991" ht="20.7" customHeight="1">
      <c r="A9991" s="10">
        <v>45829</v>
      </c>
      <c r="B9991" t="s" s="11">
        <v>8</v>
      </c>
      <c r="C9991" t="s" s="12">
        <v>8</v>
      </c>
      <c r="D9991" s="15" cm="1">
        <f t="array" ref="D9991">SUM(D9989:D9990)</f>
        <v>3</v>
      </c>
      <c r="E9991" s="15" cm="1">
        <f t="array" ref="E9991">SUM(E9989:E9990)</f>
        <v>3</v>
      </c>
      <c r="F9991" s="16" cm="1">
        <f t="array" ref="F9991">SUM(F9989:F9990)</f>
        <v>0</v>
      </c>
      <c r="G9991" s="16" cm="1">
        <f t="array" ref="G9991">SUM(G9989:G9990)</f>
        <v>0</v>
      </c>
      <c r="H9991" s="16" cm="1">
        <f t="array" ref="H9991">SUM(H9989:H9990)</f>
        <v>0</v>
      </c>
      <c r="I9991" s="16" cm="1">
        <f t="array" ref="I9991">SUM(I9989:I9990)</f>
        <v>0</v>
      </c>
    </row>
    <row r="9992" ht="20.65" customHeight="1">
      <c r="A9992" s="10">
        <v>45829</v>
      </c>
      <c r="B9992" t="s" s="11">
        <v>7</v>
      </c>
      <c r="C9992" t="s" s="12">
        <v>734</v>
      </c>
      <c r="D9992" s="17"/>
      <c r="E9992" s="17">
        <v>5</v>
      </c>
      <c r="F9992" s="18"/>
      <c r="G9992" s="18"/>
      <c r="H9992" s="18"/>
      <c r="I9992" s="18"/>
    </row>
    <row r="9993" ht="20.65" customHeight="1">
      <c r="A9993" s="10">
        <v>45829</v>
      </c>
      <c r="B9993" t="s" s="11">
        <v>107</v>
      </c>
      <c r="C9993" t="s" s="12">
        <v>734</v>
      </c>
      <c r="D9993" s="13">
        <v>5</v>
      </c>
      <c r="E9993" s="13"/>
      <c r="F9993" s="14"/>
      <c r="G9993" s="14"/>
      <c r="H9993" s="14"/>
      <c r="I9993" s="14"/>
    </row>
    <row r="9994" ht="20.7" customHeight="1">
      <c r="A9994" s="10">
        <v>45829</v>
      </c>
      <c r="B9994" t="s" s="11">
        <v>8</v>
      </c>
      <c r="C9994" t="s" s="12">
        <v>8</v>
      </c>
      <c r="D9994" s="15" cm="1">
        <f t="array" ref="D9994">SUM(D9992:D9993)</f>
        <v>5</v>
      </c>
      <c r="E9994" s="15" cm="1">
        <f t="array" ref="E9994">SUM(E9992:E9993)</f>
        <v>5</v>
      </c>
      <c r="F9994" s="16" cm="1">
        <f t="array" ref="F9994">SUM(F9992:F9993)</f>
        <v>0</v>
      </c>
      <c r="G9994" s="16" cm="1">
        <f t="array" ref="G9994">SUM(G9992:G9993)</f>
        <v>0</v>
      </c>
      <c r="H9994" s="16" cm="1">
        <f t="array" ref="H9994">SUM(H9992:H9993)</f>
        <v>0</v>
      </c>
      <c r="I9994" s="16" cm="1">
        <f t="array" ref="I9994">SUM(I9992:I9993)</f>
        <v>0</v>
      </c>
    </row>
    <row r="9995" ht="20.65" customHeight="1">
      <c r="A9995" s="10">
        <v>45829</v>
      </c>
      <c r="B9995" t="s" s="11">
        <v>843</v>
      </c>
      <c r="C9995" t="s" s="12">
        <v>820</v>
      </c>
      <c r="D9995" s="17">
        <v>12</v>
      </c>
      <c r="E9995" s="17"/>
      <c r="F9995" s="18"/>
      <c r="G9995" s="18"/>
      <c r="H9995" s="18"/>
      <c r="I9995" s="18"/>
    </row>
    <row r="9996" ht="20.65" customHeight="1">
      <c r="A9996" s="10">
        <v>45829</v>
      </c>
      <c r="B9996" t="s" s="11">
        <v>7</v>
      </c>
      <c r="C9996" t="s" s="12">
        <v>820</v>
      </c>
      <c r="D9996" s="13"/>
      <c r="E9996" s="13">
        <v>12</v>
      </c>
      <c r="F9996" s="14"/>
      <c r="G9996" s="14"/>
      <c r="H9996" s="14"/>
      <c r="I9996" s="14"/>
    </row>
    <row r="9997" ht="20.7" customHeight="1">
      <c r="A9997" s="10">
        <v>45829</v>
      </c>
      <c r="B9997" t="s" s="11">
        <v>8</v>
      </c>
      <c r="C9997" t="s" s="12">
        <v>8</v>
      </c>
      <c r="D9997" s="15" cm="1">
        <f t="array" ref="D9997">SUM(D9995:D9996)</f>
        <v>12</v>
      </c>
      <c r="E9997" s="15" cm="1">
        <f t="array" ref="E9997">SUM(E9995:E9996)</f>
        <v>12</v>
      </c>
      <c r="F9997" s="16" cm="1">
        <f t="array" ref="F9997">SUM(F9995:F9996)</f>
        <v>0</v>
      </c>
      <c r="G9997" s="16" cm="1">
        <f t="array" ref="G9997">SUM(G9995:G9996)</f>
        <v>0</v>
      </c>
      <c r="H9997" s="16" cm="1">
        <f t="array" ref="H9997">SUM(H9995:H9996)</f>
        <v>0</v>
      </c>
      <c r="I9997" s="16" cm="1">
        <f t="array" ref="I9997">SUM(I9995:I9996)</f>
        <v>0</v>
      </c>
    </row>
    <row r="9998" ht="20.65" customHeight="1">
      <c r="A9998" s="10">
        <v>45829</v>
      </c>
      <c r="B9998" t="s" s="11">
        <v>814</v>
      </c>
      <c r="C9998" t="s" s="12">
        <v>820</v>
      </c>
      <c r="D9998" s="17">
        <v>14</v>
      </c>
      <c r="E9998" s="17"/>
      <c r="F9998" s="18"/>
      <c r="G9998" s="18"/>
      <c r="H9998" s="18"/>
      <c r="I9998" s="18"/>
    </row>
    <row r="9999" ht="20.65" customHeight="1">
      <c r="A9999" s="10">
        <v>45829</v>
      </c>
      <c r="B9999" t="s" s="11">
        <v>7</v>
      </c>
      <c r="C9999" t="s" s="12">
        <v>820</v>
      </c>
      <c r="D9999" s="13"/>
      <c r="E9999" s="13">
        <v>14</v>
      </c>
      <c r="F9999" s="14"/>
      <c r="G9999" s="14"/>
      <c r="H9999" s="14"/>
      <c r="I9999" s="14"/>
    </row>
    <row r="10000" ht="20.7" customHeight="1">
      <c r="A10000" s="10">
        <v>45829</v>
      </c>
      <c r="B10000" t="s" s="11">
        <v>8</v>
      </c>
      <c r="C10000" t="s" s="12">
        <v>8</v>
      </c>
      <c r="D10000" s="15" cm="1">
        <f t="array" ref="D10000">SUM(D9998:D9999)</f>
        <v>14</v>
      </c>
      <c r="E10000" s="15" cm="1">
        <f t="array" ref="E10000">SUM(E9998:E9999)</f>
        <v>14</v>
      </c>
      <c r="F10000" s="16" cm="1">
        <f t="array" ref="F10000">SUM(F9998:F9999)</f>
        <v>0</v>
      </c>
      <c r="G10000" s="16" cm="1">
        <f t="array" ref="G10000">SUM(G9998:G9999)</f>
        <v>0</v>
      </c>
      <c r="H10000" s="16" cm="1">
        <f t="array" ref="H10000">SUM(H9998:H9999)</f>
        <v>0</v>
      </c>
      <c r="I10000" s="16" cm="1">
        <f t="array" ref="I10000">SUM(I9998:I9999)</f>
        <v>0</v>
      </c>
    </row>
    <row r="10001" ht="21.25" customHeight="1">
      <c r="A10001" s="10">
        <v>45829</v>
      </c>
      <c r="B10001" t="s" s="11">
        <v>121</v>
      </c>
      <c r="C10001" t="s" s="12">
        <v>1309</v>
      </c>
      <c r="D10001" s="17"/>
      <c r="E10001" s="17">
        <v>1400</v>
      </c>
      <c r="F10001" s="18"/>
      <c r="G10001" s="18"/>
      <c r="H10001" s="18"/>
      <c r="I10001" s="18"/>
    </row>
    <row r="10002" ht="21.25" customHeight="1">
      <c r="A10002" s="10">
        <v>45829</v>
      </c>
      <c r="B10002" t="s" s="11">
        <v>10</v>
      </c>
      <c r="C10002" t="s" s="12">
        <v>1309</v>
      </c>
      <c r="D10002" s="13">
        <v>1400</v>
      </c>
      <c r="E10002" s="13"/>
      <c r="F10002" s="14"/>
      <c r="G10002" s="14"/>
      <c r="H10002" s="14"/>
      <c r="I10002" s="14"/>
    </row>
    <row r="10003" ht="20.7" customHeight="1">
      <c r="A10003" s="10">
        <v>45829</v>
      </c>
      <c r="B10003" t="s" s="11">
        <v>8</v>
      </c>
      <c r="C10003" t="s" s="12">
        <v>8</v>
      </c>
      <c r="D10003" s="15" cm="1">
        <f t="array" ref="D10003">SUM(D10001:D10002)</f>
        <v>1400</v>
      </c>
      <c r="E10003" s="15" cm="1">
        <f t="array" ref="E10003">SUM(E10001:E10002)</f>
        <v>1400</v>
      </c>
      <c r="F10003" s="16" cm="1">
        <f t="array" ref="F10003">SUM(F10001:F10002)</f>
        <v>0</v>
      </c>
      <c r="G10003" s="16" cm="1">
        <f t="array" ref="G10003">SUM(G10001:G10002)</f>
        <v>0</v>
      </c>
      <c r="H10003" s="16" cm="1">
        <f t="array" ref="H10003">SUM(H10001:H10002)</f>
        <v>0</v>
      </c>
      <c r="I10003" s="16" cm="1">
        <f t="array" ref="I10003">SUM(I10001:I10002)</f>
        <v>0</v>
      </c>
    </row>
    <row r="10004" ht="21.25" customHeight="1">
      <c r="A10004" s="10">
        <v>45829</v>
      </c>
      <c r="B10004" t="s" s="11">
        <v>121</v>
      </c>
      <c r="C10004" t="s" s="12">
        <v>1309</v>
      </c>
      <c r="D10004" s="17"/>
      <c r="E10004" s="17">
        <v>2160</v>
      </c>
      <c r="F10004" s="18"/>
      <c r="G10004" s="18"/>
      <c r="H10004" s="18"/>
      <c r="I10004" s="18"/>
    </row>
    <row r="10005" ht="21.25" customHeight="1">
      <c r="A10005" s="10">
        <v>45829</v>
      </c>
      <c r="B10005" t="s" s="11">
        <v>10</v>
      </c>
      <c r="C10005" t="s" s="12">
        <v>1309</v>
      </c>
      <c r="D10005" s="13">
        <v>2160</v>
      </c>
      <c r="E10005" s="13"/>
      <c r="F10005" s="14"/>
      <c r="G10005" s="14"/>
      <c r="H10005" s="14"/>
      <c r="I10005" s="14"/>
    </row>
    <row r="10006" ht="20.7" customHeight="1">
      <c r="A10006" s="10">
        <v>45829</v>
      </c>
      <c r="B10006" t="s" s="11">
        <v>8</v>
      </c>
      <c r="C10006" t="s" s="12">
        <v>8</v>
      </c>
      <c r="D10006" s="15" cm="1">
        <f t="array" ref="D10006">SUM(D10004:D10005)</f>
        <v>2160</v>
      </c>
      <c r="E10006" s="15" cm="1">
        <f t="array" ref="E10006">SUM(E10004:E10005)</f>
        <v>2160</v>
      </c>
      <c r="F10006" s="16" cm="1">
        <f t="array" ref="F10006">SUM(F10004:F10005)</f>
        <v>0</v>
      </c>
      <c r="G10006" s="16" cm="1">
        <f t="array" ref="G10006">SUM(G10004:G10005)</f>
        <v>0</v>
      </c>
      <c r="H10006" s="16" cm="1">
        <f t="array" ref="H10006">SUM(H10004:H10005)</f>
        <v>0</v>
      </c>
      <c r="I10006" s="16" cm="1">
        <f t="array" ref="I10006">SUM(I10004:I10005)</f>
        <v>0</v>
      </c>
    </row>
    <row r="10007" ht="21.25" customHeight="1">
      <c r="A10007" s="10">
        <v>45829</v>
      </c>
      <c r="B10007" t="s" s="11">
        <v>28</v>
      </c>
      <c r="C10007" t="s" s="12">
        <v>1310</v>
      </c>
      <c r="D10007" s="17"/>
      <c r="E10007" s="17">
        <v>2000</v>
      </c>
      <c r="F10007" s="18"/>
      <c r="G10007" s="18"/>
      <c r="H10007" s="18"/>
      <c r="I10007" s="18"/>
    </row>
    <row r="10008" ht="21.25" customHeight="1">
      <c r="A10008" s="10">
        <v>45829</v>
      </c>
      <c r="B10008" t="s" s="11">
        <v>10</v>
      </c>
      <c r="C10008" t="s" s="12">
        <v>1310</v>
      </c>
      <c r="D10008" s="13">
        <v>2000</v>
      </c>
      <c r="E10008" s="13"/>
      <c r="F10008" s="14"/>
      <c r="G10008" s="14"/>
      <c r="H10008" s="14"/>
      <c r="I10008" s="14"/>
    </row>
    <row r="10009" ht="20.7" customHeight="1">
      <c r="A10009" s="10">
        <v>45829</v>
      </c>
      <c r="B10009" t="s" s="11">
        <v>8</v>
      </c>
      <c r="C10009" t="s" s="12">
        <v>8</v>
      </c>
      <c r="D10009" s="15" cm="1">
        <f t="array" ref="D10009">SUM(D10007:D10008)</f>
        <v>2000</v>
      </c>
      <c r="E10009" s="15" cm="1">
        <f t="array" ref="E10009">SUM(E10007:E10008)</f>
        <v>2000</v>
      </c>
      <c r="F10009" s="16" cm="1">
        <f t="array" ref="F10009">SUM(F10007:F10008)</f>
        <v>0</v>
      </c>
      <c r="G10009" s="16" cm="1">
        <f t="array" ref="G10009">SUM(G10007:G10008)</f>
        <v>0</v>
      </c>
      <c r="H10009" s="16" cm="1">
        <f t="array" ref="H10009">SUM(H10007:H10008)</f>
        <v>0</v>
      </c>
      <c r="I10009" s="16" cm="1">
        <f t="array" ref="I10009">SUM(I10007:I10008)</f>
        <v>0</v>
      </c>
    </row>
    <row r="10010" ht="20.65" customHeight="1">
      <c r="A10010" s="10">
        <v>45829</v>
      </c>
      <c r="B10010" t="s" s="11">
        <v>121</v>
      </c>
      <c r="C10010" t="s" s="12">
        <v>1296</v>
      </c>
      <c r="D10010" s="17"/>
      <c r="E10010" s="17">
        <v>4000</v>
      </c>
      <c r="F10010" s="18"/>
      <c r="G10010" s="18"/>
      <c r="H10010" s="18"/>
      <c r="I10010" s="18"/>
    </row>
    <row r="10011" ht="20.65" customHeight="1">
      <c r="A10011" s="10">
        <v>45829</v>
      </c>
      <c r="B10011" t="s" s="11">
        <v>12</v>
      </c>
      <c r="C10011" t="s" s="12">
        <v>1296</v>
      </c>
      <c r="D10011" s="13">
        <v>4000</v>
      </c>
      <c r="E10011" s="13"/>
      <c r="F10011" s="14"/>
      <c r="G10011" s="14"/>
      <c r="H10011" s="14"/>
      <c r="I10011" s="14"/>
    </row>
    <row r="10012" ht="20.7" customHeight="1">
      <c r="A10012" s="10">
        <v>45829</v>
      </c>
      <c r="B10012" t="s" s="11">
        <v>8</v>
      </c>
      <c r="C10012" t="s" s="12">
        <v>8</v>
      </c>
      <c r="D10012" s="15" cm="1">
        <f t="array" ref="D10012">SUM(D10010:D10011)</f>
        <v>4000</v>
      </c>
      <c r="E10012" s="15" cm="1">
        <f t="array" ref="E10012">SUM(E10010:E10011)</f>
        <v>4000</v>
      </c>
      <c r="F10012" s="16" cm="1">
        <f t="array" ref="F10012">SUM(F10010:F10011)</f>
        <v>0</v>
      </c>
      <c r="G10012" s="16" cm="1">
        <f t="array" ref="G10012">SUM(G10010:G10011)</f>
        <v>0</v>
      </c>
      <c r="H10012" s="16" cm="1">
        <f t="array" ref="H10012">SUM(H10010:H10011)</f>
        <v>0</v>
      </c>
      <c r="I10012" s="16" cm="1">
        <f t="array" ref="I10012">SUM(I10010:I10011)</f>
        <v>0</v>
      </c>
    </row>
    <row r="10013" ht="21.25" customHeight="1">
      <c r="A10013" s="10">
        <v>45829</v>
      </c>
      <c r="B10013" t="s" s="11">
        <v>107</v>
      </c>
      <c r="C10013" t="s" s="12">
        <v>1309</v>
      </c>
      <c r="D10013" s="17"/>
      <c r="E10013" s="17">
        <v>140</v>
      </c>
      <c r="F10013" s="18"/>
      <c r="G10013" s="18"/>
      <c r="H10013" s="18"/>
      <c r="I10013" s="18"/>
    </row>
    <row r="10014" ht="21.25" customHeight="1">
      <c r="A10014" s="10">
        <v>45829</v>
      </c>
      <c r="B10014" t="s" s="11">
        <v>10</v>
      </c>
      <c r="C10014" t="s" s="12">
        <v>1309</v>
      </c>
      <c r="D10014" s="13">
        <v>140</v>
      </c>
      <c r="E10014" s="13"/>
      <c r="F10014" s="14"/>
      <c r="G10014" s="14"/>
      <c r="H10014" s="14"/>
      <c r="I10014" s="14"/>
    </row>
    <row r="10015" ht="20.7" customHeight="1">
      <c r="A10015" s="10">
        <v>45829</v>
      </c>
      <c r="B10015" t="s" s="11">
        <v>8</v>
      </c>
      <c r="C10015" t="s" s="12">
        <v>8</v>
      </c>
      <c r="D10015" s="15" cm="1">
        <f t="array" ref="D10015">SUM(D10013:D10014)</f>
        <v>140</v>
      </c>
      <c r="E10015" s="15" cm="1">
        <f t="array" ref="E10015">SUM(E10013:E10014)</f>
        <v>140</v>
      </c>
      <c r="F10015" s="16" cm="1">
        <f t="array" ref="F10015">SUM(F10013:F10014)</f>
        <v>0</v>
      </c>
      <c r="G10015" s="16" cm="1">
        <f t="array" ref="G10015">SUM(G10013:G10014)</f>
        <v>0</v>
      </c>
      <c r="H10015" s="16" cm="1">
        <f t="array" ref="H10015">SUM(H10013:H10014)</f>
        <v>0</v>
      </c>
      <c r="I10015" s="16" cm="1">
        <f t="array" ref="I10015">SUM(I10013:I10014)</f>
        <v>0</v>
      </c>
    </row>
    <row r="10016" ht="20.35" customHeight="1">
      <c r="A10016" s="10">
        <v>45829</v>
      </c>
      <c r="B10016" t="s" s="11">
        <v>107</v>
      </c>
      <c r="C10016" t="s" s="12">
        <v>916</v>
      </c>
      <c r="D10016" s="17"/>
      <c r="E10016" s="17">
        <v>7400</v>
      </c>
      <c r="F10016" s="18"/>
      <c r="G10016" s="18"/>
      <c r="H10016" s="18"/>
      <c r="I10016" s="18"/>
    </row>
    <row r="10017" ht="20.35" customHeight="1">
      <c r="A10017" s="10">
        <v>45829</v>
      </c>
      <c r="B10017" t="s" s="11">
        <v>12</v>
      </c>
      <c r="C10017" t="s" s="12">
        <v>916</v>
      </c>
      <c r="D10017" s="13">
        <v>7400</v>
      </c>
      <c r="E10017" s="13"/>
      <c r="F10017" s="14"/>
      <c r="G10017" s="14"/>
      <c r="H10017" s="14"/>
      <c r="I10017" s="14"/>
    </row>
    <row r="10018" ht="20.7" customHeight="1">
      <c r="A10018" s="10">
        <v>45829</v>
      </c>
      <c r="B10018" t="s" s="11">
        <v>8</v>
      </c>
      <c r="C10018" t="s" s="12">
        <v>8</v>
      </c>
      <c r="D10018" s="15" cm="1">
        <f t="array" ref="D10018">SUM(D10016:D10017)</f>
        <v>7400</v>
      </c>
      <c r="E10018" s="15" cm="1">
        <f t="array" ref="E10018">SUM(E10016:E10017)</f>
        <v>7400</v>
      </c>
      <c r="F10018" s="16" cm="1">
        <f t="array" ref="F10018">SUM(F10016:F10017)</f>
        <v>0</v>
      </c>
      <c r="G10018" s="16" cm="1">
        <f t="array" ref="G10018">SUM(G10016:G10017)</f>
        <v>0</v>
      </c>
      <c r="H10018" s="16" cm="1">
        <f t="array" ref="H10018">SUM(H10016:H10017)</f>
        <v>0</v>
      </c>
      <c r="I10018" s="16" cm="1">
        <f t="array" ref="I10018">SUM(I10016:I10017)</f>
        <v>0</v>
      </c>
    </row>
    <row r="10019" ht="20.65" customHeight="1">
      <c r="A10019" s="10">
        <v>45830</v>
      </c>
      <c r="B10019" t="s" s="11">
        <v>843</v>
      </c>
      <c r="C10019" t="s" s="12">
        <v>820</v>
      </c>
      <c r="D10019" s="17">
        <v>12</v>
      </c>
      <c r="E10019" s="17"/>
      <c r="F10019" s="18"/>
      <c r="G10019" s="18"/>
      <c r="H10019" s="18"/>
      <c r="I10019" s="18"/>
    </row>
    <row r="10020" ht="20.65" customHeight="1">
      <c r="A10020" s="10">
        <v>45830</v>
      </c>
      <c r="B10020" t="s" s="11">
        <v>7</v>
      </c>
      <c r="C10020" t="s" s="12">
        <v>820</v>
      </c>
      <c r="D10020" s="13"/>
      <c r="E10020" s="13">
        <v>12</v>
      </c>
      <c r="F10020" s="14"/>
      <c r="G10020" s="14"/>
      <c r="H10020" s="14"/>
      <c r="I10020" s="14"/>
    </row>
    <row r="10021" ht="20.7" customHeight="1">
      <c r="A10021" s="10">
        <v>45830</v>
      </c>
      <c r="B10021" t="s" s="11">
        <v>8</v>
      </c>
      <c r="C10021" t="s" s="12">
        <v>8</v>
      </c>
      <c r="D10021" s="15" cm="1">
        <f t="array" ref="D10021">SUM(D10019:D10020)</f>
        <v>12</v>
      </c>
      <c r="E10021" s="15" cm="1">
        <f t="array" ref="E10021">SUM(E10019:E10020)</f>
        <v>12</v>
      </c>
      <c r="F10021" s="16" cm="1">
        <f t="array" ref="F10021">SUM(F10019:F10020)</f>
        <v>0</v>
      </c>
      <c r="G10021" s="16" cm="1">
        <f t="array" ref="G10021">SUM(G10019:G10020)</f>
        <v>0</v>
      </c>
      <c r="H10021" s="16" cm="1">
        <f t="array" ref="H10021">SUM(H10019:H10020)</f>
        <v>0</v>
      </c>
      <c r="I10021" s="16" cm="1">
        <f t="array" ref="I10021">SUM(I10019:I10020)</f>
        <v>0</v>
      </c>
    </row>
    <row r="10022" ht="20.65" customHeight="1">
      <c r="A10022" s="10">
        <v>45830</v>
      </c>
      <c r="B10022" t="s" s="11">
        <v>814</v>
      </c>
      <c r="C10022" t="s" s="12">
        <v>820</v>
      </c>
      <c r="D10022" s="17">
        <v>12</v>
      </c>
      <c r="E10022" s="17"/>
      <c r="F10022" s="18"/>
      <c r="G10022" s="18"/>
      <c r="H10022" s="18"/>
      <c r="I10022" s="18"/>
    </row>
    <row r="10023" ht="20.65" customHeight="1">
      <c r="A10023" s="10">
        <v>45830</v>
      </c>
      <c r="B10023" t="s" s="11">
        <v>7</v>
      </c>
      <c r="C10023" t="s" s="12">
        <v>820</v>
      </c>
      <c r="D10023" s="13"/>
      <c r="E10023" s="13">
        <v>12</v>
      </c>
      <c r="F10023" s="14"/>
      <c r="G10023" s="14"/>
      <c r="H10023" s="14"/>
      <c r="I10023" s="14"/>
    </row>
    <row r="10024" ht="20.7" customHeight="1">
      <c r="A10024" s="10">
        <v>45830</v>
      </c>
      <c r="B10024" t="s" s="11">
        <v>8</v>
      </c>
      <c r="C10024" t="s" s="12">
        <v>8</v>
      </c>
      <c r="D10024" s="15" cm="1">
        <f t="array" ref="D10024">SUM(D10022:D10023)</f>
        <v>12</v>
      </c>
      <c r="E10024" s="15" cm="1">
        <f t="array" ref="E10024">SUM(E10022:E10023)</f>
        <v>12</v>
      </c>
      <c r="F10024" s="16" cm="1">
        <f t="array" ref="F10024">SUM(F10022:F10023)</f>
        <v>0</v>
      </c>
      <c r="G10024" s="16" cm="1">
        <f t="array" ref="G10024">SUM(G10022:G10023)</f>
        <v>0</v>
      </c>
      <c r="H10024" s="16" cm="1">
        <f t="array" ref="H10024">SUM(H10022:H10023)</f>
        <v>0</v>
      </c>
      <c r="I10024" s="16" cm="1">
        <f t="array" ref="I10024">SUM(I10022:I10023)</f>
        <v>0</v>
      </c>
    </row>
    <row r="10025" ht="20.35" customHeight="1">
      <c r="A10025" s="10">
        <v>45830</v>
      </c>
      <c r="B10025" t="s" s="11">
        <v>93</v>
      </c>
      <c r="C10025" t="s" s="12">
        <v>20</v>
      </c>
      <c r="D10025" s="17">
        <v>40000</v>
      </c>
      <c r="E10025" s="17"/>
      <c r="F10025" s="18"/>
      <c r="G10025" s="18"/>
      <c r="H10025" s="18"/>
      <c r="I10025" s="18"/>
    </row>
    <row r="10026" ht="20.35" customHeight="1">
      <c r="A10026" s="10">
        <v>45830</v>
      </c>
      <c r="B10026" t="s" s="11">
        <v>89</v>
      </c>
      <c r="C10026" t="s" s="12">
        <v>20</v>
      </c>
      <c r="D10026" s="13"/>
      <c r="E10026" s="13">
        <v>40000</v>
      </c>
      <c r="F10026" s="14"/>
      <c r="G10026" s="14"/>
      <c r="H10026" s="14"/>
      <c r="I10026" s="14"/>
    </row>
    <row r="10027" ht="20.7" customHeight="1">
      <c r="A10027" s="10">
        <v>45830</v>
      </c>
      <c r="B10027" t="s" s="11">
        <v>8</v>
      </c>
      <c r="C10027" t="s" s="12">
        <v>8</v>
      </c>
      <c r="D10027" s="15" cm="1">
        <f t="array" ref="D10027">SUM(D10025:D10026)</f>
        <v>40000</v>
      </c>
      <c r="E10027" s="15" cm="1">
        <f t="array" ref="E10027">SUM(E10025:E10026)</f>
        <v>40000</v>
      </c>
      <c r="F10027" s="16" cm="1">
        <f t="array" ref="F10027">SUM(F10025:F10026)</f>
        <v>0</v>
      </c>
      <c r="G10027" s="16" cm="1">
        <f t="array" ref="G10027">SUM(G10025:G10026)</f>
        <v>0</v>
      </c>
      <c r="H10027" s="16" cm="1">
        <f t="array" ref="H10027">SUM(H10025:H10026)</f>
        <v>0</v>
      </c>
      <c r="I10027" s="16" cm="1">
        <f t="array" ref="I10027">SUM(I10025:I10026)</f>
        <v>0</v>
      </c>
    </row>
    <row r="10028" ht="20.35" customHeight="1">
      <c r="A10028" s="10">
        <v>45830</v>
      </c>
      <c r="B10028" t="s" s="11">
        <v>5</v>
      </c>
      <c r="C10028" t="s" s="12">
        <v>209</v>
      </c>
      <c r="D10028" s="17"/>
      <c r="E10028" s="17">
        <v>5000</v>
      </c>
      <c r="F10028" s="18"/>
      <c r="G10028" s="18"/>
      <c r="H10028" s="18"/>
      <c r="I10028" s="18"/>
    </row>
    <row r="10029" ht="20.35" customHeight="1">
      <c r="A10029" s="10">
        <v>45830</v>
      </c>
      <c r="B10029" t="s" s="11">
        <v>107</v>
      </c>
      <c r="C10029" t="s" s="12">
        <v>209</v>
      </c>
      <c r="D10029" s="13">
        <v>5000</v>
      </c>
      <c r="E10029" s="13"/>
      <c r="F10029" s="14"/>
      <c r="G10029" s="14"/>
      <c r="H10029" s="14"/>
      <c r="I10029" s="14"/>
    </row>
    <row r="10030" ht="20.7" customHeight="1">
      <c r="A10030" s="10">
        <v>45830</v>
      </c>
      <c r="B10030" t="s" s="11">
        <v>8</v>
      </c>
      <c r="C10030" t="s" s="12">
        <v>8</v>
      </c>
      <c r="D10030" s="15" cm="1">
        <f t="array" ref="D10030">SUM(D10028:D10029)</f>
        <v>5000</v>
      </c>
      <c r="E10030" s="15" cm="1">
        <f t="array" ref="E10030">SUM(E10028:E10029)</f>
        <v>5000</v>
      </c>
      <c r="F10030" s="16" cm="1">
        <f t="array" ref="F10030">SUM(F10028:F10029)</f>
        <v>0</v>
      </c>
      <c r="G10030" s="16" cm="1">
        <f t="array" ref="G10030">SUM(G10028:G10029)</f>
        <v>0</v>
      </c>
      <c r="H10030" s="16" cm="1">
        <f t="array" ref="H10030">SUM(H10028:H10029)</f>
        <v>0</v>
      </c>
      <c r="I10030" s="16" cm="1">
        <f t="array" ref="I10030">SUM(I10028:I10029)</f>
        <v>0</v>
      </c>
    </row>
    <row r="10031" ht="20.35" customHeight="1">
      <c r="A10031" s="10">
        <v>45830</v>
      </c>
      <c r="B10031" t="s" s="11">
        <v>107</v>
      </c>
      <c r="C10031" t="s" s="12">
        <v>182</v>
      </c>
      <c r="D10031" s="17"/>
      <c r="E10031" s="17">
        <v>16000</v>
      </c>
      <c r="F10031" s="18"/>
      <c r="G10031" s="18"/>
      <c r="H10031" s="18"/>
      <c r="I10031" s="18"/>
    </row>
    <row r="10032" ht="20.35" customHeight="1">
      <c r="A10032" s="10">
        <v>45830</v>
      </c>
      <c r="B10032" t="s" s="11">
        <v>10</v>
      </c>
      <c r="C10032" t="s" s="12">
        <v>182</v>
      </c>
      <c r="D10032" s="13">
        <v>16000</v>
      </c>
      <c r="E10032" s="13"/>
      <c r="F10032" s="14"/>
      <c r="G10032" s="14"/>
      <c r="H10032" s="14"/>
      <c r="I10032" s="14"/>
    </row>
    <row r="10033" ht="20.7" customHeight="1">
      <c r="A10033" s="10">
        <v>45830</v>
      </c>
      <c r="B10033" t="s" s="11">
        <v>8</v>
      </c>
      <c r="C10033" t="s" s="12">
        <v>8</v>
      </c>
      <c r="D10033" s="15" cm="1">
        <f t="array" ref="D10033">SUM(D10031:D10032)</f>
        <v>16000</v>
      </c>
      <c r="E10033" s="15" cm="1">
        <f t="array" ref="E10033">SUM(E10031:E10032)</f>
        <v>16000</v>
      </c>
      <c r="F10033" s="16" cm="1">
        <f t="array" ref="F10033">SUM(F10031:F10032)</f>
        <v>0</v>
      </c>
      <c r="G10033" s="16" cm="1">
        <f t="array" ref="G10033">SUM(G10031:G10032)</f>
        <v>0</v>
      </c>
      <c r="H10033" s="16" cm="1">
        <f t="array" ref="H10033">SUM(H10031:H10032)</f>
        <v>0</v>
      </c>
      <c r="I10033" s="16" cm="1">
        <f t="array" ref="I10033">SUM(I10031:I10032)</f>
        <v>0</v>
      </c>
    </row>
    <row r="10034" ht="21.25" customHeight="1">
      <c r="A10034" s="10">
        <v>45830</v>
      </c>
      <c r="B10034" t="s" s="11">
        <v>21</v>
      </c>
      <c r="C10034" t="s" s="12">
        <v>1311</v>
      </c>
      <c r="D10034" s="17"/>
      <c r="E10034" s="17">
        <v>1500</v>
      </c>
      <c r="F10034" s="18"/>
      <c r="G10034" s="18"/>
      <c r="H10034" s="18"/>
      <c r="I10034" s="18"/>
    </row>
    <row r="10035" ht="21.25" customHeight="1">
      <c r="A10035" s="10">
        <v>45830</v>
      </c>
      <c r="B10035" t="s" s="11">
        <v>16</v>
      </c>
      <c r="C10035" t="s" s="12">
        <v>1311</v>
      </c>
      <c r="D10035" s="13">
        <v>1500</v>
      </c>
      <c r="E10035" s="13"/>
      <c r="F10035" s="14"/>
      <c r="G10035" s="14"/>
      <c r="H10035" s="14"/>
      <c r="I10035" s="14"/>
    </row>
    <row r="10036" ht="20.7" customHeight="1">
      <c r="A10036" s="10">
        <v>45830</v>
      </c>
      <c r="B10036" t="s" s="11">
        <v>8</v>
      </c>
      <c r="C10036" t="s" s="12">
        <v>8</v>
      </c>
      <c r="D10036" s="15" cm="1">
        <f t="array" ref="D10036">SUM(D10034:D10035)</f>
        <v>1500</v>
      </c>
      <c r="E10036" s="15" cm="1">
        <f t="array" ref="E10036">SUM(E10034:E10035)</f>
        <v>1500</v>
      </c>
      <c r="F10036" s="16" cm="1">
        <f t="array" ref="F10036">SUM(F10034:F10035)</f>
        <v>0</v>
      </c>
      <c r="G10036" s="16" cm="1">
        <f t="array" ref="G10036">SUM(G10034:G10035)</f>
        <v>0</v>
      </c>
      <c r="H10036" s="16" cm="1">
        <f t="array" ref="H10036">SUM(H10034:H10035)</f>
        <v>0</v>
      </c>
      <c r="I10036" s="16" cm="1">
        <f t="array" ref="I10036">SUM(I10034:I10035)</f>
        <v>0</v>
      </c>
    </row>
    <row r="10037" ht="20.65" customHeight="1">
      <c r="A10037" s="10">
        <v>45831</v>
      </c>
      <c r="B10037" t="s" s="11">
        <v>843</v>
      </c>
      <c r="C10037" t="s" s="12">
        <v>820</v>
      </c>
      <c r="D10037" s="17">
        <v>12</v>
      </c>
      <c r="E10037" s="17"/>
      <c r="F10037" s="18"/>
      <c r="G10037" s="18"/>
      <c r="H10037" s="18"/>
      <c r="I10037" s="18"/>
    </row>
    <row r="10038" ht="20.65" customHeight="1">
      <c r="A10038" s="10">
        <v>45831</v>
      </c>
      <c r="B10038" t="s" s="11">
        <v>7</v>
      </c>
      <c r="C10038" t="s" s="12">
        <v>820</v>
      </c>
      <c r="D10038" s="13"/>
      <c r="E10038" s="13">
        <v>12</v>
      </c>
      <c r="F10038" s="14"/>
      <c r="G10038" s="14"/>
      <c r="H10038" s="14"/>
      <c r="I10038" s="14"/>
    </row>
    <row r="10039" ht="20.7" customHeight="1">
      <c r="A10039" s="10">
        <v>45831</v>
      </c>
      <c r="B10039" t="s" s="11">
        <v>8</v>
      </c>
      <c r="C10039" t="s" s="12">
        <v>8</v>
      </c>
      <c r="D10039" s="15" cm="1">
        <f t="array" ref="D10039">SUM(D10037:D10038)</f>
        <v>12</v>
      </c>
      <c r="E10039" s="15" cm="1">
        <f t="array" ref="E10039">SUM(E10037:E10038)</f>
        <v>12</v>
      </c>
      <c r="F10039" s="16" cm="1">
        <f t="array" ref="F10039">SUM(F10037:F10038)</f>
        <v>0</v>
      </c>
      <c r="G10039" s="16" cm="1">
        <f t="array" ref="G10039">SUM(G10037:G10038)</f>
        <v>0</v>
      </c>
      <c r="H10039" s="16" cm="1">
        <f t="array" ref="H10039">SUM(H10037:H10038)</f>
        <v>0</v>
      </c>
      <c r="I10039" s="16" cm="1">
        <f t="array" ref="I10039">SUM(I10037:I10038)</f>
        <v>0</v>
      </c>
    </row>
    <row r="10040" ht="20.65" customHeight="1">
      <c r="A10040" s="10">
        <v>45831</v>
      </c>
      <c r="B10040" t="s" s="11">
        <v>814</v>
      </c>
      <c r="C10040" t="s" s="12">
        <v>820</v>
      </c>
      <c r="D10040" s="17">
        <v>12</v>
      </c>
      <c r="E10040" s="17"/>
      <c r="F10040" s="18"/>
      <c r="G10040" s="18"/>
      <c r="H10040" s="18"/>
      <c r="I10040" s="18"/>
    </row>
    <row r="10041" ht="20.65" customHeight="1">
      <c r="A10041" s="10">
        <v>45831</v>
      </c>
      <c r="B10041" t="s" s="11">
        <v>7</v>
      </c>
      <c r="C10041" t="s" s="12">
        <v>820</v>
      </c>
      <c r="D10041" s="13"/>
      <c r="E10041" s="13">
        <v>12</v>
      </c>
      <c r="F10041" s="14"/>
      <c r="G10041" s="14"/>
      <c r="H10041" s="14"/>
      <c r="I10041" s="14"/>
    </row>
    <row r="10042" ht="20.7" customHeight="1">
      <c r="A10042" s="10">
        <v>45831</v>
      </c>
      <c r="B10042" t="s" s="11">
        <v>8</v>
      </c>
      <c r="C10042" t="s" s="12">
        <v>8</v>
      </c>
      <c r="D10042" s="15" cm="1">
        <f t="array" ref="D10042">SUM(D10040:D10041)</f>
        <v>12</v>
      </c>
      <c r="E10042" s="15" cm="1">
        <f t="array" ref="E10042">SUM(E10040:E10041)</f>
        <v>12</v>
      </c>
      <c r="F10042" s="16" cm="1">
        <f t="array" ref="F10042">SUM(F10040:F10041)</f>
        <v>0</v>
      </c>
      <c r="G10042" s="16" cm="1">
        <f t="array" ref="G10042">SUM(G10040:G10041)</f>
        <v>0</v>
      </c>
      <c r="H10042" s="16" cm="1">
        <f t="array" ref="H10042">SUM(H10040:H10041)</f>
        <v>0</v>
      </c>
      <c r="I10042" s="16" cm="1">
        <f t="array" ref="I10042">SUM(I10040:I10041)</f>
        <v>0</v>
      </c>
    </row>
    <row r="10043" ht="20.35" customHeight="1">
      <c r="A10043" s="10">
        <v>45831</v>
      </c>
      <c r="B10043" t="s" s="11">
        <v>107</v>
      </c>
      <c r="C10043" t="s" s="12">
        <v>1312</v>
      </c>
      <c r="D10043" s="17"/>
      <c r="E10043" s="17">
        <v>31416</v>
      </c>
      <c r="F10043" s="18"/>
      <c r="G10043" s="18"/>
      <c r="H10043" s="18"/>
      <c r="I10043" s="18"/>
    </row>
    <row r="10044" ht="20.35" customHeight="1">
      <c r="A10044" s="10">
        <v>45831</v>
      </c>
      <c r="B10044" t="s" s="11">
        <v>10</v>
      </c>
      <c r="C10044" t="s" s="12">
        <v>1312</v>
      </c>
      <c r="D10044" s="13">
        <v>31416</v>
      </c>
      <c r="E10044" s="13"/>
      <c r="F10044" s="14"/>
      <c r="G10044" s="14"/>
      <c r="H10044" s="14"/>
      <c r="I10044" s="14"/>
    </row>
    <row r="10045" ht="20.7" customHeight="1">
      <c r="A10045" s="10">
        <v>45831</v>
      </c>
      <c r="B10045" t="s" s="11">
        <v>8</v>
      </c>
      <c r="C10045" t="s" s="12">
        <v>8</v>
      </c>
      <c r="D10045" s="15" cm="1">
        <f t="array" ref="D10045">SUM(D10043:D10044)</f>
        <v>31416</v>
      </c>
      <c r="E10045" s="15" cm="1">
        <f t="array" ref="E10045">SUM(E10043:E10044)</f>
        <v>31416</v>
      </c>
      <c r="F10045" s="16" cm="1">
        <f t="array" ref="F10045">SUM(F10043:F10044)</f>
        <v>0</v>
      </c>
      <c r="G10045" s="16" cm="1">
        <f t="array" ref="G10045">SUM(G10043:G10044)</f>
        <v>0</v>
      </c>
      <c r="H10045" s="16" cm="1">
        <f t="array" ref="H10045">SUM(H10043:H10044)</f>
        <v>0</v>
      </c>
      <c r="I10045" s="16" cm="1">
        <f t="array" ref="I10045">SUM(I10043:I10044)</f>
        <v>0</v>
      </c>
    </row>
    <row r="10046" ht="20.35" customHeight="1">
      <c r="A10046" s="10">
        <v>45831</v>
      </c>
      <c r="B10046" t="s" s="11">
        <v>814</v>
      </c>
      <c r="C10046" t="s" s="12">
        <v>96</v>
      </c>
      <c r="D10046" s="17"/>
      <c r="E10046" s="17">
        <v>60000</v>
      </c>
      <c r="F10046" s="18"/>
      <c r="G10046" s="18"/>
      <c r="H10046" s="18"/>
      <c r="I10046" s="18"/>
    </row>
    <row r="10047" ht="20.35" customHeight="1">
      <c r="A10047" s="10">
        <v>45831</v>
      </c>
      <c r="B10047" t="s" s="11">
        <v>5</v>
      </c>
      <c r="C10047" t="s" s="12">
        <v>96</v>
      </c>
      <c r="D10047" s="13">
        <v>60000</v>
      </c>
      <c r="E10047" s="13"/>
      <c r="F10047" s="14"/>
      <c r="G10047" s="14"/>
      <c r="H10047" s="14"/>
      <c r="I10047" s="14"/>
    </row>
    <row r="10048" ht="20.7" customHeight="1">
      <c r="A10048" s="10">
        <v>45831</v>
      </c>
      <c r="B10048" t="s" s="11">
        <v>8</v>
      </c>
      <c r="C10048" t="s" s="12">
        <v>8</v>
      </c>
      <c r="D10048" s="15" cm="1">
        <f t="array" ref="D10048">SUM(D10046:D10047)</f>
        <v>60000</v>
      </c>
      <c r="E10048" s="15" cm="1">
        <f t="array" ref="E10048">SUM(E10046:E10047)</f>
        <v>60000</v>
      </c>
      <c r="F10048" s="16" cm="1">
        <f t="array" ref="F10048">SUM(F10046:F10047)</f>
        <v>0</v>
      </c>
      <c r="G10048" s="16" cm="1">
        <f t="array" ref="G10048">SUM(G10046:G10047)</f>
        <v>0</v>
      </c>
      <c r="H10048" s="16" cm="1">
        <f t="array" ref="H10048">SUM(H10046:H10047)</f>
        <v>0</v>
      </c>
      <c r="I10048" s="16" cm="1">
        <f t="array" ref="I10048">SUM(I10046:I10047)</f>
        <v>0</v>
      </c>
    </row>
    <row r="10049" ht="20.65" customHeight="1">
      <c r="A10049" s="10">
        <v>45831</v>
      </c>
      <c r="B10049" t="s" s="11">
        <v>93</v>
      </c>
      <c r="C10049" t="s" s="12">
        <v>1313</v>
      </c>
      <c r="D10049" s="17"/>
      <c r="E10049" s="17">
        <v>18000</v>
      </c>
      <c r="F10049" s="18"/>
      <c r="G10049" s="18"/>
      <c r="H10049" s="18"/>
      <c r="I10049" s="18"/>
    </row>
    <row r="10050" ht="20.65" customHeight="1">
      <c r="A10050" s="10">
        <v>45831</v>
      </c>
      <c r="B10050" t="s" s="11">
        <v>12</v>
      </c>
      <c r="C10050" t="s" s="12">
        <v>1313</v>
      </c>
      <c r="D10050" s="13">
        <v>18000</v>
      </c>
      <c r="E10050" s="13"/>
      <c r="F10050" s="14"/>
      <c r="G10050" s="14"/>
      <c r="H10050" s="14"/>
      <c r="I10050" s="14"/>
    </row>
    <row r="10051" ht="20.7" customHeight="1">
      <c r="A10051" s="10">
        <v>45831</v>
      </c>
      <c r="B10051" t="s" s="11">
        <v>8</v>
      </c>
      <c r="C10051" t="s" s="12">
        <v>8</v>
      </c>
      <c r="D10051" s="15" cm="1">
        <f t="array" ref="D10051">SUM(D10049:D10050)</f>
        <v>18000</v>
      </c>
      <c r="E10051" s="15" cm="1">
        <f t="array" ref="E10051">SUM(E10049:E10050)</f>
        <v>18000</v>
      </c>
      <c r="F10051" s="16" cm="1">
        <f t="array" ref="F10051">SUM(F10049:F10050)</f>
        <v>0</v>
      </c>
      <c r="G10051" s="16" cm="1">
        <f t="array" ref="G10051">SUM(G10049:G10050)</f>
        <v>0</v>
      </c>
      <c r="H10051" s="16" cm="1">
        <f t="array" ref="H10051">SUM(H10049:H10050)</f>
        <v>0</v>
      </c>
      <c r="I10051" s="16" cm="1">
        <f t="array" ref="I10051">SUM(I10049:I10050)</f>
        <v>0</v>
      </c>
    </row>
    <row r="10052" ht="20.35" customHeight="1">
      <c r="A10052" s="10">
        <v>45831</v>
      </c>
      <c r="B10052" t="s" s="11">
        <v>93</v>
      </c>
      <c r="C10052" t="s" s="12">
        <v>96</v>
      </c>
      <c r="D10052" s="17"/>
      <c r="E10052" s="17">
        <v>22000</v>
      </c>
      <c r="F10052" s="18"/>
      <c r="G10052" s="18"/>
      <c r="H10052" s="18"/>
      <c r="I10052" s="18"/>
    </row>
    <row r="10053" ht="20.35" customHeight="1">
      <c r="A10053" s="10">
        <v>45831</v>
      </c>
      <c r="B10053" t="s" s="11">
        <v>5</v>
      </c>
      <c r="C10053" t="s" s="12">
        <v>96</v>
      </c>
      <c r="D10053" s="13">
        <v>22000</v>
      </c>
      <c r="E10053" s="13"/>
      <c r="F10053" s="14"/>
      <c r="G10053" s="14"/>
      <c r="H10053" s="14"/>
      <c r="I10053" s="14"/>
    </row>
    <row r="10054" ht="20.7" customHeight="1">
      <c r="A10054" s="10">
        <v>45831</v>
      </c>
      <c r="B10054" t="s" s="11">
        <v>8</v>
      </c>
      <c r="C10054" t="s" s="12">
        <v>8</v>
      </c>
      <c r="D10054" s="15" cm="1">
        <f t="array" ref="D10054">SUM(D10052:D10053)</f>
        <v>22000</v>
      </c>
      <c r="E10054" s="15" cm="1">
        <f t="array" ref="E10054">SUM(E10052:E10053)</f>
        <v>22000</v>
      </c>
      <c r="F10054" s="16" cm="1">
        <f t="array" ref="F10054">SUM(F10052:F10053)</f>
        <v>0</v>
      </c>
      <c r="G10054" s="16" cm="1">
        <f t="array" ref="G10054">SUM(G10052:G10053)</f>
        <v>0</v>
      </c>
      <c r="H10054" s="16" cm="1">
        <f t="array" ref="H10054">SUM(H10052:H10053)</f>
        <v>0</v>
      </c>
      <c r="I10054" s="16" cm="1">
        <f t="array" ref="I10054">SUM(I10052:I10053)</f>
        <v>0</v>
      </c>
    </row>
    <row r="10055" ht="20.35" customHeight="1">
      <c r="A10055" s="10">
        <v>45831</v>
      </c>
      <c r="B10055" t="s" s="11">
        <v>814</v>
      </c>
      <c r="C10055" t="s" s="12">
        <v>96</v>
      </c>
      <c r="D10055" s="17"/>
      <c r="E10055" s="17">
        <v>18000</v>
      </c>
      <c r="F10055" s="18"/>
      <c r="G10055" s="18"/>
      <c r="H10055" s="18"/>
      <c r="I10055" s="18"/>
    </row>
    <row r="10056" ht="20.35" customHeight="1">
      <c r="A10056" s="10">
        <v>45831</v>
      </c>
      <c r="B10056" t="s" s="11">
        <v>5</v>
      </c>
      <c r="C10056" t="s" s="12">
        <v>96</v>
      </c>
      <c r="D10056" s="13">
        <v>18000</v>
      </c>
      <c r="E10056" s="13"/>
      <c r="F10056" s="14"/>
      <c r="G10056" s="14"/>
      <c r="H10056" s="14"/>
      <c r="I10056" s="14"/>
    </row>
    <row r="10057" ht="20.7" customHeight="1">
      <c r="A10057" s="10">
        <v>45831</v>
      </c>
      <c r="B10057" t="s" s="11">
        <v>8</v>
      </c>
      <c r="C10057" t="s" s="12">
        <v>8</v>
      </c>
      <c r="D10057" s="15" cm="1">
        <f t="array" ref="D10057">SUM(D10055:D10056)</f>
        <v>18000</v>
      </c>
      <c r="E10057" s="15" cm="1">
        <f t="array" ref="E10057">SUM(E10055:E10056)</f>
        <v>18000</v>
      </c>
      <c r="F10057" s="16" cm="1">
        <f t="array" ref="F10057">SUM(F10055:F10056)</f>
        <v>0</v>
      </c>
      <c r="G10057" s="16" cm="1">
        <f t="array" ref="G10057">SUM(G10055:G10056)</f>
        <v>0</v>
      </c>
      <c r="H10057" s="16" cm="1">
        <f t="array" ref="H10057">SUM(H10055:H10056)</f>
        <v>0</v>
      </c>
      <c r="I10057" s="16" cm="1">
        <f t="array" ref="I10057">SUM(I10055:I10056)</f>
        <v>0</v>
      </c>
    </row>
    <row r="10058" ht="20.35" customHeight="1">
      <c r="A10058" s="10">
        <v>45831</v>
      </c>
      <c r="B10058" t="s" s="11">
        <v>5</v>
      </c>
      <c r="C10058" t="s" s="12">
        <v>465</v>
      </c>
      <c r="D10058" s="17"/>
      <c r="E10058" s="17">
        <v>100000</v>
      </c>
      <c r="F10058" s="18"/>
      <c r="G10058" s="18"/>
      <c r="H10058" s="18"/>
      <c r="I10058" s="18"/>
    </row>
    <row r="10059" ht="20.35" customHeight="1">
      <c r="A10059" s="10">
        <v>45831</v>
      </c>
      <c r="B10059" t="s" s="11">
        <v>89</v>
      </c>
      <c r="C10059" t="s" s="12">
        <v>465</v>
      </c>
      <c r="D10059" s="13">
        <v>100000</v>
      </c>
      <c r="E10059" s="13"/>
      <c r="F10059" s="14"/>
      <c r="G10059" s="14"/>
      <c r="H10059" s="14"/>
      <c r="I10059" s="14"/>
    </row>
    <row r="10060" ht="20.7" customHeight="1">
      <c r="A10060" s="10">
        <v>45831</v>
      </c>
      <c r="B10060" t="s" s="11">
        <v>8</v>
      </c>
      <c r="C10060" t="s" s="12">
        <v>8</v>
      </c>
      <c r="D10060" s="15" cm="1">
        <f t="array" ref="D10060">SUM(D10058:D10059)</f>
        <v>100000</v>
      </c>
      <c r="E10060" s="15" cm="1">
        <f t="array" ref="E10060">SUM(E10058:E10059)</f>
        <v>100000</v>
      </c>
      <c r="F10060" s="16" cm="1">
        <f t="array" ref="F10060">SUM(F10058:F10059)</f>
        <v>0</v>
      </c>
      <c r="G10060" s="16" cm="1">
        <f t="array" ref="G10060">SUM(G10058:G10059)</f>
        <v>0</v>
      </c>
      <c r="H10060" s="16" cm="1">
        <f t="array" ref="H10060">SUM(H10058:H10059)</f>
        <v>0</v>
      </c>
      <c r="I10060" s="16" cm="1">
        <f t="array" ref="I10060">SUM(I10058:I10059)</f>
        <v>0</v>
      </c>
    </row>
    <row r="10061" ht="20.35" customHeight="1">
      <c r="A10061" s="10">
        <v>45831</v>
      </c>
      <c r="B10061" t="s" s="11">
        <v>39</v>
      </c>
      <c r="C10061" t="s" s="12">
        <v>64</v>
      </c>
      <c r="D10061" s="17"/>
      <c r="E10061" s="17"/>
      <c r="F10061" s="18">
        <v>50</v>
      </c>
      <c r="G10061" s="18"/>
      <c r="H10061" s="18"/>
      <c r="I10061" s="18"/>
    </row>
    <row r="10062" ht="20.35" customHeight="1">
      <c r="A10062" s="10">
        <v>45831</v>
      </c>
      <c r="B10062" t="s" s="11">
        <v>41</v>
      </c>
      <c r="C10062" t="s" s="12">
        <v>64</v>
      </c>
      <c r="D10062" s="13"/>
      <c r="E10062" s="13"/>
      <c r="F10062" s="14"/>
      <c r="G10062" s="14">
        <v>50</v>
      </c>
      <c r="H10062" s="14"/>
      <c r="I10062" s="14"/>
    </row>
    <row r="10063" ht="20.7" customHeight="1">
      <c r="A10063" s="10">
        <v>45831</v>
      </c>
      <c r="B10063" t="s" s="11">
        <v>8</v>
      </c>
      <c r="C10063" t="s" s="12">
        <v>8</v>
      </c>
      <c r="D10063" s="15" cm="1">
        <f t="array" ref="D10063">SUM(D10061:D10062)</f>
        <v>0</v>
      </c>
      <c r="E10063" s="15" cm="1">
        <f t="array" ref="E10063">SUM(E10061:E10062)</f>
        <v>0</v>
      </c>
      <c r="F10063" s="16" cm="1">
        <f t="array" ref="F10063">SUM(F10061:F10062)</f>
        <v>50</v>
      </c>
      <c r="G10063" s="16" cm="1">
        <f t="array" ref="G10063">SUM(G10061:G10062)</f>
        <v>50</v>
      </c>
      <c r="H10063" s="16" cm="1">
        <f t="array" ref="H10063">SUM(H10061:H10062)</f>
        <v>0</v>
      </c>
      <c r="I10063" s="16" cm="1">
        <f t="array" ref="I10063">SUM(I10061:I10062)</f>
        <v>0</v>
      </c>
    </row>
    <row r="10064" ht="21.25" customHeight="1">
      <c r="A10064" s="10">
        <v>45831</v>
      </c>
      <c r="B10064" t="s" s="11">
        <v>21</v>
      </c>
      <c r="C10064" t="s" s="12">
        <v>1314</v>
      </c>
      <c r="D10064" s="17"/>
      <c r="E10064" s="17">
        <v>2400</v>
      </c>
      <c r="F10064" s="18"/>
      <c r="G10064" s="18"/>
      <c r="H10064" s="18"/>
      <c r="I10064" s="18"/>
    </row>
    <row r="10065" ht="21.25" customHeight="1">
      <c r="A10065" s="10">
        <v>45831</v>
      </c>
      <c r="B10065" t="s" s="11">
        <v>16</v>
      </c>
      <c r="C10065" t="s" s="12">
        <v>1314</v>
      </c>
      <c r="D10065" s="13">
        <v>2400</v>
      </c>
      <c r="E10065" s="13"/>
      <c r="F10065" s="14"/>
      <c r="G10065" s="14"/>
      <c r="H10065" s="14"/>
      <c r="I10065" s="14"/>
    </row>
    <row r="10066" ht="20.7" customHeight="1">
      <c r="A10066" s="10">
        <v>45831</v>
      </c>
      <c r="B10066" t="s" s="11">
        <v>8</v>
      </c>
      <c r="C10066" t="s" s="12">
        <v>8</v>
      </c>
      <c r="D10066" s="15" cm="1">
        <f t="array" ref="D10066">SUM(D10064:D10065)</f>
        <v>2400</v>
      </c>
      <c r="E10066" s="15" cm="1">
        <f t="array" ref="E10066">SUM(E10064:E10065)</f>
        <v>2400</v>
      </c>
      <c r="F10066" s="16" cm="1">
        <f t="array" ref="F10066">SUM(F10064:F10065)</f>
        <v>0</v>
      </c>
      <c r="G10066" s="16" cm="1">
        <f t="array" ref="G10066">SUM(G10064:G10065)</f>
        <v>0</v>
      </c>
      <c r="H10066" s="16" cm="1">
        <f t="array" ref="H10066">SUM(H10064:H10065)</f>
        <v>0</v>
      </c>
      <c r="I10066" s="16" cm="1">
        <f t="array" ref="I10066">SUM(I10064:I10065)</f>
        <v>0</v>
      </c>
    </row>
    <row r="10067" ht="20.65" customHeight="1">
      <c r="A10067" s="10">
        <v>45832</v>
      </c>
      <c r="B10067" t="s" s="11">
        <v>843</v>
      </c>
      <c r="C10067" t="s" s="12">
        <v>820</v>
      </c>
      <c r="D10067" s="17">
        <v>12</v>
      </c>
      <c r="E10067" s="17"/>
      <c r="F10067" s="18"/>
      <c r="G10067" s="18"/>
      <c r="H10067" s="18"/>
      <c r="I10067" s="18"/>
    </row>
    <row r="10068" ht="20.65" customHeight="1">
      <c r="A10068" s="10">
        <v>45832</v>
      </c>
      <c r="B10068" t="s" s="11">
        <v>7</v>
      </c>
      <c r="C10068" t="s" s="12">
        <v>820</v>
      </c>
      <c r="D10068" s="13"/>
      <c r="E10068" s="13">
        <v>12</v>
      </c>
      <c r="F10068" s="14"/>
      <c r="G10068" s="14"/>
      <c r="H10068" s="14"/>
      <c r="I10068" s="14"/>
    </row>
    <row r="10069" ht="20.7" customHeight="1">
      <c r="A10069" s="10">
        <v>45832</v>
      </c>
      <c r="B10069" t="s" s="11">
        <v>8</v>
      </c>
      <c r="C10069" t="s" s="12">
        <v>8</v>
      </c>
      <c r="D10069" s="15" cm="1">
        <f t="array" ref="D10069">SUM(D10067:D10068)</f>
        <v>12</v>
      </c>
      <c r="E10069" s="15" cm="1">
        <f t="array" ref="E10069">SUM(E10067:E10068)</f>
        <v>12</v>
      </c>
      <c r="F10069" s="16" cm="1">
        <f t="array" ref="F10069">SUM(F10067:F10068)</f>
        <v>0</v>
      </c>
      <c r="G10069" s="16" cm="1">
        <f t="array" ref="G10069">SUM(G10067:G10068)</f>
        <v>0</v>
      </c>
      <c r="H10069" s="16" cm="1">
        <f t="array" ref="H10069">SUM(H10067:H10068)</f>
        <v>0</v>
      </c>
      <c r="I10069" s="16" cm="1">
        <f t="array" ref="I10069">SUM(I10067:I10068)</f>
        <v>0</v>
      </c>
    </row>
    <row r="10070" ht="20.65" customHeight="1">
      <c r="A10070" s="10">
        <v>45832</v>
      </c>
      <c r="B10070" t="s" s="11">
        <v>814</v>
      </c>
      <c r="C10070" t="s" s="12">
        <v>820</v>
      </c>
      <c r="D10070" s="17">
        <v>8</v>
      </c>
      <c r="E10070" s="17"/>
      <c r="F10070" s="18"/>
      <c r="G10070" s="18"/>
      <c r="H10070" s="18"/>
      <c r="I10070" s="18"/>
    </row>
    <row r="10071" ht="20.65" customHeight="1">
      <c r="A10071" s="10">
        <v>45832</v>
      </c>
      <c r="B10071" t="s" s="11">
        <v>7</v>
      </c>
      <c r="C10071" t="s" s="12">
        <v>820</v>
      </c>
      <c r="D10071" s="13"/>
      <c r="E10071" s="13">
        <v>8</v>
      </c>
      <c r="F10071" s="14"/>
      <c r="G10071" s="14"/>
      <c r="H10071" s="14"/>
      <c r="I10071" s="14"/>
    </row>
    <row r="10072" ht="20.7" customHeight="1">
      <c r="A10072" s="10">
        <v>45832</v>
      </c>
      <c r="B10072" t="s" s="11">
        <v>8</v>
      </c>
      <c r="C10072" t="s" s="12">
        <v>8</v>
      </c>
      <c r="D10072" s="15" cm="1">
        <f t="array" ref="D10072">SUM(D10070:D10071)</f>
        <v>8</v>
      </c>
      <c r="E10072" s="15" cm="1">
        <f t="array" ref="E10072">SUM(E10070:E10071)</f>
        <v>8</v>
      </c>
      <c r="F10072" s="16" cm="1">
        <f t="array" ref="F10072">SUM(F10070:F10071)</f>
        <v>0</v>
      </c>
      <c r="G10072" s="16" cm="1">
        <f t="array" ref="G10072">SUM(G10070:G10071)</f>
        <v>0</v>
      </c>
      <c r="H10072" s="16" cm="1">
        <f t="array" ref="H10072">SUM(H10070:H10071)</f>
        <v>0</v>
      </c>
      <c r="I10072" s="16" cm="1">
        <f t="array" ref="I10072">SUM(I10070:I10071)</f>
        <v>0</v>
      </c>
    </row>
    <row r="10073" ht="21.25" customHeight="1">
      <c r="A10073" s="10">
        <v>45832</v>
      </c>
      <c r="B10073" t="s" s="11">
        <v>121</v>
      </c>
      <c r="C10073" t="s" s="12">
        <v>1287</v>
      </c>
      <c r="D10073" s="17"/>
      <c r="E10073" s="17">
        <v>1443</v>
      </c>
      <c r="F10073" s="18"/>
      <c r="G10073" s="18"/>
      <c r="H10073" s="18"/>
      <c r="I10073" s="18"/>
    </row>
    <row r="10074" ht="21.25" customHeight="1">
      <c r="A10074" s="10">
        <v>45832</v>
      </c>
      <c r="B10074" t="s" s="11">
        <v>21</v>
      </c>
      <c r="C10074" t="s" s="12">
        <v>1287</v>
      </c>
      <c r="D10074" s="13">
        <v>1443</v>
      </c>
      <c r="E10074" s="13"/>
      <c r="F10074" s="14"/>
      <c r="G10074" s="14"/>
      <c r="H10074" s="14"/>
      <c r="I10074" s="14"/>
    </row>
    <row r="10075" ht="20.7" customHeight="1">
      <c r="A10075" s="10">
        <v>45832</v>
      </c>
      <c r="B10075" t="s" s="11">
        <v>8</v>
      </c>
      <c r="C10075" t="s" s="12">
        <v>8</v>
      </c>
      <c r="D10075" s="15" cm="1">
        <f t="array" ref="D10075">SUM(D10073:D10074)</f>
        <v>1443</v>
      </c>
      <c r="E10075" s="15" cm="1">
        <f t="array" ref="E10075">SUM(E10073:E10074)</f>
        <v>1443</v>
      </c>
      <c r="F10075" s="16" cm="1">
        <f t="array" ref="F10075">SUM(F10073:F10074)</f>
        <v>0</v>
      </c>
      <c r="G10075" s="16" cm="1">
        <f t="array" ref="G10075">SUM(G10073:G10074)</f>
        <v>0</v>
      </c>
      <c r="H10075" s="16" cm="1">
        <f t="array" ref="H10075">SUM(H10073:H10074)</f>
        <v>0</v>
      </c>
      <c r="I10075" s="16" cm="1">
        <f t="array" ref="I10075">SUM(I10073:I10074)</f>
        <v>0</v>
      </c>
    </row>
    <row r="10076" ht="20.65" customHeight="1">
      <c r="A10076" s="10">
        <v>45832</v>
      </c>
      <c r="B10076" t="s" s="11">
        <v>5</v>
      </c>
      <c r="C10076" t="s" s="12">
        <v>738</v>
      </c>
      <c r="D10076" s="17"/>
      <c r="E10076" s="17">
        <v>670</v>
      </c>
      <c r="F10076" s="18"/>
      <c r="G10076" s="18"/>
      <c r="H10076" s="18"/>
      <c r="I10076" s="18"/>
    </row>
    <row r="10077" ht="20.65" customHeight="1">
      <c r="A10077" s="10">
        <v>45832</v>
      </c>
      <c r="B10077" t="s" s="11">
        <v>89</v>
      </c>
      <c r="C10077" t="s" s="12">
        <v>738</v>
      </c>
      <c r="D10077" s="13">
        <v>670</v>
      </c>
      <c r="E10077" s="13"/>
      <c r="F10077" s="14"/>
      <c r="G10077" s="14"/>
      <c r="H10077" s="14"/>
      <c r="I10077" s="14"/>
    </row>
    <row r="10078" ht="20.7" customHeight="1">
      <c r="A10078" s="10">
        <v>45832</v>
      </c>
      <c r="B10078" t="s" s="11">
        <v>8</v>
      </c>
      <c r="C10078" t="s" s="12">
        <v>8</v>
      </c>
      <c r="D10078" s="15" cm="1">
        <f t="array" ref="D10078">SUM(D10076:D10077)</f>
        <v>670</v>
      </c>
      <c r="E10078" s="15" cm="1">
        <f t="array" ref="E10078">SUM(E10076:E10077)</f>
        <v>670</v>
      </c>
      <c r="F10078" s="16" cm="1">
        <f t="array" ref="F10078">SUM(F10076:F10077)</f>
        <v>0</v>
      </c>
      <c r="G10078" s="16" cm="1">
        <f t="array" ref="G10078">SUM(G10076:G10077)</f>
        <v>0</v>
      </c>
      <c r="H10078" s="16" cm="1">
        <f t="array" ref="H10078">SUM(H10076:H10077)</f>
        <v>0</v>
      </c>
      <c r="I10078" s="16" cm="1">
        <f t="array" ref="I10078">SUM(I10076:I10077)</f>
        <v>0</v>
      </c>
    </row>
    <row r="10079" ht="20.65" customHeight="1">
      <c r="A10079" s="10">
        <v>45833</v>
      </c>
      <c r="B10079" t="s" s="11">
        <v>843</v>
      </c>
      <c r="C10079" t="s" s="12">
        <v>820</v>
      </c>
      <c r="D10079" s="17">
        <v>12</v>
      </c>
      <c r="E10079" s="17"/>
      <c r="F10079" s="18"/>
      <c r="G10079" s="18"/>
      <c r="H10079" s="18"/>
      <c r="I10079" s="18"/>
    </row>
    <row r="10080" ht="20.65" customHeight="1">
      <c r="A10080" s="10">
        <v>45833</v>
      </c>
      <c r="B10080" t="s" s="11">
        <v>7</v>
      </c>
      <c r="C10080" t="s" s="12">
        <v>820</v>
      </c>
      <c r="D10080" s="13"/>
      <c r="E10080" s="13">
        <v>12</v>
      </c>
      <c r="F10080" s="14"/>
      <c r="G10080" s="14"/>
      <c r="H10080" s="14"/>
      <c r="I10080" s="14"/>
    </row>
    <row r="10081" ht="20.7" customHeight="1">
      <c r="A10081" s="10">
        <v>45833</v>
      </c>
      <c r="B10081" t="s" s="11">
        <v>8</v>
      </c>
      <c r="C10081" t="s" s="12">
        <v>8</v>
      </c>
      <c r="D10081" s="15" cm="1">
        <f t="array" ref="D10081">SUM(D10079:D10080)</f>
        <v>12</v>
      </c>
      <c r="E10081" s="15" cm="1">
        <f t="array" ref="E10081">SUM(E10079:E10080)</f>
        <v>12</v>
      </c>
      <c r="F10081" s="16" cm="1">
        <f t="array" ref="F10081">SUM(F10079:F10080)</f>
        <v>0</v>
      </c>
      <c r="G10081" s="16" cm="1">
        <f t="array" ref="G10081">SUM(G10079:G10080)</f>
        <v>0</v>
      </c>
      <c r="H10081" s="16" cm="1">
        <f t="array" ref="H10081">SUM(H10079:H10080)</f>
        <v>0</v>
      </c>
      <c r="I10081" s="16" cm="1">
        <f t="array" ref="I10081">SUM(I10079:I10080)</f>
        <v>0</v>
      </c>
    </row>
    <row r="10082" ht="20.65" customHeight="1">
      <c r="A10082" s="10">
        <v>45833</v>
      </c>
      <c r="B10082" t="s" s="11">
        <v>814</v>
      </c>
      <c r="C10082" t="s" s="12">
        <v>820</v>
      </c>
      <c r="D10082" s="17">
        <v>8</v>
      </c>
      <c r="E10082" s="17"/>
      <c r="F10082" s="18"/>
      <c r="G10082" s="18"/>
      <c r="H10082" s="18"/>
      <c r="I10082" s="18"/>
    </row>
    <row r="10083" ht="20.65" customHeight="1">
      <c r="A10083" s="10">
        <v>45833</v>
      </c>
      <c r="B10083" t="s" s="11">
        <v>7</v>
      </c>
      <c r="C10083" t="s" s="12">
        <v>820</v>
      </c>
      <c r="D10083" s="13"/>
      <c r="E10083" s="13">
        <v>8</v>
      </c>
      <c r="F10083" s="14"/>
      <c r="G10083" s="14"/>
      <c r="H10083" s="14"/>
      <c r="I10083" s="14"/>
    </row>
    <row r="10084" ht="20.7" customHeight="1">
      <c r="A10084" s="10">
        <v>45833</v>
      </c>
      <c r="B10084" t="s" s="11">
        <v>8</v>
      </c>
      <c r="C10084" t="s" s="12">
        <v>8</v>
      </c>
      <c r="D10084" s="15" cm="1">
        <f t="array" ref="D10084">SUM(D10082:D10083)</f>
        <v>8</v>
      </c>
      <c r="E10084" s="15" cm="1">
        <f t="array" ref="E10084">SUM(E10082:E10083)</f>
        <v>8</v>
      </c>
      <c r="F10084" s="16" cm="1">
        <f t="array" ref="F10084">SUM(F10082:F10083)</f>
        <v>0</v>
      </c>
      <c r="G10084" s="16" cm="1">
        <f t="array" ref="G10084">SUM(G10082:G10083)</f>
        <v>0</v>
      </c>
      <c r="H10084" s="16" cm="1">
        <f t="array" ref="H10084">SUM(H10082:H10083)</f>
        <v>0</v>
      </c>
      <c r="I10084" s="16" cm="1">
        <f t="array" ref="I10084">SUM(I10082:I10083)</f>
        <v>0</v>
      </c>
    </row>
    <row r="10085" ht="20.35" customHeight="1">
      <c r="A10085" s="10">
        <v>45833</v>
      </c>
      <c r="B10085" t="s" s="11">
        <v>107</v>
      </c>
      <c r="C10085" t="s" s="12">
        <v>1033</v>
      </c>
      <c r="D10085" s="17"/>
      <c r="E10085" s="17">
        <v>9249</v>
      </c>
      <c r="F10085" s="18"/>
      <c r="G10085" s="18"/>
      <c r="H10085" s="18"/>
      <c r="I10085" s="18"/>
    </row>
    <row r="10086" ht="20.05" customHeight="1">
      <c r="A10086" s="10">
        <v>45833</v>
      </c>
      <c r="B10086" t="s" s="11">
        <v>89</v>
      </c>
      <c r="C10086" t="s" s="12">
        <v>1033</v>
      </c>
      <c r="D10086" s="19">
        <v>4625</v>
      </c>
      <c r="E10086" s="19"/>
      <c r="F10086" s="20"/>
      <c r="G10086" s="20"/>
      <c r="H10086" s="20"/>
      <c r="I10086" s="20"/>
    </row>
    <row r="10087" ht="20.35" customHeight="1">
      <c r="A10087" s="10">
        <v>45833</v>
      </c>
      <c r="B10087" t="s" s="11">
        <v>74</v>
      </c>
      <c r="C10087" t="s" s="12">
        <v>1033</v>
      </c>
      <c r="D10087" s="13">
        <v>4624</v>
      </c>
      <c r="E10087" s="13"/>
      <c r="F10087" s="14"/>
      <c r="G10087" s="14"/>
      <c r="H10087" s="14"/>
      <c r="I10087" s="14"/>
    </row>
    <row r="10088" ht="20.7" customHeight="1">
      <c r="A10088" s="10">
        <v>45833</v>
      </c>
      <c r="B10088" t="s" s="11">
        <v>8</v>
      </c>
      <c r="C10088" t="s" s="12">
        <v>8</v>
      </c>
      <c r="D10088" s="15" cm="1">
        <f t="array" ref="D10088">SUM(D10085:D10087)</f>
        <v>9249</v>
      </c>
      <c r="E10088" s="15" cm="1">
        <f t="array" ref="E10088">SUM(E10085:E10087)</f>
        <v>9249</v>
      </c>
      <c r="F10088" s="16" cm="1">
        <f t="array" ref="F10088">SUM(F10085:F10087)</f>
        <v>0</v>
      </c>
      <c r="G10088" s="16" cm="1">
        <f t="array" ref="G10088">SUM(G10085:G10087)</f>
        <v>0</v>
      </c>
      <c r="H10088" s="16" cm="1">
        <f t="array" ref="H10088">SUM(H10085:H10087)</f>
        <v>0</v>
      </c>
      <c r="I10088" s="16" cm="1">
        <f t="array" ref="I10088">SUM(I10085:I10087)</f>
        <v>0</v>
      </c>
    </row>
    <row r="10089" ht="20.35" customHeight="1">
      <c r="A10089" s="10">
        <v>45833</v>
      </c>
      <c r="B10089" t="s" s="11">
        <v>814</v>
      </c>
      <c r="C10089" t="s" s="12">
        <v>96</v>
      </c>
      <c r="D10089" s="17"/>
      <c r="E10089" s="17">
        <v>50000</v>
      </c>
      <c r="F10089" s="18"/>
      <c r="G10089" s="18"/>
      <c r="H10089" s="18"/>
      <c r="I10089" s="18"/>
    </row>
    <row r="10090" ht="20.35" customHeight="1">
      <c r="A10090" s="10">
        <v>45833</v>
      </c>
      <c r="B10090" t="s" s="11">
        <v>5</v>
      </c>
      <c r="C10090" t="s" s="12">
        <v>96</v>
      </c>
      <c r="D10090" s="13">
        <v>50000</v>
      </c>
      <c r="E10090" s="13"/>
      <c r="F10090" s="14"/>
      <c r="G10090" s="14"/>
      <c r="H10090" s="14"/>
      <c r="I10090" s="14"/>
    </row>
    <row r="10091" ht="20.7" customHeight="1">
      <c r="A10091" s="10">
        <v>45833</v>
      </c>
      <c r="B10091" t="s" s="11">
        <v>8</v>
      </c>
      <c r="C10091" t="s" s="12">
        <v>8</v>
      </c>
      <c r="D10091" s="15" cm="1">
        <f t="array" ref="D10091">SUM(D10089:D10090)</f>
        <v>50000</v>
      </c>
      <c r="E10091" s="15" cm="1">
        <f t="array" ref="E10091">SUM(E10089:E10090)</f>
        <v>50000</v>
      </c>
      <c r="F10091" s="16" cm="1">
        <f t="array" ref="F10091">SUM(F10089:F10090)</f>
        <v>0</v>
      </c>
      <c r="G10091" s="16" cm="1">
        <f t="array" ref="G10091">SUM(G10089:G10090)</f>
        <v>0</v>
      </c>
      <c r="H10091" s="16" cm="1">
        <f t="array" ref="H10091">SUM(H10089:H10090)</f>
        <v>0</v>
      </c>
      <c r="I10091" s="16" cm="1">
        <f t="array" ref="I10091">SUM(I10089:I10090)</f>
        <v>0</v>
      </c>
    </row>
    <row r="10092" ht="20.35" customHeight="1">
      <c r="A10092" s="10">
        <v>45833</v>
      </c>
      <c r="B10092" t="s" s="11">
        <v>5</v>
      </c>
      <c r="C10092" t="s" s="12">
        <v>209</v>
      </c>
      <c r="D10092" s="17"/>
      <c r="E10092" s="17">
        <v>40000</v>
      </c>
      <c r="F10092" s="18"/>
      <c r="G10092" s="18"/>
      <c r="H10092" s="18"/>
      <c r="I10092" s="18"/>
    </row>
    <row r="10093" ht="20.35" customHeight="1">
      <c r="A10093" s="10">
        <v>45833</v>
      </c>
      <c r="B10093" t="s" s="11">
        <v>107</v>
      </c>
      <c r="C10093" t="s" s="12">
        <v>209</v>
      </c>
      <c r="D10093" s="13">
        <v>40000</v>
      </c>
      <c r="E10093" s="13"/>
      <c r="F10093" s="14"/>
      <c r="G10093" s="14"/>
      <c r="H10093" s="14"/>
      <c r="I10093" s="14"/>
    </row>
    <row r="10094" ht="20.7" customHeight="1">
      <c r="A10094" s="10">
        <v>45833</v>
      </c>
      <c r="B10094" t="s" s="11">
        <v>8</v>
      </c>
      <c r="C10094" t="s" s="12">
        <v>8</v>
      </c>
      <c r="D10094" s="15" cm="1">
        <f t="array" ref="D10094">SUM(D10092:D10093)</f>
        <v>40000</v>
      </c>
      <c r="E10094" s="15" cm="1">
        <f t="array" ref="E10094">SUM(E10092:E10093)</f>
        <v>40000</v>
      </c>
      <c r="F10094" s="16" cm="1">
        <f t="array" ref="F10094">SUM(F10092:F10093)</f>
        <v>0</v>
      </c>
      <c r="G10094" s="16" cm="1">
        <f t="array" ref="G10094">SUM(G10092:G10093)</f>
        <v>0</v>
      </c>
      <c r="H10094" s="16" cm="1">
        <f t="array" ref="H10094">SUM(H10092:H10093)</f>
        <v>0</v>
      </c>
      <c r="I10094" s="16" cm="1">
        <f t="array" ref="I10094">SUM(I10092:I10093)</f>
        <v>0</v>
      </c>
    </row>
    <row r="10095" ht="20.35" customHeight="1">
      <c r="A10095" s="10">
        <v>45833</v>
      </c>
      <c r="B10095" t="s" s="11">
        <v>843</v>
      </c>
      <c r="C10095" t="s" s="12">
        <v>96</v>
      </c>
      <c r="D10095" s="17"/>
      <c r="E10095" s="17">
        <v>50000</v>
      </c>
      <c r="F10095" s="18"/>
      <c r="G10095" s="18"/>
      <c r="H10095" s="18"/>
      <c r="I10095" s="18"/>
    </row>
    <row r="10096" ht="20.35" customHeight="1">
      <c r="A10096" s="10">
        <v>45833</v>
      </c>
      <c r="B10096" t="s" s="11">
        <v>5</v>
      </c>
      <c r="C10096" t="s" s="12">
        <v>96</v>
      </c>
      <c r="D10096" s="13">
        <v>50000</v>
      </c>
      <c r="E10096" s="13"/>
      <c r="F10096" s="14"/>
      <c r="G10096" s="14"/>
      <c r="H10096" s="14"/>
      <c r="I10096" s="14"/>
    </row>
    <row r="10097" ht="20.7" customHeight="1">
      <c r="A10097" s="10">
        <v>45833</v>
      </c>
      <c r="B10097" t="s" s="11">
        <v>8</v>
      </c>
      <c r="C10097" t="s" s="12">
        <v>8</v>
      </c>
      <c r="D10097" s="15" cm="1">
        <f t="array" ref="D10097">SUM(D10095:D10096)</f>
        <v>50000</v>
      </c>
      <c r="E10097" s="15" cm="1">
        <f t="array" ref="E10097">SUM(E10095:E10096)</f>
        <v>50000</v>
      </c>
      <c r="F10097" s="16" cm="1">
        <f t="array" ref="F10097">SUM(F10095:F10096)</f>
        <v>0</v>
      </c>
      <c r="G10097" s="16" cm="1">
        <f t="array" ref="G10097">SUM(G10095:G10096)</f>
        <v>0</v>
      </c>
      <c r="H10097" s="16" cm="1">
        <f t="array" ref="H10097">SUM(H10095:H10096)</f>
        <v>0</v>
      </c>
      <c r="I10097" s="16" cm="1">
        <f t="array" ref="I10097">SUM(I10095:I10096)</f>
        <v>0</v>
      </c>
    </row>
    <row r="10098" ht="20.35" customHeight="1">
      <c r="A10098" s="10">
        <v>45833</v>
      </c>
      <c r="B10098" t="s" s="11">
        <v>5</v>
      </c>
      <c r="C10098" t="s" s="12">
        <v>439</v>
      </c>
      <c r="D10098" s="17"/>
      <c r="E10098" s="17">
        <v>40000</v>
      </c>
      <c r="F10098" s="18"/>
      <c r="G10098" s="18"/>
      <c r="H10098" s="18"/>
      <c r="I10098" s="18"/>
    </row>
    <row r="10099" ht="20.35" customHeight="1">
      <c r="A10099" s="10">
        <v>45833</v>
      </c>
      <c r="B10099" t="s" s="11">
        <v>121</v>
      </c>
      <c r="C10099" t="s" s="12">
        <v>439</v>
      </c>
      <c r="D10099" s="13">
        <v>40000</v>
      </c>
      <c r="E10099" s="13"/>
      <c r="F10099" s="14"/>
      <c r="G10099" s="14"/>
      <c r="H10099" s="14"/>
      <c r="I10099" s="14"/>
    </row>
    <row r="10100" ht="20.7" customHeight="1">
      <c r="A10100" s="10">
        <v>45833</v>
      </c>
      <c r="B10100" t="s" s="11">
        <v>8</v>
      </c>
      <c r="C10100" t="s" s="12">
        <v>8</v>
      </c>
      <c r="D10100" s="15" cm="1">
        <f t="array" ref="D10100">SUM(D10098:D10099)</f>
        <v>40000</v>
      </c>
      <c r="E10100" s="15" cm="1">
        <f t="array" ref="E10100">SUM(E10098:E10099)</f>
        <v>40000</v>
      </c>
      <c r="F10100" s="16" cm="1">
        <f t="array" ref="F10100">SUM(F10098:F10099)</f>
        <v>0</v>
      </c>
      <c r="G10100" s="16" cm="1">
        <f t="array" ref="G10100">SUM(G10098:G10099)</f>
        <v>0</v>
      </c>
      <c r="H10100" s="16" cm="1">
        <f t="array" ref="H10100">SUM(H10098:H10099)</f>
        <v>0</v>
      </c>
      <c r="I10100" s="16" cm="1">
        <f t="array" ref="I10100">SUM(I10098:I10099)</f>
        <v>0</v>
      </c>
    </row>
    <row r="10101" ht="20.35" customHeight="1">
      <c r="A10101" s="10">
        <v>45833</v>
      </c>
      <c r="B10101" t="s" s="11">
        <v>107</v>
      </c>
      <c r="C10101" t="s" s="12">
        <v>1033</v>
      </c>
      <c r="D10101" s="17"/>
      <c r="E10101" s="17">
        <v>7251</v>
      </c>
      <c r="F10101" s="18"/>
      <c r="G10101" s="18"/>
      <c r="H10101" s="18"/>
      <c r="I10101" s="18"/>
    </row>
    <row r="10102" ht="20.05" customHeight="1">
      <c r="A10102" s="10">
        <v>45833</v>
      </c>
      <c r="B10102" t="s" s="11">
        <v>89</v>
      </c>
      <c r="C10102" t="s" s="12">
        <v>1033</v>
      </c>
      <c r="D10102" s="19">
        <v>3625</v>
      </c>
      <c r="E10102" s="19"/>
      <c r="F10102" s="20"/>
      <c r="G10102" s="20"/>
      <c r="H10102" s="20"/>
      <c r="I10102" s="20"/>
    </row>
    <row r="10103" ht="20.35" customHeight="1">
      <c r="A10103" s="10">
        <v>45833</v>
      </c>
      <c r="B10103" t="s" s="11">
        <v>74</v>
      </c>
      <c r="C10103" t="s" s="12">
        <v>1033</v>
      </c>
      <c r="D10103" s="13">
        <v>3626</v>
      </c>
      <c r="E10103" s="13"/>
      <c r="F10103" s="14"/>
      <c r="G10103" s="14"/>
      <c r="H10103" s="14"/>
      <c r="I10103" s="14"/>
    </row>
    <row r="10104" ht="20.7" customHeight="1">
      <c r="A10104" s="10">
        <v>45833</v>
      </c>
      <c r="B10104" t="s" s="11">
        <v>8</v>
      </c>
      <c r="C10104" t="s" s="12">
        <v>8</v>
      </c>
      <c r="D10104" s="15" cm="1">
        <f t="array" ref="D10104">SUM(D10101:D10103)</f>
        <v>7251</v>
      </c>
      <c r="E10104" s="15" cm="1">
        <f t="array" ref="E10104">SUM(E10101:E10103)</f>
        <v>7251</v>
      </c>
      <c r="F10104" s="16" cm="1">
        <f t="array" ref="F10104">SUM(F10101:F10103)</f>
        <v>0</v>
      </c>
      <c r="G10104" s="16" cm="1">
        <f t="array" ref="G10104">SUM(G10101:G10103)</f>
        <v>0</v>
      </c>
      <c r="H10104" s="16" cm="1">
        <f t="array" ref="H10104">SUM(H10101:H10103)</f>
        <v>0</v>
      </c>
      <c r="I10104" s="16" cm="1">
        <f t="array" ref="I10104">SUM(I10101:I10103)</f>
        <v>0</v>
      </c>
    </row>
    <row r="10105" ht="21.25" customHeight="1">
      <c r="A10105" s="10">
        <v>45833</v>
      </c>
      <c r="B10105" t="s" s="11">
        <v>121</v>
      </c>
      <c r="C10105" t="s" s="12">
        <v>1018</v>
      </c>
      <c r="D10105" s="17"/>
      <c r="E10105" s="17">
        <v>10000</v>
      </c>
      <c r="F10105" s="18"/>
      <c r="G10105" s="18"/>
      <c r="H10105" s="18"/>
      <c r="I10105" s="18"/>
    </row>
    <row r="10106" ht="21.25" customHeight="1">
      <c r="A10106" s="10">
        <v>45833</v>
      </c>
      <c r="B10106" t="s" s="11">
        <v>786</v>
      </c>
      <c r="C10106" t="s" s="12">
        <v>1018</v>
      </c>
      <c r="D10106" s="13">
        <v>10000</v>
      </c>
      <c r="E10106" s="13"/>
      <c r="F10106" s="14"/>
      <c r="G10106" s="14"/>
      <c r="H10106" s="14"/>
      <c r="I10106" s="14"/>
    </row>
    <row r="10107" ht="20.7" customHeight="1">
      <c r="A10107" s="10">
        <v>45833</v>
      </c>
      <c r="B10107" t="s" s="11">
        <v>8</v>
      </c>
      <c r="C10107" t="s" s="12">
        <v>8</v>
      </c>
      <c r="D10107" s="15" cm="1">
        <f t="array" ref="D10107">SUM(D10105:D10106)</f>
        <v>10000</v>
      </c>
      <c r="E10107" s="15" cm="1">
        <f t="array" ref="E10107">SUM(E10105:E10106)</f>
        <v>10000</v>
      </c>
      <c r="F10107" s="16" cm="1">
        <f t="array" ref="F10107">SUM(F10105:F10106)</f>
        <v>0</v>
      </c>
      <c r="G10107" s="16" cm="1">
        <f t="array" ref="G10107">SUM(G10105:G10106)</f>
        <v>0</v>
      </c>
      <c r="H10107" s="16" cm="1">
        <f t="array" ref="H10107">SUM(H10105:H10106)</f>
        <v>0</v>
      </c>
      <c r="I10107" s="16" cm="1">
        <f t="array" ref="I10107">SUM(I10105:I10106)</f>
        <v>0</v>
      </c>
    </row>
    <row r="10108" ht="21.25" customHeight="1">
      <c r="A10108" s="10">
        <v>45833</v>
      </c>
      <c r="B10108" t="s" s="11">
        <v>121</v>
      </c>
      <c r="C10108" t="s" s="12">
        <v>952</v>
      </c>
      <c r="D10108" s="17"/>
      <c r="E10108" s="17">
        <v>10000</v>
      </c>
      <c r="F10108" s="18"/>
      <c r="G10108" s="18"/>
      <c r="H10108" s="18"/>
      <c r="I10108" s="18"/>
    </row>
    <row r="10109" ht="21.25" customHeight="1">
      <c r="A10109" s="10">
        <v>45833</v>
      </c>
      <c r="B10109" t="s" s="11">
        <v>788</v>
      </c>
      <c r="C10109" t="s" s="12">
        <v>952</v>
      </c>
      <c r="D10109" s="13">
        <v>10000</v>
      </c>
      <c r="E10109" s="13"/>
      <c r="F10109" s="14"/>
      <c r="G10109" s="14"/>
      <c r="H10109" s="14"/>
      <c r="I10109" s="14"/>
    </row>
    <row r="10110" ht="20.7" customHeight="1">
      <c r="A10110" s="10">
        <v>45833</v>
      </c>
      <c r="B10110" t="s" s="11">
        <v>8</v>
      </c>
      <c r="C10110" t="s" s="12">
        <v>8</v>
      </c>
      <c r="D10110" s="15" cm="1">
        <f t="array" ref="D10110">SUM(D10108:D10109)</f>
        <v>10000</v>
      </c>
      <c r="E10110" s="15" cm="1">
        <f t="array" ref="E10110">SUM(E10108:E10109)</f>
        <v>10000</v>
      </c>
      <c r="F10110" s="16" cm="1">
        <f t="array" ref="F10110">SUM(F10108:F10109)</f>
        <v>0</v>
      </c>
      <c r="G10110" s="16" cm="1">
        <f t="array" ref="G10110">SUM(G10108:G10109)</f>
        <v>0</v>
      </c>
      <c r="H10110" s="16" cm="1">
        <f t="array" ref="H10110">SUM(H10108:H10109)</f>
        <v>0</v>
      </c>
      <c r="I10110" s="16" cm="1">
        <f t="array" ref="I10110">SUM(I10108:I10109)</f>
        <v>0</v>
      </c>
    </row>
    <row r="10111" ht="21.25" customHeight="1">
      <c r="A10111" s="10">
        <v>45833</v>
      </c>
      <c r="B10111" t="s" s="11">
        <v>5</v>
      </c>
      <c r="C10111" t="s" s="12">
        <v>986</v>
      </c>
      <c r="D10111" s="17"/>
      <c r="E10111" s="17">
        <v>10000</v>
      </c>
      <c r="F10111" s="18"/>
      <c r="G10111" s="18"/>
      <c r="H10111" s="18"/>
      <c r="I10111" s="18"/>
    </row>
    <row r="10112" ht="21.25" customHeight="1">
      <c r="A10112" s="10">
        <v>45833</v>
      </c>
      <c r="B10112" t="s" s="11">
        <v>790</v>
      </c>
      <c r="C10112" t="s" s="12">
        <v>986</v>
      </c>
      <c r="D10112" s="13">
        <v>10000</v>
      </c>
      <c r="E10112" s="13"/>
      <c r="F10112" s="14"/>
      <c r="G10112" s="14"/>
      <c r="H10112" s="14"/>
      <c r="I10112" s="14"/>
    </row>
    <row r="10113" ht="20.7" customHeight="1">
      <c r="A10113" s="10">
        <v>45833</v>
      </c>
      <c r="B10113" t="s" s="11">
        <v>8</v>
      </c>
      <c r="C10113" t="s" s="12">
        <v>8</v>
      </c>
      <c r="D10113" s="15" cm="1">
        <f t="array" ref="D10113">SUM(D10111:D10112)</f>
        <v>10000</v>
      </c>
      <c r="E10113" s="15" cm="1">
        <f t="array" ref="E10113">SUM(E10111:E10112)</f>
        <v>10000</v>
      </c>
      <c r="F10113" s="16" cm="1">
        <f t="array" ref="F10113">SUM(F10111:F10112)</f>
        <v>0</v>
      </c>
      <c r="G10113" s="16" cm="1">
        <f t="array" ref="G10113">SUM(G10111:G10112)</f>
        <v>0</v>
      </c>
      <c r="H10113" s="16" cm="1">
        <f t="array" ref="H10113">SUM(H10111:H10112)</f>
        <v>0</v>
      </c>
      <c r="I10113" s="16" cm="1">
        <f t="array" ref="I10113">SUM(I10111:I10112)</f>
        <v>0</v>
      </c>
    </row>
    <row r="10114" ht="21.25" customHeight="1">
      <c r="A10114" s="10">
        <v>45833</v>
      </c>
      <c r="B10114" t="s" s="11">
        <v>107</v>
      </c>
      <c r="C10114" t="s" s="12">
        <v>1125</v>
      </c>
      <c r="D10114" s="17"/>
      <c r="E10114" s="17">
        <v>10000</v>
      </c>
      <c r="F10114" s="18"/>
      <c r="G10114" s="18"/>
      <c r="H10114" s="18"/>
      <c r="I10114" s="18"/>
    </row>
    <row r="10115" ht="21.25" customHeight="1">
      <c r="A10115" s="10">
        <v>45833</v>
      </c>
      <c r="B10115" t="s" s="11">
        <v>1126</v>
      </c>
      <c r="C10115" t="s" s="12">
        <v>1125</v>
      </c>
      <c r="D10115" s="13">
        <v>10000</v>
      </c>
      <c r="E10115" s="13"/>
      <c r="F10115" s="14"/>
      <c r="G10115" s="14"/>
      <c r="H10115" s="14"/>
      <c r="I10115" s="14"/>
    </row>
    <row r="10116" ht="20.7" customHeight="1">
      <c r="A10116" s="10">
        <v>45833</v>
      </c>
      <c r="B10116" t="s" s="11">
        <v>8</v>
      </c>
      <c r="C10116" t="s" s="12">
        <v>8</v>
      </c>
      <c r="D10116" s="15" cm="1">
        <f t="array" ref="D10116">SUM(D10114:D10115)</f>
        <v>10000</v>
      </c>
      <c r="E10116" s="15" cm="1">
        <f t="array" ref="E10116">SUM(E10114:E10115)</f>
        <v>10000</v>
      </c>
      <c r="F10116" s="16" cm="1">
        <f t="array" ref="F10116">SUM(F10114:F10115)</f>
        <v>0</v>
      </c>
      <c r="G10116" s="16" cm="1">
        <f t="array" ref="G10116">SUM(G10114:G10115)</f>
        <v>0</v>
      </c>
      <c r="H10116" s="16" cm="1">
        <f t="array" ref="H10116">SUM(H10114:H10115)</f>
        <v>0</v>
      </c>
      <c r="I10116" s="16" cm="1">
        <f t="array" ref="I10116">SUM(I10114:I10115)</f>
        <v>0</v>
      </c>
    </row>
    <row r="10117" ht="20.35" customHeight="1">
      <c r="A10117" s="10">
        <v>45833</v>
      </c>
      <c r="B10117" t="s" s="11">
        <v>39</v>
      </c>
      <c r="C10117" t="s" s="12">
        <v>64</v>
      </c>
      <c r="D10117" s="17"/>
      <c r="E10117" s="17"/>
      <c r="F10117" s="18">
        <v>1500</v>
      </c>
      <c r="G10117" s="18"/>
      <c r="H10117" s="18"/>
      <c r="I10117" s="18"/>
    </row>
    <row r="10118" ht="20.35" customHeight="1">
      <c r="A10118" s="10">
        <v>45833</v>
      </c>
      <c r="B10118" t="s" s="11">
        <v>41</v>
      </c>
      <c r="C10118" t="s" s="12">
        <v>64</v>
      </c>
      <c r="D10118" s="13"/>
      <c r="E10118" s="13"/>
      <c r="F10118" s="14"/>
      <c r="G10118" s="14">
        <v>1500</v>
      </c>
      <c r="H10118" s="14"/>
      <c r="I10118" s="14"/>
    </row>
    <row r="10119" ht="20.7" customHeight="1">
      <c r="A10119" s="10">
        <v>45833</v>
      </c>
      <c r="B10119" t="s" s="11">
        <v>8</v>
      </c>
      <c r="C10119" t="s" s="12">
        <v>8</v>
      </c>
      <c r="D10119" s="15" cm="1">
        <f t="array" ref="D10119">SUM(D10117:D10118)</f>
        <v>0</v>
      </c>
      <c r="E10119" s="15" cm="1">
        <f t="array" ref="E10119">SUM(E10117:E10118)</f>
        <v>0</v>
      </c>
      <c r="F10119" s="16" cm="1">
        <f t="array" ref="F10119">SUM(F10117:F10118)</f>
        <v>1500</v>
      </c>
      <c r="G10119" s="16" cm="1">
        <f t="array" ref="G10119">SUM(G10117:G10118)</f>
        <v>1500</v>
      </c>
      <c r="H10119" s="16" cm="1">
        <f t="array" ref="H10119">SUM(H10117:H10118)</f>
        <v>0</v>
      </c>
      <c r="I10119" s="16" cm="1">
        <f t="array" ref="I10119">SUM(I10117:I10118)</f>
        <v>0</v>
      </c>
    </row>
    <row r="10120" ht="20.35" customHeight="1">
      <c r="A10120" s="10">
        <v>45833</v>
      </c>
      <c r="B10120" t="s" s="11">
        <v>39</v>
      </c>
      <c r="C10120" t="s" s="12">
        <v>1315</v>
      </c>
      <c r="D10120" s="17"/>
      <c r="E10120" s="17"/>
      <c r="F10120" s="18"/>
      <c r="G10120" s="18">
        <v>1553.83</v>
      </c>
      <c r="H10120" s="18"/>
      <c r="I10120" s="18"/>
    </row>
    <row r="10121" ht="20.05" customHeight="1">
      <c r="A10121" s="10">
        <v>45833</v>
      </c>
      <c r="B10121" t="s" s="11">
        <v>44</v>
      </c>
      <c r="C10121" t="s" s="12">
        <v>1315</v>
      </c>
      <c r="D10121" s="19"/>
      <c r="E10121" s="19"/>
      <c r="F10121" s="20">
        <v>1533.74</v>
      </c>
      <c r="G10121" s="20"/>
      <c r="H10121" s="20"/>
      <c r="I10121" s="20"/>
    </row>
    <row r="10122" ht="20.05" customHeight="1">
      <c r="A10122" s="10">
        <v>45833</v>
      </c>
      <c r="B10122" t="s" s="11">
        <v>898</v>
      </c>
      <c r="C10122" t="s" s="12">
        <v>1315</v>
      </c>
      <c r="D10122" s="19"/>
      <c r="E10122" s="19"/>
      <c r="F10122" s="20">
        <v>20.09</v>
      </c>
      <c r="G10122" s="20"/>
      <c r="H10122" s="20"/>
      <c r="I10122" s="20"/>
    </row>
    <row r="10123" ht="20.05" customHeight="1">
      <c r="A10123" s="10">
        <v>45833</v>
      </c>
      <c r="B10123" t="s" s="11">
        <v>5</v>
      </c>
      <c r="C10123" t="s" s="12">
        <v>1315</v>
      </c>
      <c r="D10123" s="19">
        <v>491590</v>
      </c>
      <c r="E10123" s="19"/>
      <c r="F10123" s="20"/>
      <c r="G10123" s="20"/>
      <c r="H10123" s="20"/>
      <c r="I10123" s="20"/>
    </row>
    <row r="10124" ht="20.35" customHeight="1">
      <c r="A10124" s="10">
        <v>45833</v>
      </c>
      <c r="B10124" t="s" s="11">
        <v>46</v>
      </c>
      <c r="C10124" t="s" s="12">
        <v>1315</v>
      </c>
      <c r="D10124" s="13"/>
      <c r="E10124" s="13">
        <v>491590</v>
      </c>
      <c r="F10124" s="14"/>
      <c r="G10124" s="14"/>
      <c r="H10124" s="14"/>
      <c r="I10124" s="14"/>
    </row>
    <row r="10125" ht="20.7" customHeight="1">
      <c r="A10125" s="10">
        <v>45833</v>
      </c>
      <c r="B10125" t="s" s="11">
        <v>8</v>
      </c>
      <c r="C10125" t="s" s="12">
        <v>8</v>
      </c>
      <c r="D10125" s="15" cm="1">
        <f t="array" ref="D10125">SUM(D10120:D10124)</f>
        <v>491590</v>
      </c>
      <c r="E10125" s="15" cm="1">
        <f t="array" ref="E10125">SUM(E10120:E10124)</f>
        <v>491590</v>
      </c>
      <c r="F10125" s="16" cm="1">
        <f t="array" ref="F10125">SUM(F10120:F10124)</f>
        <v>1553.83</v>
      </c>
      <c r="G10125" s="16" cm="1">
        <f t="array" ref="G10125">SUM(G10120:G10124)</f>
        <v>1553.83</v>
      </c>
      <c r="H10125" s="16" cm="1">
        <f t="array" ref="H10125">SUM(H10120:H10124)</f>
        <v>0</v>
      </c>
      <c r="I10125" s="16" cm="1">
        <f t="array" ref="I10125">SUM(I10120:I10124)</f>
        <v>0</v>
      </c>
    </row>
    <row r="10126" ht="21.25" customHeight="1">
      <c r="A10126" s="10">
        <v>45833</v>
      </c>
      <c r="B10126" t="s" s="11">
        <v>121</v>
      </c>
      <c r="C10126" t="s" s="12">
        <v>1287</v>
      </c>
      <c r="D10126" s="17"/>
      <c r="E10126" s="17">
        <v>1500</v>
      </c>
      <c r="F10126" s="18"/>
      <c r="G10126" s="18"/>
      <c r="H10126" s="18"/>
      <c r="I10126" s="18"/>
    </row>
    <row r="10127" ht="21.25" customHeight="1">
      <c r="A10127" s="10">
        <v>45833</v>
      </c>
      <c r="B10127" t="s" s="11">
        <v>21</v>
      </c>
      <c r="C10127" t="s" s="12">
        <v>1287</v>
      </c>
      <c r="D10127" s="13">
        <v>1500</v>
      </c>
      <c r="E10127" s="13"/>
      <c r="F10127" s="14"/>
      <c r="G10127" s="14"/>
      <c r="H10127" s="14"/>
      <c r="I10127" s="14"/>
    </row>
    <row r="10128" ht="20.7" customHeight="1">
      <c r="A10128" s="10">
        <v>45833</v>
      </c>
      <c r="B10128" t="s" s="11">
        <v>8</v>
      </c>
      <c r="C10128" t="s" s="12">
        <v>8</v>
      </c>
      <c r="D10128" s="15" cm="1">
        <f t="array" ref="D10128">SUM(D10126:D10127)</f>
        <v>1500</v>
      </c>
      <c r="E10128" s="15" cm="1">
        <f t="array" ref="E10128">SUM(E10126:E10127)</f>
        <v>1500</v>
      </c>
      <c r="F10128" s="16" cm="1">
        <f t="array" ref="F10128">SUM(F10126:F10127)</f>
        <v>0</v>
      </c>
      <c r="G10128" s="16" cm="1">
        <f t="array" ref="G10128">SUM(G10126:G10127)</f>
        <v>0</v>
      </c>
      <c r="H10128" s="16" cm="1">
        <f t="array" ref="H10128">SUM(H10126:H10127)</f>
        <v>0</v>
      </c>
      <c r="I10128" s="16" cm="1">
        <f t="array" ref="I10128">SUM(I10126:I10127)</f>
        <v>0</v>
      </c>
    </row>
    <row r="10129" ht="21.25" customHeight="1">
      <c r="A10129" s="10">
        <v>45833</v>
      </c>
      <c r="B10129" t="s" s="11">
        <v>121</v>
      </c>
      <c r="C10129" t="s" s="12">
        <v>1287</v>
      </c>
      <c r="D10129" s="17"/>
      <c r="E10129" s="17">
        <v>1557</v>
      </c>
      <c r="F10129" s="18"/>
      <c r="G10129" s="18"/>
      <c r="H10129" s="18"/>
      <c r="I10129" s="18"/>
    </row>
    <row r="10130" ht="21.25" customHeight="1">
      <c r="A10130" s="10">
        <v>45833</v>
      </c>
      <c r="B10130" t="s" s="11">
        <v>21</v>
      </c>
      <c r="C10130" t="s" s="12">
        <v>1287</v>
      </c>
      <c r="D10130" s="13">
        <v>1557</v>
      </c>
      <c r="E10130" s="13"/>
      <c r="F10130" s="14"/>
      <c r="G10130" s="14"/>
      <c r="H10130" s="14"/>
      <c r="I10130" s="14"/>
    </row>
    <row r="10131" ht="20.7" customHeight="1">
      <c r="A10131" s="10">
        <v>45833</v>
      </c>
      <c r="B10131" t="s" s="11">
        <v>8</v>
      </c>
      <c r="C10131" t="s" s="12">
        <v>8</v>
      </c>
      <c r="D10131" s="15" cm="1">
        <f t="array" ref="D10131">SUM(D10129:D10130)</f>
        <v>1557</v>
      </c>
      <c r="E10131" s="15" cm="1">
        <f t="array" ref="E10131">SUM(E10129:E10130)</f>
        <v>1557</v>
      </c>
      <c r="F10131" s="16" cm="1">
        <f t="array" ref="F10131">SUM(F10129:F10130)</f>
        <v>0</v>
      </c>
      <c r="G10131" s="16" cm="1">
        <f t="array" ref="G10131">SUM(G10129:G10130)</f>
        <v>0</v>
      </c>
      <c r="H10131" s="16" cm="1">
        <f t="array" ref="H10131">SUM(H10129:H10130)</f>
        <v>0</v>
      </c>
      <c r="I10131" s="16" cm="1">
        <f t="array" ref="I10131">SUM(I10129:I10130)</f>
        <v>0</v>
      </c>
    </row>
    <row r="10132" ht="20.65" customHeight="1">
      <c r="A10132" s="10">
        <v>45833</v>
      </c>
      <c r="B10132" t="s" s="11">
        <v>91</v>
      </c>
      <c r="C10132" t="s" s="12">
        <v>1316</v>
      </c>
      <c r="D10132" s="17"/>
      <c r="E10132" s="17">
        <v>1</v>
      </c>
      <c r="F10132" s="18"/>
      <c r="G10132" s="18"/>
      <c r="H10132" s="18"/>
      <c r="I10132" s="18"/>
    </row>
    <row r="10133" ht="20.65" customHeight="1">
      <c r="A10133" s="10">
        <v>45833</v>
      </c>
      <c r="B10133" t="s" s="11">
        <v>5</v>
      </c>
      <c r="C10133" t="s" s="12">
        <v>1316</v>
      </c>
      <c r="D10133" s="13">
        <v>1</v>
      </c>
      <c r="E10133" s="13"/>
      <c r="F10133" s="14"/>
      <c r="G10133" s="14"/>
      <c r="H10133" s="14"/>
      <c r="I10133" s="14"/>
    </row>
    <row r="10134" ht="20.7" customHeight="1">
      <c r="A10134" s="10">
        <v>45833</v>
      </c>
      <c r="B10134" t="s" s="11">
        <v>8</v>
      </c>
      <c r="C10134" t="s" s="12">
        <v>8</v>
      </c>
      <c r="D10134" s="15" cm="1">
        <f t="array" ref="D10134">SUM(D10132:D10133)</f>
        <v>1</v>
      </c>
      <c r="E10134" s="15" cm="1">
        <f t="array" ref="E10134">SUM(E10132:E10133)</f>
        <v>1</v>
      </c>
      <c r="F10134" s="16" cm="1">
        <f t="array" ref="F10134">SUM(F10132:F10133)</f>
        <v>0</v>
      </c>
      <c r="G10134" s="16" cm="1">
        <f t="array" ref="G10134">SUM(G10132:G10133)</f>
        <v>0</v>
      </c>
      <c r="H10134" s="16" cm="1">
        <f t="array" ref="H10134">SUM(H10132:H10133)</f>
        <v>0</v>
      </c>
      <c r="I10134" s="16" cm="1">
        <f t="array" ref="I10134">SUM(I10132:I10133)</f>
        <v>0</v>
      </c>
    </row>
    <row r="10135" ht="20.35" customHeight="1">
      <c r="A10135" s="10">
        <v>45833</v>
      </c>
      <c r="B10135" t="s" s="11">
        <v>39</v>
      </c>
      <c r="C10135" t="s" s="12">
        <v>64</v>
      </c>
      <c r="D10135" s="17"/>
      <c r="E10135" s="17"/>
      <c r="F10135" s="18">
        <v>1500</v>
      </c>
      <c r="G10135" s="18"/>
      <c r="H10135" s="18"/>
      <c r="I10135" s="18"/>
    </row>
    <row r="10136" ht="20.35" customHeight="1">
      <c r="A10136" s="10">
        <v>45833</v>
      </c>
      <c r="B10136" t="s" s="11">
        <v>41</v>
      </c>
      <c r="C10136" t="s" s="12">
        <v>64</v>
      </c>
      <c r="D10136" s="13"/>
      <c r="E10136" s="13"/>
      <c r="F10136" s="14"/>
      <c r="G10136" s="14">
        <v>1500</v>
      </c>
      <c r="H10136" s="14"/>
      <c r="I10136" s="14"/>
    </row>
    <row r="10137" ht="20.7" customHeight="1">
      <c r="A10137" s="10">
        <v>45833</v>
      </c>
      <c r="B10137" t="s" s="11">
        <v>8</v>
      </c>
      <c r="C10137" t="s" s="12">
        <v>8</v>
      </c>
      <c r="D10137" s="15" cm="1">
        <f t="array" ref="D10137">SUM(D10135:D10136)</f>
        <v>0</v>
      </c>
      <c r="E10137" s="15" cm="1">
        <f t="array" ref="E10137">SUM(E10135:E10136)</f>
        <v>0</v>
      </c>
      <c r="F10137" s="16" cm="1">
        <f t="array" ref="F10137">SUM(F10135:F10136)</f>
        <v>1500</v>
      </c>
      <c r="G10137" s="16" cm="1">
        <f t="array" ref="G10137">SUM(G10135:G10136)</f>
        <v>1500</v>
      </c>
      <c r="H10137" s="16" cm="1">
        <f t="array" ref="H10137">SUM(H10135:H10136)</f>
        <v>0</v>
      </c>
      <c r="I10137" s="16" cm="1">
        <f t="array" ref="I10137">SUM(I10135:I10136)</f>
        <v>0</v>
      </c>
    </row>
    <row r="10138" ht="20.35" customHeight="1">
      <c r="A10138" s="10">
        <v>45833</v>
      </c>
      <c r="B10138" t="s" s="11">
        <v>39</v>
      </c>
      <c r="C10138" t="s" s="12">
        <v>1317</v>
      </c>
      <c r="D10138" s="17"/>
      <c r="E10138" s="17"/>
      <c r="F10138" s="18"/>
      <c r="G10138" s="18">
        <v>1446.17</v>
      </c>
      <c r="H10138" s="18"/>
      <c r="I10138" s="18"/>
    </row>
    <row r="10139" ht="20.05" customHeight="1">
      <c r="A10139" s="10">
        <v>45833</v>
      </c>
      <c r="B10139" t="s" s="11">
        <v>44</v>
      </c>
      <c r="C10139" t="s" s="12">
        <v>1317</v>
      </c>
      <c r="D10139" s="19"/>
      <c r="E10139" s="19"/>
      <c r="F10139" s="20">
        <v>1426.95</v>
      </c>
      <c r="G10139" s="20"/>
      <c r="H10139" s="20"/>
      <c r="I10139" s="20"/>
    </row>
    <row r="10140" ht="20.05" customHeight="1">
      <c r="A10140" s="10">
        <v>45833</v>
      </c>
      <c r="B10140" t="s" s="11">
        <v>898</v>
      </c>
      <c r="C10140" t="s" s="12">
        <v>1317</v>
      </c>
      <c r="D10140" s="19"/>
      <c r="E10140" s="19"/>
      <c r="F10140" s="20">
        <v>19.22</v>
      </c>
      <c r="G10140" s="20"/>
      <c r="H10140" s="20"/>
      <c r="I10140" s="20"/>
    </row>
    <row r="10141" ht="20.05" customHeight="1">
      <c r="A10141" s="10">
        <v>45833</v>
      </c>
      <c r="B10141" t="s" s="11">
        <v>5</v>
      </c>
      <c r="C10141" t="s" s="12">
        <v>1317</v>
      </c>
      <c r="D10141" s="19">
        <v>458739</v>
      </c>
      <c r="E10141" s="19"/>
      <c r="F10141" s="20"/>
      <c r="G10141" s="20"/>
      <c r="H10141" s="20"/>
      <c r="I10141" s="20"/>
    </row>
    <row r="10142" ht="20.35" customHeight="1">
      <c r="A10142" s="10">
        <v>45833</v>
      </c>
      <c r="B10142" t="s" s="11">
        <v>46</v>
      </c>
      <c r="C10142" t="s" s="12">
        <v>1317</v>
      </c>
      <c r="D10142" s="13"/>
      <c r="E10142" s="13">
        <v>458739</v>
      </c>
      <c r="F10142" s="14"/>
      <c r="G10142" s="14"/>
      <c r="H10142" s="14"/>
      <c r="I10142" s="14"/>
    </row>
    <row r="10143" ht="20.7" customHeight="1">
      <c r="A10143" s="10">
        <v>45833</v>
      </c>
      <c r="B10143" t="s" s="11">
        <v>8</v>
      </c>
      <c r="C10143" t="s" s="12">
        <v>8</v>
      </c>
      <c r="D10143" s="15" cm="1">
        <f t="array" ref="D10143">SUM(D10138:D10142)</f>
        <v>458739</v>
      </c>
      <c r="E10143" s="15" cm="1">
        <f t="array" ref="E10143">SUM(E10138:E10142)</f>
        <v>458739</v>
      </c>
      <c r="F10143" s="16" cm="1">
        <f t="array" ref="F10143">SUM(F10138:F10142)</f>
        <v>1446.17</v>
      </c>
      <c r="G10143" s="16" cm="1">
        <f t="array" ref="G10143">SUM(G10138:G10142)</f>
        <v>1446.17</v>
      </c>
      <c r="H10143" s="16" cm="1">
        <f t="array" ref="H10143">SUM(H10138:H10142)</f>
        <v>0</v>
      </c>
      <c r="I10143" s="16" cm="1">
        <f t="array" ref="I10143">SUM(I10138:I10142)</f>
        <v>0</v>
      </c>
    </row>
    <row r="10144" ht="20.35" customHeight="1">
      <c r="A10144" s="10">
        <v>45833</v>
      </c>
      <c r="B10144" t="s" s="11">
        <v>843</v>
      </c>
      <c r="C10144" t="s" s="12">
        <v>96</v>
      </c>
      <c r="D10144" s="17"/>
      <c r="E10144" s="17">
        <v>200000</v>
      </c>
      <c r="F10144" s="18"/>
      <c r="G10144" s="18"/>
      <c r="H10144" s="18"/>
      <c r="I10144" s="18"/>
    </row>
    <row r="10145" ht="20.35" customHeight="1">
      <c r="A10145" s="10">
        <v>45833</v>
      </c>
      <c r="B10145" t="s" s="11">
        <v>5</v>
      </c>
      <c r="C10145" t="s" s="12">
        <v>96</v>
      </c>
      <c r="D10145" s="13">
        <v>200000</v>
      </c>
      <c r="E10145" s="13"/>
      <c r="F10145" s="14"/>
      <c r="G10145" s="14"/>
      <c r="H10145" s="14"/>
      <c r="I10145" s="14"/>
    </row>
    <row r="10146" ht="20.7" customHeight="1">
      <c r="A10146" s="10">
        <v>45833</v>
      </c>
      <c r="B10146" t="s" s="11">
        <v>8</v>
      </c>
      <c r="C10146" t="s" s="12">
        <v>8</v>
      </c>
      <c r="D10146" s="15" cm="1">
        <f t="array" ref="D10146">SUM(D10144:D10145)</f>
        <v>200000</v>
      </c>
      <c r="E10146" s="15" cm="1">
        <f t="array" ref="E10146">SUM(E10144:E10145)</f>
        <v>200000</v>
      </c>
      <c r="F10146" s="16" cm="1">
        <f t="array" ref="F10146">SUM(F10144:F10145)</f>
        <v>0</v>
      </c>
      <c r="G10146" s="16" cm="1">
        <f t="array" ref="G10146">SUM(G10144:G10145)</f>
        <v>0</v>
      </c>
      <c r="H10146" s="16" cm="1">
        <f t="array" ref="H10146">SUM(H10144:H10145)</f>
        <v>0</v>
      </c>
      <c r="I10146" s="16" cm="1">
        <f t="array" ref="I10146">SUM(I10144:I10145)</f>
        <v>0</v>
      </c>
    </row>
    <row r="10147" ht="20.35" customHeight="1">
      <c r="A10147" s="10">
        <v>45833</v>
      </c>
      <c r="B10147" t="s" s="11">
        <v>5</v>
      </c>
      <c r="C10147" t="s" s="12">
        <v>75</v>
      </c>
      <c r="D10147" s="17"/>
      <c r="E10147" s="17">
        <v>1150000</v>
      </c>
      <c r="F10147" s="18"/>
      <c r="G10147" s="18"/>
      <c r="H10147" s="18"/>
      <c r="I10147" s="18"/>
    </row>
    <row r="10148" ht="20.05" customHeight="1">
      <c r="A10148" s="10">
        <v>45833</v>
      </c>
      <c r="B10148" t="s" s="11">
        <v>89</v>
      </c>
      <c r="C10148" t="s" s="12">
        <v>75</v>
      </c>
      <c r="D10148" s="19">
        <v>575000</v>
      </c>
      <c r="E10148" s="19"/>
      <c r="F10148" s="20"/>
      <c r="G10148" s="20"/>
      <c r="H10148" s="20"/>
      <c r="I10148" s="20"/>
    </row>
    <row r="10149" ht="20.35" customHeight="1">
      <c r="A10149" s="10">
        <v>45833</v>
      </c>
      <c r="B10149" t="s" s="11">
        <v>74</v>
      </c>
      <c r="C10149" t="s" s="12">
        <v>75</v>
      </c>
      <c r="D10149" s="13">
        <v>575000</v>
      </c>
      <c r="E10149" s="13"/>
      <c r="F10149" s="14"/>
      <c r="G10149" s="14"/>
      <c r="H10149" s="14"/>
      <c r="I10149" s="14"/>
    </row>
    <row r="10150" ht="20.7" customHeight="1">
      <c r="A10150" s="10">
        <v>45833</v>
      </c>
      <c r="B10150" t="s" s="11">
        <v>8</v>
      </c>
      <c r="C10150" t="s" s="12">
        <v>8</v>
      </c>
      <c r="D10150" s="15" cm="1">
        <f t="array" ref="D10150">SUM(D10147:D10149)</f>
        <v>1150000</v>
      </c>
      <c r="E10150" s="15" cm="1">
        <f t="array" ref="E10150">SUM(E10147:E10149)</f>
        <v>1150000</v>
      </c>
      <c r="F10150" s="16" cm="1">
        <f t="array" ref="F10150">SUM(F10147:F10149)</f>
        <v>0</v>
      </c>
      <c r="G10150" s="16" cm="1">
        <f t="array" ref="G10150">SUM(G10147:G10149)</f>
        <v>0</v>
      </c>
      <c r="H10150" s="16" cm="1">
        <f t="array" ref="H10150">SUM(H10147:H10149)</f>
        <v>0</v>
      </c>
      <c r="I10150" s="16" cm="1">
        <f t="array" ref="I10150">SUM(I10147:I10149)</f>
        <v>0</v>
      </c>
    </row>
    <row r="10151" ht="20.35" customHeight="1">
      <c r="A10151" s="10">
        <v>45833</v>
      </c>
      <c r="B10151" t="s" s="11">
        <v>5</v>
      </c>
      <c r="C10151" t="s" s="12">
        <v>735</v>
      </c>
      <c r="D10151" s="17"/>
      <c r="E10151" s="17">
        <v>10000</v>
      </c>
      <c r="F10151" s="18"/>
      <c r="G10151" s="18"/>
      <c r="H10151" s="18"/>
      <c r="I10151" s="18"/>
    </row>
    <row r="10152" ht="20.35" customHeight="1">
      <c r="A10152" s="10">
        <v>45833</v>
      </c>
      <c r="B10152" t="s" s="11">
        <v>28</v>
      </c>
      <c r="C10152" t="s" s="12">
        <v>735</v>
      </c>
      <c r="D10152" s="13">
        <v>10000</v>
      </c>
      <c r="E10152" s="13"/>
      <c r="F10152" s="14"/>
      <c r="G10152" s="14"/>
      <c r="H10152" s="14"/>
      <c r="I10152" s="14"/>
    </row>
    <row r="10153" ht="20.7" customHeight="1">
      <c r="A10153" s="10">
        <v>45833</v>
      </c>
      <c r="B10153" t="s" s="11">
        <v>8</v>
      </c>
      <c r="C10153" t="s" s="12">
        <v>8</v>
      </c>
      <c r="D10153" s="15" cm="1">
        <f t="array" ref="D10153">SUM(D10151:D10152)</f>
        <v>10000</v>
      </c>
      <c r="E10153" s="15" cm="1">
        <f t="array" ref="E10153">SUM(E10151:E10152)</f>
        <v>10000</v>
      </c>
      <c r="F10153" s="16" cm="1">
        <f t="array" ref="F10153">SUM(F10151:F10152)</f>
        <v>0</v>
      </c>
      <c r="G10153" s="16" cm="1">
        <f t="array" ref="G10153">SUM(G10151:G10152)</f>
        <v>0</v>
      </c>
      <c r="H10153" s="16" cm="1">
        <f t="array" ref="H10153">SUM(H10151:H10152)</f>
        <v>0</v>
      </c>
      <c r="I10153" s="16" cm="1">
        <f t="array" ref="I10153">SUM(I10151:I10152)</f>
        <v>0</v>
      </c>
    </row>
    <row r="10154" ht="20.35" customHeight="1">
      <c r="A10154" s="10">
        <v>45833</v>
      </c>
      <c r="B10154" t="s" s="11">
        <v>28</v>
      </c>
      <c r="C10154" t="s" s="12">
        <v>1318</v>
      </c>
      <c r="D10154" s="17"/>
      <c r="E10154" s="17">
        <v>40000</v>
      </c>
      <c r="F10154" s="18"/>
      <c r="G10154" s="18"/>
      <c r="H10154" s="18"/>
      <c r="I10154" s="18"/>
    </row>
    <row r="10155" ht="20.35" customHeight="1">
      <c r="A10155" s="10">
        <v>45833</v>
      </c>
      <c r="B10155" t="s" s="11">
        <v>10</v>
      </c>
      <c r="C10155" t="s" s="12">
        <v>1318</v>
      </c>
      <c r="D10155" s="13">
        <v>40000</v>
      </c>
      <c r="E10155" s="13"/>
      <c r="F10155" s="14"/>
      <c r="G10155" s="14"/>
      <c r="H10155" s="14"/>
      <c r="I10155" s="14"/>
    </row>
    <row r="10156" ht="20.7" customHeight="1">
      <c r="A10156" s="10">
        <v>45833</v>
      </c>
      <c r="B10156" t="s" s="11">
        <v>8</v>
      </c>
      <c r="C10156" t="s" s="12">
        <v>8</v>
      </c>
      <c r="D10156" s="15" cm="1">
        <f t="array" ref="D10156">SUM(D10154:D10155)</f>
        <v>40000</v>
      </c>
      <c r="E10156" s="15" cm="1">
        <f t="array" ref="E10156">SUM(E10154:E10155)</f>
        <v>40000</v>
      </c>
      <c r="F10156" s="16" cm="1">
        <f t="array" ref="F10156">SUM(F10154:F10155)</f>
        <v>0</v>
      </c>
      <c r="G10156" s="16" cm="1">
        <f t="array" ref="G10156">SUM(G10154:G10155)</f>
        <v>0</v>
      </c>
      <c r="H10156" s="16" cm="1">
        <f t="array" ref="H10156">SUM(H10154:H10155)</f>
        <v>0</v>
      </c>
      <c r="I10156" s="16" cm="1">
        <f t="array" ref="I10156">SUM(I10154:I10155)</f>
        <v>0</v>
      </c>
    </row>
    <row r="10157" ht="20.65" customHeight="1">
      <c r="A10157" s="10">
        <v>45833</v>
      </c>
      <c r="B10157" t="s" s="11">
        <v>121</v>
      </c>
      <c r="C10157" t="s" s="12">
        <v>1296</v>
      </c>
      <c r="D10157" s="17"/>
      <c r="E10157" s="17">
        <v>2000</v>
      </c>
      <c r="F10157" s="18"/>
      <c r="G10157" s="18"/>
      <c r="H10157" s="18"/>
      <c r="I10157" s="18"/>
    </row>
    <row r="10158" ht="20.65" customHeight="1">
      <c r="A10158" s="10">
        <v>45833</v>
      </c>
      <c r="B10158" t="s" s="11">
        <v>10</v>
      </c>
      <c r="C10158" t="s" s="12">
        <v>1296</v>
      </c>
      <c r="D10158" s="13">
        <v>2000</v>
      </c>
      <c r="E10158" s="13"/>
      <c r="F10158" s="14"/>
      <c r="G10158" s="14"/>
      <c r="H10158" s="14"/>
      <c r="I10158" s="14"/>
    </row>
    <row r="10159" ht="20.7" customHeight="1">
      <c r="A10159" s="10">
        <v>45833</v>
      </c>
      <c r="B10159" t="s" s="11">
        <v>8</v>
      </c>
      <c r="C10159" t="s" s="12">
        <v>8</v>
      </c>
      <c r="D10159" s="15" cm="1">
        <f t="array" ref="D10159">SUM(D10157:D10158)</f>
        <v>2000</v>
      </c>
      <c r="E10159" s="15" cm="1">
        <f t="array" ref="E10159">SUM(E10157:E10158)</f>
        <v>2000</v>
      </c>
      <c r="F10159" s="16" cm="1">
        <f t="array" ref="F10159">SUM(F10157:F10158)</f>
        <v>0</v>
      </c>
      <c r="G10159" s="16" cm="1">
        <f t="array" ref="G10159">SUM(G10157:G10158)</f>
        <v>0</v>
      </c>
      <c r="H10159" s="16" cm="1">
        <f t="array" ref="H10159">SUM(H10157:H10158)</f>
        <v>0</v>
      </c>
      <c r="I10159" s="16" cm="1">
        <f t="array" ref="I10159">SUM(I10157:I10158)</f>
        <v>0</v>
      </c>
    </row>
    <row r="10160" ht="20.35" customHeight="1">
      <c r="A10160" s="10">
        <v>45833</v>
      </c>
      <c r="B10160" t="s" s="11">
        <v>814</v>
      </c>
      <c r="C10160" t="s" s="12">
        <v>96</v>
      </c>
      <c r="D10160" s="17"/>
      <c r="E10160" s="17">
        <v>149180</v>
      </c>
      <c r="F10160" s="18"/>
      <c r="G10160" s="18"/>
      <c r="H10160" s="18"/>
      <c r="I10160" s="18"/>
    </row>
    <row r="10161" ht="20.35" customHeight="1">
      <c r="A10161" s="10">
        <v>45833</v>
      </c>
      <c r="B10161" t="s" s="11">
        <v>5</v>
      </c>
      <c r="C10161" t="s" s="12">
        <v>96</v>
      </c>
      <c r="D10161" s="13">
        <v>149180</v>
      </c>
      <c r="E10161" s="13"/>
      <c r="F10161" s="14"/>
      <c r="G10161" s="14"/>
      <c r="H10161" s="14"/>
      <c r="I10161" s="14"/>
    </row>
    <row r="10162" ht="20.7" customHeight="1">
      <c r="A10162" s="10">
        <v>45833</v>
      </c>
      <c r="B10162" t="s" s="11">
        <v>8</v>
      </c>
      <c r="C10162" t="s" s="12">
        <v>8</v>
      </c>
      <c r="D10162" s="15" cm="1">
        <f t="array" ref="D10162">SUM(D10160:D10161)</f>
        <v>149180</v>
      </c>
      <c r="E10162" s="15" cm="1">
        <f t="array" ref="E10162">SUM(E10160:E10161)</f>
        <v>149180</v>
      </c>
      <c r="F10162" s="16" cm="1">
        <f t="array" ref="F10162">SUM(F10160:F10161)</f>
        <v>0</v>
      </c>
      <c r="G10162" s="16" cm="1">
        <f t="array" ref="G10162">SUM(G10160:G10161)</f>
        <v>0</v>
      </c>
      <c r="H10162" s="16" cm="1">
        <f t="array" ref="H10162">SUM(H10160:H10161)</f>
        <v>0</v>
      </c>
      <c r="I10162" s="16" cm="1">
        <f t="array" ref="I10162">SUM(I10160:I10161)</f>
        <v>0</v>
      </c>
    </row>
    <row r="10163" ht="21.25" customHeight="1">
      <c r="A10163" s="10">
        <v>45833</v>
      </c>
      <c r="B10163" t="s" s="11">
        <v>5</v>
      </c>
      <c r="C10163" t="s" s="12">
        <v>1319</v>
      </c>
      <c r="D10163" s="17"/>
      <c r="E10163" s="17">
        <v>76390</v>
      </c>
      <c r="F10163" s="18"/>
      <c r="G10163" s="18"/>
      <c r="H10163" s="18"/>
      <c r="I10163" s="18"/>
    </row>
    <row r="10164" ht="21.25" customHeight="1">
      <c r="A10164" s="10">
        <v>45833</v>
      </c>
      <c r="B10164" t="s" s="11">
        <v>86</v>
      </c>
      <c r="C10164" t="s" s="12">
        <v>1319</v>
      </c>
      <c r="D10164" s="13">
        <v>76390</v>
      </c>
      <c r="E10164" s="13"/>
      <c r="F10164" s="14"/>
      <c r="G10164" s="14"/>
      <c r="H10164" s="14"/>
      <c r="I10164" s="14"/>
    </row>
    <row r="10165" ht="20.7" customHeight="1">
      <c r="A10165" s="10">
        <v>45833</v>
      </c>
      <c r="B10165" t="s" s="11">
        <v>8</v>
      </c>
      <c r="C10165" t="s" s="12">
        <v>8</v>
      </c>
      <c r="D10165" s="15" cm="1">
        <f t="array" ref="D10165">SUM(D10163:D10164)</f>
        <v>76390</v>
      </c>
      <c r="E10165" s="15" cm="1">
        <f t="array" ref="E10165">SUM(E10163:E10164)</f>
        <v>76390</v>
      </c>
      <c r="F10165" s="16" cm="1">
        <f t="array" ref="F10165">SUM(F10163:F10164)</f>
        <v>0</v>
      </c>
      <c r="G10165" s="16" cm="1">
        <f t="array" ref="G10165">SUM(G10163:G10164)</f>
        <v>0</v>
      </c>
      <c r="H10165" s="16" cm="1">
        <f t="array" ref="H10165">SUM(H10163:H10164)</f>
        <v>0</v>
      </c>
      <c r="I10165" s="16" cm="1">
        <f t="array" ref="I10165">SUM(I10163:I10164)</f>
        <v>0</v>
      </c>
    </row>
    <row r="10166" ht="20.35" customHeight="1">
      <c r="A10166" s="10">
        <v>45833</v>
      </c>
      <c r="B10166" t="s" s="11">
        <v>5</v>
      </c>
      <c r="C10166" t="s" s="12">
        <v>659</v>
      </c>
      <c r="D10166" s="17"/>
      <c r="E10166" s="17">
        <v>76390</v>
      </c>
      <c r="F10166" s="18"/>
      <c r="G10166" s="18"/>
      <c r="H10166" s="18"/>
      <c r="I10166" s="18"/>
    </row>
    <row r="10167" ht="20.35" customHeight="1">
      <c r="A10167" s="10">
        <v>45833</v>
      </c>
      <c r="B10167" t="s" s="11">
        <v>89</v>
      </c>
      <c r="C10167" t="s" s="12">
        <v>659</v>
      </c>
      <c r="D10167" s="13">
        <v>76390</v>
      </c>
      <c r="E10167" s="13"/>
      <c r="F10167" s="14"/>
      <c r="G10167" s="14"/>
      <c r="H10167" s="14"/>
      <c r="I10167" s="14"/>
    </row>
    <row r="10168" ht="20.7" customHeight="1">
      <c r="A10168" s="10">
        <v>45833</v>
      </c>
      <c r="B10168" t="s" s="11">
        <v>8</v>
      </c>
      <c r="C10168" t="s" s="12">
        <v>8</v>
      </c>
      <c r="D10168" s="15" cm="1">
        <f t="array" ref="D10168">SUM(D10166:D10167)</f>
        <v>76390</v>
      </c>
      <c r="E10168" s="15" cm="1">
        <f t="array" ref="E10168">SUM(E10166:E10167)</f>
        <v>76390</v>
      </c>
      <c r="F10168" s="16" cm="1">
        <f t="array" ref="F10168">SUM(F10166:F10167)</f>
        <v>0</v>
      </c>
      <c r="G10168" s="16" cm="1">
        <f t="array" ref="G10168">SUM(G10166:G10167)</f>
        <v>0</v>
      </c>
      <c r="H10168" s="16" cm="1">
        <f t="array" ref="H10168">SUM(H10166:H10167)</f>
        <v>0</v>
      </c>
      <c r="I10168" s="16" cm="1">
        <f t="array" ref="I10168">SUM(I10166:I10167)</f>
        <v>0</v>
      </c>
    </row>
    <row r="10169" ht="20.35" customHeight="1">
      <c r="A10169" s="10">
        <v>45833</v>
      </c>
      <c r="B10169" t="s" s="11">
        <v>107</v>
      </c>
      <c r="C10169" t="s" s="12">
        <v>212</v>
      </c>
      <c r="D10169" s="17"/>
      <c r="E10169" s="17">
        <v>4300</v>
      </c>
      <c r="F10169" s="18"/>
      <c r="G10169" s="18"/>
      <c r="H10169" s="18"/>
      <c r="I10169" s="18"/>
    </row>
    <row r="10170" ht="20.35" customHeight="1">
      <c r="A10170" s="10">
        <v>45833</v>
      </c>
      <c r="B10170" t="s" s="11">
        <v>12</v>
      </c>
      <c r="C10170" t="s" s="12">
        <v>212</v>
      </c>
      <c r="D10170" s="13">
        <v>4300</v>
      </c>
      <c r="E10170" s="13"/>
      <c r="F10170" s="14"/>
      <c r="G10170" s="14"/>
      <c r="H10170" s="14"/>
      <c r="I10170" s="14"/>
    </row>
    <row r="10171" ht="20.7" customHeight="1">
      <c r="A10171" s="10">
        <v>45833</v>
      </c>
      <c r="B10171" t="s" s="11">
        <v>8</v>
      </c>
      <c r="C10171" t="s" s="12">
        <v>8</v>
      </c>
      <c r="D10171" s="15" cm="1">
        <f t="array" ref="D10171">SUM(D10169:D10170)</f>
        <v>4300</v>
      </c>
      <c r="E10171" s="15" cm="1">
        <f t="array" ref="E10171">SUM(E10169:E10170)</f>
        <v>4300</v>
      </c>
      <c r="F10171" s="16" cm="1">
        <f t="array" ref="F10171">SUM(F10169:F10170)</f>
        <v>0</v>
      </c>
      <c r="G10171" s="16" cm="1">
        <f t="array" ref="G10171">SUM(G10169:G10170)</f>
        <v>0</v>
      </c>
      <c r="H10171" s="16" cm="1">
        <f t="array" ref="H10171">SUM(H10169:H10170)</f>
        <v>0</v>
      </c>
      <c r="I10171" s="16" cm="1">
        <f t="array" ref="I10171">SUM(I10169:I10170)</f>
        <v>0</v>
      </c>
    </row>
    <row r="10172" ht="21.25" customHeight="1">
      <c r="A10172" s="10">
        <v>45833</v>
      </c>
      <c r="B10172" t="s" s="11">
        <v>21</v>
      </c>
      <c r="C10172" t="s" s="12">
        <v>1320</v>
      </c>
      <c r="D10172" s="17"/>
      <c r="E10172" s="17">
        <v>5300</v>
      </c>
      <c r="F10172" s="18"/>
      <c r="G10172" s="18"/>
      <c r="H10172" s="18"/>
      <c r="I10172" s="18"/>
    </row>
    <row r="10173" ht="21.25" customHeight="1">
      <c r="A10173" s="10">
        <v>45833</v>
      </c>
      <c r="B10173" t="s" s="11">
        <v>16</v>
      </c>
      <c r="C10173" t="s" s="12">
        <v>1320</v>
      </c>
      <c r="D10173" s="13">
        <v>5300</v>
      </c>
      <c r="E10173" s="13"/>
      <c r="F10173" s="14"/>
      <c r="G10173" s="14"/>
      <c r="H10173" s="14"/>
      <c r="I10173" s="14"/>
    </row>
    <row r="10174" ht="20.7" customHeight="1">
      <c r="A10174" s="10">
        <v>45833</v>
      </c>
      <c r="B10174" t="s" s="11">
        <v>8</v>
      </c>
      <c r="C10174" t="s" s="12">
        <v>8</v>
      </c>
      <c r="D10174" s="15" cm="1">
        <f t="array" ref="D10174">SUM(D10172:D10173)</f>
        <v>5300</v>
      </c>
      <c r="E10174" s="15" cm="1">
        <f t="array" ref="E10174">SUM(E10172:E10173)</f>
        <v>5300</v>
      </c>
      <c r="F10174" s="16" cm="1">
        <f t="array" ref="F10174">SUM(F10172:F10173)</f>
        <v>0</v>
      </c>
      <c r="G10174" s="16" cm="1">
        <f t="array" ref="G10174">SUM(G10172:G10173)</f>
        <v>0</v>
      </c>
      <c r="H10174" s="16" cm="1">
        <f t="array" ref="H10174">SUM(H10172:H10173)</f>
        <v>0</v>
      </c>
      <c r="I10174" s="16" cm="1">
        <f t="array" ref="I10174">SUM(I10172:I10173)</f>
        <v>0</v>
      </c>
    </row>
    <row r="10175" ht="20.65" customHeight="1">
      <c r="A10175" s="10">
        <v>45834</v>
      </c>
      <c r="B10175" t="s" s="11">
        <v>843</v>
      </c>
      <c r="C10175" t="s" s="12">
        <v>820</v>
      </c>
      <c r="D10175" s="17">
        <v>1</v>
      </c>
      <c r="E10175" s="17"/>
      <c r="F10175" s="18"/>
      <c r="G10175" s="18"/>
      <c r="H10175" s="18"/>
      <c r="I10175" s="18"/>
    </row>
    <row r="10176" ht="20.65" customHeight="1">
      <c r="A10176" s="10">
        <v>45834</v>
      </c>
      <c r="B10176" t="s" s="11">
        <v>7</v>
      </c>
      <c r="C10176" t="s" s="12">
        <v>820</v>
      </c>
      <c r="D10176" s="13"/>
      <c r="E10176" s="13">
        <v>1</v>
      </c>
      <c r="F10176" s="14"/>
      <c r="G10176" s="14"/>
      <c r="H10176" s="14"/>
      <c r="I10176" s="14"/>
    </row>
    <row r="10177" ht="20.7" customHeight="1">
      <c r="A10177" s="10">
        <v>45834</v>
      </c>
      <c r="B10177" t="s" s="11">
        <v>8</v>
      </c>
      <c r="C10177" t="s" s="12">
        <v>8</v>
      </c>
      <c r="D10177" s="15" cm="1">
        <f t="array" ref="D10177">SUM(D10175:D10176)</f>
        <v>1</v>
      </c>
      <c r="E10177" s="15" cm="1">
        <f t="array" ref="E10177">SUM(E10175:E10176)</f>
        <v>1</v>
      </c>
      <c r="F10177" s="16" cm="1">
        <f t="array" ref="F10177">SUM(F10175:F10176)</f>
        <v>0</v>
      </c>
      <c r="G10177" s="16" cm="1">
        <f t="array" ref="G10177">SUM(G10175:G10176)</f>
        <v>0</v>
      </c>
      <c r="H10177" s="16" cm="1">
        <f t="array" ref="H10177">SUM(H10175:H10176)</f>
        <v>0</v>
      </c>
      <c r="I10177" s="16" cm="1">
        <f t="array" ref="I10177">SUM(I10175:I10176)</f>
        <v>0</v>
      </c>
    </row>
    <row r="10178" ht="21.25" customHeight="1">
      <c r="A10178" s="10">
        <v>45834</v>
      </c>
      <c r="B10178" t="s" s="11">
        <v>107</v>
      </c>
      <c r="C10178" t="s" s="12">
        <v>1239</v>
      </c>
      <c r="D10178" s="17"/>
      <c r="E10178" s="17">
        <v>10000</v>
      </c>
      <c r="F10178" s="18"/>
      <c r="G10178" s="18"/>
      <c r="H10178" s="18"/>
      <c r="I10178" s="18"/>
    </row>
    <row r="10179" ht="21.25" customHeight="1">
      <c r="A10179" s="10">
        <v>45834</v>
      </c>
      <c r="B10179" t="s" s="11">
        <v>1240</v>
      </c>
      <c r="C10179" t="s" s="12">
        <v>1239</v>
      </c>
      <c r="D10179" s="13">
        <v>10000</v>
      </c>
      <c r="E10179" s="13"/>
      <c r="F10179" s="14"/>
      <c r="G10179" s="14"/>
      <c r="H10179" s="14"/>
      <c r="I10179" s="14"/>
    </row>
    <row r="10180" ht="20.7" customHeight="1">
      <c r="A10180" s="10">
        <v>45834</v>
      </c>
      <c r="B10180" t="s" s="11">
        <v>8</v>
      </c>
      <c r="C10180" t="s" s="12">
        <v>8</v>
      </c>
      <c r="D10180" s="15" cm="1">
        <f t="array" ref="D10180">SUM(D10178:D10179)</f>
        <v>10000</v>
      </c>
      <c r="E10180" s="15" cm="1">
        <f t="array" ref="E10180">SUM(E10178:E10179)</f>
        <v>10000</v>
      </c>
      <c r="F10180" s="16" cm="1">
        <f t="array" ref="F10180">SUM(F10178:F10179)</f>
        <v>0</v>
      </c>
      <c r="G10180" s="16" cm="1">
        <f t="array" ref="G10180">SUM(G10178:G10179)</f>
        <v>0</v>
      </c>
      <c r="H10180" s="16" cm="1">
        <f t="array" ref="H10180">SUM(H10178:H10179)</f>
        <v>0</v>
      </c>
      <c r="I10180" s="16" cm="1">
        <f t="array" ref="I10180">SUM(I10178:I10179)</f>
        <v>0</v>
      </c>
    </row>
    <row r="10181" ht="20.35" customHeight="1">
      <c r="A10181" s="10">
        <v>45834</v>
      </c>
      <c r="B10181" t="s" s="11">
        <v>91</v>
      </c>
      <c r="C10181" t="s" s="12">
        <v>1321</v>
      </c>
      <c r="D10181" s="17"/>
      <c r="E10181" s="17">
        <v>303000</v>
      </c>
      <c r="F10181" s="18"/>
      <c r="G10181" s="18"/>
      <c r="H10181" s="18"/>
      <c r="I10181" s="18"/>
    </row>
    <row r="10182" ht="20.35" customHeight="1">
      <c r="A10182" s="10">
        <v>45834</v>
      </c>
      <c r="B10182" t="s" s="11">
        <v>5</v>
      </c>
      <c r="C10182" t="s" s="12">
        <v>1321</v>
      </c>
      <c r="D10182" s="13">
        <v>303000</v>
      </c>
      <c r="E10182" s="13"/>
      <c r="F10182" s="14"/>
      <c r="G10182" s="14"/>
      <c r="H10182" s="14"/>
      <c r="I10182" s="14"/>
    </row>
    <row r="10183" ht="20.7" customHeight="1">
      <c r="A10183" s="10">
        <v>45834</v>
      </c>
      <c r="B10183" t="s" s="11">
        <v>8</v>
      </c>
      <c r="C10183" t="s" s="12">
        <v>8</v>
      </c>
      <c r="D10183" s="15" cm="1">
        <f t="array" ref="D10183">SUM(D10181:D10182)</f>
        <v>303000</v>
      </c>
      <c r="E10183" s="15" cm="1">
        <f t="array" ref="E10183">SUM(E10181:E10182)</f>
        <v>303000</v>
      </c>
      <c r="F10183" s="16" cm="1">
        <f t="array" ref="F10183">SUM(F10181:F10182)</f>
        <v>0</v>
      </c>
      <c r="G10183" s="16" cm="1">
        <f t="array" ref="G10183">SUM(G10181:G10182)</f>
        <v>0</v>
      </c>
      <c r="H10183" s="16" cm="1">
        <f t="array" ref="H10183">SUM(H10181:H10182)</f>
        <v>0</v>
      </c>
      <c r="I10183" s="16" cm="1">
        <f t="array" ref="I10183">SUM(I10181:I10182)</f>
        <v>0</v>
      </c>
    </row>
    <row r="10184" ht="20.35" customHeight="1">
      <c r="A10184" s="10">
        <v>45834</v>
      </c>
      <c r="B10184" t="s" s="11">
        <v>5</v>
      </c>
      <c r="C10184" t="s" s="12">
        <v>212</v>
      </c>
      <c r="D10184" s="17"/>
      <c r="E10184" s="17">
        <v>2500</v>
      </c>
      <c r="F10184" s="18"/>
      <c r="G10184" s="18"/>
      <c r="H10184" s="18"/>
      <c r="I10184" s="18"/>
    </row>
    <row r="10185" ht="20.35" customHeight="1">
      <c r="A10185" s="10">
        <v>45834</v>
      </c>
      <c r="B10185" t="s" s="11">
        <v>12</v>
      </c>
      <c r="C10185" t="s" s="12">
        <v>212</v>
      </c>
      <c r="D10185" s="13">
        <v>2500</v>
      </c>
      <c r="E10185" s="13"/>
      <c r="F10185" s="14"/>
      <c r="G10185" s="14"/>
      <c r="H10185" s="14"/>
      <c r="I10185" s="14"/>
    </row>
    <row r="10186" ht="20.7" customHeight="1">
      <c r="A10186" s="10">
        <v>45834</v>
      </c>
      <c r="B10186" t="s" s="11">
        <v>8</v>
      </c>
      <c r="C10186" t="s" s="12">
        <v>8</v>
      </c>
      <c r="D10186" s="15" cm="1">
        <f t="array" ref="D10186">SUM(D10184:D10185)</f>
        <v>2500</v>
      </c>
      <c r="E10186" s="15" cm="1">
        <f t="array" ref="E10186">SUM(E10184:E10185)</f>
        <v>2500</v>
      </c>
      <c r="F10186" s="16" cm="1">
        <f t="array" ref="F10186">SUM(F10184:F10185)</f>
        <v>0</v>
      </c>
      <c r="G10186" s="16" cm="1">
        <f t="array" ref="G10186">SUM(G10184:G10185)</f>
        <v>0</v>
      </c>
      <c r="H10186" s="16" cm="1">
        <f t="array" ref="H10186">SUM(H10184:H10185)</f>
        <v>0</v>
      </c>
      <c r="I10186" s="16" cm="1">
        <f t="array" ref="I10186">SUM(I10184:I10185)</f>
        <v>0</v>
      </c>
    </row>
    <row r="10187" ht="20.35" customHeight="1">
      <c r="A10187" s="10">
        <v>45834</v>
      </c>
      <c r="B10187" t="s" s="11">
        <v>18</v>
      </c>
      <c r="C10187" t="s" s="12">
        <v>17</v>
      </c>
      <c r="D10187" s="17"/>
      <c r="E10187" s="17">
        <v>7</v>
      </c>
      <c r="F10187" s="18"/>
      <c r="G10187" s="18"/>
      <c r="H10187" s="18"/>
      <c r="I10187" s="18"/>
    </row>
    <row r="10188" ht="20.35" customHeight="1">
      <c r="A10188" s="10">
        <v>45834</v>
      </c>
      <c r="B10188" t="s" s="11">
        <v>5</v>
      </c>
      <c r="C10188" t="s" s="12">
        <v>17</v>
      </c>
      <c r="D10188" s="13">
        <v>7</v>
      </c>
      <c r="E10188" s="13"/>
      <c r="F10188" s="14"/>
      <c r="G10188" s="14"/>
      <c r="H10188" s="14"/>
      <c r="I10188" s="14"/>
    </row>
    <row r="10189" ht="20.7" customHeight="1">
      <c r="A10189" s="10">
        <v>45834</v>
      </c>
      <c r="B10189" t="s" s="11">
        <v>8</v>
      </c>
      <c r="C10189" t="s" s="12">
        <v>8</v>
      </c>
      <c r="D10189" s="15" cm="1">
        <f t="array" ref="D10189">SUM(D10187:D10188)</f>
        <v>7</v>
      </c>
      <c r="E10189" s="15" cm="1">
        <f t="array" ref="E10189">SUM(E10187:E10188)</f>
        <v>7</v>
      </c>
      <c r="F10189" s="16" cm="1">
        <f t="array" ref="F10189">SUM(F10187:F10188)</f>
        <v>0</v>
      </c>
      <c r="G10189" s="16" cm="1">
        <f t="array" ref="G10189">SUM(G10187:G10188)</f>
        <v>0</v>
      </c>
      <c r="H10189" s="16" cm="1">
        <f t="array" ref="H10189">SUM(H10187:H10188)</f>
        <v>0</v>
      </c>
      <c r="I10189" s="16" cm="1">
        <f t="array" ref="I10189">SUM(I10187:I10188)</f>
        <v>0</v>
      </c>
    </row>
    <row r="10190" ht="20.35" customHeight="1">
      <c r="A10190" s="10">
        <v>45834</v>
      </c>
      <c r="B10190" t="s" s="11">
        <v>5</v>
      </c>
      <c r="C10190" t="s" s="12">
        <v>1322</v>
      </c>
      <c r="D10190" s="17"/>
      <c r="E10190" s="17">
        <v>20000</v>
      </c>
      <c r="F10190" s="18"/>
      <c r="G10190" s="18"/>
      <c r="H10190" s="18"/>
      <c r="I10190" s="18"/>
    </row>
    <row r="10191" ht="20.35" customHeight="1">
      <c r="A10191" s="10">
        <v>45834</v>
      </c>
      <c r="B10191" t="s" s="11">
        <v>10</v>
      </c>
      <c r="C10191" t="s" s="12">
        <v>1322</v>
      </c>
      <c r="D10191" s="13">
        <v>20000</v>
      </c>
      <c r="E10191" s="13"/>
      <c r="F10191" s="14"/>
      <c r="G10191" s="14"/>
      <c r="H10191" s="14"/>
      <c r="I10191" s="14"/>
    </row>
    <row r="10192" ht="20.7" customHeight="1">
      <c r="A10192" s="10">
        <v>45834</v>
      </c>
      <c r="B10192" t="s" s="11">
        <v>8</v>
      </c>
      <c r="C10192" t="s" s="12">
        <v>8</v>
      </c>
      <c r="D10192" s="15" cm="1">
        <f t="array" ref="D10192">SUM(D10190:D10191)</f>
        <v>20000</v>
      </c>
      <c r="E10192" s="15" cm="1">
        <f t="array" ref="E10192">SUM(E10190:E10191)</f>
        <v>20000</v>
      </c>
      <c r="F10192" s="16" cm="1">
        <f t="array" ref="F10192">SUM(F10190:F10191)</f>
        <v>0</v>
      </c>
      <c r="G10192" s="16" cm="1">
        <f t="array" ref="G10192">SUM(G10190:G10191)</f>
        <v>0</v>
      </c>
      <c r="H10192" s="16" cm="1">
        <f t="array" ref="H10192">SUM(H10190:H10191)</f>
        <v>0</v>
      </c>
      <c r="I10192" s="16" cm="1">
        <f t="array" ref="I10192">SUM(I10190:I10191)</f>
        <v>0</v>
      </c>
    </row>
    <row r="10193" ht="20.35" customHeight="1">
      <c r="A10193" s="10">
        <v>45834</v>
      </c>
      <c r="B10193" t="s" s="11">
        <v>5</v>
      </c>
      <c r="C10193" t="s" s="12">
        <v>1323</v>
      </c>
      <c r="D10193" s="17"/>
      <c r="E10193" s="17">
        <v>1350</v>
      </c>
      <c r="F10193" s="18"/>
      <c r="G10193" s="18"/>
      <c r="H10193" s="18"/>
      <c r="I10193" s="18"/>
    </row>
    <row r="10194" ht="20.35" customHeight="1">
      <c r="A10194" s="10">
        <v>45834</v>
      </c>
      <c r="B10194" t="s" s="11">
        <v>10</v>
      </c>
      <c r="C10194" t="s" s="12">
        <v>1323</v>
      </c>
      <c r="D10194" s="13">
        <v>1350</v>
      </c>
      <c r="E10194" s="13"/>
      <c r="F10194" s="14"/>
      <c r="G10194" s="14"/>
      <c r="H10194" s="14"/>
      <c r="I10194" s="14"/>
    </row>
    <row r="10195" ht="20.7" customHeight="1">
      <c r="A10195" s="10">
        <v>45834</v>
      </c>
      <c r="B10195" t="s" s="11">
        <v>8</v>
      </c>
      <c r="C10195" t="s" s="12">
        <v>8</v>
      </c>
      <c r="D10195" s="15" cm="1">
        <f t="array" ref="D10195">SUM(D10193:D10194)</f>
        <v>1350</v>
      </c>
      <c r="E10195" s="15" cm="1">
        <f t="array" ref="E10195">SUM(E10193:E10194)</f>
        <v>1350</v>
      </c>
      <c r="F10195" s="16" cm="1">
        <f t="array" ref="F10195">SUM(F10193:F10194)</f>
        <v>0</v>
      </c>
      <c r="G10195" s="16" cm="1">
        <f t="array" ref="G10195">SUM(G10193:G10194)</f>
        <v>0</v>
      </c>
      <c r="H10195" s="16" cm="1">
        <f t="array" ref="H10195">SUM(H10193:H10194)</f>
        <v>0</v>
      </c>
      <c r="I10195" s="16" cm="1">
        <f t="array" ref="I10195">SUM(I10193:I10194)</f>
        <v>0</v>
      </c>
    </row>
    <row r="10196" ht="20.35" customHeight="1">
      <c r="A10196" s="10">
        <v>45834</v>
      </c>
      <c r="B10196" t="s" s="11">
        <v>5</v>
      </c>
      <c r="C10196" t="s" s="12">
        <v>1324</v>
      </c>
      <c r="D10196" s="17"/>
      <c r="E10196" s="17">
        <v>31200</v>
      </c>
      <c r="F10196" s="18"/>
      <c r="G10196" s="18"/>
      <c r="H10196" s="18"/>
      <c r="I10196" s="18"/>
    </row>
    <row r="10197" ht="20.35" customHeight="1">
      <c r="A10197" s="10">
        <v>45834</v>
      </c>
      <c r="B10197" t="s" s="11">
        <v>10</v>
      </c>
      <c r="C10197" t="s" s="12">
        <v>1324</v>
      </c>
      <c r="D10197" s="13">
        <v>31200</v>
      </c>
      <c r="E10197" s="13"/>
      <c r="F10197" s="14"/>
      <c r="G10197" s="14"/>
      <c r="H10197" s="14"/>
      <c r="I10197" s="14"/>
    </row>
    <row r="10198" ht="20.7" customHeight="1">
      <c r="A10198" s="10">
        <v>45834</v>
      </c>
      <c r="B10198" t="s" s="11">
        <v>8</v>
      </c>
      <c r="C10198" t="s" s="12">
        <v>8</v>
      </c>
      <c r="D10198" s="15" cm="1">
        <f t="array" ref="D10198">SUM(D10196:D10197)</f>
        <v>31200</v>
      </c>
      <c r="E10198" s="15" cm="1">
        <f t="array" ref="E10198">SUM(E10196:E10197)</f>
        <v>31200</v>
      </c>
      <c r="F10198" s="16" cm="1">
        <f t="array" ref="F10198">SUM(F10196:F10197)</f>
        <v>0</v>
      </c>
      <c r="G10198" s="16" cm="1">
        <f t="array" ref="G10198">SUM(G10196:G10197)</f>
        <v>0</v>
      </c>
      <c r="H10198" s="16" cm="1">
        <f t="array" ref="H10198">SUM(H10196:H10197)</f>
        <v>0</v>
      </c>
      <c r="I10198" s="16" cm="1">
        <f t="array" ref="I10198">SUM(I10196:I10197)</f>
        <v>0</v>
      </c>
    </row>
    <row r="10199" ht="20.35" customHeight="1">
      <c r="A10199" s="10">
        <v>45834</v>
      </c>
      <c r="B10199" t="s" s="11">
        <v>5</v>
      </c>
      <c r="C10199" t="s" s="12">
        <v>604</v>
      </c>
      <c r="D10199" s="17"/>
      <c r="E10199" s="17">
        <v>12550</v>
      </c>
      <c r="F10199" s="18"/>
      <c r="G10199" s="18"/>
      <c r="H10199" s="18"/>
      <c r="I10199" s="18"/>
    </row>
    <row r="10200" ht="20.35" customHeight="1">
      <c r="A10200" s="10">
        <v>45834</v>
      </c>
      <c r="B10200" t="s" s="11">
        <v>93</v>
      </c>
      <c r="C10200" t="s" s="12">
        <v>604</v>
      </c>
      <c r="D10200" s="13">
        <v>12550</v>
      </c>
      <c r="E10200" s="13"/>
      <c r="F10200" s="14"/>
      <c r="G10200" s="14"/>
      <c r="H10200" s="14"/>
      <c r="I10200" s="14"/>
    </row>
    <row r="10201" ht="20.7" customHeight="1">
      <c r="A10201" s="10">
        <v>45834</v>
      </c>
      <c r="B10201" t="s" s="11">
        <v>8</v>
      </c>
      <c r="C10201" t="s" s="12">
        <v>8</v>
      </c>
      <c r="D10201" s="15" cm="1">
        <f t="array" ref="D10201">SUM(D10199:D10200)</f>
        <v>12550</v>
      </c>
      <c r="E10201" s="15" cm="1">
        <f t="array" ref="E10201">SUM(E10199:E10200)</f>
        <v>12550</v>
      </c>
      <c r="F10201" s="16" cm="1">
        <f t="array" ref="F10201">SUM(F10199:F10200)</f>
        <v>0</v>
      </c>
      <c r="G10201" s="16" cm="1">
        <f t="array" ref="G10201">SUM(G10199:G10200)</f>
        <v>0</v>
      </c>
      <c r="H10201" s="16" cm="1">
        <f t="array" ref="H10201">SUM(H10199:H10200)</f>
        <v>0</v>
      </c>
      <c r="I10201" s="16" cm="1">
        <f t="array" ref="I10201">SUM(I10199:I10200)</f>
        <v>0</v>
      </c>
    </row>
    <row r="10202" ht="20.35" customHeight="1">
      <c r="A10202" s="10">
        <v>45834</v>
      </c>
      <c r="B10202" t="s" s="11">
        <v>5</v>
      </c>
      <c r="C10202" t="s" s="12">
        <v>1205</v>
      </c>
      <c r="D10202" s="17"/>
      <c r="E10202" s="17">
        <v>10000</v>
      </c>
      <c r="F10202" s="18"/>
      <c r="G10202" s="18"/>
      <c r="H10202" s="18"/>
      <c r="I10202" s="18"/>
    </row>
    <row r="10203" ht="20.35" customHeight="1">
      <c r="A10203" s="10">
        <v>45834</v>
      </c>
      <c r="B10203" t="s" s="11">
        <v>10</v>
      </c>
      <c r="C10203" t="s" s="12">
        <v>1205</v>
      </c>
      <c r="D10203" s="13">
        <v>10000</v>
      </c>
      <c r="E10203" s="13"/>
      <c r="F10203" s="14"/>
      <c r="G10203" s="14"/>
      <c r="H10203" s="14"/>
      <c r="I10203" s="14"/>
    </row>
    <row r="10204" ht="20.7" customHeight="1">
      <c r="A10204" s="10">
        <v>45834</v>
      </c>
      <c r="B10204" t="s" s="11">
        <v>8</v>
      </c>
      <c r="C10204" t="s" s="12">
        <v>8</v>
      </c>
      <c r="D10204" s="15" cm="1">
        <f t="array" ref="D10204">SUM(D10202:D10203)</f>
        <v>10000</v>
      </c>
      <c r="E10204" s="15" cm="1">
        <f t="array" ref="E10204">SUM(E10202:E10203)</f>
        <v>10000</v>
      </c>
      <c r="F10204" s="16" cm="1">
        <f t="array" ref="F10204">SUM(F10202:F10203)</f>
        <v>0</v>
      </c>
      <c r="G10204" s="16" cm="1">
        <f t="array" ref="G10204">SUM(G10202:G10203)</f>
        <v>0</v>
      </c>
      <c r="H10204" s="16" cm="1">
        <f t="array" ref="H10204">SUM(H10202:H10203)</f>
        <v>0</v>
      </c>
      <c r="I10204" s="16" cm="1">
        <f t="array" ref="I10204">SUM(I10202:I10203)</f>
        <v>0</v>
      </c>
    </row>
    <row r="10205" ht="20.35" customHeight="1">
      <c r="A10205" s="10">
        <v>45834</v>
      </c>
      <c r="B10205" t="s" s="11">
        <v>18</v>
      </c>
      <c r="C10205" t="s" s="12">
        <v>17</v>
      </c>
      <c r="D10205" s="17"/>
      <c r="E10205" s="17">
        <v>30</v>
      </c>
      <c r="F10205" s="18"/>
      <c r="G10205" s="18"/>
      <c r="H10205" s="18"/>
      <c r="I10205" s="18"/>
    </row>
    <row r="10206" ht="20.35" customHeight="1">
      <c r="A10206" s="10">
        <v>45834</v>
      </c>
      <c r="B10206" t="s" s="11">
        <v>5</v>
      </c>
      <c r="C10206" t="s" s="12">
        <v>17</v>
      </c>
      <c r="D10206" s="13">
        <v>30</v>
      </c>
      <c r="E10206" s="13"/>
      <c r="F10206" s="14"/>
      <c r="G10206" s="14"/>
      <c r="H10206" s="14"/>
      <c r="I10206" s="14"/>
    </row>
    <row r="10207" ht="20.7" customHeight="1">
      <c r="A10207" s="10">
        <v>45834</v>
      </c>
      <c r="B10207" t="s" s="11">
        <v>8</v>
      </c>
      <c r="C10207" t="s" s="12">
        <v>8</v>
      </c>
      <c r="D10207" s="15" cm="1">
        <f t="array" ref="D10207">SUM(D10205:D10206)</f>
        <v>30</v>
      </c>
      <c r="E10207" s="15" cm="1">
        <f t="array" ref="E10207">SUM(E10205:E10206)</f>
        <v>30</v>
      </c>
      <c r="F10207" s="16" cm="1">
        <f t="array" ref="F10207">SUM(F10205:F10206)</f>
        <v>0</v>
      </c>
      <c r="G10207" s="16" cm="1">
        <f t="array" ref="G10207">SUM(G10205:G10206)</f>
        <v>0</v>
      </c>
      <c r="H10207" s="16" cm="1">
        <f t="array" ref="H10207">SUM(H10205:H10206)</f>
        <v>0</v>
      </c>
      <c r="I10207" s="16" cm="1">
        <f t="array" ref="I10207">SUM(I10205:I10206)</f>
        <v>0</v>
      </c>
    </row>
    <row r="10208" ht="21.25" customHeight="1">
      <c r="A10208" s="10">
        <v>45834</v>
      </c>
      <c r="B10208" t="s" s="11">
        <v>18</v>
      </c>
      <c r="C10208" t="s" s="12">
        <v>799</v>
      </c>
      <c r="D10208" s="17"/>
      <c r="E10208" s="17">
        <v>3</v>
      </c>
      <c r="F10208" s="18"/>
      <c r="G10208" s="18"/>
      <c r="H10208" s="18"/>
      <c r="I10208" s="18"/>
    </row>
    <row r="10209" ht="21.25" customHeight="1">
      <c r="A10209" s="10">
        <v>45834</v>
      </c>
      <c r="B10209" t="s" s="11">
        <v>5</v>
      </c>
      <c r="C10209" t="s" s="12">
        <v>799</v>
      </c>
      <c r="D10209" s="13">
        <v>3</v>
      </c>
      <c r="E10209" s="13"/>
      <c r="F10209" s="14"/>
      <c r="G10209" s="14"/>
      <c r="H10209" s="14"/>
      <c r="I10209" s="14"/>
    </row>
    <row r="10210" ht="20.7" customHeight="1">
      <c r="A10210" s="10">
        <v>45834</v>
      </c>
      <c r="B10210" t="s" s="11">
        <v>8</v>
      </c>
      <c r="C10210" t="s" s="12">
        <v>8</v>
      </c>
      <c r="D10210" s="15" cm="1">
        <f t="array" ref="D10210">SUM(D10208:D10209)</f>
        <v>3</v>
      </c>
      <c r="E10210" s="15" cm="1">
        <f t="array" ref="E10210">SUM(E10208:E10209)</f>
        <v>3</v>
      </c>
      <c r="F10210" s="16" cm="1">
        <f t="array" ref="F10210">SUM(F10208:F10209)</f>
        <v>0</v>
      </c>
      <c r="G10210" s="16" cm="1">
        <f t="array" ref="G10210">SUM(G10208:G10209)</f>
        <v>0</v>
      </c>
      <c r="H10210" s="16" cm="1">
        <f t="array" ref="H10210">SUM(H10208:H10209)</f>
        <v>0</v>
      </c>
      <c r="I10210" s="16" cm="1">
        <f t="array" ref="I10210">SUM(I10208:I10209)</f>
        <v>0</v>
      </c>
    </row>
    <row r="10211" ht="20.35" customHeight="1">
      <c r="A10211" s="10">
        <v>45834</v>
      </c>
      <c r="B10211" t="s" s="11">
        <v>5</v>
      </c>
      <c r="C10211" t="s" s="12">
        <v>867</v>
      </c>
      <c r="D10211" s="17"/>
      <c r="E10211" s="17">
        <v>20000</v>
      </c>
      <c r="F10211" s="18"/>
      <c r="G10211" s="18"/>
      <c r="H10211" s="18"/>
      <c r="I10211" s="18"/>
    </row>
    <row r="10212" ht="20.35" customHeight="1">
      <c r="A10212" s="10">
        <v>45834</v>
      </c>
      <c r="B10212" t="s" s="11">
        <v>814</v>
      </c>
      <c r="C10212" t="s" s="12">
        <v>867</v>
      </c>
      <c r="D10212" s="13">
        <v>20000</v>
      </c>
      <c r="E10212" s="13"/>
      <c r="F10212" s="14"/>
      <c r="G10212" s="14"/>
      <c r="H10212" s="14"/>
      <c r="I10212" s="14"/>
    </row>
    <row r="10213" ht="20.7" customHeight="1">
      <c r="A10213" s="10">
        <v>45834</v>
      </c>
      <c r="B10213" t="s" s="11">
        <v>8</v>
      </c>
      <c r="C10213" t="s" s="12">
        <v>8</v>
      </c>
      <c r="D10213" s="15" cm="1">
        <f t="array" ref="D10213">SUM(D10211:D10212)</f>
        <v>20000</v>
      </c>
      <c r="E10213" s="15" cm="1">
        <f t="array" ref="E10213">SUM(E10211:E10212)</f>
        <v>20000</v>
      </c>
      <c r="F10213" s="16" cm="1">
        <f t="array" ref="F10213">SUM(F10211:F10212)</f>
        <v>0</v>
      </c>
      <c r="G10213" s="16" cm="1">
        <f t="array" ref="G10213">SUM(G10211:G10212)</f>
        <v>0</v>
      </c>
      <c r="H10213" s="16" cm="1">
        <f t="array" ref="H10213">SUM(H10211:H10212)</f>
        <v>0</v>
      </c>
      <c r="I10213" s="16" cm="1">
        <f t="array" ref="I10213">SUM(I10211:I10212)</f>
        <v>0</v>
      </c>
    </row>
    <row r="10214" ht="20.35" customHeight="1">
      <c r="A10214" s="10">
        <v>45834</v>
      </c>
      <c r="B10214" t="s" s="11">
        <v>5</v>
      </c>
      <c r="C10214" t="s" s="12">
        <v>867</v>
      </c>
      <c r="D10214" s="17"/>
      <c r="E10214" s="17">
        <v>180000</v>
      </c>
      <c r="F10214" s="18"/>
      <c r="G10214" s="18"/>
      <c r="H10214" s="18"/>
      <c r="I10214" s="18"/>
    </row>
    <row r="10215" ht="20.35" customHeight="1">
      <c r="A10215" s="10">
        <v>45834</v>
      </c>
      <c r="B10215" t="s" s="11">
        <v>814</v>
      </c>
      <c r="C10215" t="s" s="12">
        <v>867</v>
      </c>
      <c r="D10215" s="13">
        <v>180000</v>
      </c>
      <c r="E10215" s="13"/>
      <c r="F10215" s="14"/>
      <c r="G10215" s="14"/>
      <c r="H10215" s="14"/>
      <c r="I10215" s="14"/>
    </row>
    <row r="10216" ht="20.7" customHeight="1">
      <c r="A10216" s="10">
        <v>45834</v>
      </c>
      <c r="B10216" t="s" s="11">
        <v>8</v>
      </c>
      <c r="C10216" t="s" s="12">
        <v>8</v>
      </c>
      <c r="D10216" s="15" cm="1">
        <f t="array" ref="D10216">SUM(D10214:D10215)</f>
        <v>180000</v>
      </c>
      <c r="E10216" s="15" cm="1">
        <f t="array" ref="E10216">SUM(E10214:E10215)</f>
        <v>180000</v>
      </c>
      <c r="F10216" s="16" cm="1">
        <f t="array" ref="F10216">SUM(F10214:F10215)</f>
        <v>0</v>
      </c>
      <c r="G10216" s="16" cm="1">
        <f t="array" ref="G10216">SUM(G10214:G10215)</f>
        <v>0</v>
      </c>
      <c r="H10216" s="16" cm="1">
        <f t="array" ref="H10216">SUM(H10214:H10215)</f>
        <v>0</v>
      </c>
      <c r="I10216" s="16" cm="1">
        <f t="array" ref="I10216">SUM(I10214:I10215)</f>
        <v>0</v>
      </c>
    </row>
    <row r="10217" ht="21.25" customHeight="1">
      <c r="A10217" s="10">
        <v>45834</v>
      </c>
      <c r="B10217" t="s" s="11">
        <v>21</v>
      </c>
      <c r="C10217" t="s" s="12">
        <v>1325</v>
      </c>
      <c r="D10217" s="17"/>
      <c r="E10217" s="17">
        <v>3100</v>
      </c>
      <c r="F10217" s="18"/>
      <c r="G10217" s="18"/>
      <c r="H10217" s="18"/>
      <c r="I10217" s="18"/>
    </row>
    <row r="10218" ht="21.25" customHeight="1">
      <c r="A10218" s="10">
        <v>45834</v>
      </c>
      <c r="B10218" t="s" s="11">
        <v>16</v>
      </c>
      <c r="C10218" t="s" s="12">
        <v>1325</v>
      </c>
      <c r="D10218" s="13">
        <v>3100</v>
      </c>
      <c r="E10218" s="13"/>
      <c r="F10218" s="14"/>
      <c r="G10218" s="14"/>
      <c r="H10218" s="14"/>
      <c r="I10218" s="14"/>
    </row>
    <row r="10219" ht="20.7" customHeight="1">
      <c r="A10219" s="10">
        <v>45834</v>
      </c>
      <c r="B10219" t="s" s="11">
        <v>8</v>
      </c>
      <c r="C10219" t="s" s="12">
        <v>8</v>
      </c>
      <c r="D10219" s="15" cm="1">
        <f t="array" ref="D10219">SUM(D10217:D10218)</f>
        <v>3100</v>
      </c>
      <c r="E10219" s="15" cm="1">
        <f t="array" ref="E10219">SUM(E10217:E10218)</f>
        <v>3100</v>
      </c>
      <c r="F10219" s="16" cm="1">
        <f t="array" ref="F10219">SUM(F10217:F10218)</f>
        <v>0</v>
      </c>
      <c r="G10219" s="16" cm="1">
        <f t="array" ref="G10219">SUM(G10217:G10218)</f>
        <v>0</v>
      </c>
      <c r="H10219" s="16" cm="1">
        <f t="array" ref="H10219">SUM(H10217:H10218)</f>
        <v>0</v>
      </c>
      <c r="I10219" s="16" cm="1">
        <f t="array" ref="I10219">SUM(I10217:I10218)</f>
        <v>0</v>
      </c>
    </row>
    <row r="10220" ht="20.65" customHeight="1">
      <c r="A10220" s="10">
        <v>45835</v>
      </c>
      <c r="B10220" t="s" s="11">
        <v>843</v>
      </c>
      <c r="C10220" t="s" s="12">
        <v>820</v>
      </c>
      <c r="D10220" s="17">
        <v>1</v>
      </c>
      <c r="E10220" s="17"/>
      <c r="F10220" s="18"/>
      <c r="G10220" s="18"/>
      <c r="H10220" s="18"/>
      <c r="I10220" s="18"/>
    </row>
    <row r="10221" ht="20.65" customHeight="1">
      <c r="A10221" s="10">
        <v>45835</v>
      </c>
      <c r="B10221" t="s" s="11">
        <v>7</v>
      </c>
      <c r="C10221" t="s" s="12">
        <v>820</v>
      </c>
      <c r="D10221" s="13"/>
      <c r="E10221" s="13">
        <v>1</v>
      </c>
      <c r="F10221" s="14"/>
      <c r="G10221" s="14"/>
      <c r="H10221" s="14"/>
      <c r="I10221" s="14"/>
    </row>
    <row r="10222" ht="20.7" customHeight="1">
      <c r="A10222" s="10">
        <v>45835</v>
      </c>
      <c r="B10222" t="s" s="11">
        <v>8</v>
      </c>
      <c r="C10222" t="s" s="12">
        <v>8</v>
      </c>
      <c r="D10222" s="15" cm="1">
        <f t="array" ref="D10222">SUM(D10220:D10221)</f>
        <v>1</v>
      </c>
      <c r="E10222" s="15" cm="1">
        <f t="array" ref="E10222">SUM(E10220:E10221)</f>
        <v>1</v>
      </c>
      <c r="F10222" s="16" cm="1">
        <f t="array" ref="F10222">SUM(F10220:F10221)</f>
        <v>0</v>
      </c>
      <c r="G10222" s="16" cm="1">
        <f t="array" ref="G10222">SUM(G10220:G10221)</f>
        <v>0</v>
      </c>
      <c r="H10222" s="16" cm="1">
        <f t="array" ref="H10222">SUM(H10220:H10221)</f>
        <v>0</v>
      </c>
      <c r="I10222" s="16" cm="1">
        <f t="array" ref="I10222">SUM(I10220:I10221)</f>
        <v>0</v>
      </c>
    </row>
    <row r="10223" ht="20.65" customHeight="1">
      <c r="A10223" s="10">
        <v>45835</v>
      </c>
      <c r="B10223" t="s" s="11">
        <v>814</v>
      </c>
      <c r="C10223" t="s" s="12">
        <v>820</v>
      </c>
      <c r="D10223" s="17">
        <v>8</v>
      </c>
      <c r="E10223" s="17"/>
      <c r="F10223" s="18"/>
      <c r="G10223" s="18"/>
      <c r="H10223" s="18"/>
      <c r="I10223" s="18"/>
    </row>
    <row r="10224" ht="20.65" customHeight="1">
      <c r="A10224" s="10">
        <v>45835</v>
      </c>
      <c r="B10224" t="s" s="11">
        <v>7</v>
      </c>
      <c r="C10224" t="s" s="12">
        <v>820</v>
      </c>
      <c r="D10224" s="13"/>
      <c r="E10224" s="13">
        <v>8</v>
      </c>
      <c r="F10224" s="14"/>
      <c r="G10224" s="14"/>
      <c r="H10224" s="14"/>
      <c r="I10224" s="14"/>
    </row>
    <row r="10225" ht="20.7" customHeight="1">
      <c r="A10225" s="10">
        <v>45835</v>
      </c>
      <c r="B10225" t="s" s="11">
        <v>8</v>
      </c>
      <c r="C10225" t="s" s="12">
        <v>8</v>
      </c>
      <c r="D10225" s="15" cm="1">
        <f t="array" ref="D10225">SUM(D10223:D10224)</f>
        <v>8</v>
      </c>
      <c r="E10225" s="15" cm="1">
        <f t="array" ref="E10225">SUM(E10223:E10224)</f>
        <v>8</v>
      </c>
      <c r="F10225" s="16" cm="1">
        <f t="array" ref="F10225">SUM(F10223:F10224)</f>
        <v>0</v>
      </c>
      <c r="G10225" s="16" cm="1">
        <f t="array" ref="G10225">SUM(G10223:G10224)</f>
        <v>0</v>
      </c>
      <c r="H10225" s="16" cm="1">
        <f t="array" ref="H10225">SUM(H10223:H10224)</f>
        <v>0</v>
      </c>
      <c r="I10225" s="16" cm="1">
        <f t="array" ref="I10225">SUM(I10223:I10224)</f>
        <v>0</v>
      </c>
    </row>
    <row r="10226" ht="20.65" customHeight="1">
      <c r="A10226" s="10">
        <v>45835</v>
      </c>
      <c r="B10226" t="s" s="11">
        <v>5</v>
      </c>
      <c r="C10226" t="s" s="12">
        <v>1326</v>
      </c>
      <c r="D10226" s="17"/>
      <c r="E10226" s="17">
        <v>15300</v>
      </c>
      <c r="F10226" s="18"/>
      <c r="G10226" s="18"/>
      <c r="H10226" s="18"/>
      <c r="I10226" s="18"/>
    </row>
    <row r="10227" ht="20.65" customHeight="1">
      <c r="A10227" s="10">
        <v>45835</v>
      </c>
      <c r="B10227" t="s" s="11">
        <v>12</v>
      </c>
      <c r="C10227" t="s" s="12">
        <v>1326</v>
      </c>
      <c r="D10227" s="13">
        <v>15300</v>
      </c>
      <c r="E10227" s="13"/>
      <c r="F10227" s="14"/>
      <c r="G10227" s="14"/>
      <c r="H10227" s="14"/>
      <c r="I10227" s="14"/>
    </row>
    <row r="10228" ht="20.7" customHeight="1">
      <c r="A10228" s="10">
        <v>45835</v>
      </c>
      <c r="B10228" t="s" s="11">
        <v>8</v>
      </c>
      <c r="C10228" t="s" s="12">
        <v>8</v>
      </c>
      <c r="D10228" s="15" cm="1">
        <f t="array" ref="D10228">SUM(D10226:D10227)</f>
        <v>15300</v>
      </c>
      <c r="E10228" s="15" cm="1">
        <f t="array" ref="E10228">SUM(E10226:E10227)</f>
        <v>15300</v>
      </c>
      <c r="F10228" s="16" cm="1">
        <f t="array" ref="F10228">SUM(F10226:F10227)</f>
        <v>0</v>
      </c>
      <c r="G10228" s="16" cm="1">
        <f t="array" ref="G10228">SUM(G10226:G10227)</f>
        <v>0</v>
      </c>
      <c r="H10228" s="16" cm="1">
        <f t="array" ref="H10228">SUM(H10226:H10227)</f>
        <v>0</v>
      </c>
      <c r="I10228" s="16" cm="1">
        <f t="array" ref="I10228">SUM(I10226:I10227)</f>
        <v>0</v>
      </c>
    </row>
    <row r="10229" ht="20.35" customHeight="1">
      <c r="A10229" s="10">
        <v>45835</v>
      </c>
      <c r="B10229" t="s" s="11">
        <v>18</v>
      </c>
      <c r="C10229" t="s" s="12">
        <v>17</v>
      </c>
      <c r="D10229" s="17"/>
      <c r="E10229" s="17">
        <v>45</v>
      </c>
      <c r="F10229" s="18"/>
      <c r="G10229" s="18"/>
      <c r="H10229" s="18"/>
      <c r="I10229" s="18"/>
    </row>
    <row r="10230" ht="20.35" customHeight="1">
      <c r="A10230" s="10">
        <v>45835</v>
      </c>
      <c r="B10230" t="s" s="11">
        <v>5</v>
      </c>
      <c r="C10230" t="s" s="12">
        <v>17</v>
      </c>
      <c r="D10230" s="13">
        <v>45</v>
      </c>
      <c r="E10230" s="13"/>
      <c r="F10230" s="14"/>
      <c r="G10230" s="14"/>
      <c r="H10230" s="14"/>
      <c r="I10230" s="14"/>
    </row>
    <row r="10231" ht="20.7" customHeight="1">
      <c r="A10231" s="10">
        <v>45835</v>
      </c>
      <c r="B10231" t="s" s="11">
        <v>8</v>
      </c>
      <c r="C10231" t="s" s="12">
        <v>8</v>
      </c>
      <c r="D10231" s="15" cm="1">
        <f t="array" ref="D10231">SUM(D10229:D10230)</f>
        <v>45</v>
      </c>
      <c r="E10231" s="15" cm="1">
        <f t="array" ref="E10231">SUM(E10229:E10230)</f>
        <v>45</v>
      </c>
      <c r="F10231" s="16" cm="1">
        <f t="array" ref="F10231">SUM(F10229:F10230)</f>
        <v>0</v>
      </c>
      <c r="G10231" s="16" cm="1">
        <f t="array" ref="G10231">SUM(G10229:G10230)</f>
        <v>0</v>
      </c>
      <c r="H10231" s="16" cm="1">
        <f t="array" ref="H10231">SUM(H10229:H10230)</f>
        <v>0</v>
      </c>
      <c r="I10231" s="16" cm="1">
        <f t="array" ref="I10231">SUM(I10229:I10230)</f>
        <v>0</v>
      </c>
    </row>
    <row r="10232" ht="21.25" customHeight="1">
      <c r="A10232" s="10">
        <v>45835</v>
      </c>
      <c r="B10232" t="s" s="11">
        <v>21</v>
      </c>
      <c r="C10232" t="s" s="12">
        <v>1327</v>
      </c>
      <c r="D10232" s="17"/>
      <c r="E10232" s="17">
        <v>4350</v>
      </c>
      <c r="F10232" s="18"/>
      <c r="G10232" s="18"/>
      <c r="H10232" s="18"/>
      <c r="I10232" s="18"/>
    </row>
    <row r="10233" ht="21.25" customHeight="1">
      <c r="A10233" s="10">
        <v>45835</v>
      </c>
      <c r="B10233" t="s" s="11">
        <v>16</v>
      </c>
      <c r="C10233" t="s" s="12">
        <v>1327</v>
      </c>
      <c r="D10233" s="13">
        <v>4350</v>
      </c>
      <c r="E10233" s="13"/>
      <c r="F10233" s="14"/>
      <c r="G10233" s="14"/>
      <c r="H10233" s="14"/>
      <c r="I10233" s="14"/>
    </row>
    <row r="10234" ht="20.7" customHeight="1">
      <c r="A10234" s="10">
        <v>45835</v>
      </c>
      <c r="B10234" t="s" s="11">
        <v>8</v>
      </c>
      <c r="C10234" t="s" s="12">
        <v>8</v>
      </c>
      <c r="D10234" s="15" cm="1">
        <f t="array" ref="D10234">SUM(D10232:D10233)</f>
        <v>4350</v>
      </c>
      <c r="E10234" s="15" cm="1">
        <f t="array" ref="E10234">SUM(E10232:E10233)</f>
        <v>4350</v>
      </c>
      <c r="F10234" s="16" cm="1">
        <f t="array" ref="F10234">SUM(F10232:F10233)</f>
        <v>0</v>
      </c>
      <c r="G10234" s="16" cm="1">
        <f t="array" ref="G10234">SUM(G10232:G10233)</f>
        <v>0</v>
      </c>
      <c r="H10234" s="16" cm="1">
        <f t="array" ref="H10234">SUM(H10232:H10233)</f>
        <v>0</v>
      </c>
      <c r="I10234" s="16" cm="1">
        <f t="array" ref="I10234">SUM(I10232:I10233)</f>
        <v>0</v>
      </c>
    </row>
    <row r="10235" ht="21.25" customHeight="1">
      <c r="A10235" s="10">
        <v>45836</v>
      </c>
      <c r="B10235" t="s" s="11">
        <v>18</v>
      </c>
      <c r="C10235" t="s" s="12">
        <v>799</v>
      </c>
      <c r="D10235" s="17"/>
      <c r="E10235" s="17">
        <v>12</v>
      </c>
      <c r="F10235" s="18"/>
      <c r="G10235" s="18"/>
      <c r="H10235" s="18"/>
      <c r="I10235" s="18"/>
    </row>
    <row r="10236" ht="21.25" customHeight="1">
      <c r="A10236" s="10">
        <v>45836</v>
      </c>
      <c r="B10236" t="s" s="11">
        <v>5</v>
      </c>
      <c r="C10236" t="s" s="12">
        <v>799</v>
      </c>
      <c r="D10236" s="13">
        <v>12</v>
      </c>
      <c r="E10236" s="13"/>
      <c r="F10236" s="14"/>
      <c r="G10236" s="14"/>
      <c r="H10236" s="14"/>
      <c r="I10236" s="14"/>
    </row>
    <row r="10237" ht="20.7" customHeight="1">
      <c r="A10237" s="10">
        <v>45836</v>
      </c>
      <c r="B10237" t="s" s="11">
        <v>8</v>
      </c>
      <c r="C10237" t="s" s="12">
        <v>8</v>
      </c>
      <c r="D10237" s="15" cm="1">
        <f t="array" ref="D10237">SUM(D10235:D10236)</f>
        <v>12</v>
      </c>
      <c r="E10237" s="15" cm="1">
        <f t="array" ref="E10237">SUM(E10235:E10236)</f>
        <v>12</v>
      </c>
      <c r="F10237" s="16" cm="1">
        <f t="array" ref="F10237">SUM(F10235:F10236)</f>
        <v>0</v>
      </c>
      <c r="G10237" s="16" cm="1">
        <f t="array" ref="G10237">SUM(G10235:G10236)</f>
        <v>0</v>
      </c>
      <c r="H10237" s="16" cm="1">
        <f t="array" ref="H10237">SUM(H10235:H10236)</f>
        <v>0</v>
      </c>
      <c r="I10237" s="16" cm="1">
        <f t="array" ref="I10237">SUM(I10235:I10236)</f>
        <v>0</v>
      </c>
    </row>
    <row r="10238" ht="21.25" customHeight="1">
      <c r="A10238" s="10">
        <v>45836</v>
      </c>
      <c r="B10238" t="s" s="11">
        <v>18</v>
      </c>
      <c r="C10238" t="s" s="12">
        <v>943</v>
      </c>
      <c r="D10238" s="17">
        <v>11</v>
      </c>
      <c r="E10238" s="17"/>
      <c r="F10238" s="18"/>
      <c r="G10238" s="18"/>
      <c r="H10238" s="18"/>
      <c r="I10238" s="18"/>
    </row>
    <row r="10239" ht="21.25" customHeight="1">
      <c r="A10239" s="10">
        <v>45836</v>
      </c>
      <c r="B10239" t="s" s="11">
        <v>5</v>
      </c>
      <c r="C10239" t="s" s="12">
        <v>943</v>
      </c>
      <c r="D10239" s="13"/>
      <c r="E10239" s="13">
        <v>11</v>
      </c>
      <c r="F10239" s="14"/>
      <c r="G10239" s="14"/>
      <c r="H10239" s="14"/>
      <c r="I10239" s="14"/>
    </row>
    <row r="10240" ht="20.7" customHeight="1">
      <c r="A10240" s="10">
        <v>45836</v>
      </c>
      <c r="B10240" t="s" s="11">
        <v>8</v>
      </c>
      <c r="C10240" t="s" s="12">
        <v>8</v>
      </c>
      <c r="D10240" s="15" cm="1">
        <f t="array" ref="D10240">SUM(D10238:D10239)</f>
        <v>11</v>
      </c>
      <c r="E10240" s="15" cm="1">
        <f t="array" ref="E10240">SUM(E10238:E10239)</f>
        <v>11</v>
      </c>
      <c r="F10240" s="16" cm="1">
        <f t="array" ref="F10240">SUM(F10238:F10239)</f>
        <v>0</v>
      </c>
      <c r="G10240" s="16" cm="1">
        <f t="array" ref="G10240">SUM(G10238:G10239)</f>
        <v>0</v>
      </c>
      <c r="H10240" s="16" cm="1">
        <f t="array" ref="H10240">SUM(H10238:H10239)</f>
        <v>0</v>
      </c>
      <c r="I10240" s="16" cm="1">
        <f t="array" ref="I10240">SUM(I10238:I10239)</f>
        <v>0</v>
      </c>
    </row>
    <row r="10241" ht="20.35" customHeight="1">
      <c r="A10241" s="10">
        <v>45836</v>
      </c>
      <c r="B10241" t="s" s="11">
        <v>5</v>
      </c>
      <c r="C10241" t="s" s="12">
        <v>1328</v>
      </c>
      <c r="D10241" s="17"/>
      <c r="E10241" s="17">
        <v>13236</v>
      </c>
      <c r="F10241" s="18"/>
      <c r="G10241" s="18"/>
      <c r="H10241" s="18"/>
      <c r="I10241" s="18"/>
    </row>
    <row r="10242" ht="20.35" customHeight="1">
      <c r="A10242" s="10">
        <v>45836</v>
      </c>
      <c r="B10242" t="s" s="11">
        <v>16</v>
      </c>
      <c r="C10242" t="s" s="12">
        <v>1328</v>
      </c>
      <c r="D10242" s="13">
        <v>13236</v>
      </c>
      <c r="E10242" s="13"/>
      <c r="F10242" s="14"/>
      <c r="G10242" s="14"/>
      <c r="H10242" s="14"/>
      <c r="I10242" s="14"/>
    </row>
    <row r="10243" ht="20.7" customHeight="1">
      <c r="A10243" s="10">
        <v>45836</v>
      </c>
      <c r="B10243" t="s" s="11">
        <v>8</v>
      </c>
      <c r="C10243" t="s" s="12">
        <v>8</v>
      </c>
      <c r="D10243" s="15" cm="1">
        <f t="array" ref="D10243">SUM(D10241:D10242)</f>
        <v>13236</v>
      </c>
      <c r="E10243" s="15" cm="1">
        <f t="array" ref="E10243">SUM(E10241:E10242)</f>
        <v>13236</v>
      </c>
      <c r="F10243" s="16" cm="1">
        <f t="array" ref="F10243">SUM(F10241:F10242)</f>
        <v>0</v>
      </c>
      <c r="G10243" s="16" cm="1">
        <f t="array" ref="G10243">SUM(G10241:G10242)</f>
        <v>0</v>
      </c>
      <c r="H10243" s="16" cm="1">
        <f t="array" ref="H10243">SUM(H10241:H10242)</f>
        <v>0</v>
      </c>
      <c r="I10243" s="16" cm="1">
        <f t="array" ref="I10243">SUM(I10241:I10242)</f>
        <v>0</v>
      </c>
    </row>
    <row r="10244" ht="21.25" customHeight="1">
      <c r="A10244" s="10">
        <v>45836</v>
      </c>
      <c r="B10244" t="s" s="11">
        <v>18</v>
      </c>
      <c r="C10244" t="s" s="12">
        <v>799</v>
      </c>
      <c r="D10244" s="17"/>
      <c r="E10244" s="17">
        <v>2</v>
      </c>
      <c r="F10244" s="18"/>
      <c r="G10244" s="18"/>
      <c r="H10244" s="18"/>
      <c r="I10244" s="18"/>
    </row>
    <row r="10245" ht="21.25" customHeight="1">
      <c r="A10245" s="10">
        <v>45836</v>
      </c>
      <c r="B10245" t="s" s="11">
        <v>5</v>
      </c>
      <c r="C10245" t="s" s="12">
        <v>799</v>
      </c>
      <c r="D10245" s="13">
        <v>2</v>
      </c>
      <c r="E10245" s="13"/>
      <c r="F10245" s="14"/>
      <c r="G10245" s="14"/>
      <c r="H10245" s="14"/>
      <c r="I10245" s="14"/>
    </row>
    <row r="10246" ht="20.7" customHeight="1">
      <c r="A10246" s="10">
        <v>45836</v>
      </c>
      <c r="B10246" t="s" s="11">
        <v>8</v>
      </c>
      <c r="C10246" t="s" s="12">
        <v>8</v>
      </c>
      <c r="D10246" s="15" cm="1">
        <f t="array" ref="D10246">SUM(D10244:D10245)</f>
        <v>2</v>
      </c>
      <c r="E10246" s="15" cm="1">
        <f t="array" ref="E10246">SUM(E10244:E10245)</f>
        <v>2</v>
      </c>
      <c r="F10246" s="16" cm="1">
        <f t="array" ref="F10246">SUM(F10244:F10245)</f>
        <v>0</v>
      </c>
      <c r="G10246" s="16" cm="1">
        <f t="array" ref="G10246">SUM(G10244:G10245)</f>
        <v>0</v>
      </c>
      <c r="H10246" s="16" cm="1">
        <f t="array" ref="H10246">SUM(H10244:H10245)</f>
        <v>0</v>
      </c>
      <c r="I10246" s="16" cm="1">
        <f t="array" ref="I10246">SUM(I10244:I10245)</f>
        <v>0</v>
      </c>
    </row>
    <row r="10247" ht="20.65" customHeight="1">
      <c r="A10247" s="10">
        <v>45836</v>
      </c>
      <c r="B10247" t="s" s="11">
        <v>843</v>
      </c>
      <c r="C10247" t="s" s="12">
        <v>820</v>
      </c>
      <c r="D10247" s="17">
        <v>1</v>
      </c>
      <c r="E10247" s="17"/>
      <c r="F10247" s="18"/>
      <c r="G10247" s="18"/>
      <c r="H10247" s="18"/>
      <c r="I10247" s="18"/>
    </row>
    <row r="10248" ht="20.65" customHeight="1">
      <c r="A10248" s="10">
        <v>45836</v>
      </c>
      <c r="B10248" t="s" s="11">
        <v>7</v>
      </c>
      <c r="C10248" t="s" s="12">
        <v>820</v>
      </c>
      <c r="D10248" s="13"/>
      <c r="E10248" s="13">
        <v>1</v>
      </c>
      <c r="F10248" s="14"/>
      <c r="G10248" s="14"/>
      <c r="H10248" s="14"/>
      <c r="I10248" s="14"/>
    </row>
    <row r="10249" ht="20.7" customHeight="1">
      <c r="A10249" s="10">
        <v>45836</v>
      </c>
      <c r="B10249" t="s" s="11">
        <v>8</v>
      </c>
      <c r="C10249" t="s" s="12">
        <v>8</v>
      </c>
      <c r="D10249" s="15" cm="1">
        <f t="array" ref="D10249">SUM(D10247:D10248)</f>
        <v>1</v>
      </c>
      <c r="E10249" s="15" cm="1">
        <f t="array" ref="E10249">SUM(E10247:E10248)</f>
        <v>1</v>
      </c>
      <c r="F10249" s="16" cm="1">
        <f t="array" ref="F10249">SUM(F10247:F10248)</f>
        <v>0</v>
      </c>
      <c r="G10249" s="16" cm="1">
        <f t="array" ref="G10249">SUM(G10247:G10248)</f>
        <v>0</v>
      </c>
      <c r="H10249" s="16" cm="1">
        <f t="array" ref="H10249">SUM(H10247:H10248)</f>
        <v>0</v>
      </c>
      <c r="I10249" s="16" cm="1">
        <f t="array" ref="I10249">SUM(I10247:I10248)</f>
        <v>0</v>
      </c>
    </row>
    <row r="10250" ht="20.65" customHeight="1">
      <c r="A10250" s="10">
        <v>45836</v>
      </c>
      <c r="B10250" t="s" s="11">
        <v>814</v>
      </c>
      <c r="C10250" t="s" s="12">
        <v>820</v>
      </c>
      <c r="D10250" s="17">
        <v>8</v>
      </c>
      <c r="E10250" s="17"/>
      <c r="F10250" s="18"/>
      <c r="G10250" s="18"/>
      <c r="H10250" s="18"/>
      <c r="I10250" s="18"/>
    </row>
    <row r="10251" ht="20.65" customHeight="1">
      <c r="A10251" s="10">
        <v>45836</v>
      </c>
      <c r="B10251" t="s" s="11">
        <v>7</v>
      </c>
      <c r="C10251" t="s" s="12">
        <v>820</v>
      </c>
      <c r="D10251" s="13"/>
      <c r="E10251" s="13">
        <v>8</v>
      </c>
      <c r="F10251" s="14"/>
      <c r="G10251" s="14"/>
      <c r="H10251" s="14"/>
      <c r="I10251" s="14"/>
    </row>
    <row r="10252" ht="20.7" customHeight="1">
      <c r="A10252" s="10">
        <v>45836</v>
      </c>
      <c r="B10252" t="s" s="11">
        <v>8</v>
      </c>
      <c r="C10252" t="s" s="12">
        <v>8</v>
      </c>
      <c r="D10252" s="15" cm="1">
        <f t="array" ref="D10252">SUM(D10250:D10251)</f>
        <v>8</v>
      </c>
      <c r="E10252" s="15" cm="1">
        <f t="array" ref="E10252">SUM(E10250:E10251)</f>
        <v>8</v>
      </c>
      <c r="F10252" s="16" cm="1">
        <f t="array" ref="F10252">SUM(F10250:F10251)</f>
        <v>0</v>
      </c>
      <c r="G10252" s="16" cm="1">
        <f t="array" ref="G10252">SUM(G10250:G10251)</f>
        <v>0</v>
      </c>
      <c r="H10252" s="16" cm="1">
        <f t="array" ref="H10252">SUM(H10250:H10251)</f>
        <v>0</v>
      </c>
      <c r="I10252" s="16" cm="1">
        <f t="array" ref="I10252">SUM(I10250:I10251)</f>
        <v>0</v>
      </c>
    </row>
    <row r="10253" ht="20.35" customHeight="1">
      <c r="A10253" s="10">
        <v>45836</v>
      </c>
      <c r="B10253" t="s" s="11">
        <v>5</v>
      </c>
      <c r="C10253" t="s" s="12">
        <v>1328</v>
      </c>
      <c r="D10253" s="17"/>
      <c r="E10253" s="17">
        <v>1278</v>
      </c>
      <c r="F10253" s="18"/>
      <c r="G10253" s="18"/>
      <c r="H10253" s="18"/>
      <c r="I10253" s="18"/>
    </row>
    <row r="10254" ht="20.35" customHeight="1">
      <c r="A10254" s="10">
        <v>45836</v>
      </c>
      <c r="B10254" t="s" s="11">
        <v>16</v>
      </c>
      <c r="C10254" t="s" s="12">
        <v>1328</v>
      </c>
      <c r="D10254" s="13">
        <v>1278</v>
      </c>
      <c r="E10254" s="13"/>
      <c r="F10254" s="14"/>
      <c r="G10254" s="14"/>
      <c r="H10254" s="14"/>
      <c r="I10254" s="14"/>
    </row>
    <row r="10255" ht="20.7" customHeight="1">
      <c r="A10255" s="10">
        <v>45836</v>
      </c>
      <c r="B10255" t="s" s="11">
        <v>8</v>
      </c>
      <c r="C10255" t="s" s="12">
        <v>8</v>
      </c>
      <c r="D10255" s="15" cm="1">
        <f t="array" ref="D10255">SUM(D10253:D10254)</f>
        <v>1278</v>
      </c>
      <c r="E10255" s="15" cm="1">
        <f t="array" ref="E10255">SUM(E10253:E10254)</f>
        <v>1278</v>
      </c>
      <c r="F10255" s="16" cm="1">
        <f t="array" ref="F10255">SUM(F10253:F10254)</f>
        <v>0</v>
      </c>
      <c r="G10255" s="16" cm="1">
        <f t="array" ref="G10255">SUM(G10253:G10254)</f>
        <v>0</v>
      </c>
      <c r="H10255" s="16" cm="1">
        <f t="array" ref="H10255">SUM(H10253:H10254)</f>
        <v>0</v>
      </c>
      <c r="I10255" s="16" cm="1">
        <f t="array" ref="I10255">SUM(I10253:I10254)</f>
        <v>0</v>
      </c>
    </row>
    <row r="10256" ht="20.35" customHeight="1">
      <c r="A10256" s="10">
        <v>45836</v>
      </c>
      <c r="B10256" t="s" s="11">
        <v>814</v>
      </c>
      <c r="C10256" t="s" s="12">
        <v>96</v>
      </c>
      <c r="D10256" s="17"/>
      <c r="E10256" s="17">
        <v>30000</v>
      </c>
      <c r="F10256" s="18"/>
      <c r="G10256" s="18"/>
      <c r="H10256" s="18"/>
      <c r="I10256" s="18"/>
    </row>
    <row r="10257" ht="20.35" customHeight="1">
      <c r="A10257" s="10">
        <v>45836</v>
      </c>
      <c r="B10257" t="s" s="11">
        <v>5</v>
      </c>
      <c r="C10257" t="s" s="12">
        <v>96</v>
      </c>
      <c r="D10257" s="13">
        <v>30000</v>
      </c>
      <c r="E10257" s="13"/>
      <c r="F10257" s="14"/>
      <c r="G10257" s="14"/>
      <c r="H10257" s="14"/>
      <c r="I10257" s="14"/>
    </row>
    <row r="10258" ht="20.7" customHeight="1">
      <c r="A10258" s="10">
        <v>45836</v>
      </c>
      <c r="B10258" t="s" s="11">
        <v>8</v>
      </c>
      <c r="C10258" t="s" s="12">
        <v>8</v>
      </c>
      <c r="D10258" s="15" cm="1">
        <f t="array" ref="D10258">SUM(D10256:D10257)</f>
        <v>30000</v>
      </c>
      <c r="E10258" s="15" cm="1">
        <f t="array" ref="E10258">SUM(E10256:E10257)</f>
        <v>30000</v>
      </c>
      <c r="F10258" s="16" cm="1">
        <f t="array" ref="F10258">SUM(F10256:F10257)</f>
        <v>0</v>
      </c>
      <c r="G10258" s="16" cm="1">
        <f t="array" ref="G10258">SUM(G10256:G10257)</f>
        <v>0</v>
      </c>
      <c r="H10258" s="16" cm="1">
        <f t="array" ref="H10258">SUM(H10256:H10257)</f>
        <v>0</v>
      </c>
      <c r="I10258" s="16" cm="1">
        <f t="array" ref="I10258">SUM(I10256:I10257)</f>
        <v>0</v>
      </c>
    </row>
    <row r="10259" ht="20.35" customHeight="1">
      <c r="A10259" s="10">
        <v>45836</v>
      </c>
      <c r="B10259" t="s" s="11">
        <v>5</v>
      </c>
      <c r="C10259" t="s" s="12">
        <v>1328</v>
      </c>
      <c r="D10259" s="17"/>
      <c r="E10259" s="17">
        <v>1993</v>
      </c>
      <c r="F10259" s="18"/>
      <c r="G10259" s="18"/>
      <c r="H10259" s="18"/>
      <c r="I10259" s="18"/>
    </row>
    <row r="10260" ht="20.35" customHeight="1">
      <c r="A10260" s="10">
        <v>45836</v>
      </c>
      <c r="B10260" t="s" s="11">
        <v>16</v>
      </c>
      <c r="C10260" t="s" s="12">
        <v>1328</v>
      </c>
      <c r="D10260" s="13">
        <v>1993</v>
      </c>
      <c r="E10260" s="13"/>
      <c r="F10260" s="14"/>
      <c r="G10260" s="14"/>
      <c r="H10260" s="14"/>
      <c r="I10260" s="14"/>
    </row>
    <row r="10261" ht="20.7" customHeight="1">
      <c r="A10261" s="10">
        <v>45836</v>
      </c>
      <c r="B10261" t="s" s="11">
        <v>8</v>
      </c>
      <c r="C10261" t="s" s="12">
        <v>8</v>
      </c>
      <c r="D10261" s="15" cm="1">
        <f t="array" ref="D10261">SUM(D10259:D10260)</f>
        <v>1993</v>
      </c>
      <c r="E10261" s="15" cm="1">
        <f t="array" ref="E10261">SUM(E10259:E10260)</f>
        <v>1993</v>
      </c>
      <c r="F10261" s="16" cm="1">
        <f t="array" ref="F10261">SUM(F10259:F10260)</f>
        <v>0</v>
      </c>
      <c r="G10261" s="16" cm="1">
        <f t="array" ref="G10261">SUM(G10259:G10260)</f>
        <v>0</v>
      </c>
      <c r="H10261" s="16" cm="1">
        <f t="array" ref="H10261">SUM(H10259:H10260)</f>
        <v>0</v>
      </c>
      <c r="I10261" s="16" cm="1">
        <f t="array" ref="I10261">SUM(I10259:I10260)</f>
        <v>0</v>
      </c>
    </row>
    <row r="10262" ht="20.35" customHeight="1">
      <c r="A10262" s="10">
        <v>45836</v>
      </c>
      <c r="B10262" t="s" s="11">
        <v>5</v>
      </c>
      <c r="C10262" t="s" s="12">
        <v>1328</v>
      </c>
      <c r="D10262" s="17"/>
      <c r="E10262" s="17">
        <v>33664</v>
      </c>
      <c r="F10262" s="18"/>
      <c r="G10262" s="18"/>
      <c r="H10262" s="18"/>
      <c r="I10262" s="18"/>
    </row>
    <row r="10263" ht="20.35" customHeight="1">
      <c r="A10263" s="10">
        <v>45836</v>
      </c>
      <c r="B10263" t="s" s="11">
        <v>16</v>
      </c>
      <c r="C10263" t="s" s="12">
        <v>1328</v>
      </c>
      <c r="D10263" s="13">
        <v>33664</v>
      </c>
      <c r="E10263" s="13"/>
      <c r="F10263" s="14"/>
      <c r="G10263" s="14"/>
      <c r="H10263" s="14"/>
      <c r="I10263" s="14"/>
    </row>
    <row r="10264" ht="20.7" customHeight="1">
      <c r="A10264" s="10">
        <v>45836</v>
      </c>
      <c r="B10264" t="s" s="11">
        <v>8</v>
      </c>
      <c r="C10264" t="s" s="12">
        <v>8</v>
      </c>
      <c r="D10264" s="15" cm="1">
        <f t="array" ref="D10264">SUM(D10262:D10263)</f>
        <v>33664</v>
      </c>
      <c r="E10264" s="15" cm="1">
        <f t="array" ref="E10264">SUM(E10262:E10263)</f>
        <v>33664</v>
      </c>
      <c r="F10264" s="16" cm="1">
        <f t="array" ref="F10264">SUM(F10262:F10263)</f>
        <v>0</v>
      </c>
      <c r="G10264" s="16" cm="1">
        <f t="array" ref="G10264">SUM(G10262:G10263)</f>
        <v>0</v>
      </c>
      <c r="H10264" s="16" cm="1">
        <f t="array" ref="H10264">SUM(H10262:H10263)</f>
        <v>0</v>
      </c>
      <c r="I10264" s="16" cm="1">
        <f t="array" ref="I10264">SUM(I10262:I10263)</f>
        <v>0</v>
      </c>
    </row>
    <row r="10265" ht="20.35" customHeight="1">
      <c r="A10265" s="10">
        <v>45836</v>
      </c>
      <c r="B10265" t="s" s="11">
        <v>814</v>
      </c>
      <c r="C10265" t="s" s="12">
        <v>96</v>
      </c>
      <c r="D10265" s="17"/>
      <c r="E10265" s="17">
        <v>60000</v>
      </c>
      <c r="F10265" s="18"/>
      <c r="G10265" s="18"/>
      <c r="H10265" s="18"/>
      <c r="I10265" s="18"/>
    </row>
    <row r="10266" ht="20.35" customHeight="1">
      <c r="A10266" s="10">
        <v>45836</v>
      </c>
      <c r="B10266" t="s" s="11">
        <v>5</v>
      </c>
      <c r="C10266" t="s" s="12">
        <v>96</v>
      </c>
      <c r="D10266" s="13">
        <v>60000</v>
      </c>
      <c r="E10266" s="13"/>
      <c r="F10266" s="14"/>
      <c r="G10266" s="14"/>
      <c r="H10266" s="14"/>
      <c r="I10266" s="14"/>
    </row>
    <row r="10267" ht="20.7" customHeight="1">
      <c r="A10267" s="10">
        <v>45836</v>
      </c>
      <c r="B10267" t="s" s="11">
        <v>8</v>
      </c>
      <c r="C10267" t="s" s="12">
        <v>8</v>
      </c>
      <c r="D10267" s="15" cm="1">
        <f t="array" ref="D10267">SUM(D10265:D10266)</f>
        <v>60000</v>
      </c>
      <c r="E10267" s="15" cm="1">
        <f t="array" ref="E10267">SUM(E10265:E10266)</f>
        <v>60000</v>
      </c>
      <c r="F10267" s="16" cm="1">
        <f t="array" ref="F10267">SUM(F10265:F10266)</f>
        <v>0</v>
      </c>
      <c r="G10267" s="16" cm="1">
        <f t="array" ref="G10267">SUM(G10265:G10266)</f>
        <v>0</v>
      </c>
      <c r="H10267" s="16" cm="1">
        <f t="array" ref="H10267">SUM(H10265:H10266)</f>
        <v>0</v>
      </c>
      <c r="I10267" s="16" cm="1">
        <f t="array" ref="I10267">SUM(I10265:I10266)</f>
        <v>0</v>
      </c>
    </row>
    <row r="10268" ht="20.35" customHeight="1">
      <c r="A10268" s="10">
        <v>45836</v>
      </c>
      <c r="B10268" t="s" s="11">
        <v>1329</v>
      </c>
      <c r="C10268" t="s" s="12">
        <v>735</v>
      </c>
      <c r="D10268" s="17"/>
      <c r="E10268" s="17"/>
      <c r="F10268" s="18">
        <v>50</v>
      </c>
      <c r="G10268" s="18"/>
      <c r="H10268" s="18"/>
      <c r="I10268" s="18"/>
    </row>
    <row r="10269" ht="20.35" customHeight="1">
      <c r="A10269" s="10">
        <v>45836</v>
      </c>
      <c r="B10269" t="s" s="11">
        <v>39</v>
      </c>
      <c r="C10269" t="s" s="12">
        <v>735</v>
      </c>
      <c r="D10269" s="13"/>
      <c r="E10269" s="13"/>
      <c r="F10269" s="14"/>
      <c r="G10269" s="14">
        <v>50</v>
      </c>
      <c r="H10269" s="14"/>
      <c r="I10269" s="14"/>
    </row>
    <row r="10270" ht="20.7" customHeight="1">
      <c r="A10270" s="10">
        <v>45836</v>
      </c>
      <c r="B10270" t="s" s="11">
        <v>8</v>
      </c>
      <c r="C10270" t="s" s="12">
        <v>8</v>
      </c>
      <c r="D10270" s="15" cm="1">
        <f t="array" ref="D10270">SUM(D10268:D10269)</f>
        <v>0</v>
      </c>
      <c r="E10270" s="15" cm="1">
        <f t="array" ref="E10270">SUM(E10268:E10269)</f>
        <v>0</v>
      </c>
      <c r="F10270" s="16" cm="1">
        <f t="array" ref="F10270">SUM(F10268:F10269)</f>
        <v>50</v>
      </c>
      <c r="G10270" s="16" cm="1">
        <f t="array" ref="G10270">SUM(G10268:G10269)</f>
        <v>50</v>
      </c>
      <c r="H10270" s="16" cm="1">
        <f t="array" ref="H10270">SUM(H10268:H10269)</f>
        <v>0</v>
      </c>
      <c r="I10270" s="16" cm="1">
        <f t="array" ref="I10270">SUM(I10268:I10269)</f>
        <v>0</v>
      </c>
    </row>
    <row r="10271" ht="21.25" customHeight="1">
      <c r="A10271" s="10">
        <v>45836</v>
      </c>
      <c r="B10271" t="s" s="11">
        <v>18</v>
      </c>
      <c r="C10271" t="s" s="12">
        <v>799</v>
      </c>
      <c r="D10271" s="17"/>
      <c r="E10271" s="17">
        <v>7</v>
      </c>
      <c r="F10271" s="18"/>
      <c r="G10271" s="18"/>
      <c r="H10271" s="18"/>
      <c r="I10271" s="18"/>
    </row>
    <row r="10272" ht="21.25" customHeight="1">
      <c r="A10272" s="10">
        <v>45836</v>
      </c>
      <c r="B10272" t="s" s="11">
        <v>5</v>
      </c>
      <c r="C10272" t="s" s="12">
        <v>799</v>
      </c>
      <c r="D10272" s="13">
        <v>7</v>
      </c>
      <c r="E10272" s="13"/>
      <c r="F10272" s="14"/>
      <c r="G10272" s="14"/>
      <c r="H10272" s="14"/>
      <c r="I10272" s="14"/>
    </row>
    <row r="10273" ht="20.7" customHeight="1">
      <c r="A10273" s="10">
        <v>45836</v>
      </c>
      <c r="B10273" t="s" s="11">
        <v>8</v>
      </c>
      <c r="C10273" t="s" s="12">
        <v>8</v>
      </c>
      <c r="D10273" s="15" cm="1">
        <f t="array" ref="D10273">SUM(D10271:D10272)</f>
        <v>7</v>
      </c>
      <c r="E10273" s="15" cm="1">
        <f t="array" ref="E10273">SUM(E10271:E10272)</f>
        <v>7</v>
      </c>
      <c r="F10273" s="16" cm="1">
        <f t="array" ref="F10273">SUM(F10271:F10272)</f>
        <v>0</v>
      </c>
      <c r="G10273" s="16" cm="1">
        <f t="array" ref="G10273">SUM(G10271:G10272)</f>
        <v>0</v>
      </c>
      <c r="H10273" s="16" cm="1">
        <f t="array" ref="H10273">SUM(H10271:H10272)</f>
        <v>0</v>
      </c>
      <c r="I10273" s="16" cm="1">
        <f t="array" ref="I10273">SUM(I10271:I10272)</f>
        <v>0</v>
      </c>
    </row>
    <row r="10274" ht="20.65" customHeight="1">
      <c r="A10274" s="10">
        <v>45837</v>
      </c>
      <c r="B10274" t="s" s="11">
        <v>843</v>
      </c>
      <c r="C10274" t="s" s="12">
        <v>820</v>
      </c>
      <c r="D10274" s="17">
        <v>1</v>
      </c>
      <c r="E10274" s="17"/>
      <c r="F10274" s="18"/>
      <c r="G10274" s="18"/>
      <c r="H10274" s="18"/>
      <c r="I10274" s="18"/>
    </row>
    <row r="10275" ht="20.65" customHeight="1">
      <c r="A10275" s="10">
        <v>45837</v>
      </c>
      <c r="B10275" t="s" s="11">
        <v>7</v>
      </c>
      <c r="C10275" t="s" s="12">
        <v>820</v>
      </c>
      <c r="D10275" s="13"/>
      <c r="E10275" s="13">
        <v>1</v>
      </c>
      <c r="F10275" s="14"/>
      <c r="G10275" s="14"/>
      <c r="H10275" s="14"/>
      <c r="I10275" s="14"/>
    </row>
    <row r="10276" ht="20.7" customHeight="1">
      <c r="A10276" s="10">
        <v>45837</v>
      </c>
      <c r="B10276" t="s" s="11">
        <v>8</v>
      </c>
      <c r="C10276" t="s" s="12">
        <v>8</v>
      </c>
      <c r="D10276" s="15" cm="1">
        <f t="array" ref="D10276">SUM(D10274:D10275)</f>
        <v>1</v>
      </c>
      <c r="E10276" s="15" cm="1">
        <f t="array" ref="E10276">SUM(E10274:E10275)</f>
        <v>1</v>
      </c>
      <c r="F10276" s="16" cm="1">
        <f t="array" ref="F10276">SUM(F10274:F10275)</f>
        <v>0</v>
      </c>
      <c r="G10276" s="16" cm="1">
        <f t="array" ref="G10276">SUM(G10274:G10275)</f>
        <v>0</v>
      </c>
      <c r="H10276" s="16" cm="1">
        <f t="array" ref="H10276">SUM(H10274:H10275)</f>
        <v>0</v>
      </c>
      <c r="I10276" s="16" cm="1">
        <f t="array" ref="I10276">SUM(I10274:I10275)</f>
        <v>0</v>
      </c>
    </row>
    <row r="10277" ht="20.65" customHeight="1">
      <c r="A10277" s="10">
        <v>45837</v>
      </c>
      <c r="B10277" t="s" s="11">
        <v>814</v>
      </c>
      <c r="C10277" t="s" s="12">
        <v>820</v>
      </c>
      <c r="D10277" s="17">
        <v>4</v>
      </c>
      <c r="E10277" s="17"/>
      <c r="F10277" s="18"/>
      <c r="G10277" s="18"/>
      <c r="H10277" s="18"/>
      <c r="I10277" s="18"/>
    </row>
    <row r="10278" ht="20.65" customHeight="1">
      <c r="A10278" s="10">
        <v>45837</v>
      </c>
      <c r="B10278" t="s" s="11">
        <v>7</v>
      </c>
      <c r="C10278" t="s" s="12">
        <v>820</v>
      </c>
      <c r="D10278" s="13"/>
      <c r="E10278" s="13">
        <v>4</v>
      </c>
      <c r="F10278" s="14"/>
      <c r="G10278" s="14"/>
      <c r="H10278" s="14"/>
      <c r="I10278" s="14"/>
    </row>
    <row r="10279" ht="20.7" customHeight="1">
      <c r="A10279" s="10">
        <v>45837</v>
      </c>
      <c r="B10279" t="s" s="11">
        <v>8</v>
      </c>
      <c r="C10279" t="s" s="12">
        <v>8</v>
      </c>
      <c r="D10279" s="15" cm="1">
        <f t="array" ref="D10279">SUM(D10277:D10278)</f>
        <v>4</v>
      </c>
      <c r="E10279" s="15" cm="1">
        <f t="array" ref="E10279">SUM(E10277:E10278)</f>
        <v>4</v>
      </c>
      <c r="F10279" s="16" cm="1">
        <f t="array" ref="F10279">SUM(F10277:F10278)</f>
        <v>0</v>
      </c>
      <c r="G10279" s="16" cm="1">
        <f t="array" ref="G10279">SUM(G10277:G10278)</f>
        <v>0</v>
      </c>
      <c r="H10279" s="16" cm="1">
        <f t="array" ref="H10279">SUM(H10277:H10278)</f>
        <v>0</v>
      </c>
      <c r="I10279" s="16" cm="1">
        <f t="array" ref="I10279">SUM(I10277:I10278)</f>
        <v>0</v>
      </c>
    </row>
    <row r="10280" ht="20.35" customHeight="1">
      <c r="A10280" s="10">
        <v>45837</v>
      </c>
      <c r="B10280" t="s" s="11">
        <v>814</v>
      </c>
      <c r="C10280" t="s" s="12">
        <v>96</v>
      </c>
      <c r="D10280" s="17"/>
      <c r="E10280" s="17">
        <v>40000</v>
      </c>
      <c r="F10280" s="18"/>
      <c r="G10280" s="18"/>
      <c r="H10280" s="18"/>
      <c r="I10280" s="18"/>
    </row>
    <row r="10281" ht="20.35" customHeight="1">
      <c r="A10281" s="10">
        <v>45837</v>
      </c>
      <c r="B10281" t="s" s="11">
        <v>5</v>
      </c>
      <c r="C10281" t="s" s="12">
        <v>96</v>
      </c>
      <c r="D10281" s="13">
        <v>40000</v>
      </c>
      <c r="E10281" s="13"/>
      <c r="F10281" s="14"/>
      <c r="G10281" s="14"/>
      <c r="H10281" s="14"/>
      <c r="I10281" s="14"/>
    </row>
    <row r="10282" ht="20.7" customHeight="1">
      <c r="A10282" s="10">
        <v>45837</v>
      </c>
      <c r="B10282" t="s" s="11">
        <v>8</v>
      </c>
      <c r="C10282" t="s" s="12">
        <v>8</v>
      </c>
      <c r="D10282" s="15" cm="1">
        <f t="array" ref="D10282">SUM(D10280:D10281)</f>
        <v>40000</v>
      </c>
      <c r="E10282" s="15" cm="1">
        <f t="array" ref="E10282">SUM(E10280:E10281)</f>
        <v>40000</v>
      </c>
      <c r="F10282" s="16" cm="1">
        <f t="array" ref="F10282">SUM(F10280:F10281)</f>
        <v>0</v>
      </c>
      <c r="G10282" s="16" cm="1">
        <f t="array" ref="G10282">SUM(G10280:G10281)</f>
        <v>0</v>
      </c>
      <c r="H10282" s="16" cm="1">
        <f t="array" ref="H10282">SUM(H10280:H10281)</f>
        <v>0</v>
      </c>
      <c r="I10282" s="16" cm="1">
        <f t="array" ref="I10282">SUM(I10280:I10281)</f>
        <v>0</v>
      </c>
    </row>
    <row r="10283" ht="20.35" customHeight="1">
      <c r="A10283" s="10">
        <v>45837</v>
      </c>
      <c r="B10283" t="s" s="11">
        <v>5</v>
      </c>
      <c r="C10283" t="s" s="12">
        <v>1330</v>
      </c>
      <c r="D10283" s="17"/>
      <c r="E10283" s="17">
        <v>16427</v>
      </c>
      <c r="F10283" s="18"/>
      <c r="G10283" s="18"/>
      <c r="H10283" s="18"/>
      <c r="I10283" s="18"/>
    </row>
    <row r="10284" ht="20.35" customHeight="1">
      <c r="A10284" s="10">
        <v>45837</v>
      </c>
      <c r="B10284" t="s" s="11">
        <v>12</v>
      </c>
      <c r="C10284" t="s" s="12">
        <v>1330</v>
      </c>
      <c r="D10284" s="13">
        <v>16427</v>
      </c>
      <c r="E10284" s="13"/>
      <c r="F10284" s="14"/>
      <c r="G10284" s="14"/>
      <c r="H10284" s="14"/>
      <c r="I10284" s="14"/>
    </row>
    <row r="10285" ht="20.7" customHeight="1">
      <c r="A10285" s="10">
        <v>45837</v>
      </c>
      <c r="B10285" t="s" s="11">
        <v>8</v>
      </c>
      <c r="C10285" t="s" s="12">
        <v>8</v>
      </c>
      <c r="D10285" s="15" cm="1">
        <f t="array" ref="D10285">SUM(D10283:D10284)</f>
        <v>16427</v>
      </c>
      <c r="E10285" s="15" cm="1">
        <f t="array" ref="E10285">SUM(E10283:E10284)</f>
        <v>16427</v>
      </c>
      <c r="F10285" s="16" cm="1">
        <f t="array" ref="F10285">SUM(F10283:F10284)</f>
        <v>0</v>
      </c>
      <c r="G10285" s="16" cm="1">
        <f t="array" ref="G10285">SUM(G10283:G10284)</f>
        <v>0</v>
      </c>
      <c r="H10285" s="16" cm="1">
        <f t="array" ref="H10285">SUM(H10283:H10284)</f>
        <v>0</v>
      </c>
      <c r="I10285" s="16" cm="1">
        <f t="array" ref="I10285">SUM(I10283:I10284)</f>
        <v>0</v>
      </c>
    </row>
    <row r="10286" ht="20.65" customHeight="1">
      <c r="A10286" s="10">
        <v>45838</v>
      </c>
      <c r="B10286" t="s" s="11">
        <v>843</v>
      </c>
      <c r="C10286" t="s" s="12">
        <v>820</v>
      </c>
      <c r="D10286" s="17">
        <v>1</v>
      </c>
      <c r="E10286" s="17"/>
      <c r="F10286" s="18"/>
      <c r="G10286" s="18"/>
      <c r="H10286" s="18"/>
      <c r="I10286" s="18"/>
    </row>
    <row r="10287" ht="20.65" customHeight="1">
      <c r="A10287" s="10">
        <v>45838</v>
      </c>
      <c r="B10287" t="s" s="11">
        <v>7</v>
      </c>
      <c r="C10287" t="s" s="12">
        <v>820</v>
      </c>
      <c r="D10287" s="13"/>
      <c r="E10287" s="13">
        <v>1</v>
      </c>
      <c r="F10287" s="14"/>
      <c r="G10287" s="14"/>
      <c r="H10287" s="14"/>
      <c r="I10287" s="14"/>
    </row>
    <row r="10288" ht="20.7" customHeight="1">
      <c r="A10288" s="10">
        <v>45838</v>
      </c>
      <c r="B10288" t="s" s="11">
        <v>8</v>
      </c>
      <c r="C10288" t="s" s="12">
        <v>8</v>
      </c>
      <c r="D10288" s="15" cm="1">
        <f t="array" ref="D10288">SUM(D10286:D10287)</f>
        <v>1</v>
      </c>
      <c r="E10288" s="15" cm="1">
        <f t="array" ref="E10288">SUM(E10286:E10287)</f>
        <v>1</v>
      </c>
      <c r="F10288" s="16" cm="1">
        <f t="array" ref="F10288">SUM(F10286:F10287)</f>
        <v>0</v>
      </c>
      <c r="G10288" s="16" cm="1">
        <f t="array" ref="G10288">SUM(G10286:G10287)</f>
        <v>0</v>
      </c>
      <c r="H10288" s="16" cm="1">
        <f t="array" ref="H10288">SUM(H10286:H10287)</f>
        <v>0</v>
      </c>
      <c r="I10288" s="16" cm="1">
        <f t="array" ref="I10288">SUM(I10286:I10287)</f>
        <v>0</v>
      </c>
    </row>
    <row r="10289" ht="20.65" customHeight="1">
      <c r="A10289" s="10">
        <v>45838</v>
      </c>
      <c r="B10289" t="s" s="11">
        <v>814</v>
      </c>
      <c r="C10289" t="s" s="12">
        <v>820</v>
      </c>
      <c r="D10289" s="17">
        <v>3</v>
      </c>
      <c r="E10289" s="17"/>
      <c r="F10289" s="18"/>
      <c r="G10289" s="18"/>
      <c r="H10289" s="18"/>
      <c r="I10289" s="18"/>
    </row>
    <row r="10290" ht="20.65" customHeight="1">
      <c r="A10290" s="10">
        <v>45838</v>
      </c>
      <c r="B10290" t="s" s="11">
        <v>7</v>
      </c>
      <c r="C10290" t="s" s="12">
        <v>820</v>
      </c>
      <c r="D10290" s="13"/>
      <c r="E10290" s="13">
        <v>3</v>
      </c>
      <c r="F10290" s="14"/>
      <c r="G10290" s="14"/>
      <c r="H10290" s="14"/>
      <c r="I10290" s="14"/>
    </row>
    <row r="10291" ht="20.7" customHeight="1">
      <c r="A10291" s="10">
        <v>45838</v>
      </c>
      <c r="B10291" t="s" s="11">
        <v>8</v>
      </c>
      <c r="C10291" t="s" s="12">
        <v>8</v>
      </c>
      <c r="D10291" s="15" cm="1">
        <f t="array" ref="D10291">SUM(D10289:D10290)</f>
        <v>3</v>
      </c>
      <c r="E10291" s="15" cm="1">
        <f t="array" ref="E10291">SUM(E10289:E10290)</f>
        <v>3</v>
      </c>
      <c r="F10291" s="16" cm="1">
        <f t="array" ref="F10291">SUM(F10289:F10290)</f>
        <v>0</v>
      </c>
      <c r="G10291" s="16" cm="1">
        <f t="array" ref="G10291">SUM(G10289:G10290)</f>
        <v>0</v>
      </c>
      <c r="H10291" s="16" cm="1">
        <f t="array" ref="H10291">SUM(H10289:H10290)</f>
        <v>0</v>
      </c>
      <c r="I10291" s="16" cm="1">
        <f t="array" ref="I10291">SUM(I10289:I10290)</f>
        <v>0</v>
      </c>
    </row>
    <row r="10292" ht="21.25" customHeight="1">
      <c r="A10292" s="10">
        <v>45838</v>
      </c>
      <c r="B10292" t="s" s="11">
        <v>18</v>
      </c>
      <c r="C10292" t="s" s="12">
        <v>799</v>
      </c>
      <c r="D10292" s="17"/>
      <c r="E10292" s="17">
        <v>2</v>
      </c>
      <c r="F10292" s="18"/>
      <c r="G10292" s="18"/>
      <c r="H10292" s="18"/>
      <c r="I10292" s="18"/>
    </row>
    <row r="10293" ht="21.25" customHeight="1">
      <c r="A10293" s="10">
        <v>45838</v>
      </c>
      <c r="B10293" t="s" s="11">
        <v>5</v>
      </c>
      <c r="C10293" t="s" s="12">
        <v>799</v>
      </c>
      <c r="D10293" s="13">
        <v>2</v>
      </c>
      <c r="E10293" s="13"/>
      <c r="F10293" s="14"/>
      <c r="G10293" s="14"/>
      <c r="H10293" s="14"/>
      <c r="I10293" s="14"/>
    </row>
    <row r="10294" ht="20.7" customHeight="1">
      <c r="A10294" s="10">
        <v>45838</v>
      </c>
      <c r="B10294" t="s" s="11">
        <v>8</v>
      </c>
      <c r="C10294" t="s" s="12">
        <v>8</v>
      </c>
      <c r="D10294" s="15" cm="1">
        <f t="array" ref="D10294">SUM(D10292:D10293)</f>
        <v>2</v>
      </c>
      <c r="E10294" s="15" cm="1">
        <f t="array" ref="E10294">SUM(E10292:E10293)</f>
        <v>2</v>
      </c>
      <c r="F10294" s="16" cm="1">
        <f t="array" ref="F10294">SUM(F10292:F10293)</f>
        <v>0</v>
      </c>
      <c r="G10294" s="16" cm="1">
        <f t="array" ref="G10294">SUM(G10292:G10293)</f>
        <v>0</v>
      </c>
      <c r="H10294" s="16" cm="1">
        <f t="array" ref="H10294">SUM(H10292:H10293)</f>
        <v>0</v>
      </c>
      <c r="I10294" s="16" cm="1">
        <f t="array" ref="I10294">SUM(I10292:I10293)</f>
        <v>0</v>
      </c>
    </row>
    <row r="10295" ht="20.35" customHeight="1">
      <c r="A10295" s="10">
        <v>45838</v>
      </c>
      <c r="B10295" t="s" s="11">
        <v>63</v>
      </c>
      <c r="C10295" t="s" s="12">
        <v>598</v>
      </c>
      <c r="D10295" s="17"/>
      <c r="E10295" s="17"/>
      <c r="F10295" s="18"/>
      <c r="G10295" s="18">
        <v>0.04</v>
      </c>
      <c r="H10295" s="18"/>
      <c r="I10295" s="18"/>
    </row>
    <row r="10296" ht="20.35" customHeight="1">
      <c r="A10296" s="10">
        <v>45838</v>
      </c>
      <c r="B10296" t="s" s="11">
        <v>39</v>
      </c>
      <c r="C10296" t="s" s="12">
        <v>598</v>
      </c>
      <c r="D10296" s="13"/>
      <c r="E10296" s="13"/>
      <c r="F10296" s="14">
        <v>0.04</v>
      </c>
      <c r="G10296" s="14"/>
      <c r="H10296" s="14"/>
      <c r="I10296" s="14"/>
    </row>
    <row r="10297" ht="20.7" customHeight="1">
      <c r="A10297" s="10">
        <v>45838</v>
      </c>
      <c r="B10297" t="s" s="11">
        <v>8</v>
      </c>
      <c r="C10297" t="s" s="12">
        <v>8</v>
      </c>
      <c r="D10297" s="15" cm="1">
        <f t="array" ref="D10297">SUM(D10295:D10296)</f>
        <v>0</v>
      </c>
      <c r="E10297" s="15" cm="1">
        <f t="array" ref="E10297">SUM(E10295:E10296)</f>
        <v>0</v>
      </c>
      <c r="F10297" s="16" cm="1">
        <f t="array" ref="F10297">SUM(F10295:F10296)</f>
        <v>0.04</v>
      </c>
      <c r="G10297" s="16" cm="1">
        <f t="array" ref="G10297">SUM(G10295:G10296)</f>
        <v>0.04</v>
      </c>
      <c r="H10297" s="16" cm="1">
        <f t="array" ref="H10297">SUM(H10295:H10296)</f>
        <v>0</v>
      </c>
      <c r="I10297" s="16" cm="1">
        <f t="array" ref="I10297">SUM(I10295:I10296)</f>
        <v>0</v>
      </c>
    </row>
    <row r="10298" ht="21.25" customHeight="1">
      <c r="A10298" s="10">
        <v>45839</v>
      </c>
      <c r="B10298" t="s" s="11">
        <v>97</v>
      </c>
      <c r="C10298" t="s" s="12">
        <v>239</v>
      </c>
      <c r="D10298" s="17"/>
      <c r="E10298" s="17">
        <v>800000</v>
      </c>
      <c r="F10298" s="18"/>
      <c r="G10298" s="18"/>
      <c r="H10298" s="18"/>
      <c r="I10298" s="18"/>
    </row>
    <row r="10299" ht="21.25" customHeight="1">
      <c r="A10299" s="10">
        <v>45839</v>
      </c>
      <c r="B10299" t="s" s="11">
        <v>99</v>
      </c>
      <c r="C10299" t="s" s="12">
        <v>239</v>
      </c>
      <c r="D10299" s="13">
        <v>800000</v>
      </c>
      <c r="E10299" s="13"/>
      <c r="F10299" s="14"/>
      <c r="G10299" s="14"/>
      <c r="H10299" s="14"/>
      <c r="I10299" s="14"/>
    </row>
    <row r="10300" ht="20.7" customHeight="1">
      <c r="A10300" s="10">
        <v>45839</v>
      </c>
      <c r="B10300" t="s" s="11">
        <v>8</v>
      </c>
      <c r="C10300" t="s" s="12">
        <v>8</v>
      </c>
      <c r="D10300" s="15" cm="1">
        <f t="array" ref="D10300">SUM(D10298:D10299)</f>
        <v>800000</v>
      </c>
      <c r="E10300" s="15" cm="1">
        <f t="array" ref="E10300">SUM(E10298:E10299)</f>
        <v>800000</v>
      </c>
      <c r="F10300" s="16" cm="1">
        <f t="array" ref="F10300">SUM(F10298:F10299)</f>
        <v>0</v>
      </c>
      <c r="G10300" s="16" cm="1">
        <f t="array" ref="G10300">SUM(G10298:G10299)</f>
        <v>0</v>
      </c>
      <c r="H10300" s="16" cm="1">
        <f t="array" ref="H10300">SUM(H10298:H10299)</f>
        <v>0</v>
      </c>
      <c r="I10300" s="16" cm="1">
        <f t="array" ref="I10300">SUM(I10298:I10299)</f>
        <v>0</v>
      </c>
    </row>
    <row r="10301" ht="21.25" customHeight="1">
      <c r="A10301" s="10">
        <v>45839</v>
      </c>
      <c r="B10301" t="s" s="11">
        <v>106</v>
      </c>
      <c r="C10301" t="s" s="12">
        <v>1331</v>
      </c>
      <c r="D10301" s="17"/>
      <c r="E10301" s="17">
        <v>17500</v>
      </c>
      <c r="F10301" s="18"/>
      <c r="G10301" s="18"/>
      <c r="H10301" s="18"/>
      <c r="I10301" s="18"/>
    </row>
    <row r="10302" ht="21.25" customHeight="1">
      <c r="A10302" s="10">
        <v>45839</v>
      </c>
      <c r="B10302" t="s" s="11">
        <v>10</v>
      </c>
      <c r="C10302" t="s" s="12">
        <v>1331</v>
      </c>
      <c r="D10302" s="13">
        <v>17500</v>
      </c>
      <c r="E10302" s="13"/>
      <c r="F10302" s="14"/>
      <c r="G10302" s="14"/>
      <c r="H10302" s="14"/>
      <c r="I10302" s="14"/>
    </row>
    <row r="10303" ht="20.7" customHeight="1">
      <c r="A10303" s="10">
        <v>45839</v>
      </c>
      <c r="B10303" t="s" s="11">
        <v>8</v>
      </c>
      <c r="C10303" t="s" s="12">
        <v>8</v>
      </c>
      <c r="D10303" s="15" cm="1">
        <f t="array" ref="D10303">SUM(D10301:D10302)</f>
        <v>17500</v>
      </c>
      <c r="E10303" s="15" cm="1">
        <f t="array" ref="E10303">SUM(E10301:E10302)</f>
        <v>17500</v>
      </c>
      <c r="F10303" s="16" cm="1">
        <f t="array" ref="F10303">SUM(F10301:F10302)</f>
        <v>0</v>
      </c>
      <c r="G10303" s="16" cm="1">
        <f t="array" ref="G10303">SUM(G10301:G10302)</f>
        <v>0</v>
      </c>
      <c r="H10303" s="16" cm="1">
        <f t="array" ref="H10303">SUM(H10301:H10302)</f>
        <v>0</v>
      </c>
      <c r="I10303" s="16" cm="1">
        <f t="array" ref="I10303">SUM(I10301:I10302)</f>
        <v>0</v>
      </c>
    </row>
    <row r="10304" ht="20.65" customHeight="1">
      <c r="A10304" s="10">
        <v>45839</v>
      </c>
      <c r="B10304" t="s" s="11">
        <v>814</v>
      </c>
      <c r="C10304" t="s" s="12">
        <v>820</v>
      </c>
      <c r="D10304" s="17">
        <v>3</v>
      </c>
      <c r="E10304" s="17"/>
      <c r="F10304" s="18"/>
      <c r="G10304" s="18"/>
      <c r="H10304" s="18"/>
      <c r="I10304" s="18"/>
    </row>
    <row r="10305" ht="20.65" customHeight="1">
      <c r="A10305" s="10">
        <v>45839</v>
      </c>
      <c r="B10305" t="s" s="11">
        <v>7</v>
      </c>
      <c r="C10305" t="s" s="12">
        <v>820</v>
      </c>
      <c r="D10305" s="13"/>
      <c r="E10305" s="13">
        <v>3</v>
      </c>
      <c r="F10305" s="14"/>
      <c r="G10305" s="14"/>
      <c r="H10305" s="14"/>
      <c r="I10305" s="14"/>
    </row>
    <row r="10306" ht="20.7" customHeight="1">
      <c r="A10306" s="10">
        <v>45839</v>
      </c>
      <c r="B10306" t="s" s="11">
        <v>8</v>
      </c>
      <c r="C10306" t="s" s="12">
        <v>8</v>
      </c>
      <c r="D10306" s="15" cm="1">
        <f t="array" ref="D10306">SUM(D10304:D10305)</f>
        <v>3</v>
      </c>
      <c r="E10306" s="15" cm="1">
        <f t="array" ref="E10306">SUM(E10304:E10305)</f>
        <v>3</v>
      </c>
      <c r="F10306" s="16" cm="1">
        <f t="array" ref="F10306">SUM(F10304:F10305)</f>
        <v>0</v>
      </c>
      <c r="G10306" s="16" cm="1">
        <f t="array" ref="G10306">SUM(G10304:G10305)</f>
        <v>0</v>
      </c>
      <c r="H10306" s="16" cm="1">
        <f t="array" ref="H10306">SUM(H10304:H10305)</f>
        <v>0</v>
      </c>
      <c r="I10306" s="16" cm="1">
        <f t="array" ref="I10306">SUM(I10304:I10305)</f>
        <v>0</v>
      </c>
    </row>
    <row r="10307" ht="20.65" customHeight="1">
      <c r="A10307" s="10">
        <v>45839</v>
      </c>
      <c r="B10307" t="s" s="11">
        <v>843</v>
      </c>
      <c r="C10307" t="s" s="12">
        <v>820</v>
      </c>
      <c r="D10307" s="17">
        <v>1</v>
      </c>
      <c r="E10307" s="17"/>
      <c r="F10307" s="18"/>
      <c r="G10307" s="18"/>
      <c r="H10307" s="18"/>
      <c r="I10307" s="18"/>
    </row>
    <row r="10308" ht="20.65" customHeight="1">
      <c r="A10308" s="10">
        <v>45839</v>
      </c>
      <c r="B10308" t="s" s="11">
        <v>7</v>
      </c>
      <c r="C10308" t="s" s="12">
        <v>820</v>
      </c>
      <c r="D10308" s="13"/>
      <c r="E10308" s="13">
        <v>1</v>
      </c>
      <c r="F10308" s="14"/>
      <c r="G10308" s="14"/>
      <c r="H10308" s="14"/>
      <c r="I10308" s="14"/>
    </row>
    <row r="10309" ht="20.7" customHeight="1">
      <c r="A10309" s="10">
        <v>45839</v>
      </c>
      <c r="B10309" t="s" s="11">
        <v>8</v>
      </c>
      <c r="C10309" t="s" s="12">
        <v>8</v>
      </c>
      <c r="D10309" s="15" cm="1">
        <f t="array" ref="D10309">SUM(D10307:D10308)</f>
        <v>1</v>
      </c>
      <c r="E10309" s="15" cm="1">
        <f t="array" ref="E10309">SUM(E10307:E10308)</f>
        <v>1</v>
      </c>
      <c r="F10309" s="16" cm="1">
        <f t="array" ref="F10309">SUM(F10307:F10308)</f>
        <v>0</v>
      </c>
      <c r="G10309" s="16" cm="1">
        <f t="array" ref="G10309">SUM(G10307:G10308)</f>
        <v>0</v>
      </c>
      <c r="H10309" s="16" cm="1">
        <f t="array" ref="H10309">SUM(H10307:H10308)</f>
        <v>0</v>
      </c>
      <c r="I10309" s="16" cm="1">
        <f t="array" ref="I10309">SUM(I10307:I10308)</f>
        <v>0</v>
      </c>
    </row>
    <row r="10310" ht="21.25" customHeight="1">
      <c r="A10310" s="10">
        <v>45839</v>
      </c>
      <c r="B10310" t="s" s="11">
        <v>5</v>
      </c>
      <c r="C10310" t="s" s="12">
        <v>198</v>
      </c>
      <c r="D10310" s="17">
        <v>51</v>
      </c>
      <c r="E10310" s="17"/>
      <c r="F10310" s="18"/>
      <c r="G10310" s="18"/>
      <c r="H10310" s="18"/>
      <c r="I10310" s="18"/>
    </row>
    <row r="10311" ht="21.25" customHeight="1">
      <c r="A10311" s="10">
        <v>45839</v>
      </c>
      <c r="B10311" t="s" s="11">
        <v>7</v>
      </c>
      <c r="C10311" t="s" s="12">
        <v>198</v>
      </c>
      <c r="D10311" s="13"/>
      <c r="E10311" s="13">
        <v>51</v>
      </c>
      <c r="F10311" s="14"/>
      <c r="G10311" s="14"/>
      <c r="H10311" s="14"/>
      <c r="I10311" s="14"/>
    </row>
    <row r="10312" ht="20.7" customHeight="1">
      <c r="A10312" s="10">
        <v>45839</v>
      </c>
      <c r="B10312" t="s" s="11">
        <v>8</v>
      </c>
      <c r="C10312" t="s" s="12">
        <v>8</v>
      </c>
      <c r="D10312" s="15" cm="1">
        <f t="array" ref="D10312">SUM(D10310:D10311)</f>
        <v>51</v>
      </c>
      <c r="E10312" s="15" cm="1">
        <f t="array" ref="E10312">SUM(E10310:E10311)</f>
        <v>51</v>
      </c>
      <c r="F10312" s="16" cm="1">
        <f t="array" ref="F10312">SUM(F10310:F10311)</f>
        <v>0</v>
      </c>
      <c r="G10312" s="16" cm="1">
        <f t="array" ref="G10312">SUM(G10310:G10311)</f>
        <v>0</v>
      </c>
      <c r="H10312" s="16" cm="1">
        <f t="array" ref="H10312">SUM(H10310:H10311)</f>
        <v>0</v>
      </c>
      <c r="I10312" s="16" cm="1">
        <f t="array" ref="I10312">SUM(I10310:I10311)</f>
        <v>0</v>
      </c>
    </row>
    <row r="10313" ht="20.35" customHeight="1">
      <c r="A10313" s="10">
        <v>45839</v>
      </c>
      <c r="B10313" t="s" s="11">
        <v>93</v>
      </c>
      <c r="C10313" t="s" s="12">
        <v>604</v>
      </c>
      <c r="D10313" s="17">
        <v>10000</v>
      </c>
      <c r="E10313" s="17"/>
      <c r="F10313" s="18"/>
      <c r="G10313" s="18"/>
      <c r="H10313" s="18"/>
      <c r="I10313" s="18"/>
    </row>
    <row r="10314" ht="20.35" customHeight="1">
      <c r="A10314" s="10">
        <v>45839</v>
      </c>
      <c r="B10314" t="s" s="11">
        <v>5</v>
      </c>
      <c r="C10314" t="s" s="12">
        <v>604</v>
      </c>
      <c r="D10314" s="13"/>
      <c r="E10314" s="13">
        <v>10000</v>
      </c>
      <c r="F10314" s="14"/>
      <c r="G10314" s="14"/>
      <c r="H10314" s="14"/>
      <c r="I10314" s="14"/>
    </row>
    <row r="10315" ht="20.7" customHeight="1">
      <c r="A10315" s="10">
        <v>45839</v>
      </c>
      <c r="B10315" t="s" s="11">
        <v>8</v>
      </c>
      <c r="C10315" t="s" s="12">
        <v>8</v>
      </c>
      <c r="D10315" s="15" cm="1">
        <f t="array" ref="D10315">SUM(D10313:D10314)</f>
        <v>10000</v>
      </c>
      <c r="E10315" s="15" cm="1">
        <f t="array" ref="E10315">SUM(E10313:E10314)</f>
        <v>10000</v>
      </c>
      <c r="F10315" s="16" cm="1">
        <f t="array" ref="F10315">SUM(F10313:F10314)</f>
        <v>0</v>
      </c>
      <c r="G10315" s="16" cm="1">
        <f t="array" ref="G10315">SUM(G10313:G10314)</f>
        <v>0</v>
      </c>
      <c r="H10315" s="16" cm="1">
        <f t="array" ref="H10315">SUM(H10313:H10314)</f>
        <v>0</v>
      </c>
      <c r="I10315" s="16" cm="1">
        <f t="array" ref="I10315">SUM(I10313:I10314)</f>
        <v>0</v>
      </c>
    </row>
    <row r="10316" ht="20.35" customHeight="1">
      <c r="A10316" s="10">
        <v>45839</v>
      </c>
      <c r="B10316" t="s" s="11">
        <v>93</v>
      </c>
      <c r="C10316" t="s" s="12">
        <v>604</v>
      </c>
      <c r="D10316" s="17">
        <v>10000</v>
      </c>
      <c r="E10316" s="17"/>
      <c r="F10316" s="18"/>
      <c r="G10316" s="18"/>
      <c r="H10316" s="18"/>
      <c r="I10316" s="18"/>
    </row>
    <row r="10317" ht="20.35" customHeight="1">
      <c r="A10317" s="10">
        <v>45839</v>
      </c>
      <c r="B10317" t="s" s="11">
        <v>5</v>
      </c>
      <c r="C10317" t="s" s="12">
        <v>604</v>
      </c>
      <c r="D10317" s="13"/>
      <c r="E10317" s="13">
        <v>10000</v>
      </c>
      <c r="F10317" s="14"/>
      <c r="G10317" s="14"/>
      <c r="H10317" s="14"/>
      <c r="I10317" s="14"/>
    </row>
    <row r="10318" ht="20.7" customHeight="1">
      <c r="A10318" s="10">
        <v>45839</v>
      </c>
      <c r="B10318" t="s" s="11">
        <v>8</v>
      </c>
      <c r="C10318" t="s" s="12">
        <v>8</v>
      </c>
      <c r="D10318" s="15" cm="1">
        <f t="array" ref="D10318">SUM(D10316:D10317)</f>
        <v>10000</v>
      </c>
      <c r="E10318" s="15" cm="1">
        <f t="array" ref="E10318">SUM(E10316:E10317)</f>
        <v>10000</v>
      </c>
      <c r="F10318" s="16" cm="1">
        <f t="array" ref="F10318">SUM(F10316:F10317)</f>
        <v>0</v>
      </c>
      <c r="G10318" s="16" cm="1">
        <f t="array" ref="G10318">SUM(G10316:G10317)</f>
        <v>0</v>
      </c>
      <c r="H10318" s="16" cm="1">
        <f t="array" ref="H10318">SUM(H10316:H10317)</f>
        <v>0</v>
      </c>
      <c r="I10318" s="16" cm="1">
        <f t="array" ref="I10318">SUM(I10316:I10317)</f>
        <v>0</v>
      </c>
    </row>
    <row r="10319" ht="20.35" customHeight="1">
      <c r="A10319" s="10">
        <v>45839</v>
      </c>
      <c r="B10319" t="s" s="11">
        <v>93</v>
      </c>
      <c r="C10319" t="s" s="12">
        <v>1328</v>
      </c>
      <c r="D10319" s="17"/>
      <c r="E10319" s="17">
        <v>10215</v>
      </c>
      <c r="F10319" s="18"/>
      <c r="G10319" s="18"/>
      <c r="H10319" s="18"/>
      <c r="I10319" s="18"/>
    </row>
    <row r="10320" ht="20.35" customHeight="1">
      <c r="A10320" s="10">
        <v>45839</v>
      </c>
      <c r="B10320" t="s" s="11">
        <v>16</v>
      </c>
      <c r="C10320" t="s" s="12">
        <v>1328</v>
      </c>
      <c r="D10320" s="13">
        <v>10215</v>
      </c>
      <c r="E10320" s="13"/>
      <c r="F10320" s="14"/>
      <c r="G10320" s="14"/>
      <c r="H10320" s="14"/>
      <c r="I10320" s="14"/>
    </row>
    <row r="10321" ht="20.7" customHeight="1">
      <c r="A10321" s="10">
        <v>45839</v>
      </c>
      <c r="B10321" t="s" s="11">
        <v>8</v>
      </c>
      <c r="C10321" t="s" s="12">
        <v>8</v>
      </c>
      <c r="D10321" s="15" cm="1">
        <f t="array" ref="D10321">SUM(D10319:D10320)</f>
        <v>10215</v>
      </c>
      <c r="E10321" s="15" cm="1">
        <f t="array" ref="E10321">SUM(E10319:E10320)</f>
        <v>10215</v>
      </c>
      <c r="F10321" s="16" cm="1">
        <f t="array" ref="F10321">SUM(F10319:F10320)</f>
        <v>0</v>
      </c>
      <c r="G10321" s="16" cm="1">
        <f t="array" ref="G10321">SUM(G10319:G10320)</f>
        <v>0</v>
      </c>
      <c r="H10321" s="16" cm="1">
        <f t="array" ref="H10321">SUM(H10319:H10320)</f>
        <v>0</v>
      </c>
      <c r="I10321" s="16" cm="1">
        <f t="array" ref="I10321">SUM(I10319:I10320)</f>
        <v>0</v>
      </c>
    </row>
    <row r="10322" ht="20.35" customHeight="1">
      <c r="A10322" s="10">
        <v>45839</v>
      </c>
      <c r="B10322" t="s" s="11">
        <v>93</v>
      </c>
      <c r="C10322" t="s" s="12">
        <v>1328</v>
      </c>
      <c r="D10322" s="17"/>
      <c r="E10322" s="17">
        <v>1309</v>
      </c>
      <c r="F10322" s="18"/>
      <c r="G10322" s="18"/>
      <c r="H10322" s="18"/>
      <c r="I10322" s="18"/>
    </row>
    <row r="10323" ht="20.35" customHeight="1">
      <c r="A10323" s="10">
        <v>45839</v>
      </c>
      <c r="B10323" t="s" s="11">
        <v>16</v>
      </c>
      <c r="C10323" t="s" s="12">
        <v>1328</v>
      </c>
      <c r="D10323" s="13">
        <v>1309</v>
      </c>
      <c r="E10323" s="13"/>
      <c r="F10323" s="14"/>
      <c r="G10323" s="14"/>
      <c r="H10323" s="14"/>
      <c r="I10323" s="14"/>
    </row>
    <row r="10324" ht="20.7" customHeight="1">
      <c r="A10324" s="10">
        <v>45839</v>
      </c>
      <c r="B10324" t="s" s="11">
        <v>8</v>
      </c>
      <c r="C10324" t="s" s="12">
        <v>8</v>
      </c>
      <c r="D10324" s="15" cm="1">
        <f t="array" ref="D10324">SUM(D10322:D10323)</f>
        <v>1309</v>
      </c>
      <c r="E10324" s="15" cm="1">
        <f t="array" ref="E10324">SUM(E10322:E10323)</f>
        <v>1309</v>
      </c>
      <c r="F10324" s="16" cm="1">
        <f t="array" ref="F10324">SUM(F10322:F10323)</f>
        <v>0</v>
      </c>
      <c r="G10324" s="16" cm="1">
        <f t="array" ref="G10324">SUM(G10322:G10323)</f>
        <v>0</v>
      </c>
      <c r="H10324" s="16" cm="1">
        <f t="array" ref="H10324">SUM(H10322:H10323)</f>
        <v>0</v>
      </c>
      <c r="I10324" s="16" cm="1">
        <f t="array" ref="I10324">SUM(I10322:I10323)</f>
        <v>0</v>
      </c>
    </row>
    <row r="10325" ht="20.35" customHeight="1">
      <c r="A10325" s="10">
        <v>45839</v>
      </c>
      <c r="B10325" t="s" s="11">
        <v>93</v>
      </c>
      <c r="C10325" t="s" s="12">
        <v>1328</v>
      </c>
      <c r="D10325" s="17"/>
      <c r="E10325" s="17">
        <v>8192</v>
      </c>
      <c r="F10325" s="18"/>
      <c r="G10325" s="18"/>
      <c r="H10325" s="18"/>
      <c r="I10325" s="18"/>
    </row>
    <row r="10326" ht="20.35" customHeight="1">
      <c r="A10326" s="10">
        <v>45839</v>
      </c>
      <c r="B10326" t="s" s="11">
        <v>16</v>
      </c>
      <c r="C10326" t="s" s="12">
        <v>1328</v>
      </c>
      <c r="D10326" s="13">
        <v>8192</v>
      </c>
      <c r="E10326" s="13"/>
      <c r="F10326" s="14"/>
      <c r="G10326" s="14"/>
      <c r="H10326" s="14"/>
      <c r="I10326" s="14"/>
    </row>
    <row r="10327" ht="20.7" customHeight="1">
      <c r="A10327" s="10">
        <v>45839</v>
      </c>
      <c r="B10327" t="s" s="11">
        <v>8</v>
      </c>
      <c r="C10327" t="s" s="12">
        <v>8</v>
      </c>
      <c r="D10327" s="15" cm="1">
        <f t="array" ref="D10327">SUM(D10325:D10326)</f>
        <v>8192</v>
      </c>
      <c r="E10327" s="15" cm="1">
        <f t="array" ref="E10327">SUM(E10325:E10326)</f>
        <v>8192</v>
      </c>
      <c r="F10327" s="16" cm="1">
        <f t="array" ref="F10327">SUM(F10325:F10326)</f>
        <v>0</v>
      </c>
      <c r="G10327" s="16" cm="1">
        <f t="array" ref="G10327">SUM(G10325:G10326)</f>
        <v>0</v>
      </c>
      <c r="H10327" s="16" cm="1">
        <f t="array" ref="H10327">SUM(H10325:H10326)</f>
        <v>0</v>
      </c>
      <c r="I10327" s="16" cm="1">
        <f t="array" ref="I10327">SUM(I10325:I10326)</f>
        <v>0</v>
      </c>
    </row>
    <row r="10328" ht="20.35" customHeight="1">
      <c r="A10328" s="10">
        <v>45839</v>
      </c>
      <c r="B10328" t="s" s="11">
        <v>5</v>
      </c>
      <c r="C10328" t="s" s="12">
        <v>1332</v>
      </c>
      <c r="D10328" s="17"/>
      <c r="E10328" s="17">
        <v>14856</v>
      </c>
      <c r="F10328" s="18"/>
      <c r="G10328" s="18"/>
      <c r="H10328" s="18"/>
      <c r="I10328" s="18"/>
    </row>
    <row r="10329" ht="20.35" customHeight="1">
      <c r="A10329" s="10">
        <v>45839</v>
      </c>
      <c r="B10329" t="s" s="11">
        <v>12</v>
      </c>
      <c r="C10329" t="s" s="12">
        <v>1332</v>
      </c>
      <c r="D10329" s="13">
        <v>14856</v>
      </c>
      <c r="E10329" s="13"/>
      <c r="F10329" s="14"/>
      <c r="G10329" s="14"/>
      <c r="H10329" s="14"/>
      <c r="I10329" s="14"/>
    </row>
    <row r="10330" ht="20.7" customHeight="1">
      <c r="A10330" s="10">
        <v>45839</v>
      </c>
      <c r="B10330" t="s" s="11">
        <v>8</v>
      </c>
      <c r="C10330" t="s" s="12">
        <v>8</v>
      </c>
      <c r="D10330" s="15" cm="1">
        <f t="array" ref="D10330">SUM(D10328:D10329)</f>
        <v>14856</v>
      </c>
      <c r="E10330" s="15" cm="1">
        <f t="array" ref="E10330">SUM(E10328:E10329)</f>
        <v>14856</v>
      </c>
      <c r="F10330" s="16" cm="1">
        <f t="array" ref="F10330">SUM(F10328:F10329)</f>
        <v>0</v>
      </c>
      <c r="G10330" s="16" cm="1">
        <f t="array" ref="G10330">SUM(G10328:G10329)</f>
        <v>0</v>
      </c>
      <c r="H10330" s="16" cm="1">
        <f t="array" ref="H10330">SUM(H10328:H10329)</f>
        <v>0</v>
      </c>
      <c r="I10330" s="16" cm="1">
        <f t="array" ref="I10330">SUM(I10328:I10329)</f>
        <v>0</v>
      </c>
    </row>
    <row r="10331" ht="20.35" customHeight="1">
      <c r="A10331" s="10">
        <v>45840</v>
      </c>
      <c r="B10331" t="s" s="11">
        <v>5</v>
      </c>
      <c r="C10331" t="s" s="12">
        <v>1333</v>
      </c>
      <c r="D10331" s="17"/>
      <c r="E10331" s="17">
        <v>8085</v>
      </c>
      <c r="F10331" s="18"/>
      <c r="G10331" s="18"/>
      <c r="H10331" s="18"/>
      <c r="I10331" s="18"/>
    </row>
    <row r="10332" ht="20.35" customHeight="1">
      <c r="A10332" s="10">
        <v>45840</v>
      </c>
      <c r="B10332" t="s" s="11">
        <v>12</v>
      </c>
      <c r="C10332" t="s" s="12">
        <v>1333</v>
      </c>
      <c r="D10332" s="13">
        <v>8085</v>
      </c>
      <c r="E10332" s="13"/>
      <c r="F10332" s="14"/>
      <c r="G10332" s="14"/>
      <c r="H10332" s="14"/>
      <c r="I10332" s="14"/>
    </row>
    <row r="10333" ht="20.7" customHeight="1">
      <c r="A10333" s="10">
        <v>45840</v>
      </c>
      <c r="B10333" t="s" s="11">
        <v>8</v>
      </c>
      <c r="C10333" t="s" s="12">
        <v>8</v>
      </c>
      <c r="D10333" s="15" cm="1">
        <f t="array" ref="D10333">SUM(D10331:D10332)</f>
        <v>8085</v>
      </c>
      <c r="E10333" s="15" cm="1">
        <f t="array" ref="E10333">SUM(E10331:E10332)</f>
        <v>8085</v>
      </c>
      <c r="F10333" s="16" cm="1">
        <f t="array" ref="F10333">SUM(F10331:F10332)</f>
        <v>0</v>
      </c>
      <c r="G10333" s="16" cm="1">
        <f t="array" ref="G10333">SUM(G10331:G10332)</f>
        <v>0</v>
      </c>
      <c r="H10333" s="16" cm="1">
        <f t="array" ref="H10333">SUM(H10331:H10332)</f>
        <v>0</v>
      </c>
      <c r="I10333" s="16" cm="1">
        <f t="array" ref="I10333">SUM(I10331:I10332)</f>
        <v>0</v>
      </c>
    </row>
    <row r="10334" ht="20.65" customHeight="1">
      <c r="A10334" s="10">
        <v>45840</v>
      </c>
      <c r="B10334" t="s" s="11">
        <v>814</v>
      </c>
      <c r="C10334" t="s" s="12">
        <v>820</v>
      </c>
      <c r="D10334" s="17">
        <v>3</v>
      </c>
      <c r="E10334" s="17"/>
      <c r="F10334" s="18"/>
      <c r="G10334" s="18"/>
      <c r="H10334" s="18"/>
      <c r="I10334" s="18"/>
    </row>
    <row r="10335" ht="20.65" customHeight="1">
      <c r="A10335" s="10">
        <v>45840</v>
      </c>
      <c r="B10335" t="s" s="11">
        <v>7</v>
      </c>
      <c r="C10335" t="s" s="12">
        <v>820</v>
      </c>
      <c r="D10335" s="13"/>
      <c r="E10335" s="13">
        <v>3</v>
      </c>
      <c r="F10335" s="14"/>
      <c r="G10335" s="14"/>
      <c r="H10335" s="14"/>
      <c r="I10335" s="14"/>
    </row>
    <row r="10336" ht="20.7" customHeight="1">
      <c r="A10336" s="10">
        <v>45840</v>
      </c>
      <c r="B10336" t="s" s="11">
        <v>8</v>
      </c>
      <c r="C10336" t="s" s="12">
        <v>8</v>
      </c>
      <c r="D10336" s="15" cm="1">
        <f t="array" ref="D10336">SUM(D10334:D10335)</f>
        <v>3</v>
      </c>
      <c r="E10336" s="15" cm="1">
        <f t="array" ref="E10336">SUM(E10334:E10335)</f>
        <v>3</v>
      </c>
      <c r="F10336" s="16" cm="1">
        <f t="array" ref="F10336">SUM(F10334:F10335)</f>
        <v>0</v>
      </c>
      <c r="G10336" s="16" cm="1">
        <f t="array" ref="G10336">SUM(G10334:G10335)</f>
        <v>0</v>
      </c>
      <c r="H10336" s="16" cm="1">
        <f t="array" ref="H10336">SUM(H10334:H10335)</f>
        <v>0</v>
      </c>
      <c r="I10336" s="16" cm="1">
        <f t="array" ref="I10336">SUM(I10334:I10335)</f>
        <v>0</v>
      </c>
    </row>
    <row r="10337" ht="20.65" customHeight="1">
      <c r="A10337" s="10">
        <v>45840</v>
      </c>
      <c r="B10337" t="s" s="11">
        <v>843</v>
      </c>
      <c r="C10337" t="s" s="12">
        <v>820</v>
      </c>
      <c r="D10337" s="17">
        <v>1</v>
      </c>
      <c r="E10337" s="17"/>
      <c r="F10337" s="18"/>
      <c r="G10337" s="18"/>
      <c r="H10337" s="18"/>
      <c r="I10337" s="18"/>
    </row>
    <row r="10338" ht="20.65" customHeight="1">
      <c r="A10338" s="10">
        <v>45840</v>
      </c>
      <c r="B10338" t="s" s="11">
        <v>7</v>
      </c>
      <c r="C10338" t="s" s="12">
        <v>820</v>
      </c>
      <c r="D10338" s="13"/>
      <c r="E10338" s="13">
        <v>1</v>
      </c>
      <c r="F10338" s="14"/>
      <c r="G10338" s="14"/>
      <c r="H10338" s="14"/>
      <c r="I10338" s="14"/>
    </row>
    <row r="10339" ht="20.7" customHeight="1">
      <c r="A10339" s="10">
        <v>45840</v>
      </c>
      <c r="B10339" t="s" s="11">
        <v>8</v>
      </c>
      <c r="C10339" t="s" s="12">
        <v>8</v>
      </c>
      <c r="D10339" s="15" cm="1">
        <f t="array" ref="D10339">SUM(D10337:D10338)</f>
        <v>1</v>
      </c>
      <c r="E10339" s="15" cm="1">
        <f t="array" ref="E10339">SUM(E10337:E10338)</f>
        <v>1</v>
      </c>
      <c r="F10339" s="16" cm="1">
        <f t="array" ref="F10339">SUM(F10337:F10338)</f>
        <v>0</v>
      </c>
      <c r="G10339" s="16" cm="1">
        <f t="array" ref="G10339">SUM(G10337:G10338)</f>
        <v>0</v>
      </c>
      <c r="H10339" s="16" cm="1">
        <f t="array" ref="H10339">SUM(H10337:H10338)</f>
        <v>0</v>
      </c>
      <c r="I10339" s="16" cm="1">
        <f t="array" ref="I10339">SUM(I10337:I10338)</f>
        <v>0</v>
      </c>
    </row>
    <row r="10340" ht="20.35" customHeight="1">
      <c r="A10340" s="10">
        <v>45840</v>
      </c>
      <c r="B10340" t="s" s="11">
        <v>93</v>
      </c>
      <c r="C10340" t="s" s="12">
        <v>604</v>
      </c>
      <c r="D10340" s="17">
        <v>13280</v>
      </c>
      <c r="E10340" s="17"/>
      <c r="F10340" s="18"/>
      <c r="G10340" s="18"/>
      <c r="H10340" s="18"/>
      <c r="I10340" s="18"/>
    </row>
    <row r="10341" ht="20.35" customHeight="1">
      <c r="A10341" s="10">
        <v>45840</v>
      </c>
      <c r="B10341" t="s" s="11">
        <v>5</v>
      </c>
      <c r="C10341" t="s" s="12">
        <v>604</v>
      </c>
      <c r="D10341" s="13"/>
      <c r="E10341" s="13">
        <v>13280</v>
      </c>
      <c r="F10341" s="14"/>
      <c r="G10341" s="14"/>
      <c r="H10341" s="14"/>
      <c r="I10341" s="14"/>
    </row>
    <row r="10342" ht="20.7" customHeight="1">
      <c r="A10342" s="10">
        <v>45840</v>
      </c>
      <c r="B10342" t="s" s="11">
        <v>8</v>
      </c>
      <c r="C10342" t="s" s="12">
        <v>8</v>
      </c>
      <c r="D10342" s="15" cm="1">
        <f t="array" ref="D10342">SUM(D10340:D10341)</f>
        <v>13280</v>
      </c>
      <c r="E10342" s="15" cm="1">
        <f t="array" ref="E10342">SUM(E10340:E10341)</f>
        <v>13280</v>
      </c>
      <c r="F10342" s="16" cm="1">
        <f t="array" ref="F10342">SUM(F10340:F10341)</f>
        <v>0</v>
      </c>
      <c r="G10342" s="16" cm="1">
        <f t="array" ref="G10342">SUM(G10340:G10341)</f>
        <v>0</v>
      </c>
      <c r="H10342" s="16" cm="1">
        <f t="array" ref="H10342">SUM(H10340:H10341)</f>
        <v>0</v>
      </c>
      <c r="I10342" s="16" cm="1">
        <f t="array" ref="I10342">SUM(I10340:I10341)</f>
        <v>0</v>
      </c>
    </row>
    <row r="10343" ht="20.35" customHeight="1">
      <c r="A10343" s="10">
        <v>45840</v>
      </c>
      <c r="B10343" t="s" s="11">
        <v>93</v>
      </c>
      <c r="C10343" t="s" s="12">
        <v>1328</v>
      </c>
      <c r="D10343" s="17"/>
      <c r="E10343" s="17">
        <v>13564</v>
      </c>
      <c r="F10343" s="18"/>
      <c r="G10343" s="18"/>
      <c r="H10343" s="18"/>
      <c r="I10343" s="18"/>
    </row>
    <row r="10344" ht="20.35" customHeight="1">
      <c r="A10344" s="10">
        <v>45840</v>
      </c>
      <c r="B10344" t="s" s="11">
        <v>16</v>
      </c>
      <c r="C10344" t="s" s="12">
        <v>1328</v>
      </c>
      <c r="D10344" s="13">
        <v>13564</v>
      </c>
      <c r="E10344" s="13"/>
      <c r="F10344" s="14"/>
      <c r="G10344" s="14"/>
      <c r="H10344" s="14"/>
      <c r="I10344" s="14"/>
    </row>
    <row r="10345" ht="20.7" customHeight="1">
      <c r="A10345" s="10">
        <v>45840</v>
      </c>
      <c r="B10345" t="s" s="11">
        <v>8</v>
      </c>
      <c r="C10345" t="s" s="12">
        <v>8</v>
      </c>
      <c r="D10345" s="15" cm="1">
        <f t="array" ref="D10345">SUM(D10343:D10344)</f>
        <v>13564</v>
      </c>
      <c r="E10345" s="15" cm="1">
        <f t="array" ref="E10345">SUM(E10343:E10344)</f>
        <v>13564</v>
      </c>
      <c r="F10345" s="16" cm="1">
        <f t="array" ref="F10345">SUM(F10343:F10344)</f>
        <v>0</v>
      </c>
      <c r="G10345" s="16" cm="1">
        <f t="array" ref="G10345">SUM(G10343:G10344)</f>
        <v>0</v>
      </c>
      <c r="H10345" s="16" cm="1">
        <f t="array" ref="H10345">SUM(H10343:H10344)</f>
        <v>0</v>
      </c>
      <c r="I10345" s="16" cm="1">
        <f t="array" ref="I10345">SUM(I10343:I10344)</f>
        <v>0</v>
      </c>
    </row>
    <row r="10346" ht="20.35" customHeight="1">
      <c r="A10346" s="10">
        <v>45840</v>
      </c>
      <c r="B10346" t="s" s="11">
        <v>93</v>
      </c>
      <c r="C10346" t="s" s="12">
        <v>604</v>
      </c>
      <c r="D10346" s="17">
        <v>10000</v>
      </c>
      <c r="E10346" s="17"/>
      <c r="F10346" s="18"/>
      <c r="G10346" s="18"/>
      <c r="H10346" s="18"/>
      <c r="I10346" s="18"/>
    </row>
    <row r="10347" ht="20.35" customHeight="1">
      <c r="A10347" s="10">
        <v>45840</v>
      </c>
      <c r="B10347" t="s" s="11">
        <v>5</v>
      </c>
      <c r="C10347" t="s" s="12">
        <v>604</v>
      </c>
      <c r="D10347" s="13"/>
      <c r="E10347" s="13">
        <v>10000</v>
      </c>
      <c r="F10347" s="14"/>
      <c r="G10347" s="14"/>
      <c r="H10347" s="14"/>
      <c r="I10347" s="14"/>
    </row>
    <row r="10348" ht="20.7" customHeight="1">
      <c r="A10348" s="10">
        <v>45840</v>
      </c>
      <c r="B10348" t="s" s="11">
        <v>8</v>
      </c>
      <c r="C10348" t="s" s="12">
        <v>8</v>
      </c>
      <c r="D10348" s="15" cm="1">
        <f t="array" ref="D10348">SUM(D10346:D10347)</f>
        <v>10000</v>
      </c>
      <c r="E10348" s="15" cm="1">
        <f t="array" ref="E10348">SUM(E10346:E10347)</f>
        <v>10000</v>
      </c>
      <c r="F10348" s="16" cm="1">
        <f t="array" ref="F10348">SUM(F10346:F10347)</f>
        <v>0</v>
      </c>
      <c r="G10348" s="16" cm="1">
        <f t="array" ref="G10348">SUM(G10346:G10347)</f>
        <v>0</v>
      </c>
      <c r="H10348" s="16" cm="1">
        <f t="array" ref="H10348">SUM(H10346:H10347)</f>
        <v>0</v>
      </c>
      <c r="I10348" s="16" cm="1">
        <f t="array" ref="I10348">SUM(I10346:I10347)</f>
        <v>0</v>
      </c>
    </row>
    <row r="10349" ht="20.35" customHeight="1">
      <c r="A10349" s="10">
        <v>45840</v>
      </c>
      <c r="B10349" t="s" s="11">
        <v>93</v>
      </c>
      <c r="C10349" t="s" s="12">
        <v>1328</v>
      </c>
      <c r="D10349" s="17"/>
      <c r="E10349" s="17">
        <v>4241</v>
      </c>
      <c r="F10349" s="18"/>
      <c r="G10349" s="18"/>
      <c r="H10349" s="18"/>
      <c r="I10349" s="18"/>
    </row>
    <row r="10350" ht="20.35" customHeight="1">
      <c r="A10350" s="10">
        <v>45840</v>
      </c>
      <c r="B10350" t="s" s="11">
        <v>16</v>
      </c>
      <c r="C10350" t="s" s="12">
        <v>1328</v>
      </c>
      <c r="D10350" s="13">
        <v>4241</v>
      </c>
      <c r="E10350" s="13"/>
      <c r="F10350" s="14"/>
      <c r="G10350" s="14"/>
      <c r="H10350" s="14"/>
      <c r="I10350" s="14"/>
    </row>
    <row r="10351" ht="20.7" customHeight="1">
      <c r="A10351" s="10">
        <v>45840</v>
      </c>
      <c r="B10351" t="s" s="11">
        <v>8</v>
      </c>
      <c r="C10351" t="s" s="12">
        <v>8</v>
      </c>
      <c r="D10351" s="15" cm="1">
        <f t="array" ref="D10351">SUM(D10349:D10350)</f>
        <v>4241</v>
      </c>
      <c r="E10351" s="15" cm="1">
        <f t="array" ref="E10351">SUM(E10349:E10350)</f>
        <v>4241</v>
      </c>
      <c r="F10351" s="16" cm="1">
        <f t="array" ref="F10351">SUM(F10349:F10350)</f>
        <v>0</v>
      </c>
      <c r="G10351" s="16" cm="1">
        <f t="array" ref="G10351">SUM(G10349:G10350)</f>
        <v>0</v>
      </c>
      <c r="H10351" s="16" cm="1">
        <f t="array" ref="H10351">SUM(H10349:H10350)</f>
        <v>0</v>
      </c>
      <c r="I10351" s="16" cm="1">
        <f t="array" ref="I10351">SUM(I10349:I10350)</f>
        <v>0</v>
      </c>
    </row>
    <row r="10352" ht="20.35" customHeight="1">
      <c r="A10352" s="10">
        <v>45841</v>
      </c>
      <c r="B10352" t="s" s="11">
        <v>93</v>
      </c>
      <c r="C10352" t="s" s="12">
        <v>604</v>
      </c>
      <c r="D10352" s="17">
        <v>10241</v>
      </c>
      <c r="E10352" s="17"/>
      <c r="F10352" s="18"/>
      <c r="G10352" s="18"/>
      <c r="H10352" s="18"/>
      <c r="I10352" s="18"/>
    </row>
    <row r="10353" ht="20.35" customHeight="1">
      <c r="A10353" s="10">
        <v>45841</v>
      </c>
      <c r="B10353" t="s" s="11">
        <v>5</v>
      </c>
      <c r="C10353" t="s" s="12">
        <v>604</v>
      </c>
      <c r="D10353" s="13"/>
      <c r="E10353" s="13">
        <v>10241</v>
      </c>
      <c r="F10353" s="14"/>
      <c r="G10353" s="14"/>
      <c r="H10353" s="14"/>
      <c r="I10353" s="14"/>
    </row>
    <row r="10354" ht="20.7" customHeight="1">
      <c r="A10354" s="10">
        <v>45841</v>
      </c>
      <c r="B10354" t="s" s="11">
        <v>8</v>
      </c>
      <c r="C10354" t="s" s="12">
        <v>8</v>
      </c>
      <c r="D10354" s="15" cm="1">
        <f t="array" ref="D10354">SUM(D10352:D10353)</f>
        <v>10241</v>
      </c>
      <c r="E10354" s="15" cm="1">
        <f t="array" ref="E10354">SUM(E10352:E10353)</f>
        <v>10241</v>
      </c>
      <c r="F10354" s="16" cm="1">
        <f t="array" ref="F10354">SUM(F10352:F10353)</f>
        <v>0</v>
      </c>
      <c r="G10354" s="16" cm="1">
        <f t="array" ref="G10354">SUM(G10352:G10353)</f>
        <v>0</v>
      </c>
      <c r="H10354" s="16" cm="1">
        <f t="array" ref="H10354">SUM(H10352:H10353)</f>
        <v>0</v>
      </c>
      <c r="I10354" s="16" cm="1">
        <f t="array" ref="I10354">SUM(I10352:I10353)</f>
        <v>0</v>
      </c>
    </row>
    <row r="10355" ht="21.25" customHeight="1">
      <c r="A10355" s="10">
        <v>45841</v>
      </c>
      <c r="B10355" t="s" s="11">
        <v>93</v>
      </c>
      <c r="C10355" t="s" s="12">
        <v>1334</v>
      </c>
      <c r="D10355" s="17"/>
      <c r="E10355" s="17">
        <v>16000</v>
      </c>
      <c r="F10355" s="18"/>
      <c r="G10355" s="18"/>
      <c r="H10355" s="18"/>
      <c r="I10355" s="18"/>
    </row>
    <row r="10356" ht="21.25" customHeight="1">
      <c r="A10356" s="10">
        <v>45841</v>
      </c>
      <c r="B10356" t="s" s="11">
        <v>16</v>
      </c>
      <c r="C10356" t="s" s="12">
        <v>1334</v>
      </c>
      <c r="D10356" s="13">
        <v>16000</v>
      </c>
      <c r="E10356" s="13"/>
      <c r="F10356" s="14"/>
      <c r="G10356" s="14"/>
      <c r="H10356" s="14"/>
      <c r="I10356" s="14"/>
    </row>
    <row r="10357" ht="20.7" customHeight="1">
      <c r="A10357" s="10">
        <v>45841</v>
      </c>
      <c r="B10357" t="s" s="11">
        <v>8</v>
      </c>
      <c r="C10357" t="s" s="12">
        <v>8</v>
      </c>
      <c r="D10357" s="15" cm="1">
        <f t="array" ref="D10357">SUM(D10355:D10356)</f>
        <v>16000</v>
      </c>
      <c r="E10357" s="15" cm="1">
        <f t="array" ref="E10357">SUM(E10355:E10356)</f>
        <v>16000</v>
      </c>
      <c r="F10357" s="16" cm="1">
        <f t="array" ref="F10357">SUM(F10355:F10356)</f>
        <v>0</v>
      </c>
      <c r="G10357" s="16" cm="1">
        <f t="array" ref="G10357">SUM(G10355:G10356)</f>
        <v>0</v>
      </c>
      <c r="H10357" s="16" cm="1">
        <f t="array" ref="H10357">SUM(H10355:H10356)</f>
        <v>0</v>
      </c>
      <c r="I10357" s="16" cm="1">
        <f t="array" ref="I10357">SUM(I10355:I10356)</f>
        <v>0</v>
      </c>
    </row>
    <row r="10358" ht="20.65" customHeight="1">
      <c r="A10358" s="10">
        <v>45841</v>
      </c>
      <c r="B10358" t="s" s="11">
        <v>814</v>
      </c>
      <c r="C10358" t="s" s="12">
        <v>820</v>
      </c>
      <c r="D10358" s="17">
        <v>3</v>
      </c>
      <c r="E10358" s="17"/>
      <c r="F10358" s="18"/>
      <c r="G10358" s="18"/>
      <c r="H10358" s="18"/>
      <c r="I10358" s="18"/>
    </row>
    <row r="10359" ht="20.65" customHeight="1">
      <c r="A10359" s="10">
        <v>45841</v>
      </c>
      <c r="B10359" t="s" s="11">
        <v>7</v>
      </c>
      <c r="C10359" t="s" s="12">
        <v>820</v>
      </c>
      <c r="D10359" s="13"/>
      <c r="E10359" s="13">
        <v>3</v>
      </c>
      <c r="F10359" s="14"/>
      <c r="G10359" s="14"/>
      <c r="H10359" s="14"/>
      <c r="I10359" s="14"/>
    </row>
    <row r="10360" ht="20.7" customHeight="1">
      <c r="A10360" s="10">
        <v>45841</v>
      </c>
      <c r="B10360" t="s" s="11">
        <v>8</v>
      </c>
      <c r="C10360" t="s" s="12">
        <v>8</v>
      </c>
      <c r="D10360" s="15" cm="1">
        <f t="array" ref="D10360">SUM(D10358:D10359)</f>
        <v>3</v>
      </c>
      <c r="E10360" s="15" cm="1">
        <f t="array" ref="E10360">SUM(E10358:E10359)</f>
        <v>3</v>
      </c>
      <c r="F10360" s="16" cm="1">
        <f t="array" ref="F10360">SUM(F10358:F10359)</f>
        <v>0</v>
      </c>
      <c r="G10360" s="16" cm="1">
        <f t="array" ref="G10360">SUM(G10358:G10359)</f>
        <v>0</v>
      </c>
      <c r="H10360" s="16" cm="1">
        <f t="array" ref="H10360">SUM(H10358:H10359)</f>
        <v>0</v>
      </c>
      <c r="I10360" s="16" cm="1">
        <f t="array" ref="I10360">SUM(I10358:I10359)</f>
        <v>0</v>
      </c>
    </row>
    <row r="10361" ht="20.65" customHeight="1">
      <c r="A10361" s="10">
        <v>45841</v>
      </c>
      <c r="B10361" t="s" s="11">
        <v>843</v>
      </c>
      <c r="C10361" t="s" s="12">
        <v>820</v>
      </c>
      <c r="D10361" s="17">
        <v>1</v>
      </c>
      <c r="E10361" s="17"/>
      <c r="F10361" s="18"/>
      <c r="G10361" s="18"/>
      <c r="H10361" s="18"/>
      <c r="I10361" s="18"/>
    </row>
    <row r="10362" ht="20.65" customHeight="1">
      <c r="A10362" s="10">
        <v>45841</v>
      </c>
      <c r="B10362" t="s" s="11">
        <v>7</v>
      </c>
      <c r="C10362" t="s" s="12">
        <v>820</v>
      </c>
      <c r="D10362" s="13"/>
      <c r="E10362" s="13">
        <v>1</v>
      </c>
      <c r="F10362" s="14"/>
      <c r="G10362" s="14"/>
      <c r="H10362" s="14"/>
      <c r="I10362" s="14"/>
    </row>
    <row r="10363" ht="20.7" customHeight="1">
      <c r="A10363" s="10">
        <v>45841</v>
      </c>
      <c r="B10363" t="s" s="11">
        <v>8</v>
      </c>
      <c r="C10363" t="s" s="12">
        <v>8</v>
      </c>
      <c r="D10363" s="15" cm="1">
        <f t="array" ref="D10363">SUM(D10361:D10362)</f>
        <v>1</v>
      </c>
      <c r="E10363" s="15" cm="1">
        <f t="array" ref="E10363">SUM(E10361:E10362)</f>
        <v>1</v>
      </c>
      <c r="F10363" s="16" cm="1">
        <f t="array" ref="F10363">SUM(F10361:F10362)</f>
        <v>0</v>
      </c>
      <c r="G10363" s="16" cm="1">
        <f t="array" ref="G10363">SUM(G10361:G10362)</f>
        <v>0</v>
      </c>
      <c r="H10363" s="16" cm="1">
        <f t="array" ref="H10363">SUM(H10361:H10362)</f>
        <v>0</v>
      </c>
      <c r="I10363" s="16" cm="1">
        <f t="array" ref="I10363">SUM(I10361:I10362)</f>
        <v>0</v>
      </c>
    </row>
    <row r="10364" ht="21.25" customHeight="1">
      <c r="A10364" s="10">
        <v>45841</v>
      </c>
      <c r="B10364" t="s" s="11">
        <v>5</v>
      </c>
      <c r="C10364" t="s" s="12">
        <v>1335</v>
      </c>
      <c r="D10364" s="17"/>
      <c r="E10364" s="17">
        <v>7400</v>
      </c>
      <c r="F10364" s="18"/>
      <c r="G10364" s="18"/>
      <c r="H10364" s="18"/>
      <c r="I10364" s="18"/>
    </row>
    <row r="10365" ht="21.25" customHeight="1">
      <c r="A10365" s="10">
        <v>45841</v>
      </c>
      <c r="B10365" t="s" s="11">
        <v>10</v>
      </c>
      <c r="C10365" t="s" s="12">
        <v>1335</v>
      </c>
      <c r="D10365" s="13">
        <v>7400</v>
      </c>
      <c r="E10365" s="13"/>
      <c r="F10365" s="14"/>
      <c r="G10365" s="14"/>
      <c r="H10365" s="14"/>
      <c r="I10365" s="14"/>
    </row>
    <row r="10366" ht="20.7" customHeight="1">
      <c r="A10366" s="10">
        <v>45841</v>
      </c>
      <c r="B10366" t="s" s="11">
        <v>8</v>
      </c>
      <c r="C10366" t="s" s="12">
        <v>8</v>
      </c>
      <c r="D10366" s="15" cm="1">
        <f t="array" ref="D10366">SUM(D10364:D10365)</f>
        <v>7400</v>
      </c>
      <c r="E10366" s="15" cm="1">
        <f t="array" ref="E10366">SUM(E10364:E10365)</f>
        <v>7400</v>
      </c>
      <c r="F10366" s="16" cm="1">
        <f t="array" ref="F10366">SUM(F10364:F10365)</f>
        <v>0</v>
      </c>
      <c r="G10366" s="16" cm="1">
        <f t="array" ref="G10366">SUM(G10364:G10365)</f>
        <v>0</v>
      </c>
      <c r="H10366" s="16" cm="1">
        <f t="array" ref="H10366">SUM(H10364:H10365)</f>
        <v>0</v>
      </c>
      <c r="I10366" s="16" cm="1">
        <f t="array" ref="I10366">SUM(I10364:I10365)</f>
        <v>0</v>
      </c>
    </row>
    <row r="10367" ht="20.35" customHeight="1">
      <c r="A10367" s="10">
        <v>45841</v>
      </c>
      <c r="B10367" t="s" s="11">
        <v>5</v>
      </c>
      <c r="C10367" t="s" s="12">
        <v>1336</v>
      </c>
      <c r="D10367" s="17">
        <v>240000</v>
      </c>
      <c r="E10367" s="17"/>
      <c r="F10367" s="18"/>
      <c r="G10367" s="18"/>
      <c r="H10367" s="18"/>
      <c r="I10367" s="18"/>
    </row>
    <row r="10368" ht="20.35" customHeight="1">
      <c r="A10368" s="10">
        <v>45841</v>
      </c>
      <c r="B10368" t="s" s="11">
        <v>91</v>
      </c>
      <c r="C10368" t="s" s="12">
        <v>1336</v>
      </c>
      <c r="D10368" s="13"/>
      <c r="E10368" s="13">
        <v>240000</v>
      </c>
      <c r="F10368" s="14"/>
      <c r="G10368" s="14"/>
      <c r="H10368" s="14"/>
      <c r="I10368" s="14"/>
    </row>
    <row r="10369" ht="20.7" customHeight="1">
      <c r="A10369" s="10">
        <v>45841</v>
      </c>
      <c r="B10369" t="s" s="11">
        <v>8</v>
      </c>
      <c r="C10369" t="s" s="12">
        <v>8</v>
      </c>
      <c r="D10369" s="15" cm="1">
        <f t="array" ref="D10369">SUM(D10367:D10368)</f>
        <v>240000</v>
      </c>
      <c r="E10369" s="15" cm="1">
        <f t="array" ref="E10369">SUM(E10367:E10368)</f>
        <v>240000</v>
      </c>
      <c r="F10369" s="16" cm="1">
        <f t="array" ref="F10369">SUM(F10367:F10368)</f>
        <v>0</v>
      </c>
      <c r="G10369" s="16" cm="1">
        <f t="array" ref="G10369">SUM(G10367:G10368)</f>
        <v>0</v>
      </c>
      <c r="H10369" s="16" cm="1">
        <f t="array" ref="H10369">SUM(H10367:H10368)</f>
        <v>0</v>
      </c>
      <c r="I10369" s="16" cm="1">
        <f t="array" ref="I10369">SUM(I10367:I10368)</f>
        <v>0</v>
      </c>
    </row>
    <row r="10370" ht="20.35" customHeight="1">
      <c r="A10370" s="10">
        <v>45841</v>
      </c>
      <c r="B10370" t="s" s="11">
        <v>93</v>
      </c>
      <c r="C10370" t="s" s="12">
        <v>604</v>
      </c>
      <c r="D10370" s="17">
        <v>10000</v>
      </c>
      <c r="E10370" s="17"/>
      <c r="F10370" s="18"/>
      <c r="G10370" s="18"/>
      <c r="H10370" s="18"/>
      <c r="I10370" s="18"/>
    </row>
    <row r="10371" ht="20.35" customHeight="1">
      <c r="A10371" s="10">
        <v>45841</v>
      </c>
      <c r="B10371" t="s" s="11">
        <v>5</v>
      </c>
      <c r="C10371" t="s" s="12">
        <v>604</v>
      </c>
      <c r="D10371" s="13"/>
      <c r="E10371" s="13">
        <v>10000</v>
      </c>
      <c r="F10371" s="14"/>
      <c r="G10371" s="14"/>
      <c r="H10371" s="14"/>
      <c r="I10371" s="14"/>
    </row>
    <row r="10372" ht="20.7" customHeight="1">
      <c r="A10372" s="10">
        <v>45841</v>
      </c>
      <c r="B10372" t="s" s="11">
        <v>8</v>
      </c>
      <c r="C10372" t="s" s="12">
        <v>8</v>
      </c>
      <c r="D10372" s="15" cm="1">
        <f t="array" ref="D10372">SUM(D10370:D10371)</f>
        <v>10000</v>
      </c>
      <c r="E10372" s="15" cm="1">
        <f t="array" ref="E10372">SUM(E10370:E10371)</f>
        <v>10000</v>
      </c>
      <c r="F10372" s="16" cm="1">
        <f t="array" ref="F10372">SUM(F10370:F10371)</f>
        <v>0</v>
      </c>
      <c r="G10372" s="16" cm="1">
        <f t="array" ref="G10372">SUM(G10370:G10371)</f>
        <v>0</v>
      </c>
      <c r="H10372" s="16" cm="1">
        <f t="array" ref="H10372">SUM(H10370:H10371)</f>
        <v>0</v>
      </c>
      <c r="I10372" s="16" cm="1">
        <f t="array" ref="I10372">SUM(I10370:I10371)</f>
        <v>0</v>
      </c>
    </row>
    <row r="10373" ht="20.35" customHeight="1">
      <c r="A10373" s="10">
        <v>45841</v>
      </c>
      <c r="B10373" t="s" s="11">
        <v>93</v>
      </c>
      <c r="C10373" t="s" s="12">
        <v>1328</v>
      </c>
      <c r="D10373" s="17"/>
      <c r="E10373" s="17">
        <v>4461</v>
      </c>
      <c r="F10373" s="18"/>
      <c r="G10373" s="18"/>
      <c r="H10373" s="18"/>
      <c r="I10373" s="18"/>
    </row>
    <row r="10374" ht="20.35" customHeight="1">
      <c r="A10374" s="10">
        <v>45841</v>
      </c>
      <c r="B10374" t="s" s="11">
        <v>16</v>
      </c>
      <c r="C10374" t="s" s="12">
        <v>1328</v>
      </c>
      <c r="D10374" s="13">
        <v>4461</v>
      </c>
      <c r="E10374" s="13"/>
      <c r="F10374" s="14"/>
      <c r="G10374" s="14"/>
      <c r="H10374" s="14"/>
      <c r="I10374" s="14"/>
    </row>
    <row r="10375" ht="20.7" customHeight="1">
      <c r="A10375" s="10">
        <v>45841</v>
      </c>
      <c r="B10375" t="s" s="11">
        <v>8</v>
      </c>
      <c r="C10375" t="s" s="12">
        <v>8</v>
      </c>
      <c r="D10375" s="15" cm="1">
        <f t="array" ref="D10375">SUM(D10373:D10374)</f>
        <v>4461</v>
      </c>
      <c r="E10375" s="15" cm="1">
        <f t="array" ref="E10375">SUM(E10373:E10374)</f>
        <v>4461</v>
      </c>
      <c r="F10375" s="16" cm="1">
        <f t="array" ref="F10375">SUM(F10373:F10374)</f>
        <v>0</v>
      </c>
      <c r="G10375" s="16" cm="1">
        <f t="array" ref="G10375">SUM(G10373:G10374)</f>
        <v>0</v>
      </c>
      <c r="H10375" s="16" cm="1">
        <f t="array" ref="H10375">SUM(H10373:H10374)</f>
        <v>0</v>
      </c>
      <c r="I10375" s="16" cm="1">
        <f t="array" ref="I10375">SUM(I10373:I10374)</f>
        <v>0</v>
      </c>
    </row>
    <row r="10376" ht="20.35" customHeight="1">
      <c r="A10376" s="10">
        <v>45841</v>
      </c>
      <c r="B10376" t="s" s="11">
        <v>93</v>
      </c>
      <c r="C10376" t="s" s="12">
        <v>1328</v>
      </c>
      <c r="D10376" s="17"/>
      <c r="E10376" s="17">
        <v>651</v>
      </c>
      <c r="F10376" s="18"/>
      <c r="G10376" s="18"/>
      <c r="H10376" s="18"/>
      <c r="I10376" s="18"/>
    </row>
    <row r="10377" ht="20.35" customHeight="1">
      <c r="A10377" s="10">
        <v>45841</v>
      </c>
      <c r="B10377" t="s" s="11">
        <v>16</v>
      </c>
      <c r="C10377" t="s" s="12">
        <v>1328</v>
      </c>
      <c r="D10377" s="13">
        <v>651</v>
      </c>
      <c r="E10377" s="13"/>
      <c r="F10377" s="14"/>
      <c r="G10377" s="14"/>
      <c r="H10377" s="14"/>
      <c r="I10377" s="14"/>
    </row>
    <row r="10378" ht="20.7" customHeight="1">
      <c r="A10378" s="10">
        <v>45841</v>
      </c>
      <c r="B10378" t="s" s="11">
        <v>8</v>
      </c>
      <c r="C10378" t="s" s="12">
        <v>8</v>
      </c>
      <c r="D10378" s="15" cm="1">
        <f t="array" ref="D10378">SUM(D10376:D10377)</f>
        <v>651</v>
      </c>
      <c r="E10378" s="15" cm="1">
        <f t="array" ref="E10378">SUM(E10376:E10377)</f>
        <v>651</v>
      </c>
      <c r="F10378" s="16" cm="1">
        <f t="array" ref="F10378">SUM(F10376:F10377)</f>
        <v>0</v>
      </c>
      <c r="G10378" s="16" cm="1">
        <f t="array" ref="G10378">SUM(G10376:G10377)</f>
        <v>0</v>
      </c>
      <c r="H10378" s="16" cm="1">
        <f t="array" ref="H10378">SUM(H10376:H10377)</f>
        <v>0</v>
      </c>
      <c r="I10378" s="16" cm="1">
        <f t="array" ref="I10378">SUM(I10376:I10377)</f>
        <v>0</v>
      </c>
    </row>
    <row r="10379" ht="21.25" customHeight="1">
      <c r="A10379" s="10">
        <v>45841</v>
      </c>
      <c r="B10379" t="s" s="11">
        <v>121</v>
      </c>
      <c r="C10379" t="s" s="12">
        <v>1287</v>
      </c>
      <c r="D10379" s="17"/>
      <c r="E10379" s="17">
        <v>4700</v>
      </c>
      <c r="F10379" s="18"/>
      <c r="G10379" s="18"/>
      <c r="H10379" s="18"/>
      <c r="I10379" s="18"/>
    </row>
    <row r="10380" ht="21.25" customHeight="1">
      <c r="A10380" s="10">
        <v>45841</v>
      </c>
      <c r="B10380" t="s" s="11">
        <v>21</v>
      </c>
      <c r="C10380" t="s" s="12">
        <v>1287</v>
      </c>
      <c r="D10380" s="13">
        <v>4700</v>
      </c>
      <c r="E10380" s="13"/>
      <c r="F10380" s="14"/>
      <c r="G10380" s="14"/>
      <c r="H10380" s="14"/>
      <c r="I10380" s="14"/>
    </row>
    <row r="10381" ht="20.7" customHeight="1">
      <c r="A10381" s="10">
        <v>45841</v>
      </c>
      <c r="B10381" t="s" s="11">
        <v>8</v>
      </c>
      <c r="C10381" t="s" s="12">
        <v>8</v>
      </c>
      <c r="D10381" s="15" cm="1">
        <f t="array" ref="D10381">SUM(D10379:D10380)</f>
        <v>4700</v>
      </c>
      <c r="E10381" s="15" cm="1">
        <f t="array" ref="E10381">SUM(E10379:E10380)</f>
        <v>4700</v>
      </c>
      <c r="F10381" s="16" cm="1">
        <f t="array" ref="F10381">SUM(F10379:F10380)</f>
        <v>0</v>
      </c>
      <c r="G10381" s="16" cm="1">
        <f t="array" ref="G10381">SUM(G10379:G10380)</f>
        <v>0</v>
      </c>
      <c r="H10381" s="16" cm="1">
        <f t="array" ref="H10381">SUM(H10379:H10380)</f>
        <v>0</v>
      </c>
      <c r="I10381" s="16" cm="1">
        <f t="array" ref="I10381">SUM(I10379:I10380)</f>
        <v>0</v>
      </c>
    </row>
    <row r="10382" ht="21.25" customHeight="1">
      <c r="A10382" s="10">
        <v>45841</v>
      </c>
      <c r="B10382" t="s" s="11">
        <v>121</v>
      </c>
      <c r="C10382" t="s" s="12">
        <v>1287</v>
      </c>
      <c r="D10382" s="17"/>
      <c r="E10382" s="17">
        <v>10243</v>
      </c>
      <c r="F10382" s="18"/>
      <c r="G10382" s="18"/>
      <c r="H10382" s="18"/>
      <c r="I10382" s="18"/>
    </row>
    <row r="10383" ht="21.25" customHeight="1">
      <c r="A10383" s="10">
        <v>45841</v>
      </c>
      <c r="B10383" t="s" s="11">
        <v>21</v>
      </c>
      <c r="C10383" t="s" s="12">
        <v>1287</v>
      </c>
      <c r="D10383" s="13">
        <v>10243</v>
      </c>
      <c r="E10383" s="13"/>
      <c r="F10383" s="14"/>
      <c r="G10383" s="14"/>
      <c r="H10383" s="14"/>
      <c r="I10383" s="14"/>
    </row>
    <row r="10384" ht="20.7" customHeight="1">
      <c r="A10384" s="10">
        <v>45841</v>
      </c>
      <c r="B10384" t="s" s="11">
        <v>8</v>
      </c>
      <c r="C10384" t="s" s="12">
        <v>8</v>
      </c>
      <c r="D10384" s="15" cm="1">
        <f t="array" ref="D10384">SUM(D10382:D10383)</f>
        <v>10243</v>
      </c>
      <c r="E10384" s="15" cm="1">
        <f t="array" ref="E10384">SUM(E10382:E10383)</f>
        <v>10243</v>
      </c>
      <c r="F10384" s="16" cm="1">
        <f t="array" ref="F10384">SUM(F10382:F10383)</f>
        <v>0</v>
      </c>
      <c r="G10384" s="16" cm="1">
        <f t="array" ref="G10384">SUM(G10382:G10383)</f>
        <v>0</v>
      </c>
      <c r="H10384" s="16" cm="1">
        <f t="array" ref="H10384">SUM(H10382:H10383)</f>
        <v>0</v>
      </c>
      <c r="I10384" s="16" cm="1">
        <f t="array" ref="I10384">SUM(I10382:I10383)</f>
        <v>0</v>
      </c>
    </row>
    <row r="10385" ht="20.35" customHeight="1">
      <c r="A10385" s="10">
        <v>45841</v>
      </c>
      <c r="B10385" t="s" s="11">
        <v>93</v>
      </c>
      <c r="C10385" t="s" s="12">
        <v>1328</v>
      </c>
      <c r="D10385" s="17"/>
      <c r="E10385" s="17">
        <v>11503</v>
      </c>
      <c r="F10385" s="18"/>
      <c r="G10385" s="18"/>
      <c r="H10385" s="18"/>
      <c r="I10385" s="18"/>
    </row>
    <row r="10386" ht="20.35" customHeight="1">
      <c r="A10386" s="10">
        <v>45841</v>
      </c>
      <c r="B10386" t="s" s="11">
        <v>16</v>
      </c>
      <c r="C10386" t="s" s="12">
        <v>1328</v>
      </c>
      <c r="D10386" s="13">
        <v>11503</v>
      </c>
      <c r="E10386" s="13"/>
      <c r="F10386" s="14"/>
      <c r="G10386" s="14"/>
      <c r="H10386" s="14"/>
      <c r="I10386" s="14"/>
    </row>
    <row r="10387" ht="20.7" customHeight="1">
      <c r="A10387" s="10">
        <v>45841</v>
      </c>
      <c r="B10387" t="s" s="11">
        <v>8</v>
      </c>
      <c r="C10387" t="s" s="12">
        <v>8</v>
      </c>
      <c r="D10387" s="15" cm="1">
        <f t="array" ref="D10387">SUM(D10385:D10386)</f>
        <v>11503</v>
      </c>
      <c r="E10387" s="15" cm="1">
        <f t="array" ref="E10387">SUM(E10385:E10386)</f>
        <v>11503</v>
      </c>
      <c r="F10387" s="16" cm="1">
        <f t="array" ref="F10387">SUM(F10385:F10386)</f>
        <v>0</v>
      </c>
      <c r="G10387" s="16" cm="1">
        <f t="array" ref="G10387">SUM(G10385:G10386)</f>
        <v>0</v>
      </c>
      <c r="H10387" s="16" cm="1">
        <f t="array" ref="H10387">SUM(H10385:H10386)</f>
        <v>0</v>
      </c>
      <c r="I10387" s="16" cm="1">
        <f t="array" ref="I10387">SUM(I10385:I10386)</f>
        <v>0</v>
      </c>
    </row>
    <row r="10388" ht="20.35" customHeight="1">
      <c r="A10388" s="10">
        <v>45841</v>
      </c>
      <c r="B10388" t="s" s="11">
        <v>93</v>
      </c>
      <c r="C10388" t="s" s="12">
        <v>604</v>
      </c>
      <c r="D10388" s="17">
        <v>10000</v>
      </c>
      <c r="E10388" s="17"/>
      <c r="F10388" s="18"/>
      <c r="G10388" s="18"/>
      <c r="H10388" s="18"/>
      <c r="I10388" s="18"/>
    </row>
    <row r="10389" ht="20.35" customHeight="1">
      <c r="A10389" s="10">
        <v>45841</v>
      </c>
      <c r="B10389" t="s" s="11">
        <v>5</v>
      </c>
      <c r="C10389" t="s" s="12">
        <v>604</v>
      </c>
      <c r="D10389" s="13"/>
      <c r="E10389" s="13">
        <v>10000</v>
      </c>
      <c r="F10389" s="14"/>
      <c r="G10389" s="14"/>
      <c r="H10389" s="14"/>
      <c r="I10389" s="14"/>
    </row>
    <row r="10390" ht="20.7" customHeight="1">
      <c r="A10390" s="10">
        <v>45841</v>
      </c>
      <c r="B10390" t="s" s="11">
        <v>8</v>
      </c>
      <c r="C10390" t="s" s="12">
        <v>8</v>
      </c>
      <c r="D10390" s="15" cm="1">
        <f t="array" ref="D10390">SUM(D10388:D10389)</f>
        <v>10000</v>
      </c>
      <c r="E10390" s="15" cm="1">
        <f t="array" ref="E10390">SUM(E10388:E10389)</f>
        <v>10000</v>
      </c>
      <c r="F10390" s="16" cm="1">
        <f t="array" ref="F10390">SUM(F10388:F10389)</f>
        <v>0</v>
      </c>
      <c r="G10390" s="16" cm="1">
        <f t="array" ref="G10390">SUM(G10388:G10389)</f>
        <v>0</v>
      </c>
      <c r="H10390" s="16" cm="1">
        <f t="array" ref="H10390">SUM(H10388:H10389)</f>
        <v>0</v>
      </c>
      <c r="I10390" s="16" cm="1">
        <f t="array" ref="I10390">SUM(I10388:I10389)</f>
        <v>0</v>
      </c>
    </row>
    <row r="10391" ht="20.35" customHeight="1">
      <c r="A10391" s="10">
        <v>45841</v>
      </c>
      <c r="B10391" t="s" s="11">
        <v>93</v>
      </c>
      <c r="C10391" t="s" s="12">
        <v>1328</v>
      </c>
      <c r="D10391" s="17"/>
      <c r="E10391" s="17">
        <v>9156</v>
      </c>
      <c r="F10391" s="18"/>
      <c r="G10391" s="18"/>
      <c r="H10391" s="18"/>
      <c r="I10391" s="18"/>
    </row>
    <row r="10392" ht="20.35" customHeight="1">
      <c r="A10392" s="10">
        <v>45841</v>
      </c>
      <c r="B10392" t="s" s="11">
        <v>16</v>
      </c>
      <c r="C10392" t="s" s="12">
        <v>1328</v>
      </c>
      <c r="D10392" s="13">
        <v>9156</v>
      </c>
      <c r="E10392" s="13"/>
      <c r="F10392" s="14"/>
      <c r="G10392" s="14"/>
      <c r="H10392" s="14"/>
      <c r="I10392" s="14"/>
    </row>
    <row r="10393" ht="20.7" customHeight="1">
      <c r="A10393" s="10">
        <v>45841</v>
      </c>
      <c r="B10393" t="s" s="11">
        <v>8</v>
      </c>
      <c r="C10393" t="s" s="12">
        <v>8</v>
      </c>
      <c r="D10393" s="15" cm="1">
        <f t="array" ref="D10393">SUM(D10391:D10392)</f>
        <v>9156</v>
      </c>
      <c r="E10393" s="15" cm="1">
        <f t="array" ref="E10393">SUM(E10391:E10392)</f>
        <v>9156</v>
      </c>
      <c r="F10393" s="16" cm="1">
        <f t="array" ref="F10393">SUM(F10391:F10392)</f>
        <v>0</v>
      </c>
      <c r="G10393" s="16" cm="1">
        <f t="array" ref="G10393">SUM(G10391:G10392)</f>
        <v>0</v>
      </c>
      <c r="H10393" s="16" cm="1">
        <f t="array" ref="H10393">SUM(H10391:H10392)</f>
        <v>0</v>
      </c>
      <c r="I10393" s="16" cm="1">
        <f t="array" ref="I10393">SUM(I10391:I10392)</f>
        <v>0</v>
      </c>
    </row>
    <row r="10394" ht="20.35" customHeight="1">
      <c r="A10394" s="10">
        <v>45841</v>
      </c>
      <c r="B10394" t="s" s="11">
        <v>93</v>
      </c>
      <c r="C10394" t="s" s="12">
        <v>1328</v>
      </c>
      <c r="D10394" s="17"/>
      <c r="E10394" s="17">
        <v>1045</v>
      </c>
      <c r="F10394" s="18"/>
      <c r="G10394" s="18"/>
      <c r="H10394" s="18"/>
      <c r="I10394" s="18"/>
    </row>
    <row r="10395" ht="20.35" customHeight="1">
      <c r="A10395" s="10">
        <v>45841</v>
      </c>
      <c r="B10395" t="s" s="11">
        <v>16</v>
      </c>
      <c r="C10395" t="s" s="12">
        <v>1328</v>
      </c>
      <c r="D10395" s="13">
        <v>1045</v>
      </c>
      <c r="E10395" s="13"/>
      <c r="F10395" s="14"/>
      <c r="G10395" s="14"/>
      <c r="H10395" s="14"/>
      <c r="I10395" s="14"/>
    </row>
    <row r="10396" ht="20.7" customHeight="1">
      <c r="A10396" s="10">
        <v>45841</v>
      </c>
      <c r="B10396" t="s" s="11">
        <v>8</v>
      </c>
      <c r="C10396" t="s" s="12">
        <v>8</v>
      </c>
      <c r="D10396" s="15" cm="1">
        <f t="array" ref="D10396">SUM(D10394:D10395)</f>
        <v>1045</v>
      </c>
      <c r="E10396" s="15" cm="1">
        <f t="array" ref="E10396">SUM(E10394:E10395)</f>
        <v>1045</v>
      </c>
      <c r="F10396" s="16" cm="1">
        <f t="array" ref="F10396">SUM(F10394:F10395)</f>
        <v>0</v>
      </c>
      <c r="G10396" s="16" cm="1">
        <f t="array" ref="G10396">SUM(G10394:G10395)</f>
        <v>0</v>
      </c>
      <c r="H10396" s="16" cm="1">
        <f t="array" ref="H10396">SUM(H10394:H10395)</f>
        <v>0</v>
      </c>
      <c r="I10396" s="16" cm="1">
        <f t="array" ref="I10396">SUM(I10394:I10395)</f>
        <v>0</v>
      </c>
    </row>
    <row r="10397" ht="20.35" customHeight="1">
      <c r="A10397" s="10">
        <v>45841</v>
      </c>
      <c r="B10397" t="s" s="11">
        <v>93</v>
      </c>
      <c r="C10397" t="s" s="12">
        <v>604</v>
      </c>
      <c r="D10397" s="17">
        <v>10000</v>
      </c>
      <c r="E10397" s="17"/>
      <c r="F10397" s="18"/>
      <c r="G10397" s="18"/>
      <c r="H10397" s="18"/>
      <c r="I10397" s="18"/>
    </row>
    <row r="10398" ht="20.35" customHeight="1">
      <c r="A10398" s="10">
        <v>45841</v>
      </c>
      <c r="B10398" t="s" s="11">
        <v>5</v>
      </c>
      <c r="C10398" t="s" s="12">
        <v>604</v>
      </c>
      <c r="D10398" s="13"/>
      <c r="E10398" s="13">
        <v>10000</v>
      </c>
      <c r="F10398" s="14"/>
      <c r="G10398" s="14"/>
      <c r="H10398" s="14"/>
      <c r="I10398" s="14"/>
    </row>
    <row r="10399" ht="20.7" customHeight="1">
      <c r="A10399" s="10">
        <v>45841</v>
      </c>
      <c r="B10399" t="s" s="11">
        <v>8</v>
      </c>
      <c r="C10399" t="s" s="12">
        <v>8</v>
      </c>
      <c r="D10399" s="15" cm="1">
        <f t="array" ref="D10399">SUM(D10397:D10398)</f>
        <v>10000</v>
      </c>
      <c r="E10399" s="15" cm="1">
        <f t="array" ref="E10399">SUM(E10397:E10398)</f>
        <v>10000</v>
      </c>
      <c r="F10399" s="16" cm="1">
        <f t="array" ref="F10399">SUM(F10397:F10398)</f>
        <v>0</v>
      </c>
      <c r="G10399" s="16" cm="1">
        <f t="array" ref="G10399">SUM(G10397:G10398)</f>
        <v>0</v>
      </c>
      <c r="H10399" s="16" cm="1">
        <f t="array" ref="H10399">SUM(H10397:H10398)</f>
        <v>0</v>
      </c>
      <c r="I10399" s="16" cm="1">
        <f t="array" ref="I10399">SUM(I10397:I10398)</f>
        <v>0</v>
      </c>
    </row>
    <row r="10400" ht="20.35" customHeight="1">
      <c r="A10400" s="10">
        <v>45842</v>
      </c>
      <c r="B10400" t="s" s="11">
        <v>93</v>
      </c>
      <c r="C10400" t="s" s="12">
        <v>1328</v>
      </c>
      <c r="D10400" s="17"/>
      <c r="E10400" s="17">
        <v>1026</v>
      </c>
      <c r="F10400" s="18"/>
      <c r="G10400" s="18"/>
      <c r="H10400" s="18"/>
      <c r="I10400" s="18"/>
    </row>
    <row r="10401" ht="20.35" customHeight="1">
      <c r="A10401" s="10">
        <v>45842</v>
      </c>
      <c r="B10401" t="s" s="11">
        <v>16</v>
      </c>
      <c r="C10401" t="s" s="12">
        <v>1328</v>
      </c>
      <c r="D10401" s="13">
        <v>1026</v>
      </c>
      <c r="E10401" s="13"/>
      <c r="F10401" s="14"/>
      <c r="G10401" s="14"/>
      <c r="H10401" s="14"/>
      <c r="I10401" s="14"/>
    </row>
    <row r="10402" ht="20.7" customHeight="1">
      <c r="A10402" s="10">
        <v>45842</v>
      </c>
      <c r="B10402" t="s" s="11">
        <v>8</v>
      </c>
      <c r="C10402" t="s" s="12">
        <v>8</v>
      </c>
      <c r="D10402" s="15" cm="1">
        <f t="array" ref="D10402">SUM(D10400:D10401)</f>
        <v>1026</v>
      </c>
      <c r="E10402" s="15" cm="1">
        <f t="array" ref="E10402">SUM(E10400:E10401)</f>
        <v>1026</v>
      </c>
      <c r="F10402" s="16" cm="1">
        <f t="array" ref="F10402">SUM(F10400:F10401)</f>
        <v>0</v>
      </c>
      <c r="G10402" s="16" cm="1">
        <f t="array" ref="G10402">SUM(G10400:G10401)</f>
        <v>0</v>
      </c>
      <c r="H10402" s="16" cm="1">
        <f t="array" ref="H10402">SUM(H10400:H10401)</f>
        <v>0</v>
      </c>
      <c r="I10402" s="16" cm="1">
        <f t="array" ref="I10402">SUM(I10400:I10401)</f>
        <v>0</v>
      </c>
    </row>
    <row r="10403" ht="20.65" customHeight="1">
      <c r="A10403" s="10">
        <v>45842</v>
      </c>
      <c r="B10403" t="s" s="11">
        <v>814</v>
      </c>
      <c r="C10403" t="s" s="12">
        <v>820</v>
      </c>
      <c r="D10403" s="17">
        <v>3</v>
      </c>
      <c r="E10403" s="17"/>
      <c r="F10403" s="18"/>
      <c r="G10403" s="18"/>
      <c r="H10403" s="18"/>
      <c r="I10403" s="18"/>
    </row>
    <row r="10404" ht="20.65" customHeight="1">
      <c r="A10404" s="10">
        <v>45842</v>
      </c>
      <c r="B10404" t="s" s="11">
        <v>7</v>
      </c>
      <c r="C10404" t="s" s="12">
        <v>820</v>
      </c>
      <c r="D10404" s="13"/>
      <c r="E10404" s="13">
        <v>3</v>
      </c>
      <c r="F10404" s="14"/>
      <c r="G10404" s="14"/>
      <c r="H10404" s="14"/>
      <c r="I10404" s="14"/>
    </row>
    <row r="10405" ht="20.7" customHeight="1">
      <c r="A10405" s="10">
        <v>45842</v>
      </c>
      <c r="B10405" t="s" s="11">
        <v>8</v>
      </c>
      <c r="C10405" t="s" s="12">
        <v>8</v>
      </c>
      <c r="D10405" s="15" cm="1">
        <f t="array" ref="D10405">SUM(D10403:D10404)</f>
        <v>3</v>
      </c>
      <c r="E10405" s="15" cm="1">
        <f t="array" ref="E10405">SUM(E10403:E10404)</f>
        <v>3</v>
      </c>
      <c r="F10405" s="16" cm="1">
        <f t="array" ref="F10405">SUM(F10403:F10404)</f>
        <v>0</v>
      </c>
      <c r="G10405" s="16" cm="1">
        <f t="array" ref="G10405">SUM(G10403:G10404)</f>
        <v>0</v>
      </c>
      <c r="H10405" s="16" cm="1">
        <f t="array" ref="H10405">SUM(H10403:H10404)</f>
        <v>0</v>
      </c>
      <c r="I10405" s="16" cm="1">
        <f t="array" ref="I10405">SUM(I10403:I10404)</f>
        <v>0</v>
      </c>
    </row>
    <row r="10406" ht="20.65" customHeight="1">
      <c r="A10406" s="10">
        <v>45842</v>
      </c>
      <c r="B10406" t="s" s="11">
        <v>843</v>
      </c>
      <c r="C10406" t="s" s="12">
        <v>820</v>
      </c>
      <c r="D10406" s="17">
        <v>1</v>
      </c>
      <c r="E10406" s="17"/>
      <c r="F10406" s="18"/>
      <c r="G10406" s="18"/>
      <c r="H10406" s="18"/>
      <c r="I10406" s="18"/>
    </row>
    <row r="10407" ht="20.65" customHeight="1">
      <c r="A10407" s="10">
        <v>45842</v>
      </c>
      <c r="B10407" t="s" s="11">
        <v>7</v>
      </c>
      <c r="C10407" t="s" s="12">
        <v>820</v>
      </c>
      <c r="D10407" s="13"/>
      <c r="E10407" s="13">
        <v>1</v>
      </c>
      <c r="F10407" s="14"/>
      <c r="G10407" s="14"/>
      <c r="H10407" s="14"/>
      <c r="I10407" s="14"/>
    </row>
    <row r="10408" ht="20.7" customHeight="1">
      <c r="A10408" s="10">
        <v>45842</v>
      </c>
      <c r="B10408" t="s" s="11">
        <v>8</v>
      </c>
      <c r="C10408" t="s" s="12">
        <v>8</v>
      </c>
      <c r="D10408" s="15" cm="1">
        <f t="array" ref="D10408">SUM(D10406:D10407)</f>
        <v>1</v>
      </c>
      <c r="E10408" s="15" cm="1">
        <f t="array" ref="E10408">SUM(E10406:E10407)</f>
        <v>1</v>
      </c>
      <c r="F10408" s="16" cm="1">
        <f t="array" ref="F10408">SUM(F10406:F10407)</f>
        <v>0</v>
      </c>
      <c r="G10408" s="16" cm="1">
        <f t="array" ref="G10408">SUM(G10406:G10407)</f>
        <v>0</v>
      </c>
      <c r="H10408" s="16" cm="1">
        <f t="array" ref="H10408">SUM(H10406:H10407)</f>
        <v>0</v>
      </c>
      <c r="I10408" s="16" cm="1">
        <f t="array" ref="I10408">SUM(I10406:I10407)</f>
        <v>0</v>
      </c>
    </row>
    <row r="10409" ht="20.35" customHeight="1">
      <c r="A10409" s="10">
        <v>45842</v>
      </c>
      <c r="B10409" t="s" s="11">
        <v>93</v>
      </c>
      <c r="C10409" t="s" s="12">
        <v>1328</v>
      </c>
      <c r="D10409" s="17"/>
      <c r="E10409" s="17">
        <v>10877</v>
      </c>
      <c r="F10409" s="18"/>
      <c r="G10409" s="18"/>
      <c r="H10409" s="18"/>
      <c r="I10409" s="18"/>
    </row>
    <row r="10410" ht="20.35" customHeight="1">
      <c r="A10410" s="10">
        <v>45842</v>
      </c>
      <c r="B10410" t="s" s="11">
        <v>16</v>
      </c>
      <c r="C10410" t="s" s="12">
        <v>1328</v>
      </c>
      <c r="D10410" s="13">
        <v>10877</v>
      </c>
      <c r="E10410" s="13"/>
      <c r="F10410" s="14"/>
      <c r="G10410" s="14"/>
      <c r="H10410" s="14"/>
      <c r="I10410" s="14"/>
    </row>
    <row r="10411" ht="20.7" customHeight="1">
      <c r="A10411" s="10">
        <v>45842</v>
      </c>
      <c r="B10411" t="s" s="11">
        <v>8</v>
      </c>
      <c r="C10411" t="s" s="12">
        <v>8</v>
      </c>
      <c r="D10411" s="15" cm="1">
        <f t="array" ref="D10411">SUM(D10409:D10410)</f>
        <v>10877</v>
      </c>
      <c r="E10411" s="15" cm="1">
        <f t="array" ref="E10411">SUM(E10409:E10410)</f>
        <v>10877</v>
      </c>
      <c r="F10411" s="16" cm="1">
        <f t="array" ref="F10411">SUM(F10409:F10410)</f>
        <v>0</v>
      </c>
      <c r="G10411" s="16" cm="1">
        <f t="array" ref="G10411">SUM(G10409:G10410)</f>
        <v>0</v>
      </c>
      <c r="H10411" s="16" cm="1">
        <f t="array" ref="H10411">SUM(H10409:H10410)</f>
        <v>0</v>
      </c>
      <c r="I10411" s="16" cm="1">
        <f t="array" ref="I10411">SUM(I10409:I10410)</f>
        <v>0</v>
      </c>
    </row>
    <row r="10412" ht="20.35" customHeight="1">
      <c r="A10412" s="10">
        <v>45842</v>
      </c>
      <c r="B10412" t="s" s="11">
        <v>93</v>
      </c>
      <c r="C10412" t="s" s="12">
        <v>604</v>
      </c>
      <c r="D10412" s="17">
        <v>10000</v>
      </c>
      <c r="E10412" s="17"/>
      <c r="F10412" s="18"/>
      <c r="G10412" s="18"/>
      <c r="H10412" s="18"/>
      <c r="I10412" s="18"/>
    </row>
    <row r="10413" ht="20.35" customHeight="1">
      <c r="A10413" s="10">
        <v>45842</v>
      </c>
      <c r="B10413" t="s" s="11">
        <v>5</v>
      </c>
      <c r="C10413" t="s" s="12">
        <v>604</v>
      </c>
      <c r="D10413" s="13"/>
      <c r="E10413" s="13">
        <v>10000</v>
      </c>
      <c r="F10413" s="14"/>
      <c r="G10413" s="14"/>
      <c r="H10413" s="14"/>
      <c r="I10413" s="14"/>
    </row>
    <row r="10414" ht="20.7" customHeight="1">
      <c r="A10414" s="10">
        <v>45842</v>
      </c>
      <c r="B10414" t="s" s="11">
        <v>8</v>
      </c>
      <c r="C10414" t="s" s="12">
        <v>8</v>
      </c>
      <c r="D10414" s="15" cm="1">
        <f t="array" ref="D10414">SUM(D10412:D10413)</f>
        <v>10000</v>
      </c>
      <c r="E10414" s="15" cm="1">
        <f t="array" ref="E10414">SUM(E10412:E10413)</f>
        <v>10000</v>
      </c>
      <c r="F10414" s="16" cm="1">
        <f t="array" ref="F10414">SUM(F10412:F10413)</f>
        <v>0</v>
      </c>
      <c r="G10414" s="16" cm="1">
        <f t="array" ref="G10414">SUM(G10412:G10413)</f>
        <v>0</v>
      </c>
      <c r="H10414" s="16" cm="1">
        <f t="array" ref="H10414">SUM(H10412:H10413)</f>
        <v>0</v>
      </c>
      <c r="I10414" s="16" cm="1">
        <f t="array" ref="I10414">SUM(I10412:I10413)</f>
        <v>0</v>
      </c>
    </row>
    <row r="10415" ht="20.35" customHeight="1">
      <c r="A10415" s="10">
        <v>45842</v>
      </c>
      <c r="B10415" t="s" s="11">
        <v>93</v>
      </c>
      <c r="C10415" t="s" s="12">
        <v>1328</v>
      </c>
      <c r="D10415" s="17"/>
      <c r="E10415" s="17">
        <v>1550</v>
      </c>
      <c r="F10415" s="18"/>
      <c r="G10415" s="18"/>
      <c r="H10415" s="18"/>
      <c r="I10415" s="18"/>
    </row>
    <row r="10416" ht="20.35" customHeight="1">
      <c r="A10416" s="10">
        <v>45842</v>
      </c>
      <c r="B10416" t="s" s="11">
        <v>16</v>
      </c>
      <c r="C10416" t="s" s="12">
        <v>1328</v>
      </c>
      <c r="D10416" s="13">
        <v>1550</v>
      </c>
      <c r="E10416" s="13"/>
      <c r="F10416" s="14"/>
      <c r="G10416" s="14"/>
      <c r="H10416" s="14"/>
      <c r="I10416" s="14"/>
    </row>
    <row r="10417" ht="20.7" customHeight="1">
      <c r="A10417" s="10">
        <v>45842</v>
      </c>
      <c r="B10417" t="s" s="11">
        <v>8</v>
      </c>
      <c r="C10417" t="s" s="12">
        <v>8</v>
      </c>
      <c r="D10417" s="15" cm="1">
        <f t="array" ref="D10417">SUM(D10415:D10416)</f>
        <v>1550</v>
      </c>
      <c r="E10417" s="15" cm="1">
        <f t="array" ref="E10417">SUM(E10415:E10416)</f>
        <v>1550</v>
      </c>
      <c r="F10417" s="16" cm="1">
        <f t="array" ref="F10417">SUM(F10415:F10416)</f>
        <v>0</v>
      </c>
      <c r="G10417" s="16" cm="1">
        <f t="array" ref="G10417">SUM(G10415:G10416)</f>
        <v>0</v>
      </c>
      <c r="H10417" s="16" cm="1">
        <f t="array" ref="H10417">SUM(H10415:H10416)</f>
        <v>0</v>
      </c>
      <c r="I10417" s="16" cm="1">
        <f t="array" ref="I10417">SUM(I10415:I10416)</f>
        <v>0</v>
      </c>
    </row>
    <row r="10418" ht="20.35" customHeight="1">
      <c r="A10418" s="10">
        <v>45842</v>
      </c>
      <c r="B10418" t="s" s="11">
        <v>93</v>
      </c>
      <c r="C10418" t="s" s="12">
        <v>604</v>
      </c>
      <c r="D10418" s="17">
        <v>10000</v>
      </c>
      <c r="E10418" s="17"/>
      <c r="F10418" s="18"/>
      <c r="G10418" s="18"/>
      <c r="H10418" s="18"/>
      <c r="I10418" s="18"/>
    </row>
    <row r="10419" ht="20.35" customHeight="1">
      <c r="A10419" s="10">
        <v>45842</v>
      </c>
      <c r="B10419" t="s" s="11">
        <v>5</v>
      </c>
      <c r="C10419" t="s" s="12">
        <v>604</v>
      </c>
      <c r="D10419" s="13"/>
      <c r="E10419" s="13">
        <v>10000</v>
      </c>
      <c r="F10419" s="14"/>
      <c r="G10419" s="14"/>
      <c r="H10419" s="14"/>
      <c r="I10419" s="14"/>
    </row>
    <row r="10420" ht="20.7" customHeight="1">
      <c r="A10420" s="10">
        <v>45842</v>
      </c>
      <c r="B10420" t="s" s="11">
        <v>8</v>
      </c>
      <c r="C10420" t="s" s="12">
        <v>8</v>
      </c>
      <c r="D10420" s="15" cm="1">
        <f t="array" ref="D10420">SUM(D10418:D10419)</f>
        <v>10000</v>
      </c>
      <c r="E10420" s="15" cm="1">
        <f t="array" ref="E10420">SUM(E10418:E10419)</f>
        <v>10000</v>
      </c>
      <c r="F10420" s="16" cm="1">
        <f t="array" ref="F10420">SUM(F10418:F10419)</f>
        <v>0</v>
      </c>
      <c r="G10420" s="16" cm="1">
        <f t="array" ref="G10420">SUM(G10418:G10419)</f>
        <v>0</v>
      </c>
      <c r="H10420" s="16" cm="1">
        <f t="array" ref="H10420">SUM(H10418:H10419)</f>
        <v>0</v>
      </c>
      <c r="I10420" s="16" cm="1">
        <f t="array" ref="I10420">SUM(I10418:I10419)</f>
        <v>0</v>
      </c>
    </row>
    <row r="10421" ht="20.35" customHeight="1">
      <c r="A10421" s="10">
        <v>45842</v>
      </c>
      <c r="B10421" t="s" s="11">
        <v>93</v>
      </c>
      <c r="C10421" t="s" s="12">
        <v>1328</v>
      </c>
      <c r="D10421" s="17"/>
      <c r="E10421" s="17">
        <v>7173</v>
      </c>
      <c r="F10421" s="18"/>
      <c r="G10421" s="18"/>
      <c r="H10421" s="18"/>
      <c r="I10421" s="18"/>
    </row>
    <row r="10422" ht="20.35" customHeight="1">
      <c r="A10422" s="10">
        <v>45842</v>
      </c>
      <c r="B10422" t="s" s="11">
        <v>16</v>
      </c>
      <c r="C10422" t="s" s="12">
        <v>1328</v>
      </c>
      <c r="D10422" s="13">
        <v>7173</v>
      </c>
      <c r="E10422" s="13"/>
      <c r="F10422" s="14"/>
      <c r="G10422" s="14"/>
      <c r="H10422" s="14"/>
      <c r="I10422" s="14"/>
    </row>
    <row r="10423" ht="20.7" customHeight="1">
      <c r="A10423" s="10">
        <v>45842</v>
      </c>
      <c r="B10423" t="s" s="11">
        <v>8</v>
      </c>
      <c r="C10423" t="s" s="12">
        <v>8</v>
      </c>
      <c r="D10423" s="15" cm="1">
        <f t="array" ref="D10423">SUM(D10421:D10422)</f>
        <v>7173</v>
      </c>
      <c r="E10423" s="15" cm="1">
        <f t="array" ref="E10423">SUM(E10421:E10422)</f>
        <v>7173</v>
      </c>
      <c r="F10423" s="16" cm="1">
        <f t="array" ref="F10423">SUM(F10421:F10422)</f>
        <v>0</v>
      </c>
      <c r="G10423" s="16" cm="1">
        <f t="array" ref="G10423">SUM(G10421:G10422)</f>
        <v>0</v>
      </c>
      <c r="H10423" s="16" cm="1">
        <f t="array" ref="H10423">SUM(H10421:H10422)</f>
        <v>0</v>
      </c>
      <c r="I10423" s="16" cm="1">
        <f t="array" ref="I10423">SUM(I10421:I10422)</f>
        <v>0</v>
      </c>
    </row>
    <row r="10424" ht="20.65" customHeight="1">
      <c r="A10424" s="10">
        <v>45843</v>
      </c>
      <c r="B10424" t="s" s="11">
        <v>814</v>
      </c>
      <c r="C10424" t="s" s="12">
        <v>820</v>
      </c>
      <c r="D10424" s="17">
        <v>3</v>
      </c>
      <c r="E10424" s="17"/>
      <c r="F10424" s="18"/>
      <c r="G10424" s="18"/>
      <c r="H10424" s="18"/>
      <c r="I10424" s="18"/>
    </row>
    <row r="10425" ht="20.65" customHeight="1">
      <c r="A10425" s="10">
        <v>45843</v>
      </c>
      <c r="B10425" t="s" s="11">
        <v>7</v>
      </c>
      <c r="C10425" t="s" s="12">
        <v>820</v>
      </c>
      <c r="D10425" s="13"/>
      <c r="E10425" s="13">
        <v>3</v>
      </c>
      <c r="F10425" s="14"/>
      <c r="G10425" s="14"/>
      <c r="H10425" s="14"/>
      <c r="I10425" s="14"/>
    </row>
    <row r="10426" ht="20.7" customHeight="1">
      <c r="A10426" s="10">
        <v>45843</v>
      </c>
      <c r="B10426" t="s" s="11">
        <v>8</v>
      </c>
      <c r="C10426" t="s" s="12">
        <v>8</v>
      </c>
      <c r="D10426" s="15" cm="1">
        <f t="array" ref="D10426">SUM(D10424:D10425)</f>
        <v>3</v>
      </c>
      <c r="E10426" s="15" cm="1">
        <f t="array" ref="E10426">SUM(E10424:E10425)</f>
        <v>3</v>
      </c>
      <c r="F10426" s="16" cm="1">
        <f t="array" ref="F10426">SUM(F10424:F10425)</f>
        <v>0</v>
      </c>
      <c r="G10426" s="16" cm="1">
        <f t="array" ref="G10426">SUM(G10424:G10425)</f>
        <v>0</v>
      </c>
      <c r="H10426" s="16" cm="1">
        <f t="array" ref="H10426">SUM(H10424:H10425)</f>
        <v>0</v>
      </c>
      <c r="I10426" s="16" cm="1">
        <f t="array" ref="I10426">SUM(I10424:I10425)</f>
        <v>0</v>
      </c>
    </row>
    <row r="10427" ht="20.65" customHeight="1">
      <c r="A10427" s="10">
        <v>45843</v>
      </c>
      <c r="B10427" t="s" s="11">
        <v>843</v>
      </c>
      <c r="C10427" t="s" s="12">
        <v>820</v>
      </c>
      <c r="D10427" s="17">
        <v>1</v>
      </c>
      <c r="E10427" s="17"/>
      <c r="F10427" s="18"/>
      <c r="G10427" s="18"/>
      <c r="H10427" s="18"/>
      <c r="I10427" s="18"/>
    </row>
    <row r="10428" ht="20.65" customHeight="1">
      <c r="A10428" s="10">
        <v>45843</v>
      </c>
      <c r="B10428" t="s" s="11">
        <v>7</v>
      </c>
      <c r="C10428" t="s" s="12">
        <v>820</v>
      </c>
      <c r="D10428" s="13"/>
      <c r="E10428" s="13">
        <v>1</v>
      </c>
      <c r="F10428" s="14"/>
      <c r="G10428" s="14"/>
      <c r="H10428" s="14"/>
      <c r="I10428" s="14"/>
    </row>
    <row r="10429" ht="20.7" customHeight="1">
      <c r="A10429" s="10">
        <v>45843</v>
      </c>
      <c r="B10429" t="s" s="11">
        <v>8</v>
      </c>
      <c r="C10429" t="s" s="12">
        <v>8</v>
      </c>
      <c r="D10429" s="15" cm="1">
        <f t="array" ref="D10429">SUM(D10427:D10428)</f>
        <v>1</v>
      </c>
      <c r="E10429" s="15" cm="1">
        <f t="array" ref="E10429">SUM(E10427:E10428)</f>
        <v>1</v>
      </c>
      <c r="F10429" s="16" cm="1">
        <f t="array" ref="F10429">SUM(F10427:F10428)</f>
        <v>0</v>
      </c>
      <c r="G10429" s="16" cm="1">
        <f t="array" ref="G10429">SUM(G10427:G10428)</f>
        <v>0</v>
      </c>
      <c r="H10429" s="16" cm="1">
        <f t="array" ref="H10429">SUM(H10427:H10428)</f>
        <v>0</v>
      </c>
      <c r="I10429" s="16" cm="1">
        <f t="array" ref="I10429">SUM(I10427:I10428)</f>
        <v>0</v>
      </c>
    </row>
    <row r="10430" ht="20.35" customHeight="1">
      <c r="A10430" s="10">
        <v>45843</v>
      </c>
      <c r="B10430" t="s" s="11">
        <v>93</v>
      </c>
      <c r="C10430" t="s" s="12">
        <v>604</v>
      </c>
      <c r="D10430" s="17">
        <v>10000</v>
      </c>
      <c r="E10430" s="17"/>
      <c r="F10430" s="18"/>
      <c r="G10430" s="18"/>
      <c r="H10430" s="18"/>
      <c r="I10430" s="18"/>
    </row>
    <row r="10431" ht="20.35" customHeight="1">
      <c r="A10431" s="10">
        <v>45843</v>
      </c>
      <c r="B10431" t="s" s="11">
        <v>5</v>
      </c>
      <c r="C10431" t="s" s="12">
        <v>604</v>
      </c>
      <c r="D10431" s="13"/>
      <c r="E10431" s="13">
        <v>10000</v>
      </c>
      <c r="F10431" s="14"/>
      <c r="G10431" s="14"/>
      <c r="H10431" s="14"/>
      <c r="I10431" s="14"/>
    </row>
    <row r="10432" ht="20.7" customHeight="1">
      <c r="A10432" s="10">
        <v>45843</v>
      </c>
      <c r="B10432" t="s" s="11">
        <v>8</v>
      </c>
      <c r="C10432" t="s" s="12">
        <v>8</v>
      </c>
      <c r="D10432" s="15" cm="1">
        <f t="array" ref="D10432">SUM(D10430:D10431)</f>
        <v>10000</v>
      </c>
      <c r="E10432" s="15" cm="1">
        <f t="array" ref="E10432">SUM(E10430:E10431)</f>
        <v>10000</v>
      </c>
      <c r="F10432" s="16" cm="1">
        <f t="array" ref="F10432">SUM(F10430:F10431)</f>
        <v>0</v>
      </c>
      <c r="G10432" s="16" cm="1">
        <f t="array" ref="G10432">SUM(G10430:G10431)</f>
        <v>0</v>
      </c>
      <c r="H10432" s="16" cm="1">
        <f t="array" ref="H10432">SUM(H10430:H10431)</f>
        <v>0</v>
      </c>
      <c r="I10432" s="16" cm="1">
        <f t="array" ref="I10432">SUM(I10430:I10431)</f>
        <v>0</v>
      </c>
    </row>
    <row r="10433" ht="20.35" customHeight="1">
      <c r="A10433" s="10">
        <v>45843</v>
      </c>
      <c r="B10433" t="s" s="11">
        <v>93</v>
      </c>
      <c r="C10433" t="s" s="12">
        <v>1328</v>
      </c>
      <c r="D10433" s="17"/>
      <c r="E10433" s="17">
        <v>8857</v>
      </c>
      <c r="F10433" s="18"/>
      <c r="G10433" s="18"/>
      <c r="H10433" s="18"/>
      <c r="I10433" s="18"/>
    </row>
    <row r="10434" ht="20.35" customHeight="1">
      <c r="A10434" s="10">
        <v>45843</v>
      </c>
      <c r="B10434" t="s" s="11">
        <v>16</v>
      </c>
      <c r="C10434" t="s" s="12">
        <v>1328</v>
      </c>
      <c r="D10434" s="13">
        <v>8857</v>
      </c>
      <c r="E10434" s="13"/>
      <c r="F10434" s="14"/>
      <c r="G10434" s="14"/>
      <c r="H10434" s="14"/>
      <c r="I10434" s="14"/>
    </row>
    <row r="10435" ht="20.7" customHeight="1">
      <c r="A10435" s="10">
        <v>45843</v>
      </c>
      <c r="B10435" t="s" s="11">
        <v>8</v>
      </c>
      <c r="C10435" t="s" s="12">
        <v>8</v>
      </c>
      <c r="D10435" s="15" cm="1">
        <f t="array" ref="D10435">SUM(D10433:D10434)</f>
        <v>8857</v>
      </c>
      <c r="E10435" s="15" cm="1">
        <f t="array" ref="E10435">SUM(E10433:E10434)</f>
        <v>8857</v>
      </c>
      <c r="F10435" s="16" cm="1">
        <f t="array" ref="F10435">SUM(F10433:F10434)</f>
        <v>0</v>
      </c>
      <c r="G10435" s="16" cm="1">
        <f t="array" ref="G10435">SUM(G10433:G10434)</f>
        <v>0</v>
      </c>
      <c r="H10435" s="16" cm="1">
        <f t="array" ref="H10435">SUM(H10433:H10434)</f>
        <v>0</v>
      </c>
      <c r="I10435" s="16" cm="1">
        <f t="array" ref="I10435">SUM(I10433:I10434)</f>
        <v>0</v>
      </c>
    </row>
    <row r="10436" ht="20.35" customHeight="1">
      <c r="A10436" s="10">
        <v>45843</v>
      </c>
      <c r="B10436" t="s" s="11">
        <v>93</v>
      </c>
      <c r="C10436" t="s" s="12">
        <v>1328</v>
      </c>
      <c r="D10436" s="17"/>
      <c r="E10436" s="17">
        <v>588</v>
      </c>
      <c r="F10436" s="18"/>
      <c r="G10436" s="18"/>
      <c r="H10436" s="18"/>
      <c r="I10436" s="18"/>
    </row>
    <row r="10437" ht="20.35" customHeight="1">
      <c r="A10437" s="10">
        <v>45843</v>
      </c>
      <c r="B10437" t="s" s="11">
        <v>16</v>
      </c>
      <c r="C10437" t="s" s="12">
        <v>1328</v>
      </c>
      <c r="D10437" s="13">
        <v>588</v>
      </c>
      <c r="E10437" s="13"/>
      <c r="F10437" s="14"/>
      <c r="G10437" s="14"/>
      <c r="H10437" s="14"/>
      <c r="I10437" s="14"/>
    </row>
    <row r="10438" ht="20.7" customHeight="1">
      <c r="A10438" s="10">
        <v>45843</v>
      </c>
      <c r="B10438" t="s" s="11">
        <v>8</v>
      </c>
      <c r="C10438" t="s" s="12">
        <v>8</v>
      </c>
      <c r="D10438" s="15" cm="1">
        <f t="array" ref="D10438">SUM(D10436:D10437)</f>
        <v>588</v>
      </c>
      <c r="E10438" s="15" cm="1">
        <f t="array" ref="E10438">SUM(E10436:E10437)</f>
        <v>588</v>
      </c>
      <c r="F10438" s="16" cm="1">
        <f t="array" ref="F10438">SUM(F10436:F10437)</f>
        <v>0</v>
      </c>
      <c r="G10438" s="16" cm="1">
        <f t="array" ref="G10438">SUM(G10436:G10437)</f>
        <v>0</v>
      </c>
      <c r="H10438" s="16" cm="1">
        <f t="array" ref="H10438">SUM(H10436:H10437)</f>
        <v>0</v>
      </c>
      <c r="I10438" s="16" cm="1">
        <f t="array" ref="I10438">SUM(I10436:I10437)</f>
        <v>0</v>
      </c>
    </row>
    <row r="10439" ht="20.35" customHeight="1">
      <c r="A10439" s="10">
        <v>45843</v>
      </c>
      <c r="B10439" t="s" s="11">
        <v>5</v>
      </c>
      <c r="C10439" t="s" s="12">
        <v>1337</v>
      </c>
      <c r="D10439" s="17"/>
      <c r="E10439" s="17">
        <v>7822</v>
      </c>
      <c r="F10439" s="18"/>
      <c r="G10439" s="18"/>
      <c r="H10439" s="18"/>
      <c r="I10439" s="18"/>
    </row>
    <row r="10440" ht="20.35" customHeight="1">
      <c r="A10440" s="10">
        <v>45843</v>
      </c>
      <c r="B10440" t="s" s="11">
        <v>12</v>
      </c>
      <c r="C10440" t="s" s="12">
        <v>1337</v>
      </c>
      <c r="D10440" s="13">
        <v>7822</v>
      </c>
      <c r="E10440" s="13"/>
      <c r="F10440" s="14"/>
      <c r="G10440" s="14"/>
      <c r="H10440" s="14"/>
      <c r="I10440" s="14"/>
    </row>
    <row r="10441" ht="20.7" customHeight="1">
      <c r="A10441" s="10">
        <v>45843</v>
      </c>
      <c r="B10441" t="s" s="11">
        <v>8</v>
      </c>
      <c r="C10441" t="s" s="12">
        <v>8</v>
      </c>
      <c r="D10441" s="15" cm="1">
        <f t="array" ref="D10441">SUM(D10439:D10440)</f>
        <v>7822</v>
      </c>
      <c r="E10441" s="15" cm="1">
        <f t="array" ref="E10441">SUM(E10439:E10440)</f>
        <v>7822</v>
      </c>
      <c r="F10441" s="16" cm="1">
        <f t="array" ref="F10441">SUM(F10439:F10440)</f>
        <v>0</v>
      </c>
      <c r="G10441" s="16" cm="1">
        <f t="array" ref="G10441">SUM(G10439:G10440)</f>
        <v>0</v>
      </c>
      <c r="H10441" s="16" cm="1">
        <f t="array" ref="H10441">SUM(H10439:H10440)</f>
        <v>0</v>
      </c>
      <c r="I10441" s="16" cm="1">
        <f t="array" ref="I10441">SUM(I10439:I10440)</f>
        <v>0</v>
      </c>
    </row>
    <row r="10442" ht="20.35" customHeight="1">
      <c r="A10442" s="10">
        <v>45843</v>
      </c>
      <c r="B10442" t="s" s="11">
        <v>5</v>
      </c>
      <c r="C10442" t="s" s="12">
        <v>604</v>
      </c>
      <c r="D10442" s="17"/>
      <c r="E10442" s="17">
        <v>18877</v>
      </c>
      <c r="F10442" s="18"/>
      <c r="G10442" s="18"/>
      <c r="H10442" s="18"/>
      <c r="I10442" s="18"/>
    </row>
    <row r="10443" ht="20.35" customHeight="1">
      <c r="A10443" s="10">
        <v>45843</v>
      </c>
      <c r="B10443" t="s" s="11">
        <v>93</v>
      </c>
      <c r="C10443" t="s" s="12">
        <v>604</v>
      </c>
      <c r="D10443" s="13">
        <v>18877</v>
      </c>
      <c r="E10443" s="13"/>
      <c r="F10443" s="14"/>
      <c r="G10443" s="14"/>
      <c r="H10443" s="14"/>
      <c r="I10443" s="14"/>
    </row>
    <row r="10444" ht="20.7" customHeight="1">
      <c r="A10444" s="10">
        <v>45843</v>
      </c>
      <c r="B10444" t="s" s="11">
        <v>8</v>
      </c>
      <c r="C10444" t="s" s="12">
        <v>8</v>
      </c>
      <c r="D10444" s="15" cm="1">
        <f t="array" ref="D10444">SUM(D10442:D10443)</f>
        <v>18877</v>
      </c>
      <c r="E10444" s="15" cm="1">
        <f t="array" ref="E10444">SUM(E10442:E10443)</f>
        <v>18877</v>
      </c>
      <c r="F10444" s="16" cm="1">
        <f t="array" ref="F10444">SUM(F10442:F10443)</f>
        <v>0</v>
      </c>
      <c r="G10444" s="16" cm="1">
        <f t="array" ref="G10444">SUM(G10442:G10443)</f>
        <v>0</v>
      </c>
      <c r="H10444" s="16" cm="1">
        <f t="array" ref="H10444">SUM(H10442:H10443)</f>
        <v>0</v>
      </c>
      <c r="I10444" s="16" cm="1">
        <f t="array" ref="I10444">SUM(I10442:I10443)</f>
        <v>0</v>
      </c>
    </row>
    <row r="10445" ht="20.65" customHeight="1">
      <c r="A10445" s="10">
        <v>45844</v>
      </c>
      <c r="B10445" t="s" s="11">
        <v>814</v>
      </c>
      <c r="C10445" t="s" s="12">
        <v>820</v>
      </c>
      <c r="D10445" s="17">
        <v>3</v>
      </c>
      <c r="E10445" s="17"/>
      <c r="F10445" s="18"/>
      <c r="G10445" s="18"/>
      <c r="H10445" s="18"/>
      <c r="I10445" s="18"/>
    </row>
    <row r="10446" ht="20.65" customHeight="1">
      <c r="A10446" s="10">
        <v>45844</v>
      </c>
      <c r="B10446" t="s" s="11">
        <v>7</v>
      </c>
      <c r="C10446" t="s" s="12">
        <v>820</v>
      </c>
      <c r="D10446" s="13"/>
      <c r="E10446" s="13">
        <v>3</v>
      </c>
      <c r="F10446" s="14"/>
      <c r="G10446" s="14"/>
      <c r="H10446" s="14"/>
      <c r="I10446" s="14"/>
    </row>
    <row r="10447" ht="20.7" customHeight="1">
      <c r="A10447" s="10">
        <v>45844</v>
      </c>
      <c r="B10447" t="s" s="11">
        <v>8</v>
      </c>
      <c r="C10447" t="s" s="12">
        <v>8</v>
      </c>
      <c r="D10447" s="15" cm="1">
        <f t="array" ref="D10447">SUM(D10445:D10446)</f>
        <v>3</v>
      </c>
      <c r="E10447" s="15" cm="1">
        <f t="array" ref="E10447">SUM(E10445:E10446)</f>
        <v>3</v>
      </c>
      <c r="F10447" s="16" cm="1">
        <f t="array" ref="F10447">SUM(F10445:F10446)</f>
        <v>0</v>
      </c>
      <c r="G10447" s="16" cm="1">
        <f t="array" ref="G10447">SUM(G10445:G10446)</f>
        <v>0</v>
      </c>
      <c r="H10447" s="16" cm="1">
        <f t="array" ref="H10447">SUM(H10445:H10446)</f>
        <v>0</v>
      </c>
      <c r="I10447" s="16" cm="1">
        <f t="array" ref="I10447">SUM(I10445:I10446)</f>
        <v>0</v>
      </c>
    </row>
    <row r="10448" ht="20.65" customHeight="1">
      <c r="A10448" s="10">
        <v>45844</v>
      </c>
      <c r="B10448" t="s" s="11">
        <v>843</v>
      </c>
      <c r="C10448" t="s" s="12">
        <v>820</v>
      </c>
      <c r="D10448" s="17">
        <v>1</v>
      </c>
      <c r="E10448" s="17"/>
      <c r="F10448" s="18"/>
      <c r="G10448" s="18"/>
      <c r="H10448" s="18"/>
      <c r="I10448" s="18"/>
    </row>
    <row r="10449" ht="20.65" customHeight="1">
      <c r="A10449" s="10">
        <v>45844</v>
      </c>
      <c r="B10449" t="s" s="11">
        <v>7</v>
      </c>
      <c r="C10449" t="s" s="12">
        <v>820</v>
      </c>
      <c r="D10449" s="13"/>
      <c r="E10449" s="13">
        <v>1</v>
      </c>
      <c r="F10449" s="14"/>
      <c r="G10449" s="14"/>
      <c r="H10449" s="14"/>
      <c r="I10449" s="14"/>
    </row>
    <row r="10450" ht="20.7" customHeight="1">
      <c r="A10450" s="10">
        <v>45844</v>
      </c>
      <c r="B10450" t="s" s="11">
        <v>8</v>
      </c>
      <c r="C10450" t="s" s="12">
        <v>8</v>
      </c>
      <c r="D10450" s="15" cm="1">
        <f t="array" ref="D10450">SUM(D10448:D10449)</f>
        <v>1</v>
      </c>
      <c r="E10450" s="15" cm="1">
        <f t="array" ref="E10450">SUM(E10448:E10449)</f>
        <v>1</v>
      </c>
      <c r="F10450" s="16" cm="1">
        <f t="array" ref="F10450">SUM(F10448:F10449)</f>
        <v>0</v>
      </c>
      <c r="G10450" s="16" cm="1">
        <f t="array" ref="G10450">SUM(G10448:G10449)</f>
        <v>0</v>
      </c>
      <c r="H10450" s="16" cm="1">
        <f t="array" ref="H10450">SUM(H10448:H10449)</f>
        <v>0</v>
      </c>
      <c r="I10450" s="16" cm="1">
        <f t="array" ref="I10450">SUM(I10448:I10449)</f>
        <v>0</v>
      </c>
    </row>
    <row r="10451" ht="20.35" customHeight="1">
      <c r="A10451" s="10">
        <v>45844</v>
      </c>
      <c r="B10451" t="s" s="11">
        <v>5</v>
      </c>
      <c r="C10451" t="s" s="12">
        <v>961</v>
      </c>
      <c r="D10451" s="17">
        <v>1400000</v>
      </c>
      <c r="E10451" s="17"/>
      <c r="F10451" s="18"/>
      <c r="G10451" s="18"/>
      <c r="H10451" s="18"/>
      <c r="I10451" s="18"/>
    </row>
    <row r="10452" ht="20.05" customHeight="1">
      <c r="A10452" s="10">
        <v>45844</v>
      </c>
      <c r="B10452" t="s" s="11">
        <v>89</v>
      </c>
      <c r="C10452" t="s" s="12">
        <v>961</v>
      </c>
      <c r="D10452" s="19"/>
      <c r="E10452" s="19">
        <v>668991</v>
      </c>
      <c r="F10452" s="20"/>
      <c r="G10452" s="20"/>
      <c r="H10452" s="20"/>
      <c r="I10452" s="20"/>
    </row>
    <row r="10453" ht="20.35" customHeight="1">
      <c r="A10453" s="10">
        <v>45844</v>
      </c>
      <c r="B10453" t="s" s="11">
        <v>21</v>
      </c>
      <c r="C10453" t="s" s="12">
        <v>961</v>
      </c>
      <c r="D10453" s="13"/>
      <c r="E10453" s="13">
        <v>731009</v>
      </c>
      <c r="F10453" s="14"/>
      <c r="G10453" s="14"/>
      <c r="H10453" s="14"/>
      <c r="I10453" s="14"/>
    </row>
    <row r="10454" ht="20.7" customHeight="1">
      <c r="A10454" s="10">
        <v>45844</v>
      </c>
      <c r="B10454" t="s" s="11">
        <v>8</v>
      </c>
      <c r="C10454" t="s" s="12">
        <v>8</v>
      </c>
      <c r="D10454" s="15" cm="1">
        <f t="array" ref="D10454">SUM(D10451:D10453)</f>
        <v>1400000</v>
      </c>
      <c r="E10454" s="15" cm="1">
        <f t="array" ref="E10454">SUM(E10451:E10453)</f>
        <v>1400000</v>
      </c>
      <c r="F10454" s="16" cm="1">
        <f t="array" ref="F10454">SUM(F10451:F10453)</f>
        <v>0</v>
      </c>
      <c r="G10454" s="16" cm="1">
        <f t="array" ref="G10454">SUM(G10451:G10453)</f>
        <v>0</v>
      </c>
      <c r="H10454" s="16" cm="1">
        <f t="array" ref="H10454">SUM(H10451:H10453)</f>
        <v>0</v>
      </c>
      <c r="I10454" s="16" cm="1">
        <f t="array" ref="I10454">SUM(I10451:I10453)</f>
        <v>0</v>
      </c>
    </row>
    <row r="10455" ht="20.35" customHeight="1">
      <c r="A10455" s="10">
        <v>45844</v>
      </c>
      <c r="B10455" t="s" s="11">
        <v>10</v>
      </c>
      <c r="C10455" t="s" s="12">
        <v>1338</v>
      </c>
      <c r="D10455" s="17">
        <v>7288</v>
      </c>
      <c r="E10455" s="17"/>
      <c r="F10455" s="18"/>
      <c r="G10455" s="18"/>
      <c r="H10455" s="18"/>
      <c r="I10455" s="18"/>
    </row>
    <row r="10456" ht="20.35" customHeight="1">
      <c r="A10456" s="10">
        <v>45844</v>
      </c>
      <c r="B10456" t="s" s="11">
        <v>21</v>
      </c>
      <c r="C10456" t="s" s="12">
        <v>1338</v>
      </c>
      <c r="D10456" s="13"/>
      <c r="E10456" s="13">
        <v>7288</v>
      </c>
      <c r="F10456" s="14"/>
      <c r="G10456" s="14"/>
      <c r="H10456" s="14"/>
      <c r="I10456" s="14"/>
    </row>
    <row r="10457" ht="20.7" customHeight="1">
      <c r="A10457" s="10">
        <v>45844</v>
      </c>
      <c r="B10457" t="s" s="11">
        <v>8</v>
      </c>
      <c r="C10457" t="s" s="12">
        <v>8</v>
      </c>
      <c r="D10457" s="15" cm="1">
        <f t="array" ref="D10457">SUM(D10455:D10456)</f>
        <v>7288</v>
      </c>
      <c r="E10457" s="15" cm="1">
        <f t="array" ref="E10457">SUM(E10455:E10456)</f>
        <v>7288</v>
      </c>
      <c r="F10457" s="16" cm="1">
        <f t="array" ref="F10457">SUM(F10455:F10456)</f>
        <v>0</v>
      </c>
      <c r="G10457" s="16" cm="1">
        <f t="array" ref="G10457">SUM(G10455:G10456)</f>
        <v>0</v>
      </c>
      <c r="H10457" s="16" cm="1">
        <f t="array" ref="H10457">SUM(H10455:H10456)</f>
        <v>0</v>
      </c>
      <c r="I10457" s="16" cm="1">
        <f t="array" ref="I10457">SUM(I10455:I10456)</f>
        <v>0</v>
      </c>
    </row>
    <row r="10458" ht="20.35" customHeight="1">
      <c r="A10458" s="10">
        <v>45844</v>
      </c>
      <c r="B10458" t="s" s="11">
        <v>5</v>
      </c>
      <c r="C10458" t="s" s="12">
        <v>604</v>
      </c>
      <c r="D10458" s="17"/>
      <c r="E10458" s="17">
        <v>508065</v>
      </c>
      <c r="F10458" s="18"/>
      <c r="G10458" s="18"/>
      <c r="H10458" s="18"/>
      <c r="I10458" s="18"/>
    </row>
    <row r="10459" ht="20.35" customHeight="1">
      <c r="A10459" s="10">
        <v>45844</v>
      </c>
      <c r="B10459" t="s" s="11">
        <v>93</v>
      </c>
      <c r="C10459" t="s" s="12">
        <v>604</v>
      </c>
      <c r="D10459" s="13">
        <v>508065</v>
      </c>
      <c r="E10459" s="13"/>
      <c r="F10459" s="14"/>
      <c r="G10459" s="14"/>
      <c r="H10459" s="14"/>
      <c r="I10459" s="14"/>
    </row>
    <row r="10460" ht="20.7" customHeight="1">
      <c r="A10460" s="10">
        <v>45844</v>
      </c>
      <c r="B10460" t="s" s="11">
        <v>8</v>
      </c>
      <c r="C10460" t="s" s="12">
        <v>8</v>
      </c>
      <c r="D10460" s="15" cm="1">
        <f t="array" ref="D10460">SUM(D10458:D10459)</f>
        <v>508065</v>
      </c>
      <c r="E10460" s="15" cm="1">
        <f t="array" ref="E10460">SUM(E10458:E10459)</f>
        <v>508065</v>
      </c>
      <c r="F10460" s="16" cm="1">
        <f t="array" ref="F10460">SUM(F10458:F10459)</f>
        <v>0</v>
      </c>
      <c r="G10460" s="16" cm="1">
        <f t="array" ref="G10460">SUM(G10458:G10459)</f>
        <v>0</v>
      </c>
      <c r="H10460" s="16" cm="1">
        <f t="array" ref="H10460">SUM(H10458:H10459)</f>
        <v>0</v>
      </c>
      <c r="I10460" s="16" cm="1">
        <f t="array" ref="I10460">SUM(I10458:I10459)</f>
        <v>0</v>
      </c>
    </row>
    <row r="10461" ht="20.35" customHeight="1">
      <c r="A10461" s="10">
        <v>45844</v>
      </c>
      <c r="B10461" t="s" s="11">
        <v>93</v>
      </c>
      <c r="C10461" t="s" s="12">
        <v>1339</v>
      </c>
      <c r="D10461" s="17"/>
      <c r="E10461" s="17">
        <v>530055</v>
      </c>
      <c r="F10461" s="18"/>
      <c r="G10461" s="18"/>
      <c r="H10461" s="18"/>
      <c r="I10461" s="18"/>
    </row>
    <row r="10462" ht="20.35" customHeight="1">
      <c r="A10462" s="10">
        <v>45844</v>
      </c>
      <c r="B10462" t="s" s="11">
        <v>10</v>
      </c>
      <c r="C10462" t="s" s="12">
        <v>1339</v>
      </c>
      <c r="D10462" s="13">
        <v>530055</v>
      </c>
      <c r="E10462" s="13"/>
      <c r="F10462" s="14"/>
      <c r="G10462" s="14"/>
      <c r="H10462" s="14"/>
      <c r="I10462" s="14"/>
    </row>
    <row r="10463" ht="20.7" customHeight="1">
      <c r="A10463" s="10">
        <v>45844</v>
      </c>
      <c r="B10463" t="s" s="11">
        <v>8</v>
      </c>
      <c r="C10463" t="s" s="12">
        <v>8</v>
      </c>
      <c r="D10463" s="15" cm="1">
        <f t="array" ref="D10463">SUM(D10461:D10462)</f>
        <v>530055</v>
      </c>
      <c r="E10463" s="15" cm="1">
        <f t="array" ref="E10463">SUM(E10461:E10462)</f>
        <v>530055</v>
      </c>
      <c r="F10463" s="16" cm="1">
        <f t="array" ref="F10463">SUM(F10461:F10462)</f>
        <v>0</v>
      </c>
      <c r="G10463" s="16" cm="1">
        <f t="array" ref="G10463">SUM(G10461:G10462)</f>
        <v>0</v>
      </c>
      <c r="H10463" s="16" cm="1">
        <f t="array" ref="H10463">SUM(H10461:H10462)</f>
        <v>0</v>
      </c>
      <c r="I10463" s="16" cm="1">
        <f t="array" ref="I10463">SUM(I10461:I10462)</f>
        <v>0</v>
      </c>
    </row>
    <row r="10464" ht="20.35" customHeight="1">
      <c r="A10464" s="10">
        <v>45844</v>
      </c>
      <c r="B10464" t="s" s="11">
        <v>5</v>
      </c>
      <c r="C10464" t="s" s="12">
        <v>1340</v>
      </c>
      <c r="D10464" s="17"/>
      <c r="E10464" s="17">
        <v>136195</v>
      </c>
      <c r="F10464" s="18"/>
      <c r="G10464" s="18"/>
      <c r="H10464" s="18"/>
      <c r="I10464" s="18"/>
    </row>
    <row r="10465" ht="20.35" customHeight="1">
      <c r="A10465" s="10">
        <v>45844</v>
      </c>
      <c r="B10465" t="s" s="11">
        <v>10</v>
      </c>
      <c r="C10465" t="s" s="12">
        <v>1340</v>
      </c>
      <c r="D10465" s="13">
        <v>136195</v>
      </c>
      <c r="E10465" s="13"/>
      <c r="F10465" s="14"/>
      <c r="G10465" s="14"/>
      <c r="H10465" s="14"/>
      <c r="I10465" s="14"/>
    </row>
    <row r="10466" ht="20.7" customHeight="1">
      <c r="A10466" s="10">
        <v>45844</v>
      </c>
      <c r="B10466" t="s" s="11">
        <v>8</v>
      </c>
      <c r="C10466" t="s" s="12">
        <v>8</v>
      </c>
      <c r="D10466" s="15" cm="1">
        <f t="array" ref="D10466">SUM(D10464:D10465)</f>
        <v>136195</v>
      </c>
      <c r="E10466" s="15" cm="1">
        <f t="array" ref="E10466">SUM(E10464:E10465)</f>
        <v>136195</v>
      </c>
      <c r="F10466" s="16" cm="1">
        <f t="array" ref="F10466">SUM(F10464:F10465)</f>
        <v>0</v>
      </c>
      <c r="G10466" s="16" cm="1">
        <f t="array" ref="G10466">SUM(G10464:G10465)</f>
        <v>0</v>
      </c>
      <c r="H10466" s="16" cm="1">
        <f t="array" ref="H10466">SUM(H10464:H10465)</f>
        <v>0</v>
      </c>
      <c r="I10466" s="16" cm="1">
        <f t="array" ref="I10466">SUM(I10464:I10465)</f>
        <v>0</v>
      </c>
    </row>
    <row r="10467" ht="20.35" customHeight="1">
      <c r="A10467" s="10">
        <v>45845</v>
      </c>
      <c r="B10467" t="s" s="11">
        <v>107</v>
      </c>
      <c r="C10467" t="s" s="12">
        <v>439</v>
      </c>
      <c r="D10467" s="17"/>
      <c r="E10467" s="17">
        <v>5000</v>
      </c>
      <c r="F10467" s="18"/>
      <c r="G10467" s="18"/>
      <c r="H10467" s="18"/>
      <c r="I10467" s="18"/>
    </row>
    <row r="10468" ht="20.35" customHeight="1">
      <c r="A10468" s="10">
        <v>45845</v>
      </c>
      <c r="B10468" t="s" s="11">
        <v>121</v>
      </c>
      <c r="C10468" t="s" s="12">
        <v>439</v>
      </c>
      <c r="D10468" s="13">
        <v>5000</v>
      </c>
      <c r="E10468" s="13"/>
      <c r="F10468" s="14"/>
      <c r="G10468" s="14"/>
      <c r="H10468" s="14"/>
      <c r="I10468" s="14"/>
    </row>
    <row r="10469" ht="20.7" customHeight="1">
      <c r="A10469" s="10">
        <v>45845</v>
      </c>
      <c r="B10469" t="s" s="11">
        <v>8</v>
      </c>
      <c r="C10469" t="s" s="12">
        <v>8</v>
      </c>
      <c r="D10469" s="15" cm="1">
        <f t="array" ref="D10469">SUM(D10467:D10468)</f>
        <v>5000</v>
      </c>
      <c r="E10469" s="15" cm="1">
        <f t="array" ref="E10469">SUM(E10467:E10468)</f>
        <v>5000</v>
      </c>
      <c r="F10469" s="16" cm="1">
        <f t="array" ref="F10469">SUM(F10467:F10468)</f>
        <v>0</v>
      </c>
      <c r="G10469" s="16" cm="1">
        <f t="array" ref="G10469">SUM(G10467:G10468)</f>
        <v>0</v>
      </c>
      <c r="H10469" s="16" cm="1">
        <f t="array" ref="H10469">SUM(H10467:H10468)</f>
        <v>0</v>
      </c>
      <c r="I10469" s="16" cm="1">
        <f t="array" ref="I10469">SUM(I10467:I10468)</f>
        <v>0</v>
      </c>
    </row>
    <row r="10470" ht="20.35" customHeight="1">
      <c r="A10470" s="10">
        <v>45845</v>
      </c>
      <c r="B10470" t="s" s="11">
        <v>93</v>
      </c>
      <c r="C10470" t="s" s="12">
        <v>1341</v>
      </c>
      <c r="D10470" s="17"/>
      <c r="E10470" s="17">
        <v>12550</v>
      </c>
      <c r="F10470" s="18"/>
      <c r="G10470" s="18"/>
      <c r="H10470" s="18"/>
      <c r="I10470" s="18"/>
    </row>
    <row r="10471" ht="20.35" customHeight="1">
      <c r="A10471" s="10">
        <v>45845</v>
      </c>
      <c r="B10471" t="s" s="11">
        <v>5</v>
      </c>
      <c r="C10471" t="s" s="12">
        <v>1341</v>
      </c>
      <c r="D10471" s="13">
        <v>12550</v>
      </c>
      <c r="E10471" s="13"/>
      <c r="F10471" s="14"/>
      <c r="G10471" s="14"/>
      <c r="H10471" s="14"/>
      <c r="I10471" s="14"/>
    </row>
    <row r="10472" ht="20.7" customHeight="1">
      <c r="A10472" s="10">
        <v>45845</v>
      </c>
      <c r="B10472" t="s" s="11">
        <v>8</v>
      </c>
      <c r="C10472" t="s" s="12">
        <v>8</v>
      </c>
      <c r="D10472" s="15" cm="1">
        <f t="array" ref="D10472">SUM(D10470:D10471)</f>
        <v>12550</v>
      </c>
      <c r="E10472" s="15" cm="1">
        <f t="array" ref="E10472">SUM(E10470:E10471)</f>
        <v>12550</v>
      </c>
      <c r="F10472" s="16" cm="1">
        <f t="array" ref="F10472">SUM(F10470:F10471)</f>
        <v>0</v>
      </c>
      <c r="G10472" s="16" cm="1">
        <f t="array" ref="G10472">SUM(G10470:G10471)</f>
        <v>0</v>
      </c>
      <c r="H10472" s="16" cm="1">
        <f t="array" ref="H10472">SUM(H10470:H10471)</f>
        <v>0</v>
      </c>
      <c r="I10472" s="16" cm="1">
        <f t="array" ref="I10472">SUM(I10470:I10471)</f>
        <v>0</v>
      </c>
    </row>
    <row r="10473" ht="20.35" customHeight="1">
      <c r="A10473" s="10">
        <v>45845</v>
      </c>
      <c r="B10473" t="s" s="11">
        <v>5</v>
      </c>
      <c r="C10473" t="s" s="12">
        <v>867</v>
      </c>
      <c r="D10473" s="17"/>
      <c r="E10473" s="17">
        <v>881439</v>
      </c>
      <c r="F10473" s="18"/>
      <c r="G10473" s="18"/>
      <c r="H10473" s="18"/>
      <c r="I10473" s="18"/>
    </row>
    <row r="10474" ht="20.35" customHeight="1">
      <c r="A10474" s="10">
        <v>45845</v>
      </c>
      <c r="B10474" t="s" s="11">
        <v>814</v>
      </c>
      <c r="C10474" t="s" s="12">
        <v>867</v>
      </c>
      <c r="D10474" s="13">
        <v>881439</v>
      </c>
      <c r="E10474" s="13"/>
      <c r="F10474" s="14"/>
      <c r="G10474" s="14"/>
      <c r="H10474" s="14"/>
      <c r="I10474" s="14"/>
    </row>
    <row r="10475" ht="20.7" customHeight="1">
      <c r="A10475" s="10">
        <v>45845</v>
      </c>
      <c r="B10475" t="s" s="11">
        <v>8</v>
      </c>
      <c r="C10475" t="s" s="12">
        <v>8</v>
      </c>
      <c r="D10475" s="15" cm="1">
        <f t="array" ref="D10475">SUM(D10473:D10474)</f>
        <v>881439</v>
      </c>
      <c r="E10475" s="15" cm="1">
        <f t="array" ref="E10475">SUM(E10473:E10474)</f>
        <v>881439</v>
      </c>
      <c r="F10475" s="16" cm="1">
        <f t="array" ref="F10475">SUM(F10473:F10474)</f>
        <v>0</v>
      </c>
      <c r="G10475" s="16" cm="1">
        <f t="array" ref="G10475">SUM(G10473:G10474)</f>
        <v>0</v>
      </c>
      <c r="H10475" s="16" cm="1">
        <f t="array" ref="H10475">SUM(H10473:H10474)</f>
        <v>0</v>
      </c>
      <c r="I10475" s="16" cm="1">
        <f t="array" ref="I10475">SUM(I10473:I10474)</f>
        <v>0</v>
      </c>
    </row>
    <row r="10476" ht="20.65" customHeight="1">
      <c r="A10476" s="10">
        <v>45845</v>
      </c>
      <c r="B10476" t="s" s="11">
        <v>814</v>
      </c>
      <c r="C10476" t="s" s="12">
        <v>820</v>
      </c>
      <c r="D10476" s="17">
        <v>3</v>
      </c>
      <c r="E10476" s="17"/>
      <c r="F10476" s="18"/>
      <c r="G10476" s="18"/>
      <c r="H10476" s="18"/>
      <c r="I10476" s="18"/>
    </row>
    <row r="10477" ht="20.65" customHeight="1">
      <c r="A10477" s="10">
        <v>45845</v>
      </c>
      <c r="B10477" t="s" s="11">
        <v>7</v>
      </c>
      <c r="C10477" t="s" s="12">
        <v>820</v>
      </c>
      <c r="D10477" s="13"/>
      <c r="E10477" s="13">
        <v>3</v>
      </c>
      <c r="F10477" s="14"/>
      <c r="G10477" s="14"/>
      <c r="H10477" s="14"/>
      <c r="I10477" s="14"/>
    </row>
    <row r="10478" ht="20.7" customHeight="1">
      <c r="A10478" s="10">
        <v>45845</v>
      </c>
      <c r="B10478" t="s" s="11">
        <v>8</v>
      </c>
      <c r="C10478" t="s" s="12">
        <v>8</v>
      </c>
      <c r="D10478" s="15" cm="1">
        <f t="array" ref="D10478">SUM(D10476:D10477)</f>
        <v>3</v>
      </c>
      <c r="E10478" s="15" cm="1">
        <f t="array" ref="E10478">SUM(E10476:E10477)</f>
        <v>3</v>
      </c>
      <c r="F10478" s="16" cm="1">
        <f t="array" ref="F10478">SUM(F10476:F10477)</f>
        <v>0</v>
      </c>
      <c r="G10478" s="16" cm="1">
        <f t="array" ref="G10478">SUM(G10476:G10477)</f>
        <v>0</v>
      </c>
      <c r="H10478" s="16" cm="1">
        <f t="array" ref="H10478">SUM(H10476:H10477)</f>
        <v>0</v>
      </c>
      <c r="I10478" s="16" cm="1">
        <f t="array" ref="I10478">SUM(I10476:I10477)</f>
        <v>0</v>
      </c>
    </row>
    <row r="10479" ht="20.65" customHeight="1">
      <c r="A10479" s="10">
        <v>45845</v>
      </c>
      <c r="B10479" t="s" s="11">
        <v>843</v>
      </c>
      <c r="C10479" t="s" s="12">
        <v>820</v>
      </c>
      <c r="D10479" s="17">
        <v>1</v>
      </c>
      <c r="E10479" s="17"/>
      <c r="F10479" s="18"/>
      <c r="G10479" s="18"/>
      <c r="H10479" s="18"/>
      <c r="I10479" s="18"/>
    </row>
    <row r="10480" ht="20.65" customHeight="1">
      <c r="A10480" s="10">
        <v>45845</v>
      </c>
      <c r="B10480" t="s" s="11">
        <v>7</v>
      </c>
      <c r="C10480" t="s" s="12">
        <v>820</v>
      </c>
      <c r="D10480" s="13"/>
      <c r="E10480" s="13">
        <v>1</v>
      </c>
      <c r="F10480" s="14"/>
      <c r="G10480" s="14"/>
      <c r="H10480" s="14"/>
      <c r="I10480" s="14"/>
    </row>
    <row r="10481" ht="20.7" customHeight="1">
      <c r="A10481" s="10">
        <v>45845</v>
      </c>
      <c r="B10481" t="s" s="11">
        <v>8</v>
      </c>
      <c r="C10481" t="s" s="12">
        <v>8</v>
      </c>
      <c r="D10481" s="15" cm="1">
        <f t="array" ref="D10481">SUM(D10479:D10480)</f>
        <v>1</v>
      </c>
      <c r="E10481" s="15" cm="1">
        <f t="array" ref="E10481">SUM(E10479:E10480)</f>
        <v>1</v>
      </c>
      <c r="F10481" s="16" cm="1">
        <f t="array" ref="F10481">SUM(F10479:F10480)</f>
        <v>0</v>
      </c>
      <c r="G10481" s="16" cm="1">
        <f t="array" ref="G10481">SUM(G10479:G10480)</f>
        <v>0</v>
      </c>
      <c r="H10481" s="16" cm="1">
        <f t="array" ref="H10481">SUM(H10479:H10480)</f>
        <v>0</v>
      </c>
      <c r="I10481" s="16" cm="1">
        <f t="array" ref="I10481">SUM(I10479:I10480)</f>
        <v>0</v>
      </c>
    </row>
    <row r="10482" ht="21.25" customHeight="1">
      <c r="A10482" s="10">
        <v>45845</v>
      </c>
      <c r="B10482" t="s" s="11">
        <v>5</v>
      </c>
      <c r="C10482" t="s" s="12">
        <v>253</v>
      </c>
      <c r="D10482" s="17"/>
      <c r="E10482" s="17">
        <v>7890</v>
      </c>
      <c r="F10482" s="18"/>
      <c r="G10482" s="18"/>
      <c r="H10482" s="18"/>
      <c r="I10482" s="18"/>
    </row>
    <row r="10483" ht="21.25" customHeight="1">
      <c r="A10483" s="10">
        <v>45845</v>
      </c>
      <c r="B10483" t="s" s="11">
        <v>10</v>
      </c>
      <c r="C10483" t="s" s="12">
        <v>253</v>
      </c>
      <c r="D10483" s="13">
        <v>7890</v>
      </c>
      <c r="E10483" s="13"/>
      <c r="F10483" s="14"/>
      <c r="G10483" s="14"/>
      <c r="H10483" s="14"/>
      <c r="I10483" s="14"/>
    </row>
    <row r="10484" ht="20.7" customHeight="1">
      <c r="A10484" s="10">
        <v>45845</v>
      </c>
      <c r="B10484" t="s" s="11">
        <v>8</v>
      </c>
      <c r="C10484" t="s" s="12">
        <v>8</v>
      </c>
      <c r="D10484" s="15" cm="1">
        <f t="array" ref="D10484">SUM(D10482:D10483)</f>
        <v>7890</v>
      </c>
      <c r="E10484" s="15" cm="1">
        <f t="array" ref="E10484">SUM(E10482:E10483)</f>
        <v>7890</v>
      </c>
      <c r="F10484" s="16" cm="1">
        <f t="array" ref="F10484">SUM(F10482:F10483)</f>
        <v>0</v>
      </c>
      <c r="G10484" s="16" cm="1">
        <f t="array" ref="G10484">SUM(G10482:G10483)</f>
        <v>0</v>
      </c>
      <c r="H10484" s="16" cm="1">
        <f t="array" ref="H10484">SUM(H10482:H10483)</f>
        <v>0</v>
      </c>
      <c r="I10484" s="16" cm="1">
        <f t="array" ref="I10484">SUM(I10482:I10483)</f>
        <v>0</v>
      </c>
    </row>
    <row r="10485" ht="20.35" customHeight="1">
      <c r="A10485" s="10">
        <v>45845</v>
      </c>
      <c r="B10485" t="s" s="11">
        <v>5</v>
      </c>
      <c r="C10485" t="s" s="12">
        <v>1342</v>
      </c>
      <c r="D10485" s="17">
        <v>23</v>
      </c>
      <c r="E10485" s="17"/>
      <c r="F10485" s="18"/>
      <c r="G10485" s="18"/>
      <c r="H10485" s="18"/>
      <c r="I10485" s="18"/>
    </row>
    <row r="10486" ht="20.35" customHeight="1">
      <c r="A10486" s="10">
        <v>45845</v>
      </c>
      <c r="B10486" t="s" s="11">
        <v>18</v>
      </c>
      <c r="C10486" t="s" s="12">
        <v>1342</v>
      </c>
      <c r="D10486" s="13"/>
      <c r="E10486" s="13">
        <v>23</v>
      </c>
      <c r="F10486" s="14"/>
      <c r="G10486" s="14"/>
      <c r="H10486" s="14"/>
      <c r="I10486" s="14"/>
    </row>
    <row r="10487" ht="20.7" customHeight="1">
      <c r="A10487" s="10">
        <v>45845</v>
      </c>
      <c r="B10487" t="s" s="11">
        <v>8</v>
      </c>
      <c r="C10487" t="s" s="12">
        <v>8</v>
      </c>
      <c r="D10487" s="15" cm="1">
        <f t="array" ref="D10487">SUM(D10485:D10486)</f>
        <v>23</v>
      </c>
      <c r="E10487" s="15" cm="1">
        <f t="array" ref="E10487">SUM(E10485:E10486)</f>
        <v>23</v>
      </c>
      <c r="F10487" s="16" cm="1">
        <f t="array" ref="F10487">SUM(F10485:F10486)</f>
        <v>0</v>
      </c>
      <c r="G10487" s="16" cm="1">
        <f t="array" ref="G10487">SUM(G10485:G10486)</f>
        <v>0</v>
      </c>
      <c r="H10487" s="16" cm="1">
        <f t="array" ref="H10487">SUM(H10485:H10486)</f>
        <v>0</v>
      </c>
      <c r="I10487" s="16" cm="1">
        <f t="array" ref="I10487">SUM(I10485:I10486)</f>
        <v>0</v>
      </c>
    </row>
    <row r="10488" ht="21.25" customHeight="1">
      <c r="A10488" s="10">
        <v>45845</v>
      </c>
      <c r="B10488" t="s" s="11">
        <v>121</v>
      </c>
      <c r="C10488" t="s" s="12">
        <v>1287</v>
      </c>
      <c r="D10488" s="17"/>
      <c r="E10488" s="17">
        <v>3207</v>
      </c>
      <c r="F10488" s="18"/>
      <c r="G10488" s="18"/>
      <c r="H10488" s="18"/>
      <c r="I10488" s="18"/>
    </row>
    <row r="10489" ht="21.25" customHeight="1">
      <c r="A10489" s="10">
        <v>45845</v>
      </c>
      <c r="B10489" t="s" s="11">
        <v>21</v>
      </c>
      <c r="C10489" t="s" s="12">
        <v>1287</v>
      </c>
      <c r="D10489" s="13">
        <v>3207</v>
      </c>
      <c r="E10489" s="13"/>
      <c r="F10489" s="14"/>
      <c r="G10489" s="14"/>
      <c r="H10489" s="14"/>
      <c r="I10489" s="14"/>
    </row>
    <row r="10490" ht="20.7" customHeight="1">
      <c r="A10490" s="10">
        <v>45845</v>
      </c>
      <c r="B10490" t="s" s="11">
        <v>8</v>
      </c>
      <c r="C10490" t="s" s="12">
        <v>8</v>
      </c>
      <c r="D10490" s="15" cm="1">
        <f t="array" ref="D10490">SUM(D10488:D10489)</f>
        <v>3207</v>
      </c>
      <c r="E10490" s="15" cm="1">
        <f t="array" ref="E10490">SUM(E10488:E10489)</f>
        <v>3207</v>
      </c>
      <c r="F10490" s="16" cm="1">
        <f t="array" ref="F10490">SUM(F10488:F10489)</f>
        <v>0</v>
      </c>
      <c r="G10490" s="16" cm="1">
        <f t="array" ref="G10490">SUM(G10488:G10489)</f>
        <v>0</v>
      </c>
      <c r="H10490" s="16" cm="1">
        <f t="array" ref="H10490">SUM(H10488:H10489)</f>
        <v>0</v>
      </c>
      <c r="I10490" s="16" cm="1">
        <f t="array" ref="I10490">SUM(I10488:I10489)</f>
        <v>0</v>
      </c>
    </row>
    <row r="10491" ht="20.35" customHeight="1">
      <c r="A10491" s="10">
        <v>45846</v>
      </c>
      <c r="B10491" t="s" s="11">
        <v>5</v>
      </c>
      <c r="C10491" t="s" s="12">
        <v>636</v>
      </c>
      <c r="D10491" s="17"/>
      <c r="E10491" s="17">
        <v>16882</v>
      </c>
      <c r="F10491" s="18"/>
      <c r="G10491" s="18"/>
      <c r="H10491" s="18"/>
      <c r="I10491" s="18"/>
    </row>
    <row r="10492" ht="20.35" customHeight="1">
      <c r="A10492" s="10">
        <v>45846</v>
      </c>
      <c r="B10492" t="s" s="11">
        <v>10</v>
      </c>
      <c r="C10492" t="s" s="12">
        <v>636</v>
      </c>
      <c r="D10492" s="13">
        <v>16882</v>
      </c>
      <c r="E10492" s="13"/>
      <c r="F10492" s="14"/>
      <c r="G10492" s="14"/>
      <c r="H10492" s="14"/>
      <c r="I10492" s="14"/>
    </row>
    <row r="10493" ht="20.7" customHeight="1">
      <c r="A10493" s="10">
        <v>45846</v>
      </c>
      <c r="B10493" t="s" s="11">
        <v>8</v>
      </c>
      <c r="C10493" t="s" s="12">
        <v>8</v>
      </c>
      <c r="D10493" s="15" cm="1">
        <f t="array" ref="D10493">SUM(D10491:D10492)</f>
        <v>16882</v>
      </c>
      <c r="E10493" s="15" cm="1">
        <f t="array" ref="E10493">SUM(E10491:E10492)</f>
        <v>16882</v>
      </c>
      <c r="F10493" s="16" cm="1">
        <f t="array" ref="F10493">SUM(F10491:F10492)</f>
        <v>0</v>
      </c>
      <c r="G10493" s="16" cm="1">
        <f t="array" ref="G10493">SUM(G10491:G10492)</f>
        <v>0</v>
      </c>
      <c r="H10493" s="16" cm="1">
        <f t="array" ref="H10493">SUM(H10491:H10492)</f>
        <v>0</v>
      </c>
      <c r="I10493" s="16" cm="1">
        <f t="array" ref="I10493">SUM(I10491:I10492)</f>
        <v>0</v>
      </c>
    </row>
    <row r="10494" ht="20.65" customHeight="1">
      <c r="A10494" s="10">
        <v>45846</v>
      </c>
      <c r="B10494" t="s" s="11">
        <v>814</v>
      </c>
      <c r="C10494" t="s" s="12">
        <v>820</v>
      </c>
      <c r="D10494" s="17">
        <v>41</v>
      </c>
      <c r="E10494" s="17"/>
      <c r="F10494" s="18"/>
      <c r="G10494" s="18"/>
      <c r="H10494" s="18"/>
      <c r="I10494" s="18"/>
    </row>
    <row r="10495" ht="20.65" customHeight="1">
      <c r="A10495" s="10">
        <v>45846</v>
      </c>
      <c r="B10495" t="s" s="11">
        <v>7</v>
      </c>
      <c r="C10495" t="s" s="12">
        <v>820</v>
      </c>
      <c r="D10495" s="13"/>
      <c r="E10495" s="13">
        <v>41</v>
      </c>
      <c r="F10495" s="14"/>
      <c r="G10495" s="14"/>
      <c r="H10495" s="14"/>
      <c r="I10495" s="14"/>
    </row>
    <row r="10496" ht="20.7" customHeight="1">
      <c r="A10496" s="10">
        <v>45846</v>
      </c>
      <c r="B10496" t="s" s="11">
        <v>8</v>
      </c>
      <c r="C10496" t="s" s="12">
        <v>8</v>
      </c>
      <c r="D10496" s="15" cm="1">
        <f t="array" ref="D10496">SUM(D10494:D10495)</f>
        <v>41</v>
      </c>
      <c r="E10496" s="15" cm="1">
        <f t="array" ref="E10496">SUM(E10494:E10495)</f>
        <v>41</v>
      </c>
      <c r="F10496" s="16" cm="1">
        <f t="array" ref="F10496">SUM(F10494:F10495)</f>
        <v>0</v>
      </c>
      <c r="G10496" s="16" cm="1">
        <f t="array" ref="G10496">SUM(G10494:G10495)</f>
        <v>0</v>
      </c>
      <c r="H10496" s="16" cm="1">
        <f t="array" ref="H10496">SUM(H10494:H10495)</f>
        <v>0</v>
      </c>
      <c r="I10496" s="16" cm="1">
        <f t="array" ref="I10496">SUM(I10494:I10495)</f>
        <v>0</v>
      </c>
    </row>
    <row r="10497" ht="20.65" customHeight="1">
      <c r="A10497" s="10">
        <v>45846</v>
      </c>
      <c r="B10497" t="s" s="11">
        <v>843</v>
      </c>
      <c r="C10497" t="s" s="12">
        <v>820</v>
      </c>
      <c r="D10497" s="17">
        <v>1</v>
      </c>
      <c r="E10497" s="17"/>
      <c r="F10497" s="18"/>
      <c r="G10497" s="18"/>
      <c r="H10497" s="18"/>
      <c r="I10497" s="18"/>
    </row>
    <row r="10498" ht="20.65" customHeight="1">
      <c r="A10498" s="10">
        <v>45846</v>
      </c>
      <c r="B10498" t="s" s="11">
        <v>7</v>
      </c>
      <c r="C10498" t="s" s="12">
        <v>820</v>
      </c>
      <c r="D10498" s="13"/>
      <c r="E10498" s="13">
        <v>1</v>
      </c>
      <c r="F10498" s="14"/>
      <c r="G10498" s="14"/>
      <c r="H10498" s="14"/>
      <c r="I10498" s="14"/>
    </row>
    <row r="10499" ht="20.7" customHeight="1">
      <c r="A10499" s="10">
        <v>45846</v>
      </c>
      <c r="B10499" t="s" s="11">
        <v>8</v>
      </c>
      <c r="C10499" t="s" s="12">
        <v>8</v>
      </c>
      <c r="D10499" s="15" cm="1">
        <f t="array" ref="D10499">SUM(D10497:D10498)</f>
        <v>1</v>
      </c>
      <c r="E10499" s="15" cm="1">
        <f t="array" ref="E10499">SUM(E10497:E10498)</f>
        <v>1</v>
      </c>
      <c r="F10499" s="16" cm="1">
        <f t="array" ref="F10499">SUM(F10497:F10498)</f>
        <v>0</v>
      </c>
      <c r="G10499" s="16" cm="1">
        <f t="array" ref="G10499">SUM(G10497:G10498)</f>
        <v>0</v>
      </c>
      <c r="H10499" s="16" cm="1">
        <f t="array" ref="H10499">SUM(H10497:H10498)</f>
        <v>0</v>
      </c>
      <c r="I10499" s="16" cm="1">
        <f t="array" ref="I10499">SUM(I10497:I10498)</f>
        <v>0</v>
      </c>
    </row>
    <row r="10500" ht="20.35" customHeight="1">
      <c r="A10500" s="10">
        <v>45846</v>
      </c>
      <c r="B10500" t="s" s="11">
        <v>107</v>
      </c>
      <c r="C10500" t="s" s="12">
        <v>96</v>
      </c>
      <c r="D10500" s="17"/>
      <c r="E10500" s="17">
        <v>3449</v>
      </c>
      <c r="F10500" s="18"/>
      <c r="G10500" s="18"/>
      <c r="H10500" s="18"/>
      <c r="I10500" s="18"/>
    </row>
    <row r="10501" ht="20.35" customHeight="1">
      <c r="A10501" s="10">
        <v>45846</v>
      </c>
      <c r="B10501" t="s" s="11">
        <v>5</v>
      </c>
      <c r="C10501" t="s" s="12">
        <v>96</v>
      </c>
      <c r="D10501" s="13">
        <v>3449</v>
      </c>
      <c r="E10501" s="13"/>
      <c r="F10501" s="14"/>
      <c r="G10501" s="14"/>
      <c r="H10501" s="14"/>
      <c r="I10501" s="14"/>
    </row>
    <row r="10502" ht="20.7" customHeight="1">
      <c r="A10502" s="10">
        <v>45846</v>
      </c>
      <c r="B10502" t="s" s="11">
        <v>8</v>
      </c>
      <c r="C10502" t="s" s="12">
        <v>8</v>
      </c>
      <c r="D10502" s="15" cm="1">
        <f t="array" ref="D10502">SUM(D10500:D10501)</f>
        <v>3449</v>
      </c>
      <c r="E10502" s="15" cm="1">
        <f t="array" ref="E10502">SUM(E10500:E10501)</f>
        <v>3449</v>
      </c>
      <c r="F10502" s="16" cm="1">
        <f t="array" ref="F10502">SUM(F10500:F10501)</f>
        <v>0</v>
      </c>
      <c r="G10502" s="16" cm="1">
        <f t="array" ref="G10502">SUM(G10500:G10501)</f>
        <v>0</v>
      </c>
      <c r="H10502" s="16" cm="1">
        <f t="array" ref="H10502">SUM(H10500:H10501)</f>
        <v>0</v>
      </c>
      <c r="I10502" s="16" cm="1">
        <f t="array" ref="I10502">SUM(I10500:I10501)</f>
        <v>0</v>
      </c>
    </row>
    <row r="10503" ht="20.35" customHeight="1">
      <c r="A10503" s="10">
        <v>45846</v>
      </c>
      <c r="B10503" t="s" s="11">
        <v>121</v>
      </c>
      <c r="C10503" t="s" s="12">
        <v>96</v>
      </c>
      <c r="D10503" s="17"/>
      <c r="E10503" s="17">
        <v>1793</v>
      </c>
      <c r="F10503" s="18"/>
      <c r="G10503" s="18"/>
      <c r="H10503" s="18"/>
      <c r="I10503" s="18"/>
    </row>
    <row r="10504" ht="20.35" customHeight="1">
      <c r="A10504" s="10">
        <v>45846</v>
      </c>
      <c r="B10504" t="s" s="11">
        <v>5</v>
      </c>
      <c r="C10504" t="s" s="12">
        <v>96</v>
      </c>
      <c r="D10504" s="13">
        <v>1793</v>
      </c>
      <c r="E10504" s="13"/>
      <c r="F10504" s="14"/>
      <c r="G10504" s="14"/>
      <c r="H10504" s="14"/>
      <c r="I10504" s="14"/>
    </row>
    <row r="10505" ht="20.7" customHeight="1">
      <c r="A10505" s="10">
        <v>45846</v>
      </c>
      <c r="B10505" t="s" s="11">
        <v>8</v>
      </c>
      <c r="C10505" t="s" s="12">
        <v>8</v>
      </c>
      <c r="D10505" s="15" cm="1">
        <f t="array" ref="D10505">SUM(D10503:D10504)</f>
        <v>1793</v>
      </c>
      <c r="E10505" s="15" cm="1">
        <f t="array" ref="E10505">SUM(E10503:E10504)</f>
        <v>1793</v>
      </c>
      <c r="F10505" s="16" cm="1">
        <f t="array" ref="F10505">SUM(F10503:F10504)</f>
        <v>0</v>
      </c>
      <c r="G10505" s="16" cm="1">
        <f t="array" ref="G10505">SUM(G10503:G10504)</f>
        <v>0</v>
      </c>
      <c r="H10505" s="16" cm="1">
        <f t="array" ref="H10505">SUM(H10503:H10504)</f>
        <v>0</v>
      </c>
      <c r="I10505" s="16" cm="1">
        <f t="array" ref="I10505">SUM(I10503:I10504)</f>
        <v>0</v>
      </c>
    </row>
    <row r="10506" ht="20.35" customHeight="1">
      <c r="A10506" s="10">
        <v>45846</v>
      </c>
      <c r="B10506" t="s" s="11">
        <v>93</v>
      </c>
      <c r="C10506" t="s" s="12">
        <v>1343</v>
      </c>
      <c r="D10506" s="17"/>
      <c r="E10506" s="17">
        <v>4488</v>
      </c>
      <c r="F10506" s="18"/>
      <c r="G10506" s="18"/>
      <c r="H10506" s="18"/>
      <c r="I10506" s="18"/>
    </row>
    <row r="10507" ht="20.35" customHeight="1">
      <c r="A10507" s="10">
        <v>45846</v>
      </c>
      <c r="B10507" t="s" s="11">
        <v>10</v>
      </c>
      <c r="C10507" t="s" s="12">
        <v>1343</v>
      </c>
      <c r="D10507" s="13">
        <v>4488</v>
      </c>
      <c r="E10507" s="13"/>
      <c r="F10507" s="14"/>
      <c r="G10507" s="14"/>
      <c r="H10507" s="14"/>
      <c r="I10507" s="14"/>
    </row>
    <row r="10508" ht="20.7" customHeight="1">
      <c r="A10508" s="10">
        <v>45846</v>
      </c>
      <c r="B10508" t="s" s="11">
        <v>8</v>
      </c>
      <c r="C10508" t="s" s="12">
        <v>8</v>
      </c>
      <c r="D10508" s="15" cm="1">
        <f t="array" ref="D10508">SUM(D10506:D10507)</f>
        <v>4488</v>
      </c>
      <c r="E10508" s="15" cm="1">
        <f t="array" ref="E10508">SUM(E10506:E10507)</f>
        <v>4488</v>
      </c>
      <c r="F10508" s="16" cm="1">
        <f t="array" ref="F10508">SUM(F10506:F10507)</f>
        <v>0</v>
      </c>
      <c r="G10508" s="16" cm="1">
        <f t="array" ref="G10508">SUM(G10506:G10507)</f>
        <v>0</v>
      </c>
      <c r="H10508" s="16" cm="1">
        <f t="array" ref="H10508">SUM(H10506:H10507)</f>
        <v>0</v>
      </c>
      <c r="I10508" s="16" cm="1">
        <f t="array" ref="I10508">SUM(I10506:I10507)</f>
        <v>0</v>
      </c>
    </row>
    <row r="10509" ht="20.35" customHeight="1">
      <c r="A10509" s="10">
        <v>45846</v>
      </c>
      <c r="B10509" t="s" s="11">
        <v>5</v>
      </c>
      <c r="C10509" t="s" s="12">
        <v>604</v>
      </c>
      <c r="D10509" s="17"/>
      <c r="E10509" s="17">
        <v>10000</v>
      </c>
      <c r="F10509" s="18"/>
      <c r="G10509" s="18"/>
      <c r="H10509" s="18"/>
      <c r="I10509" s="18"/>
    </row>
    <row r="10510" ht="20.35" customHeight="1">
      <c r="A10510" s="10">
        <v>45846</v>
      </c>
      <c r="B10510" t="s" s="11">
        <v>93</v>
      </c>
      <c r="C10510" t="s" s="12">
        <v>604</v>
      </c>
      <c r="D10510" s="13">
        <v>10000</v>
      </c>
      <c r="E10510" s="13"/>
      <c r="F10510" s="14"/>
      <c r="G10510" s="14"/>
      <c r="H10510" s="14"/>
      <c r="I10510" s="14"/>
    </row>
    <row r="10511" ht="20.7" customHeight="1">
      <c r="A10511" s="10">
        <v>45846</v>
      </c>
      <c r="B10511" t="s" s="11">
        <v>8</v>
      </c>
      <c r="C10511" t="s" s="12">
        <v>8</v>
      </c>
      <c r="D10511" s="15" cm="1">
        <f t="array" ref="D10511">SUM(D10509:D10510)</f>
        <v>10000</v>
      </c>
      <c r="E10511" s="15" cm="1">
        <f t="array" ref="E10511">SUM(E10509:E10510)</f>
        <v>10000</v>
      </c>
      <c r="F10511" s="16" cm="1">
        <f t="array" ref="F10511">SUM(F10509:F10510)</f>
        <v>0</v>
      </c>
      <c r="G10511" s="16" cm="1">
        <f t="array" ref="G10511">SUM(G10509:G10510)</f>
        <v>0</v>
      </c>
      <c r="H10511" s="16" cm="1">
        <f t="array" ref="H10511">SUM(H10509:H10510)</f>
        <v>0</v>
      </c>
      <c r="I10511" s="16" cm="1">
        <f t="array" ref="I10511">SUM(I10509:I10510)</f>
        <v>0</v>
      </c>
    </row>
    <row r="10512" ht="20.35" customHeight="1">
      <c r="A10512" s="10">
        <v>45846</v>
      </c>
      <c r="B10512" t="s" s="11">
        <v>39</v>
      </c>
      <c r="C10512" t="s" s="12">
        <v>1344</v>
      </c>
      <c r="D10512" s="17"/>
      <c r="E10512" s="17"/>
      <c r="F10512" s="18"/>
      <c r="G10512" s="18">
        <v>3</v>
      </c>
      <c r="H10512" s="18"/>
      <c r="I10512" s="18"/>
    </row>
    <row r="10513" ht="20.35" customHeight="1">
      <c r="A10513" s="10">
        <v>45846</v>
      </c>
      <c r="B10513" t="s" s="11">
        <v>1345</v>
      </c>
      <c r="C10513" t="s" s="12">
        <v>1344</v>
      </c>
      <c r="D10513" s="13"/>
      <c r="E10513" s="13"/>
      <c r="F10513" s="14">
        <v>3</v>
      </c>
      <c r="G10513" s="14"/>
      <c r="H10513" s="14"/>
      <c r="I10513" s="14"/>
    </row>
    <row r="10514" ht="20.7" customHeight="1">
      <c r="A10514" s="10">
        <v>45846</v>
      </c>
      <c r="B10514" t="s" s="11">
        <v>8</v>
      </c>
      <c r="C10514" t="s" s="12">
        <v>8</v>
      </c>
      <c r="D10514" s="15" cm="1">
        <f t="array" ref="D10514">SUM(D10512:D10513)</f>
        <v>0</v>
      </c>
      <c r="E10514" s="15" cm="1">
        <f t="array" ref="E10514">SUM(E10512:E10513)</f>
        <v>0</v>
      </c>
      <c r="F10514" s="16" cm="1">
        <f t="array" ref="F10514">SUM(F10512:F10513)</f>
        <v>3</v>
      </c>
      <c r="G10514" s="16" cm="1">
        <f t="array" ref="G10514">SUM(G10512:G10513)</f>
        <v>3</v>
      </c>
      <c r="H10514" s="16" cm="1">
        <f t="array" ref="H10514">SUM(H10512:H10513)</f>
        <v>0</v>
      </c>
      <c r="I10514" s="16" cm="1">
        <f t="array" ref="I10514">SUM(I10512:I10513)</f>
        <v>0</v>
      </c>
    </row>
    <row r="10515" ht="20.35" customHeight="1">
      <c r="A10515" s="10">
        <v>45847</v>
      </c>
      <c r="B10515" t="s" s="11">
        <v>814</v>
      </c>
      <c r="C10515" t="s" s="12">
        <v>96</v>
      </c>
      <c r="D10515" s="17"/>
      <c r="E10515" s="17">
        <v>10000</v>
      </c>
      <c r="F10515" s="18"/>
      <c r="G10515" s="18"/>
      <c r="H10515" s="18"/>
      <c r="I10515" s="18"/>
    </row>
    <row r="10516" ht="20.35" customHeight="1">
      <c r="A10516" s="10">
        <v>45847</v>
      </c>
      <c r="B10516" t="s" s="11">
        <v>5</v>
      </c>
      <c r="C10516" t="s" s="12">
        <v>96</v>
      </c>
      <c r="D10516" s="13">
        <v>10000</v>
      </c>
      <c r="E10516" s="13"/>
      <c r="F10516" s="14"/>
      <c r="G10516" s="14"/>
      <c r="H10516" s="14"/>
      <c r="I10516" s="14"/>
    </row>
    <row r="10517" ht="20.7" customHeight="1">
      <c r="A10517" s="10">
        <v>45847</v>
      </c>
      <c r="B10517" t="s" s="11">
        <v>8</v>
      </c>
      <c r="C10517" t="s" s="12">
        <v>8</v>
      </c>
      <c r="D10517" s="15" cm="1">
        <f t="array" ref="D10517">SUM(D10515:D10516)</f>
        <v>10000</v>
      </c>
      <c r="E10517" s="15" cm="1">
        <f t="array" ref="E10517">SUM(E10515:E10516)</f>
        <v>10000</v>
      </c>
      <c r="F10517" s="16" cm="1">
        <f t="array" ref="F10517">SUM(F10515:F10516)</f>
        <v>0</v>
      </c>
      <c r="G10517" s="16" cm="1">
        <f t="array" ref="G10517">SUM(G10515:G10516)</f>
        <v>0</v>
      </c>
      <c r="H10517" s="16" cm="1">
        <f t="array" ref="H10517">SUM(H10515:H10516)</f>
        <v>0</v>
      </c>
      <c r="I10517" s="16" cm="1">
        <f t="array" ref="I10517">SUM(I10515:I10516)</f>
        <v>0</v>
      </c>
    </row>
    <row r="10518" ht="20.35" customHeight="1">
      <c r="A10518" s="10">
        <v>45847</v>
      </c>
      <c r="B10518" t="s" s="11">
        <v>93</v>
      </c>
      <c r="C10518" t="s" s="12">
        <v>1343</v>
      </c>
      <c r="D10518" s="17"/>
      <c r="E10518" s="17">
        <v>4488</v>
      </c>
      <c r="F10518" s="18"/>
      <c r="G10518" s="18"/>
      <c r="H10518" s="18"/>
      <c r="I10518" s="18"/>
    </row>
    <row r="10519" ht="20.35" customHeight="1">
      <c r="A10519" s="10">
        <v>45847</v>
      </c>
      <c r="B10519" t="s" s="11">
        <v>10</v>
      </c>
      <c r="C10519" t="s" s="12">
        <v>1343</v>
      </c>
      <c r="D10519" s="13">
        <v>4488</v>
      </c>
      <c r="E10519" s="13"/>
      <c r="F10519" s="14"/>
      <c r="G10519" s="14"/>
      <c r="H10519" s="14"/>
      <c r="I10519" s="14"/>
    </row>
    <row r="10520" ht="20.7" customHeight="1">
      <c r="A10520" s="10">
        <v>45847</v>
      </c>
      <c r="B10520" t="s" s="11">
        <v>8</v>
      </c>
      <c r="C10520" t="s" s="12">
        <v>8</v>
      </c>
      <c r="D10520" s="15" cm="1">
        <f t="array" ref="D10520">SUM(D10518:D10519)</f>
        <v>4488</v>
      </c>
      <c r="E10520" s="15" cm="1">
        <f t="array" ref="E10520">SUM(E10518:E10519)</f>
        <v>4488</v>
      </c>
      <c r="F10520" s="16" cm="1">
        <f t="array" ref="F10520">SUM(F10518:F10519)</f>
        <v>0</v>
      </c>
      <c r="G10520" s="16" cm="1">
        <f t="array" ref="G10520">SUM(G10518:G10519)</f>
        <v>0</v>
      </c>
      <c r="H10520" s="16" cm="1">
        <f t="array" ref="H10520">SUM(H10518:H10519)</f>
        <v>0</v>
      </c>
      <c r="I10520" s="16" cm="1">
        <f t="array" ref="I10520">SUM(I10518:I10519)</f>
        <v>0</v>
      </c>
    </row>
    <row r="10521" ht="20.65" customHeight="1">
      <c r="A10521" s="10">
        <v>45847</v>
      </c>
      <c r="B10521" t="s" s="11">
        <v>814</v>
      </c>
      <c r="C10521" t="s" s="12">
        <v>820</v>
      </c>
      <c r="D10521" s="17">
        <v>41</v>
      </c>
      <c r="E10521" s="17"/>
      <c r="F10521" s="18"/>
      <c r="G10521" s="18"/>
      <c r="H10521" s="18"/>
      <c r="I10521" s="18"/>
    </row>
    <row r="10522" ht="20.65" customHeight="1">
      <c r="A10522" s="10">
        <v>45847</v>
      </c>
      <c r="B10522" t="s" s="11">
        <v>7</v>
      </c>
      <c r="C10522" t="s" s="12">
        <v>820</v>
      </c>
      <c r="D10522" s="13"/>
      <c r="E10522" s="13">
        <v>41</v>
      </c>
      <c r="F10522" s="14"/>
      <c r="G10522" s="14"/>
      <c r="H10522" s="14"/>
      <c r="I10522" s="14"/>
    </row>
    <row r="10523" ht="20.7" customHeight="1">
      <c r="A10523" s="10">
        <v>45847</v>
      </c>
      <c r="B10523" t="s" s="11">
        <v>8</v>
      </c>
      <c r="C10523" t="s" s="12">
        <v>8</v>
      </c>
      <c r="D10523" s="15" cm="1">
        <f t="array" ref="D10523">SUM(D10521:D10522)</f>
        <v>41</v>
      </c>
      <c r="E10523" s="15" cm="1">
        <f t="array" ref="E10523">SUM(E10521:E10522)</f>
        <v>41</v>
      </c>
      <c r="F10523" s="16" cm="1">
        <f t="array" ref="F10523">SUM(F10521:F10522)</f>
        <v>0</v>
      </c>
      <c r="G10523" s="16" cm="1">
        <f t="array" ref="G10523">SUM(G10521:G10522)</f>
        <v>0</v>
      </c>
      <c r="H10523" s="16" cm="1">
        <f t="array" ref="H10523">SUM(H10521:H10522)</f>
        <v>0</v>
      </c>
      <c r="I10523" s="16" cm="1">
        <f t="array" ref="I10523">SUM(I10521:I10522)</f>
        <v>0</v>
      </c>
    </row>
    <row r="10524" ht="20.65" customHeight="1">
      <c r="A10524" s="10">
        <v>45847</v>
      </c>
      <c r="B10524" t="s" s="11">
        <v>843</v>
      </c>
      <c r="C10524" t="s" s="12">
        <v>820</v>
      </c>
      <c r="D10524" s="17">
        <v>1</v>
      </c>
      <c r="E10524" s="17"/>
      <c r="F10524" s="18"/>
      <c r="G10524" s="18"/>
      <c r="H10524" s="18"/>
      <c r="I10524" s="18"/>
    </row>
    <row r="10525" ht="20.65" customHeight="1">
      <c r="A10525" s="10">
        <v>45847</v>
      </c>
      <c r="B10525" t="s" s="11">
        <v>7</v>
      </c>
      <c r="C10525" t="s" s="12">
        <v>820</v>
      </c>
      <c r="D10525" s="13"/>
      <c r="E10525" s="13">
        <v>1</v>
      </c>
      <c r="F10525" s="14"/>
      <c r="G10525" s="14"/>
      <c r="H10525" s="14"/>
      <c r="I10525" s="14"/>
    </row>
    <row r="10526" ht="20.7" customHeight="1">
      <c r="A10526" s="10">
        <v>45847</v>
      </c>
      <c r="B10526" t="s" s="11">
        <v>8</v>
      </c>
      <c r="C10526" t="s" s="12">
        <v>8</v>
      </c>
      <c r="D10526" s="15" cm="1">
        <f t="array" ref="D10526">SUM(D10524:D10525)</f>
        <v>1</v>
      </c>
      <c r="E10526" s="15" cm="1">
        <f t="array" ref="E10526">SUM(E10524:E10525)</f>
        <v>1</v>
      </c>
      <c r="F10526" s="16" cm="1">
        <f t="array" ref="F10526">SUM(F10524:F10525)</f>
        <v>0</v>
      </c>
      <c r="G10526" s="16" cm="1">
        <f t="array" ref="G10526">SUM(G10524:G10525)</f>
        <v>0</v>
      </c>
      <c r="H10526" s="16" cm="1">
        <f t="array" ref="H10526">SUM(H10524:H10525)</f>
        <v>0</v>
      </c>
      <c r="I10526" s="16" cm="1">
        <f t="array" ref="I10526">SUM(I10524:I10525)</f>
        <v>0</v>
      </c>
    </row>
    <row r="10527" ht="20.35" customHeight="1">
      <c r="A10527" s="10">
        <v>45847</v>
      </c>
      <c r="B10527" t="s" s="11">
        <v>843</v>
      </c>
      <c r="C10527" t="s" s="12">
        <v>96</v>
      </c>
      <c r="D10527" s="17"/>
      <c r="E10527" s="17">
        <v>10000</v>
      </c>
      <c r="F10527" s="18"/>
      <c r="G10527" s="18"/>
      <c r="H10527" s="18"/>
      <c r="I10527" s="18"/>
    </row>
    <row r="10528" ht="20.35" customHeight="1">
      <c r="A10528" s="10">
        <v>45847</v>
      </c>
      <c r="B10528" t="s" s="11">
        <v>5</v>
      </c>
      <c r="C10528" t="s" s="12">
        <v>96</v>
      </c>
      <c r="D10528" s="13">
        <v>10000</v>
      </c>
      <c r="E10528" s="13"/>
      <c r="F10528" s="14"/>
      <c r="G10528" s="14"/>
      <c r="H10528" s="14"/>
      <c r="I10528" s="14"/>
    </row>
    <row r="10529" ht="20.7" customHeight="1">
      <c r="A10529" s="10">
        <v>45847</v>
      </c>
      <c r="B10529" t="s" s="11">
        <v>8</v>
      </c>
      <c r="C10529" t="s" s="12">
        <v>8</v>
      </c>
      <c r="D10529" s="15" cm="1">
        <f t="array" ref="D10529">SUM(D10527:D10528)</f>
        <v>10000</v>
      </c>
      <c r="E10529" s="15" cm="1">
        <f t="array" ref="E10529">SUM(E10527:E10528)</f>
        <v>10000</v>
      </c>
      <c r="F10529" s="16" cm="1">
        <f t="array" ref="F10529">SUM(F10527:F10528)</f>
        <v>0</v>
      </c>
      <c r="G10529" s="16" cm="1">
        <f t="array" ref="G10529">SUM(G10527:G10528)</f>
        <v>0</v>
      </c>
      <c r="H10529" s="16" cm="1">
        <f t="array" ref="H10529">SUM(H10527:H10528)</f>
        <v>0</v>
      </c>
      <c r="I10529" s="16" cm="1">
        <f t="array" ref="I10529">SUM(I10527:I10528)</f>
        <v>0</v>
      </c>
    </row>
    <row r="10530" ht="20.35" customHeight="1">
      <c r="A10530" s="10">
        <v>45847</v>
      </c>
      <c r="B10530" t="s" s="11">
        <v>5</v>
      </c>
      <c r="C10530" t="s" s="12">
        <v>604</v>
      </c>
      <c r="D10530" s="17"/>
      <c r="E10530" s="17">
        <v>10975</v>
      </c>
      <c r="F10530" s="18"/>
      <c r="G10530" s="18"/>
      <c r="H10530" s="18"/>
      <c r="I10530" s="18"/>
    </row>
    <row r="10531" ht="20.35" customHeight="1">
      <c r="A10531" s="10">
        <v>45847</v>
      </c>
      <c r="B10531" t="s" s="11">
        <v>93</v>
      </c>
      <c r="C10531" t="s" s="12">
        <v>604</v>
      </c>
      <c r="D10531" s="13">
        <v>10975</v>
      </c>
      <c r="E10531" s="13"/>
      <c r="F10531" s="14"/>
      <c r="G10531" s="14"/>
      <c r="H10531" s="14"/>
      <c r="I10531" s="14"/>
    </row>
    <row r="10532" ht="20.7" customHeight="1">
      <c r="A10532" s="10">
        <v>45847</v>
      </c>
      <c r="B10532" t="s" s="11">
        <v>8</v>
      </c>
      <c r="C10532" t="s" s="12">
        <v>8</v>
      </c>
      <c r="D10532" s="15" cm="1">
        <f t="array" ref="D10532">SUM(D10530:D10531)</f>
        <v>10975</v>
      </c>
      <c r="E10532" s="15" cm="1">
        <f t="array" ref="E10532">SUM(E10530:E10531)</f>
        <v>10975</v>
      </c>
      <c r="F10532" s="16" cm="1">
        <f t="array" ref="F10532">SUM(F10530:F10531)</f>
        <v>0</v>
      </c>
      <c r="G10532" s="16" cm="1">
        <f t="array" ref="G10532">SUM(G10530:G10531)</f>
        <v>0</v>
      </c>
      <c r="H10532" s="16" cm="1">
        <f t="array" ref="H10532">SUM(H10530:H10531)</f>
        <v>0</v>
      </c>
      <c r="I10532" s="16" cm="1">
        <f t="array" ref="I10532">SUM(I10530:I10531)</f>
        <v>0</v>
      </c>
    </row>
    <row r="10533" ht="20.35" customHeight="1">
      <c r="A10533" s="10">
        <v>45847</v>
      </c>
      <c r="B10533" t="s" s="11">
        <v>93</v>
      </c>
      <c r="C10533" t="s" s="12">
        <v>1346</v>
      </c>
      <c r="D10533" s="17"/>
      <c r="E10533" s="17">
        <v>11999</v>
      </c>
      <c r="F10533" s="18"/>
      <c r="G10533" s="18"/>
      <c r="H10533" s="18"/>
      <c r="I10533" s="18"/>
    </row>
    <row r="10534" ht="20.35" customHeight="1">
      <c r="A10534" s="10">
        <v>45847</v>
      </c>
      <c r="B10534" t="s" s="11">
        <v>10</v>
      </c>
      <c r="C10534" t="s" s="12">
        <v>1346</v>
      </c>
      <c r="D10534" s="13">
        <v>11999</v>
      </c>
      <c r="E10534" s="13"/>
      <c r="F10534" s="14"/>
      <c r="G10534" s="14"/>
      <c r="H10534" s="14"/>
      <c r="I10534" s="14"/>
    </row>
    <row r="10535" ht="20.7" customHeight="1">
      <c r="A10535" s="10">
        <v>45847</v>
      </c>
      <c r="B10535" t="s" s="11">
        <v>8</v>
      </c>
      <c r="C10535" t="s" s="12">
        <v>8</v>
      </c>
      <c r="D10535" s="15" cm="1">
        <f t="array" ref="D10535">SUM(D10533:D10534)</f>
        <v>11999</v>
      </c>
      <c r="E10535" s="15" cm="1">
        <f t="array" ref="E10535">SUM(E10533:E10534)</f>
        <v>11999</v>
      </c>
      <c r="F10535" s="16" cm="1">
        <f t="array" ref="F10535">SUM(F10533:F10534)</f>
        <v>0</v>
      </c>
      <c r="G10535" s="16" cm="1">
        <f t="array" ref="G10535">SUM(G10533:G10534)</f>
        <v>0</v>
      </c>
      <c r="H10535" s="16" cm="1">
        <f t="array" ref="H10535">SUM(H10533:H10534)</f>
        <v>0</v>
      </c>
      <c r="I10535" s="16" cm="1">
        <f t="array" ref="I10535">SUM(I10533:I10534)</f>
        <v>0</v>
      </c>
    </row>
    <row r="10536" ht="20.35" customHeight="1">
      <c r="A10536" s="10">
        <v>45847</v>
      </c>
      <c r="B10536" t="s" s="11">
        <v>843</v>
      </c>
      <c r="C10536" t="s" s="12">
        <v>96</v>
      </c>
      <c r="D10536" s="17"/>
      <c r="E10536" s="17">
        <v>21926</v>
      </c>
      <c r="F10536" s="18"/>
      <c r="G10536" s="18"/>
      <c r="H10536" s="18"/>
      <c r="I10536" s="18"/>
    </row>
    <row r="10537" ht="20.35" customHeight="1">
      <c r="A10537" s="10">
        <v>45847</v>
      </c>
      <c r="B10537" t="s" s="11">
        <v>5</v>
      </c>
      <c r="C10537" t="s" s="12">
        <v>96</v>
      </c>
      <c r="D10537" s="13">
        <v>21926</v>
      </c>
      <c r="E10537" s="13"/>
      <c r="F10537" s="14"/>
      <c r="G10537" s="14"/>
      <c r="H10537" s="14"/>
      <c r="I10537" s="14"/>
    </row>
    <row r="10538" ht="20.7" customHeight="1">
      <c r="A10538" s="10">
        <v>45847</v>
      </c>
      <c r="B10538" t="s" s="11">
        <v>8</v>
      </c>
      <c r="C10538" t="s" s="12">
        <v>8</v>
      </c>
      <c r="D10538" s="15" cm="1">
        <f t="array" ref="D10538">SUM(D10536:D10537)</f>
        <v>21926</v>
      </c>
      <c r="E10538" s="15" cm="1">
        <f t="array" ref="E10538">SUM(E10536:E10537)</f>
        <v>21926</v>
      </c>
      <c r="F10538" s="16" cm="1">
        <f t="array" ref="F10538">SUM(F10536:F10537)</f>
        <v>0</v>
      </c>
      <c r="G10538" s="16" cm="1">
        <f t="array" ref="G10538">SUM(G10536:G10537)</f>
        <v>0</v>
      </c>
      <c r="H10538" s="16" cm="1">
        <f t="array" ref="H10538">SUM(H10536:H10537)</f>
        <v>0</v>
      </c>
      <c r="I10538" s="16" cm="1">
        <f t="array" ref="I10538">SUM(I10536:I10537)</f>
        <v>0</v>
      </c>
    </row>
    <row r="10539" ht="20.35" customHeight="1">
      <c r="A10539" s="10">
        <v>45847</v>
      </c>
      <c r="B10539" t="s" s="11">
        <v>5</v>
      </c>
      <c r="C10539" t="s" s="12">
        <v>1347</v>
      </c>
      <c r="D10539" s="17"/>
      <c r="E10539" s="17">
        <v>6816</v>
      </c>
      <c r="F10539" s="18"/>
      <c r="G10539" s="18"/>
      <c r="H10539" s="18"/>
      <c r="I10539" s="18"/>
    </row>
    <row r="10540" ht="20.35" customHeight="1">
      <c r="A10540" s="10">
        <v>45847</v>
      </c>
      <c r="B10540" t="s" s="11">
        <v>12</v>
      </c>
      <c r="C10540" t="s" s="12">
        <v>1347</v>
      </c>
      <c r="D10540" s="13">
        <v>6816</v>
      </c>
      <c r="E10540" s="13"/>
      <c r="F10540" s="14"/>
      <c r="G10540" s="14"/>
      <c r="H10540" s="14"/>
      <c r="I10540" s="14"/>
    </row>
    <row r="10541" ht="20.7" customHeight="1">
      <c r="A10541" s="10">
        <v>45847</v>
      </c>
      <c r="B10541" t="s" s="11">
        <v>8</v>
      </c>
      <c r="C10541" t="s" s="12">
        <v>8</v>
      </c>
      <c r="D10541" s="15" cm="1">
        <f t="array" ref="D10541">SUM(D10539:D10540)</f>
        <v>6816</v>
      </c>
      <c r="E10541" s="15" cm="1">
        <f t="array" ref="E10541">SUM(E10539:E10540)</f>
        <v>6816</v>
      </c>
      <c r="F10541" s="16" cm="1">
        <f t="array" ref="F10541">SUM(F10539:F10540)</f>
        <v>0</v>
      </c>
      <c r="G10541" s="16" cm="1">
        <f t="array" ref="G10541">SUM(G10539:G10540)</f>
        <v>0</v>
      </c>
      <c r="H10541" s="16" cm="1">
        <f t="array" ref="H10541">SUM(H10539:H10540)</f>
        <v>0</v>
      </c>
      <c r="I10541" s="16" cm="1">
        <f t="array" ref="I10541">SUM(I10539:I10540)</f>
        <v>0</v>
      </c>
    </row>
    <row r="10542" ht="20.35" customHeight="1">
      <c r="A10542" s="10">
        <v>45847</v>
      </c>
      <c r="B10542" t="s" s="11">
        <v>5</v>
      </c>
      <c r="C10542" t="s" s="12">
        <v>604</v>
      </c>
      <c r="D10542" s="17"/>
      <c r="E10542" s="17">
        <v>10000</v>
      </c>
      <c r="F10542" s="18"/>
      <c r="G10542" s="18"/>
      <c r="H10542" s="18"/>
      <c r="I10542" s="18"/>
    </row>
    <row r="10543" ht="20.35" customHeight="1">
      <c r="A10543" s="10">
        <v>45847</v>
      </c>
      <c r="B10543" t="s" s="11">
        <v>93</v>
      </c>
      <c r="C10543" t="s" s="12">
        <v>604</v>
      </c>
      <c r="D10543" s="13">
        <v>10000</v>
      </c>
      <c r="E10543" s="13"/>
      <c r="F10543" s="14"/>
      <c r="G10543" s="14"/>
      <c r="H10543" s="14"/>
      <c r="I10543" s="14"/>
    </row>
    <row r="10544" ht="20.7" customHeight="1">
      <c r="A10544" s="10">
        <v>45847</v>
      </c>
      <c r="B10544" t="s" s="11">
        <v>8</v>
      </c>
      <c r="C10544" t="s" s="12">
        <v>8</v>
      </c>
      <c r="D10544" s="15" cm="1">
        <f t="array" ref="D10544">SUM(D10542:D10543)</f>
        <v>10000</v>
      </c>
      <c r="E10544" s="15" cm="1">
        <f t="array" ref="E10544">SUM(E10542:E10543)</f>
        <v>10000</v>
      </c>
      <c r="F10544" s="16" cm="1">
        <f t="array" ref="F10544">SUM(F10542:F10543)</f>
        <v>0</v>
      </c>
      <c r="G10544" s="16" cm="1">
        <f t="array" ref="G10544">SUM(G10542:G10543)</f>
        <v>0</v>
      </c>
      <c r="H10544" s="16" cm="1">
        <f t="array" ref="H10544">SUM(H10542:H10543)</f>
        <v>0</v>
      </c>
      <c r="I10544" s="16" cm="1">
        <f t="array" ref="I10544">SUM(I10542:I10543)</f>
        <v>0</v>
      </c>
    </row>
    <row r="10545" ht="20.35" customHeight="1">
      <c r="A10545" s="10">
        <v>45847</v>
      </c>
      <c r="B10545" t="s" s="11">
        <v>5</v>
      </c>
      <c r="C10545" t="s" s="12">
        <v>209</v>
      </c>
      <c r="D10545" s="17"/>
      <c r="E10545" s="17">
        <v>1500</v>
      </c>
      <c r="F10545" s="18"/>
      <c r="G10545" s="18"/>
      <c r="H10545" s="18"/>
      <c r="I10545" s="18"/>
    </row>
    <row r="10546" ht="20.35" customHeight="1">
      <c r="A10546" s="10">
        <v>45847</v>
      </c>
      <c r="B10546" t="s" s="11">
        <v>107</v>
      </c>
      <c r="C10546" t="s" s="12">
        <v>209</v>
      </c>
      <c r="D10546" s="13">
        <v>1500</v>
      </c>
      <c r="E10546" s="13"/>
      <c r="F10546" s="14"/>
      <c r="G10546" s="14"/>
      <c r="H10546" s="14"/>
      <c r="I10546" s="14"/>
    </row>
    <row r="10547" ht="20.7" customHeight="1">
      <c r="A10547" s="10">
        <v>45847</v>
      </c>
      <c r="B10547" t="s" s="11">
        <v>8</v>
      </c>
      <c r="C10547" t="s" s="12">
        <v>8</v>
      </c>
      <c r="D10547" s="15" cm="1">
        <f t="array" ref="D10547">SUM(D10545:D10546)</f>
        <v>1500</v>
      </c>
      <c r="E10547" s="15" cm="1">
        <f t="array" ref="E10547">SUM(E10545:E10546)</f>
        <v>1500</v>
      </c>
      <c r="F10547" s="16" cm="1">
        <f t="array" ref="F10547">SUM(F10545:F10546)</f>
        <v>0</v>
      </c>
      <c r="G10547" s="16" cm="1">
        <f t="array" ref="G10547">SUM(G10545:G10546)</f>
        <v>0</v>
      </c>
      <c r="H10547" s="16" cm="1">
        <f t="array" ref="H10547">SUM(H10545:H10546)</f>
        <v>0</v>
      </c>
      <c r="I10547" s="16" cm="1">
        <f t="array" ref="I10547">SUM(I10545:I10546)</f>
        <v>0</v>
      </c>
    </row>
    <row r="10548" ht="20.35" customHeight="1">
      <c r="A10548" s="10">
        <v>45847</v>
      </c>
      <c r="B10548" t="s" s="11">
        <v>5</v>
      </c>
      <c r="C10548" t="s" s="12">
        <v>604</v>
      </c>
      <c r="D10548" s="17"/>
      <c r="E10548" s="17">
        <v>10000</v>
      </c>
      <c r="F10548" s="18"/>
      <c r="G10548" s="18"/>
      <c r="H10548" s="18"/>
      <c r="I10548" s="18"/>
    </row>
    <row r="10549" ht="20.35" customHeight="1">
      <c r="A10549" s="10">
        <v>45847</v>
      </c>
      <c r="B10549" t="s" s="11">
        <v>93</v>
      </c>
      <c r="C10549" t="s" s="12">
        <v>604</v>
      </c>
      <c r="D10549" s="13">
        <v>10000</v>
      </c>
      <c r="E10549" s="13"/>
      <c r="F10549" s="14"/>
      <c r="G10549" s="14"/>
      <c r="H10549" s="14"/>
      <c r="I10549" s="14"/>
    </row>
    <row r="10550" ht="20.7" customHeight="1">
      <c r="A10550" s="10">
        <v>45847</v>
      </c>
      <c r="B10550" t="s" s="11">
        <v>8</v>
      </c>
      <c r="C10550" t="s" s="12">
        <v>8</v>
      </c>
      <c r="D10550" s="15" cm="1">
        <f t="array" ref="D10550">SUM(D10548:D10549)</f>
        <v>10000</v>
      </c>
      <c r="E10550" s="15" cm="1">
        <f t="array" ref="E10550">SUM(E10548:E10549)</f>
        <v>10000</v>
      </c>
      <c r="F10550" s="16" cm="1">
        <f t="array" ref="F10550">SUM(F10548:F10549)</f>
        <v>0</v>
      </c>
      <c r="G10550" s="16" cm="1">
        <f t="array" ref="G10550">SUM(G10548:G10549)</f>
        <v>0</v>
      </c>
      <c r="H10550" s="16" cm="1">
        <f t="array" ref="H10550">SUM(H10548:H10549)</f>
        <v>0</v>
      </c>
      <c r="I10550" s="16" cm="1">
        <f t="array" ref="I10550">SUM(I10548:I10549)</f>
        <v>0</v>
      </c>
    </row>
    <row r="10551" ht="20.35" customHeight="1">
      <c r="A10551" s="10">
        <v>45847</v>
      </c>
      <c r="B10551" t="s" s="11">
        <v>5</v>
      </c>
      <c r="C10551" t="s" s="12">
        <v>1348</v>
      </c>
      <c r="D10551" s="17"/>
      <c r="E10551" s="17">
        <v>1388</v>
      </c>
      <c r="F10551" s="18"/>
      <c r="G10551" s="18"/>
      <c r="H10551" s="18"/>
      <c r="I10551" s="18"/>
    </row>
    <row r="10552" ht="20.35" customHeight="1">
      <c r="A10552" s="10">
        <v>45847</v>
      </c>
      <c r="B10552" t="s" s="11">
        <v>12</v>
      </c>
      <c r="C10552" t="s" s="12">
        <v>1348</v>
      </c>
      <c r="D10552" s="13">
        <v>1388</v>
      </c>
      <c r="E10552" s="13"/>
      <c r="F10552" s="14"/>
      <c r="G10552" s="14"/>
      <c r="H10552" s="14"/>
      <c r="I10552" s="14"/>
    </row>
    <row r="10553" ht="20.7" customHeight="1">
      <c r="A10553" s="10">
        <v>45847</v>
      </c>
      <c r="B10553" t="s" s="11">
        <v>8</v>
      </c>
      <c r="C10553" t="s" s="12">
        <v>8</v>
      </c>
      <c r="D10553" s="15" cm="1">
        <f t="array" ref="D10553">SUM(D10551:D10552)</f>
        <v>1388</v>
      </c>
      <c r="E10553" s="15" cm="1">
        <f t="array" ref="E10553">SUM(E10551:E10552)</f>
        <v>1388</v>
      </c>
      <c r="F10553" s="16" cm="1">
        <f t="array" ref="F10553">SUM(F10551:F10552)</f>
        <v>0</v>
      </c>
      <c r="G10553" s="16" cm="1">
        <f t="array" ref="G10553">SUM(G10551:G10552)</f>
        <v>0</v>
      </c>
      <c r="H10553" s="16" cm="1">
        <f t="array" ref="H10553">SUM(H10551:H10552)</f>
        <v>0</v>
      </c>
      <c r="I10553" s="16" cm="1">
        <f t="array" ref="I10553">SUM(I10551:I10552)</f>
        <v>0</v>
      </c>
    </row>
    <row r="10554" ht="20.35" customHeight="1">
      <c r="A10554" s="10">
        <v>45847</v>
      </c>
      <c r="B10554" t="s" s="11">
        <v>814</v>
      </c>
      <c r="C10554" t="s" s="12">
        <v>96</v>
      </c>
      <c r="D10554" s="17"/>
      <c r="E10554" s="17">
        <v>40000</v>
      </c>
      <c r="F10554" s="18"/>
      <c r="G10554" s="18"/>
      <c r="H10554" s="18"/>
      <c r="I10554" s="18"/>
    </row>
    <row r="10555" ht="20.35" customHeight="1">
      <c r="A10555" s="10">
        <v>45847</v>
      </c>
      <c r="B10555" t="s" s="11">
        <v>5</v>
      </c>
      <c r="C10555" t="s" s="12">
        <v>96</v>
      </c>
      <c r="D10555" s="13">
        <v>40000</v>
      </c>
      <c r="E10555" s="13"/>
      <c r="F10555" s="14"/>
      <c r="G10555" s="14"/>
      <c r="H10555" s="14"/>
      <c r="I10555" s="14"/>
    </row>
    <row r="10556" ht="20.7" customHeight="1">
      <c r="A10556" s="10">
        <v>45847</v>
      </c>
      <c r="B10556" t="s" s="11">
        <v>8</v>
      </c>
      <c r="C10556" t="s" s="12">
        <v>8</v>
      </c>
      <c r="D10556" s="15" cm="1">
        <f t="array" ref="D10556">SUM(D10554:D10555)</f>
        <v>40000</v>
      </c>
      <c r="E10556" s="15" cm="1">
        <f t="array" ref="E10556">SUM(E10554:E10555)</f>
        <v>40000</v>
      </c>
      <c r="F10556" s="16" cm="1">
        <f t="array" ref="F10556">SUM(F10554:F10555)</f>
        <v>0</v>
      </c>
      <c r="G10556" s="16" cm="1">
        <f t="array" ref="G10556">SUM(G10554:G10555)</f>
        <v>0</v>
      </c>
      <c r="H10556" s="16" cm="1">
        <f t="array" ref="H10556">SUM(H10554:H10555)</f>
        <v>0</v>
      </c>
      <c r="I10556" s="16" cm="1">
        <f t="array" ref="I10556">SUM(I10554:I10555)</f>
        <v>0</v>
      </c>
    </row>
    <row r="10557" ht="20.35" customHeight="1">
      <c r="A10557" s="10">
        <v>45848</v>
      </c>
      <c r="B10557" t="s" s="11">
        <v>5</v>
      </c>
      <c r="C10557" t="s" s="12">
        <v>1342</v>
      </c>
      <c r="D10557" s="17">
        <v>4</v>
      </c>
      <c r="E10557" s="17"/>
      <c r="F10557" s="18"/>
      <c r="G10557" s="18"/>
      <c r="H10557" s="18"/>
      <c r="I10557" s="18"/>
    </row>
    <row r="10558" ht="20.35" customHeight="1">
      <c r="A10558" s="10">
        <v>45848</v>
      </c>
      <c r="B10558" t="s" s="11">
        <v>18</v>
      </c>
      <c r="C10558" t="s" s="12">
        <v>1342</v>
      </c>
      <c r="D10558" s="13"/>
      <c r="E10558" s="13">
        <v>4</v>
      </c>
      <c r="F10558" s="14"/>
      <c r="G10558" s="14"/>
      <c r="H10558" s="14"/>
      <c r="I10558" s="14"/>
    </row>
    <row r="10559" ht="20.7" customHeight="1">
      <c r="A10559" s="10">
        <v>45848</v>
      </c>
      <c r="B10559" t="s" s="11">
        <v>8</v>
      </c>
      <c r="C10559" t="s" s="12">
        <v>8</v>
      </c>
      <c r="D10559" s="15" cm="1">
        <f t="array" ref="D10559">SUM(D10557:D10558)</f>
        <v>4</v>
      </c>
      <c r="E10559" s="15" cm="1">
        <f t="array" ref="E10559">SUM(E10557:E10558)</f>
        <v>4</v>
      </c>
      <c r="F10559" s="16" cm="1">
        <f t="array" ref="F10559">SUM(F10557:F10558)</f>
        <v>0</v>
      </c>
      <c r="G10559" s="16" cm="1">
        <f t="array" ref="G10559">SUM(G10557:G10558)</f>
        <v>0</v>
      </c>
      <c r="H10559" s="16" cm="1">
        <f t="array" ref="H10559">SUM(H10557:H10558)</f>
        <v>0</v>
      </c>
      <c r="I10559" s="16" cm="1">
        <f t="array" ref="I10559">SUM(I10557:I10558)</f>
        <v>0</v>
      </c>
    </row>
    <row r="10560" ht="20.65" customHeight="1">
      <c r="A10560" s="10">
        <v>45848</v>
      </c>
      <c r="B10560" t="s" s="11">
        <v>814</v>
      </c>
      <c r="C10560" t="s" s="12">
        <v>820</v>
      </c>
      <c r="D10560" s="17">
        <v>39</v>
      </c>
      <c r="E10560" s="17"/>
      <c r="F10560" s="18"/>
      <c r="G10560" s="18"/>
      <c r="H10560" s="18"/>
      <c r="I10560" s="18"/>
    </row>
    <row r="10561" ht="20.65" customHeight="1">
      <c r="A10561" s="10">
        <v>45848</v>
      </c>
      <c r="B10561" t="s" s="11">
        <v>7</v>
      </c>
      <c r="C10561" t="s" s="12">
        <v>820</v>
      </c>
      <c r="D10561" s="13"/>
      <c r="E10561" s="13">
        <v>39</v>
      </c>
      <c r="F10561" s="14"/>
      <c r="G10561" s="14"/>
      <c r="H10561" s="14"/>
      <c r="I10561" s="14"/>
    </row>
    <row r="10562" ht="20.7" customHeight="1">
      <c r="A10562" s="10">
        <v>45848</v>
      </c>
      <c r="B10562" t="s" s="11">
        <v>8</v>
      </c>
      <c r="C10562" t="s" s="12">
        <v>8</v>
      </c>
      <c r="D10562" s="15" cm="1">
        <f t="array" ref="D10562">SUM(D10560:D10561)</f>
        <v>39</v>
      </c>
      <c r="E10562" s="15" cm="1">
        <f t="array" ref="E10562">SUM(E10560:E10561)</f>
        <v>39</v>
      </c>
      <c r="F10562" s="16" cm="1">
        <f t="array" ref="F10562">SUM(F10560:F10561)</f>
        <v>0</v>
      </c>
      <c r="G10562" s="16" cm="1">
        <f t="array" ref="G10562">SUM(G10560:G10561)</f>
        <v>0</v>
      </c>
      <c r="H10562" s="16" cm="1">
        <f t="array" ref="H10562">SUM(H10560:H10561)</f>
        <v>0</v>
      </c>
      <c r="I10562" s="16" cm="1">
        <f t="array" ref="I10562">SUM(I10560:I10561)</f>
        <v>0</v>
      </c>
    </row>
    <row r="10563" ht="20.35" customHeight="1">
      <c r="A10563" s="10">
        <v>45848</v>
      </c>
      <c r="B10563" t="s" s="11">
        <v>107</v>
      </c>
      <c r="C10563" t="s" s="12">
        <v>1349</v>
      </c>
      <c r="D10563" s="17">
        <v>16800</v>
      </c>
      <c r="E10563" s="17"/>
      <c r="F10563" s="18"/>
      <c r="G10563" s="18"/>
      <c r="H10563" s="18"/>
      <c r="I10563" s="18"/>
    </row>
    <row r="10564" ht="20.35" customHeight="1">
      <c r="A10564" s="10">
        <v>45848</v>
      </c>
      <c r="B10564" t="s" s="11">
        <v>97</v>
      </c>
      <c r="C10564" t="s" s="12">
        <v>1349</v>
      </c>
      <c r="D10564" s="13"/>
      <c r="E10564" s="13">
        <v>16800</v>
      </c>
      <c r="F10564" s="14"/>
      <c r="G10564" s="14"/>
      <c r="H10564" s="14"/>
      <c r="I10564" s="14"/>
    </row>
    <row r="10565" ht="20.7" customHeight="1">
      <c r="A10565" s="10">
        <v>45848</v>
      </c>
      <c r="B10565" t="s" s="11">
        <v>8</v>
      </c>
      <c r="C10565" t="s" s="12">
        <v>8</v>
      </c>
      <c r="D10565" s="15" cm="1">
        <f t="array" ref="D10565">SUM(D10563:D10564)</f>
        <v>16800</v>
      </c>
      <c r="E10565" s="15" cm="1">
        <f t="array" ref="E10565">SUM(E10563:E10564)</f>
        <v>16800</v>
      </c>
      <c r="F10565" s="16" cm="1">
        <f t="array" ref="F10565">SUM(F10563:F10564)</f>
        <v>0</v>
      </c>
      <c r="G10565" s="16" cm="1">
        <f t="array" ref="G10565">SUM(G10563:G10564)</f>
        <v>0</v>
      </c>
      <c r="H10565" s="16" cm="1">
        <f t="array" ref="H10565">SUM(H10563:H10564)</f>
        <v>0</v>
      </c>
      <c r="I10565" s="16" cm="1">
        <f t="array" ref="I10565">SUM(I10563:I10564)</f>
        <v>0</v>
      </c>
    </row>
    <row r="10566" ht="20.35" customHeight="1">
      <c r="A10566" s="10">
        <v>45848</v>
      </c>
      <c r="B10566" t="s" s="11">
        <v>814</v>
      </c>
      <c r="C10566" t="s" s="12">
        <v>96</v>
      </c>
      <c r="D10566" s="17"/>
      <c r="E10566" s="17">
        <v>100000</v>
      </c>
      <c r="F10566" s="18"/>
      <c r="G10566" s="18"/>
      <c r="H10566" s="18"/>
      <c r="I10566" s="18"/>
    </row>
    <row r="10567" ht="20.35" customHeight="1">
      <c r="A10567" s="10">
        <v>45848</v>
      </c>
      <c r="B10567" t="s" s="11">
        <v>5</v>
      </c>
      <c r="C10567" t="s" s="12">
        <v>96</v>
      </c>
      <c r="D10567" s="13">
        <v>100000</v>
      </c>
      <c r="E10567" s="13"/>
      <c r="F10567" s="14"/>
      <c r="G10567" s="14"/>
      <c r="H10567" s="14"/>
      <c r="I10567" s="14"/>
    </row>
    <row r="10568" ht="20.7" customHeight="1">
      <c r="A10568" s="10">
        <v>45848</v>
      </c>
      <c r="B10568" t="s" s="11">
        <v>8</v>
      </c>
      <c r="C10568" t="s" s="12">
        <v>8</v>
      </c>
      <c r="D10568" s="15" cm="1">
        <f t="array" ref="D10568">SUM(D10566:D10567)</f>
        <v>100000</v>
      </c>
      <c r="E10568" s="15" cm="1">
        <f t="array" ref="E10568">SUM(E10566:E10567)</f>
        <v>100000</v>
      </c>
      <c r="F10568" s="16" cm="1">
        <f t="array" ref="F10568">SUM(F10566:F10567)</f>
        <v>0</v>
      </c>
      <c r="G10568" s="16" cm="1">
        <f t="array" ref="G10568">SUM(G10566:G10567)</f>
        <v>0</v>
      </c>
      <c r="H10568" s="16" cm="1">
        <f t="array" ref="H10568">SUM(H10566:H10567)</f>
        <v>0</v>
      </c>
      <c r="I10568" s="16" cm="1">
        <f t="array" ref="I10568">SUM(I10566:I10567)</f>
        <v>0</v>
      </c>
    </row>
    <row r="10569" ht="20.35" customHeight="1">
      <c r="A10569" s="10">
        <v>45848</v>
      </c>
      <c r="B10569" t="s" s="11">
        <v>5</v>
      </c>
      <c r="C10569" t="s" s="12">
        <v>1350</v>
      </c>
      <c r="D10569" s="17"/>
      <c r="E10569" s="17">
        <v>61246</v>
      </c>
      <c r="F10569" s="18"/>
      <c r="G10569" s="18"/>
      <c r="H10569" s="18"/>
      <c r="I10569" s="18"/>
    </row>
    <row r="10570" ht="20.35" customHeight="1">
      <c r="A10570" s="10">
        <v>45848</v>
      </c>
      <c r="B10570" t="s" s="11">
        <v>10</v>
      </c>
      <c r="C10570" t="s" s="12">
        <v>1350</v>
      </c>
      <c r="D10570" s="13">
        <v>61246</v>
      </c>
      <c r="E10570" s="13"/>
      <c r="F10570" s="14"/>
      <c r="G10570" s="14"/>
      <c r="H10570" s="14"/>
      <c r="I10570" s="14"/>
    </row>
    <row r="10571" ht="20.7" customHeight="1">
      <c r="A10571" s="10">
        <v>45848</v>
      </c>
      <c r="B10571" t="s" s="11">
        <v>8</v>
      </c>
      <c r="C10571" t="s" s="12">
        <v>8</v>
      </c>
      <c r="D10571" s="15" cm="1">
        <f t="array" ref="D10571">SUM(D10569:D10570)</f>
        <v>61246</v>
      </c>
      <c r="E10571" s="15" cm="1">
        <f t="array" ref="E10571">SUM(E10569:E10570)</f>
        <v>61246</v>
      </c>
      <c r="F10571" s="16" cm="1">
        <f t="array" ref="F10571">SUM(F10569:F10570)</f>
        <v>0</v>
      </c>
      <c r="G10571" s="16" cm="1">
        <f t="array" ref="G10571">SUM(G10569:G10570)</f>
        <v>0</v>
      </c>
      <c r="H10571" s="16" cm="1">
        <f t="array" ref="H10571">SUM(H10569:H10570)</f>
        <v>0</v>
      </c>
      <c r="I10571" s="16" cm="1">
        <f t="array" ref="I10571">SUM(I10569:I10570)</f>
        <v>0</v>
      </c>
    </row>
    <row r="10572" ht="20.65" customHeight="1">
      <c r="A10572" s="10">
        <v>45849</v>
      </c>
      <c r="B10572" t="s" s="11">
        <v>814</v>
      </c>
      <c r="C10572" t="s" s="12">
        <v>820</v>
      </c>
      <c r="D10572" s="17">
        <v>35</v>
      </c>
      <c r="E10572" s="17"/>
      <c r="F10572" s="18"/>
      <c r="G10572" s="18"/>
      <c r="H10572" s="18"/>
      <c r="I10572" s="18"/>
    </row>
    <row r="10573" ht="20.65" customHeight="1">
      <c r="A10573" s="10">
        <v>45849</v>
      </c>
      <c r="B10573" t="s" s="11">
        <v>7</v>
      </c>
      <c r="C10573" t="s" s="12">
        <v>820</v>
      </c>
      <c r="D10573" s="13"/>
      <c r="E10573" s="13">
        <v>35</v>
      </c>
      <c r="F10573" s="14"/>
      <c r="G10573" s="14"/>
      <c r="H10573" s="14"/>
      <c r="I10573" s="14"/>
    </row>
    <row r="10574" ht="20.7" customHeight="1">
      <c r="A10574" s="10">
        <v>45849</v>
      </c>
      <c r="B10574" t="s" s="11">
        <v>8</v>
      </c>
      <c r="C10574" t="s" s="12">
        <v>8</v>
      </c>
      <c r="D10574" s="15" cm="1">
        <f t="array" ref="D10574">SUM(D10572:D10573)</f>
        <v>35</v>
      </c>
      <c r="E10574" s="15" cm="1">
        <f t="array" ref="E10574">SUM(E10572:E10573)</f>
        <v>35</v>
      </c>
      <c r="F10574" s="16" cm="1">
        <f t="array" ref="F10574">SUM(F10572:F10573)</f>
        <v>0</v>
      </c>
      <c r="G10574" s="16" cm="1">
        <f t="array" ref="G10574">SUM(G10572:G10573)</f>
        <v>0</v>
      </c>
      <c r="H10574" s="16" cm="1">
        <f t="array" ref="H10574">SUM(H10572:H10573)</f>
        <v>0</v>
      </c>
      <c r="I10574" s="16" cm="1">
        <f t="array" ref="I10574">SUM(I10572:I10573)</f>
        <v>0</v>
      </c>
    </row>
    <row r="10575" ht="20.65" customHeight="1">
      <c r="A10575" s="10">
        <v>45850</v>
      </c>
      <c r="B10575" t="s" s="11">
        <v>814</v>
      </c>
      <c r="C10575" t="s" s="12">
        <v>820</v>
      </c>
      <c r="D10575" s="17">
        <v>35</v>
      </c>
      <c r="E10575" s="17"/>
      <c r="F10575" s="18"/>
      <c r="G10575" s="18"/>
      <c r="H10575" s="18"/>
      <c r="I10575" s="18"/>
    </row>
    <row r="10576" ht="20.65" customHeight="1">
      <c r="A10576" s="10">
        <v>45850</v>
      </c>
      <c r="B10576" t="s" s="11">
        <v>7</v>
      </c>
      <c r="C10576" t="s" s="12">
        <v>820</v>
      </c>
      <c r="D10576" s="13"/>
      <c r="E10576" s="13">
        <v>35</v>
      </c>
      <c r="F10576" s="14"/>
      <c r="G10576" s="14"/>
      <c r="H10576" s="14"/>
      <c r="I10576" s="14"/>
    </row>
    <row r="10577" ht="20.7" customHeight="1">
      <c r="A10577" s="10">
        <v>45850</v>
      </c>
      <c r="B10577" t="s" s="11">
        <v>8</v>
      </c>
      <c r="C10577" t="s" s="12">
        <v>8</v>
      </c>
      <c r="D10577" s="15" cm="1">
        <f t="array" ref="D10577">SUM(D10575:D10576)</f>
        <v>35</v>
      </c>
      <c r="E10577" s="15" cm="1">
        <f t="array" ref="E10577">SUM(E10575:E10576)</f>
        <v>35</v>
      </c>
      <c r="F10577" s="16" cm="1">
        <f t="array" ref="F10577">SUM(F10575:F10576)</f>
        <v>0</v>
      </c>
      <c r="G10577" s="16" cm="1">
        <f t="array" ref="G10577">SUM(G10575:G10576)</f>
        <v>0</v>
      </c>
      <c r="H10577" s="16" cm="1">
        <f t="array" ref="H10577">SUM(H10575:H10576)</f>
        <v>0</v>
      </c>
      <c r="I10577" s="16" cm="1">
        <f t="array" ref="I10577">SUM(I10575:I10576)</f>
        <v>0</v>
      </c>
    </row>
    <row r="10578" ht="20.65" customHeight="1">
      <c r="A10578" s="10">
        <v>45851</v>
      </c>
      <c r="B10578" t="s" s="11">
        <v>814</v>
      </c>
      <c r="C10578" t="s" s="12">
        <v>820</v>
      </c>
      <c r="D10578" s="17">
        <v>35</v>
      </c>
      <c r="E10578" s="17"/>
      <c r="F10578" s="18"/>
      <c r="G10578" s="18"/>
      <c r="H10578" s="18"/>
      <c r="I10578" s="18"/>
    </row>
    <row r="10579" ht="20.65" customHeight="1">
      <c r="A10579" s="10">
        <v>45851</v>
      </c>
      <c r="B10579" t="s" s="11">
        <v>7</v>
      </c>
      <c r="C10579" t="s" s="12">
        <v>820</v>
      </c>
      <c r="D10579" s="13"/>
      <c r="E10579" s="13">
        <v>35</v>
      </c>
      <c r="F10579" s="14"/>
      <c r="G10579" s="14"/>
      <c r="H10579" s="14"/>
      <c r="I10579" s="14"/>
    </row>
    <row r="10580" ht="20.7" customHeight="1">
      <c r="A10580" s="10">
        <v>45851</v>
      </c>
      <c r="B10580" t="s" s="11">
        <v>8</v>
      </c>
      <c r="C10580" t="s" s="12">
        <v>8</v>
      </c>
      <c r="D10580" s="15" cm="1">
        <f t="array" ref="D10580">SUM(D10578:D10579)</f>
        <v>35</v>
      </c>
      <c r="E10580" s="15" cm="1">
        <f t="array" ref="E10580">SUM(E10578:E10579)</f>
        <v>35</v>
      </c>
      <c r="F10580" s="16" cm="1">
        <f t="array" ref="F10580">SUM(F10578:F10579)</f>
        <v>0</v>
      </c>
      <c r="G10580" s="16" cm="1">
        <f t="array" ref="G10580">SUM(G10578:G10579)</f>
        <v>0</v>
      </c>
      <c r="H10580" s="16" cm="1">
        <f t="array" ref="H10580">SUM(H10578:H10579)</f>
        <v>0</v>
      </c>
      <c r="I10580" s="16" cm="1">
        <f t="array" ref="I10580">SUM(I10578:I10579)</f>
        <v>0</v>
      </c>
    </row>
    <row r="10581" ht="20.65" customHeight="1">
      <c r="A10581" s="10">
        <v>45852</v>
      </c>
      <c r="B10581" t="s" s="11">
        <v>814</v>
      </c>
      <c r="C10581" t="s" s="12">
        <v>820</v>
      </c>
      <c r="D10581" s="17">
        <v>35</v>
      </c>
      <c r="E10581" s="17"/>
      <c r="F10581" s="18"/>
      <c r="G10581" s="18"/>
      <c r="H10581" s="18"/>
      <c r="I10581" s="18"/>
    </row>
    <row r="10582" ht="20.65" customHeight="1">
      <c r="A10582" s="10">
        <v>45852</v>
      </c>
      <c r="B10582" t="s" s="11">
        <v>7</v>
      </c>
      <c r="C10582" t="s" s="12">
        <v>820</v>
      </c>
      <c r="D10582" s="13"/>
      <c r="E10582" s="13">
        <v>35</v>
      </c>
      <c r="F10582" s="14"/>
      <c r="G10582" s="14"/>
      <c r="H10582" s="14"/>
      <c r="I10582" s="14"/>
    </row>
    <row r="10583" ht="20.7" customHeight="1">
      <c r="A10583" s="10">
        <v>45852</v>
      </c>
      <c r="B10583" t="s" s="11">
        <v>8</v>
      </c>
      <c r="C10583" t="s" s="12">
        <v>8</v>
      </c>
      <c r="D10583" s="15" cm="1">
        <f t="array" ref="D10583">SUM(D10581:D10582)</f>
        <v>35</v>
      </c>
      <c r="E10583" s="15" cm="1">
        <f t="array" ref="E10583">SUM(E10581:E10582)</f>
        <v>35</v>
      </c>
      <c r="F10583" s="16" cm="1">
        <f t="array" ref="F10583">SUM(F10581:F10582)</f>
        <v>0</v>
      </c>
      <c r="G10583" s="16" cm="1">
        <f t="array" ref="G10583">SUM(G10581:G10582)</f>
        <v>0</v>
      </c>
      <c r="H10583" s="16" cm="1">
        <f t="array" ref="H10583">SUM(H10581:H10582)</f>
        <v>0</v>
      </c>
      <c r="I10583" s="16" cm="1">
        <f t="array" ref="I10583">SUM(I10581:I10582)</f>
        <v>0</v>
      </c>
    </row>
    <row r="10584" ht="21.25" customHeight="1">
      <c r="A10584" s="10">
        <v>45852</v>
      </c>
      <c r="B10584" t="s" s="11">
        <v>107</v>
      </c>
      <c r="C10584" t="s" s="12">
        <v>1351</v>
      </c>
      <c r="D10584" s="17"/>
      <c r="E10584" s="17">
        <v>1500</v>
      </c>
      <c r="F10584" s="18"/>
      <c r="G10584" s="18"/>
      <c r="H10584" s="18"/>
      <c r="I10584" s="18"/>
    </row>
    <row r="10585" ht="21.25" customHeight="1">
      <c r="A10585" s="10">
        <v>45852</v>
      </c>
      <c r="B10585" t="s" s="11">
        <v>21</v>
      </c>
      <c r="C10585" t="s" s="12">
        <v>1351</v>
      </c>
      <c r="D10585" s="13">
        <v>1500</v>
      </c>
      <c r="E10585" s="13"/>
      <c r="F10585" s="14"/>
      <c r="G10585" s="14"/>
      <c r="H10585" s="14"/>
      <c r="I10585" s="14"/>
    </row>
    <row r="10586" ht="20.7" customHeight="1">
      <c r="A10586" s="10">
        <v>45852</v>
      </c>
      <c r="B10586" t="s" s="11">
        <v>8</v>
      </c>
      <c r="C10586" t="s" s="12">
        <v>8</v>
      </c>
      <c r="D10586" s="15" cm="1">
        <f t="array" ref="D10586">SUM(D10584:D10585)</f>
        <v>1500</v>
      </c>
      <c r="E10586" s="15" cm="1">
        <f t="array" ref="E10586">SUM(E10584:E10585)</f>
        <v>1500</v>
      </c>
      <c r="F10586" s="16" cm="1">
        <f t="array" ref="F10586">SUM(F10584:F10585)</f>
        <v>0</v>
      </c>
      <c r="G10586" s="16" cm="1">
        <f t="array" ref="G10586">SUM(G10584:G10585)</f>
        <v>0</v>
      </c>
      <c r="H10586" s="16" cm="1">
        <f t="array" ref="H10586">SUM(H10584:H10585)</f>
        <v>0</v>
      </c>
      <c r="I10586" s="16" cm="1">
        <f t="array" ref="I10586">SUM(I10584:I10585)</f>
        <v>0</v>
      </c>
    </row>
    <row r="10587" ht="21.25" customHeight="1">
      <c r="A10587" s="10">
        <v>45852</v>
      </c>
      <c r="B10587" t="s" s="11">
        <v>441</v>
      </c>
      <c r="C10587" t="s" s="12">
        <v>1352</v>
      </c>
      <c r="D10587" s="17"/>
      <c r="E10587" s="17">
        <v>239868</v>
      </c>
      <c r="F10587" s="18"/>
      <c r="G10587" s="18"/>
      <c r="H10587" s="18"/>
      <c r="I10587" s="18"/>
    </row>
    <row r="10588" ht="20.05" customHeight="1">
      <c r="A10588" s="10">
        <v>45852</v>
      </c>
      <c r="B10588" t="s" s="11">
        <v>10</v>
      </c>
      <c r="C10588" t="s" s="12">
        <v>595</v>
      </c>
      <c r="D10588" s="19">
        <v>188</v>
      </c>
      <c r="E10588" s="19"/>
      <c r="F10588" s="20"/>
      <c r="G10588" s="20"/>
      <c r="H10588" s="20"/>
      <c r="I10588" s="20"/>
    </row>
    <row r="10589" ht="20.35" customHeight="1">
      <c r="A10589" s="10">
        <v>45852</v>
      </c>
      <c r="B10589" t="s" s="11">
        <v>121</v>
      </c>
      <c r="C10589" t="s" s="12">
        <v>595</v>
      </c>
      <c r="D10589" s="13">
        <v>239680</v>
      </c>
      <c r="E10589" s="13"/>
      <c r="F10589" s="14"/>
      <c r="G10589" s="14"/>
      <c r="H10589" s="14"/>
      <c r="I10589" s="14"/>
    </row>
    <row r="10590" ht="20.7" customHeight="1">
      <c r="A10590" s="10">
        <v>45852</v>
      </c>
      <c r="B10590" t="s" s="11">
        <v>8</v>
      </c>
      <c r="C10590" t="s" s="12">
        <v>8</v>
      </c>
      <c r="D10590" s="15" cm="1">
        <f t="array" ref="D10590">SUM(D10587:D10589)</f>
        <v>239868</v>
      </c>
      <c r="E10590" s="15" cm="1">
        <f t="array" ref="E10590">SUM(E10587:E10589)</f>
        <v>239868</v>
      </c>
      <c r="F10590" s="16" cm="1">
        <f t="array" ref="F10590">SUM(F10587:F10589)</f>
        <v>0</v>
      </c>
      <c r="G10590" s="16" cm="1">
        <f t="array" ref="G10590">SUM(G10587:G10589)</f>
        <v>0</v>
      </c>
      <c r="H10590" s="16" cm="1">
        <f t="array" ref="H10590">SUM(H10587:H10589)</f>
        <v>0</v>
      </c>
      <c r="I10590" s="16" cm="1">
        <f t="array" ref="I10590">SUM(I10587:I10589)</f>
        <v>0</v>
      </c>
    </row>
    <row r="10591" ht="20.35" customHeight="1">
      <c r="A10591" s="10">
        <v>45852</v>
      </c>
      <c r="B10591" t="s" s="11">
        <v>121</v>
      </c>
      <c r="C10591" t="s" s="12">
        <v>96</v>
      </c>
      <c r="D10591" s="17"/>
      <c r="E10591" s="17">
        <v>239680</v>
      </c>
      <c r="F10591" s="18"/>
      <c r="G10591" s="18"/>
      <c r="H10591" s="18"/>
      <c r="I10591" s="18"/>
    </row>
    <row r="10592" ht="20.35" customHeight="1">
      <c r="A10592" s="10">
        <v>45852</v>
      </c>
      <c r="B10592" t="s" s="11">
        <v>5</v>
      </c>
      <c r="C10592" t="s" s="12">
        <v>96</v>
      </c>
      <c r="D10592" s="13">
        <v>239680</v>
      </c>
      <c r="E10592" s="13"/>
      <c r="F10592" s="14"/>
      <c r="G10592" s="14"/>
      <c r="H10592" s="14"/>
      <c r="I10592" s="14"/>
    </row>
    <row r="10593" ht="20.7" customHeight="1">
      <c r="A10593" s="10">
        <v>45852</v>
      </c>
      <c r="B10593" t="s" s="11">
        <v>8</v>
      </c>
      <c r="C10593" t="s" s="12">
        <v>8</v>
      </c>
      <c r="D10593" s="15" cm="1">
        <f t="array" ref="D10593">SUM(D10591:D10592)</f>
        <v>239680</v>
      </c>
      <c r="E10593" s="15" cm="1">
        <f t="array" ref="E10593">SUM(E10591:E10592)</f>
        <v>239680</v>
      </c>
      <c r="F10593" s="16" cm="1">
        <f t="array" ref="F10593">SUM(F10591:F10592)</f>
        <v>0</v>
      </c>
      <c r="G10593" s="16" cm="1">
        <f t="array" ref="G10593">SUM(G10591:G10592)</f>
        <v>0</v>
      </c>
      <c r="H10593" s="16" cm="1">
        <f t="array" ref="H10593">SUM(H10591:H10592)</f>
        <v>0</v>
      </c>
      <c r="I10593" s="16" cm="1">
        <f t="array" ref="I10593">SUM(I10591:I10592)</f>
        <v>0</v>
      </c>
    </row>
    <row r="10594" ht="20.35" customHeight="1">
      <c r="A10594" s="10">
        <v>45852</v>
      </c>
      <c r="B10594" t="s" s="11">
        <v>107</v>
      </c>
      <c r="C10594" t="s" s="12">
        <v>96</v>
      </c>
      <c r="D10594" s="17"/>
      <c r="E10594" s="17">
        <v>16800</v>
      </c>
      <c r="F10594" s="18"/>
      <c r="G10594" s="18"/>
      <c r="H10594" s="18"/>
      <c r="I10594" s="18"/>
    </row>
    <row r="10595" ht="20.35" customHeight="1">
      <c r="A10595" s="10">
        <v>45852</v>
      </c>
      <c r="B10595" t="s" s="11">
        <v>5</v>
      </c>
      <c r="C10595" t="s" s="12">
        <v>96</v>
      </c>
      <c r="D10595" s="13">
        <v>16800</v>
      </c>
      <c r="E10595" s="13"/>
      <c r="F10595" s="14"/>
      <c r="G10595" s="14"/>
      <c r="H10595" s="14"/>
      <c r="I10595" s="14"/>
    </row>
    <row r="10596" ht="20.7" customHeight="1">
      <c r="A10596" s="10">
        <v>45852</v>
      </c>
      <c r="B10596" t="s" s="11">
        <v>8</v>
      </c>
      <c r="C10596" t="s" s="12">
        <v>8</v>
      </c>
      <c r="D10596" s="15" cm="1">
        <f t="array" ref="D10596">SUM(D10594:D10595)</f>
        <v>16800</v>
      </c>
      <c r="E10596" s="15" cm="1">
        <f t="array" ref="E10596">SUM(E10594:E10595)</f>
        <v>16800</v>
      </c>
      <c r="F10596" s="16" cm="1">
        <f t="array" ref="F10596">SUM(F10594:F10595)</f>
        <v>0</v>
      </c>
      <c r="G10596" s="16" cm="1">
        <f t="array" ref="G10596">SUM(G10594:G10595)</f>
        <v>0</v>
      </c>
      <c r="H10596" s="16" cm="1">
        <f t="array" ref="H10596">SUM(H10594:H10595)</f>
        <v>0</v>
      </c>
      <c r="I10596" s="16" cm="1">
        <f t="array" ref="I10596">SUM(I10594:I10595)</f>
        <v>0</v>
      </c>
    </row>
    <row r="10597" ht="20.35" customHeight="1">
      <c r="A10597" s="10">
        <v>45852</v>
      </c>
      <c r="B10597" t="s" s="11">
        <v>5</v>
      </c>
      <c r="C10597" t="s" s="12">
        <v>867</v>
      </c>
      <c r="D10597" s="17"/>
      <c r="E10597" s="17">
        <v>336978</v>
      </c>
      <c r="F10597" s="18"/>
      <c r="G10597" s="18"/>
      <c r="H10597" s="18"/>
      <c r="I10597" s="18"/>
    </row>
    <row r="10598" ht="20.35" customHeight="1">
      <c r="A10598" s="10">
        <v>45852</v>
      </c>
      <c r="B10598" t="s" s="11">
        <v>814</v>
      </c>
      <c r="C10598" t="s" s="12">
        <v>867</v>
      </c>
      <c r="D10598" s="13">
        <v>336978</v>
      </c>
      <c r="E10598" s="13"/>
      <c r="F10598" s="14"/>
      <c r="G10598" s="14"/>
      <c r="H10598" s="14"/>
      <c r="I10598" s="14"/>
    </row>
    <row r="10599" ht="20.7" customHeight="1">
      <c r="A10599" s="10">
        <v>45852</v>
      </c>
      <c r="B10599" t="s" s="11">
        <v>8</v>
      </c>
      <c r="C10599" t="s" s="12">
        <v>8</v>
      </c>
      <c r="D10599" s="15" cm="1">
        <f t="array" ref="D10599">SUM(D10597:D10598)</f>
        <v>336978</v>
      </c>
      <c r="E10599" s="15" cm="1">
        <f t="array" ref="E10599">SUM(E10597:E10598)</f>
        <v>336978</v>
      </c>
      <c r="F10599" s="16" cm="1">
        <f t="array" ref="F10599">SUM(F10597:F10598)</f>
        <v>0</v>
      </c>
      <c r="G10599" s="16" cm="1">
        <f t="array" ref="G10599">SUM(G10597:G10598)</f>
        <v>0</v>
      </c>
      <c r="H10599" s="16" cm="1">
        <f t="array" ref="H10599">SUM(H10597:H10598)</f>
        <v>0</v>
      </c>
      <c r="I10599" s="16" cm="1">
        <f t="array" ref="I10599">SUM(I10597:I10598)</f>
        <v>0</v>
      </c>
    </row>
    <row r="10600" ht="20.65" customHeight="1">
      <c r="A10600" s="10">
        <v>45853</v>
      </c>
      <c r="B10600" t="s" s="11">
        <v>814</v>
      </c>
      <c r="C10600" t="s" s="12">
        <v>820</v>
      </c>
      <c r="D10600" s="17">
        <v>49</v>
      </c>
      <c r="E10600" s="17"/>
      <c r="F10600" s="18"/>
      <c r="G10600" s="18"/>
      <c r="H10600" s="18"/>
      <c r="I10600" s="18"/>
    </row>
    <row r="10601" ht="20.65" customHeight="1">
      <c r="A10601" s="10">
        <v>45853</v>
      </c>
      <c r="B10601" t="s" s="11">
        <v>7</v>
      </c>
      <c r="C10601" t="s" s="12">
        <v>820</v>
      </c>
      <c r="D10601" s="13"/>
      <c r="E10601" s="13">
        <v>49</v>
      </c>
      <c r="F10601" s="14"/>
      <c r="G10601" s="14"/>
      <c r="H10601" s="14"/>
      <c r="I10601" s="14"/>
    </row>
    <row r="10602" ht="20.7" customHeight="1">
      <c r="A10602" s="10">
        <v>45853</v>
      </c>
      <c r="B10602" t="s" s="11">
        <v>8</v>
      </c>
      <c r="C10602" t="s" s="12">
        <v>8</v>
      </c>
      <c r="D10602" s="15" cm="1">
        <f t="array" ref="D10602">SUM(D10600:D10601)</f>
        <v>49</v>
      </c>
      <c r="E10602" s="15" cm="1">
        <f t="array" ref="E10602">SUM(E10600:E10601)</f>
        <v>49</v>
      </c>
      <c r="F10602" s="16" cm="1">
        <f t="array" ref="F10602">SUM(F10600:F10601)</f>
        <v>0</v>
      </c>
      <c r="G10602" s="16" cm="1">
        <f t="array" ref="G10602">SUM(G10600:G10601)</f>
        <v>0</v>
      </c>
      <c r="H10602" s="16" cm="1">
        <f t="array" ref="H10602">SUM(H10600:H10601)</f>
        <v>0</v>
      </c>
      <c r="I10602" s="16" cm="1">
        <f t="array" ref="I10602">SUM(I10600:I10601)</f>
        <v>0</v>
      </c>
    </row>
    <row r="10603" ht="20.35" customHeight="1">
      <c r="A10603" s="10">
        <v>45853</v>
      </c>
      <c r="B10603" t="s" s="11">
        <v>107</v>
      </c>
      <c r="C10603" t="s" s="12">
        <v>1353</v>
      </c>
      <c r="D10603" s="17">
        <v>300000</v>
      </c>
      <c r="E10603" s="17"/>
      <c r="F10603" s="18"/>
      <c r="G10603" s="18"/>
      <c r="H10603" s="18"/>
      <c r="I10603" s="18"/>
    </row>
    <row r="10604" ht="20.35" customHeight="1">
      <c r="A10604" s="10">
        <v>45853</v>
      </c>
      <c r="B10604" t="s" s="11">
        <v>97</v>
      </c>
      <c r="C10604" t="s" s="12">
        <v>1353</v>
      </c>
      <c r="D10604" s="13"/>
      <c r="E10604" s="13">
        <v>300000</v>
      </c>
      <c r="F10604" s="14"/>
      <c r="G10604" s="14"/>
      <c r="H10604" s="14"/>
      <c r="I10604" s="14"/>
    </row>
    <row r="10605" ht="20.7" customHeight="1">
      <c r="A10605" s="10">
        <v>45853</v>
      </c>
      <c r="B10605" t="s" s="11">
        <v>8</v>
      </c>
      <c r="C10605" t="s" s="12">
        <v>8</v>
      </c>
      <c r="D10605" s="15" cm="1">
        <f t="array" ref="D10605">SUM(D10603:D10604)</f>
        <v>300000</v>
      </c>
      <c r="E10605" s="15" cm="1">
        <f t="array" ref="E10605">SUM(E10603:E10604)</f>
        <v>300000</v>
      </c>
      <c r="F10605" s="16" cm="1">
        <f t="array" ref="F10605">SUM(F10603:F10604)</f>
        <v>0</v>
      </c>
      <c r="G10605" s="16" cm="1">
        <f t="array" ref="G10605">SUM(G10603:G10604)</f>
        <v>0</v>
      </c>
      <c r="H10605" s="16" cm="1">
        <f t="array" ref="H10605">SUM(H10603:H10604)</f>
        <v>0</v>
      </c>
      <c r="I10605" s="16" cm="1">
        <f t="array" ref="I10605">SUM(I10603:I10604)</f>
        <v>0</v>
      </c>
    </row>
    <row r="10606" ht="20.65" customHeight="1">
      <c r="A10606" s="10">
        <v>45854</v>
      </c>
      <c r="B10606" t="s" s="11">
        <v>107</v>
      </c>
      <c r="C10606" t="s" s="12">
        <v>767</v>
      </c>
      <c r="D10606" s="17">
        <v>1</v>
      </c>
      <c r="E10606" s="17"/>
      <c r="F10606" s="18"/>
      <c r="G10606" s="18"/>
      <c r="H10606" s="18"/>
      <c r="I10606" s="18"/>
    </row>
    <row r="10607" ht="20.65" customHeight="1">
      <c r="A10607" s="10">
        <v>45854</v>
      </c>
      <c r="B10607" t="s" s="11">
        <v>91</v>
      </c>
      <c r="C10607" t="s" s="12">
        <v>767</v>
      </c>
      <c r="D10607" s="13"/>
      <c r="E10607" s="13">
        <v>1</v>
      </c>
      <c r="F10607" s="14"/>
      <c r="G10607" s="14"/>
      <c r="H10607" s="14"/>
      <c r="I10607" s="14"/>
    </row>
    <row r="10608" ht="20.7" customHeight="1">
      <c r="A10608" s="10">
        <v>45854</v>
      </c>
      <c r="B10608" t="s" s="11">
        <v>8</v>
      </c>
      <c r="C10608" t="s" s="12">
        <v>8</v>
      </c>
      <c r="D10608" s="15" cm="1">
        <f t="array" ref="D10608">SUM(D10606:D10607)</f>
        <v>1</v>
      </c>
      <c r="E10608" s="15" cm="1">
        <f t="array" ref="E10608">SUM(E10606:E10607)</f>
        <v>1</v>
      </c>
      <c r="F10608" s="16" cm="1">
        <f t="array" ref="F10608">SUM(F10606:F10607)</f>
        <v>0</v>
      </c>
      <c r="G10608" s="16" cm="1">
        <f t="array" ref="G10608">SUM(G10606:G10607)</f>
        <v>0</v>
      </c>
      <c r="H10608" s="16" cm="1">
        <f t="array" ref="H10608">SUM(H10606:H10607)</f>
        <v>0</v>
      </c>
      <c r="I10608" s="16" cm="1">
        <f t="array" ref="I10608">SUM(I10606:I10607)</f>
        <v>0</v>
      </c>
    </row>
    <row r="10609" ht="20.65" customHeight="1">
      <c r="A10609" s="10">
        <v>45854</v>
      </c>
      <c r="B10609" t="s" s="11">
        <v>814</v>
      </c>
      <c r="C10609" t="s" s="12">
        <v>820</v>
      </c>
      <c r="D10609" s="17">
        <v>49</v>
      </c>
      <c r="E10609" s="17"/>
      <c r="F10609" s="18"/>
      <c r="G10609" s="18"/>
      <c r="H10609" s="18"/>
      <c r="I10609" s="18"/>
    </row>
    <row r="10610" ht="20.65" customHeight="1">
      <c r="A10610" s="10">
        <v>45854</v>
      </c>
      <c r="B10610" t="s" s="11">
        <v>7</v>
      </c>
      <c r="C10610" t="s" s="12">
        <v>820</v>
      </c>
      <c r="D10610" s="13"/>
      <c r="E10610" s="13">
        <v>49</v>
      </c>
      <c r="F10610" s="14"/>
      <c r="G10610" s="14"/>
      <c r="H10610" s="14"/>
      <c r="I10610" s="14"/>
    </row>
    <row r="10611" ht="20.7" customHeight="1">
      <c r="A10611" s="10">
        <v>45854</v>
      </c>
      <c r="B10611" t="s" s="11">
        <v>8</v>
      </c>
      <c r="C10611" t="s" s="12">
        <v>8</v>
      </c>
      <c r="D10611" s="15" cm="1">
        <f t="array" ref="D10611">SUM(D10609:D10610)</f>
        <v>49</v>
      </c>
      <c r="E10611" s="15" cm="1">
        <f t="array" ref="E10611">SUM(E10609:E10610)</f>
        <v>49</v>
      </c>
      <c r="F10611" s="16" cm="1">
        <f t="array" ref="F10611">SUM(F10609:F10610)</f>
        <v>0</v>
      </c>
      <c r="G10611" s="16" cm="1">
        <f t="array" ref="G10611">SUM(G10609:G10610)</f>
        <v>0</v>
      </c>
      <c r="H10611" s="16" cm="1">
        <f t="array" ref="H10611">SUM(H10609:H10610)</f>
        <v>0</v>
      </c>
      <c r="I10611" s="16" cm="1">
        <f t="array" ref="I10611">SUM(I10609:I10610)</f>
        <v>0</v>
      </c>
    </row>
    <row r="10612" ht="20.65" customHeight="1">
      <c r="A10612" s="10">
        <v>45855</v>
      </c>
      <c r="B10612" t="s" s="11">
        <v>814</v>
      </c>
      <c r="C10612" t="s" s="12">
        <v>820</v>
      </c>
      <c r="D10612" s="17">
        <v>49</v>
      </c>
      <c r="E10612" s="17"/>
      <c r="F10612" s="18"/>
      <c r="G10612" s="18"/>
      <c r="H10612" s="18"/>
      <c r="I10612" s="18"/>
    </row>
    <row r="10613" ht="20.65" customHeight="1">
      <c r="A10613" s="10">
        <v>45855</v>
      </c>
      <c r="B10613" t="s" s="11">
        <v>7</v>
      </c>
      <c r="C10613" t="s" s="12">
        <v>820</v>
      </c>
      <c r="D10613" s="13"/>
      <c r="E10613" s="13">
        <v>49</v>
      </c>
      <c r="F10613" s="14"/>
      <c r="G10613" s="14"/>
      <c r="H10613" s="14"/>
      <c r="I10613" s="14"/>
    </row>
    <row r="10614" ht="20.7" customHeight="1">
      <c r="A10614" s="10">
        <v>45855</v>
      </c>
      <c r="B10614" t="s" s="11">
        <v>8</v>
      </c>
      <c r="C10614" t="s" s="12">
        <v>8</v>
      </c>
      <c r="D10614" s="15" cm="1">
        <f t="array" ref="D10614">SUM(D10612:D10613)</f>
        <v>49</v>
      </c>
      <c r="E10614" s="15" cm="1">
        <f t="array" ref="E10614">SUM(E10612:E10613)</f>
        <v>49</v>
      </c>
      <c r="F10614" s="16" cm="1">
        <f t="array" ref="F10614">SUM(F10612:F10613)</f>
        <v>0</v>
      </c>
      <c r="G10614" s="16" cm="1">
        <f t="array" ref="G10614">SUM(G10612:G10613)</f>
        <v>0</v>
      </c>
      <c r="H10614" s="16" cm="1">
        <f t="array" ref="H10614">SUM(H10612:H10613)</f>
        <v>0</v>
      </c>
      <c r="I10614" s="16" cm="1">
        <f t="array" ref="I10614">SUM(I10612:I10613)</f>
        <v>0</v>
      </c>
    </row>
    <row r="10615" ht="21.25" customHeight="1">
      <c r="A10615" s="10">
        <v>45855</v>
      </c>
      <c r="B10615" t="s" s="11">
        <v>822</v>
      </c>
      <c r="C10615" t="s" s="12">
        <v>1354</v>
      </c>
      <c r="D10615" s="17"/>
      <c r="E10615" s="17">
        <v>260925</v>
      </c>
      <c r="F10615" s="18"/>
      <c r="G10615" s="18"/>
      <c r="H10615" s="18"/>
      <c r="I10615" s="18"/>
    </row>
    <row r="10616" ht="20.05" customHeight="1">
      <c r="A10616" s="10">
        <v>45855</v>
      </c>
      <c r="B10616" t="s" s="11">
        <v>91</v>
      </c>
      <c r="C10616" t="s" s="12">
        <v>1355</v>
      </c>
      <c r="D10616" s="19"/>
      <c r="E10616" s="19">
        <v>18130</v>
      </c>
      <c r="F10616" s="20"/>
      <c r="G10616" s="20"/>
      <c r="H10616" s="20"/>
      <c r="I10616" s="20"/>
    </row>
    <row r="10617" ht="20.35" customHeight="1">
      <c r="A10617" s="10">
        <v>45855</v>
      </c>
      <c r="B10617" t="s" s="11">
        <v>121</v>
      </c>
      <c r="C10617" t="s" s="12">
        <v>1355</v>
      </c>
      <c r="D10617" s="13">
        <v>279055</v>
      </c>
      <c r="E10617" s="13"/>
      <c r="F10617" s="14"/>
      <c r="G10617" s="14"/>
      <c r="H10617" s="14"/>
      <c r="I10617" s="14"/>
    </row>
    <row r="10618" ht="20.7" customHeight="1">
      <c r="A10618" s="10">
        <v>45855</v>
      </c>
      <c r="B10618" t="s" s="11">
        <v>8</v>
      </c>
      <c r="C10618" t="s" s="12">
        <v>8</v>
      </c>
      <c r="D10618" s="15" cm="1">
        <f t="array" ref="D10618">SUM(D10615:D10617)</f>
        <v>279055</v>
      </c>
      <c r="E10618" s="15" cm="1">
        <f t="array" ref="E10618">SUM(E10615:E10617)</f>
        <v>279055</v>
      </c>
      <c r="F10618" s="16" cm="1">
        <f t="array" ref="F10618">SUM(F10615:F10617)</f>
        <v>0</v>
      </c>
      <c r="G10618" s="16" cm="1">
        <f t="array" ref="G10618">SUM(G10615:G10617)</f>
        <v>0</v>
      </c>
      <c r="H10618" s="16" cm="1">
        <f t="array" ref="H10618">SUM(H10615:H10617)</f>
        <v>0</v>
      </c>
      <c r="I10618" s="16" cm="1">
        <f t="array" ref="I10618">SUM(I10615:I10617)</f>
        <v>0</v>
      </c>
    </row>
    <row r="10619" ht="21.25" customHeight="1">
      <c r="A10619" s="10">
        <v>45855</v>
      </c>
      <c r="B10619" t="s" s="11">
        <v>39</v>
      </c>
      <c r="C10619" t="s" s="12">
        <v>1356</v>
      </c>
      <c r="D10619" s="17"/>
      <c r="E10619" s="17"/>
      <c r="F10619" s="18">
        <v>1</v>
      </c>
      <c r="G10619" s="18"/>
      <c r="H10619" s="18"/>
      <c r="I10619" s="18"/>
    </row>
    <row r="10620" ht="21.25" customHeight="1">
      <c r="A10620" s="10">
        <v>45855</v>
      </c>
      <c r="B10620" t="s" s="11">
        <v>63</v>
      </c>
      <c r="C10620" t="s" s="12">
        <v>1356</v>
      </c>
      <c r="D10620" s="13"/>
      <c r="E10620" s="13"/>
      <c r="F10620" s="14"/>
      <c r="G10620" s="14">
        <v>1</v>
      </c>
      <c r="H10620" s="14"/>
      <c r="I10620" s="14"/>
    </row>
    <row r="10621" ht="20.7" customHeight="1">
      <c r="A10621" s="10">
        <v>45855</v>
      </c>
      <c r="B10621" t="s" s="11">
        <v>8</v>
      </c>
      <c r="C10621" t="s" s="12">
        <v>8</v>
      </c>
      <c r="D10621" s="15" cm="1">
        <f t="array" ref="D10621">SUM(D10619:D10620)</f>
        <v>0</v>
      </c>
      <c r="E10621" s="15" cm="1">
        <f t="array" ref="E10621">SUM(E10619:E10620)</f>
        <v>0</v>
      </c>
      <c r="F10621" s="16" cm="1">
        <f t="array" ref="F10621">SUM(F10619:F10620)</f>
        <v>1</v>
      </c>
      <c r="G10621" s="16" cm="1">
        <f t="array" ref="G10621">SUM(G10619:G10620)</f>
        <v>1</v>
      </c>
      <c r="H10621" s="16" cm="1">
        <f t="array" ref="H10621">SUM(H10619:H10620)</f>
        <v>0</v>
      </c>
      <c r="I10621" s="16" cm="1">
        <f t="array" ref="I10621">SUM(I10619:I10620)</f>
        <v>0</v>
      </c>
    </row>
    <row r="10622" ht="20.65" customHeight="1">
      <c r="A10622" s="10">
        <v>45856</v>
      </c>
      <c r="B10622" t="s" s="11">
        <v>814</v>
      </c>
      <c r="C10622" t="s" s="12">
        <v>820</v>
      </c>
      <c r="D10622" s="17">
        <v>49</v>
      </c>
      <c r="E10622" s="17"/>
      <c r="F10622" s="18"/>
      <c r="G10622" s="18"/>
      <c r="H10622" s="18"/>
      <c r="I10622" s="18"/>
    </row>
    <row r="10623" ht="20.65" customHeight="1">
      <c r="A10623" s="10">
        <v>45856</v>
      </c>
      <c r="B10623" t="s" s="11">
        <v>7</v>
      </c>
      <c r="C10623" t="s" s="12">
        <v>820</v>
      </c>
      <c r="D10623" s="13"/>
      <c r="E10623" s="13">
        <v>49</v>
      </c>
      <c r="F10623" s="14"/>
      <c r="G10623" s="14"/>
      <c r="H10623" s="14"/>
      <c r="I10623" s="14"/>
    </row>
    <row r="10624" ht="20.7" customHeight="1">
      <c r="A10624" s="10">
        <v>45856</v>
      </c>
      <c r="B10624" t="s" s="11">
        <v>8</v>
      </c>
      <c r="C10624" t="s" s="12">
        <v>8</v>
      </c>
      <c r="D10624" s="15" cm="1">
        <f t="array" ref="D10624">SUM(D10622:D10623)</f>
        <v>49</v>
      </c>
      <c r="E10624" s="15" cm="1">
        <f t="array" ref="E10624">SUM(E10622:E10623)</f>
        <v>49</v>
      </c>
      <c r="F10624" s="16" cm="1">
        <f t="array" ref="F10624">SUM(F10622:F10623)</f>
        <v>0</v>
      </c>
      <c r="G10624" s="16" cm="1">
        <f t="array" ref="G10624">SUM(G10622:G10623)</f>
        <v>0</v>
      </c>
      <c r="H10624" s="16" cm="1">
        <f t="array" ref="H10624">SUM(H10622:H10623)</f>
        <v>0</v>
      </c>
      <c r="I10624" s="16" cm="1">
        <f t="array" ref="I10624">SUM(I10622:I10623)</f>
        <v>0</v>
      </c>
    </row>
    <row r="10625" ht="20.65" customHeight="1">
      <c r="A10625" s="10">
        <v>45857</v>
      </c>
      <c r="B10625" t="s" s="11">
        <v>814</v>
      </c>
      <c r="C10625" t="s" s="12">
        <v>820</v>
      </c>
      <c r="D10625" s="17">
        <v>49</v>
      </c>
      <c r="E10625" s="17"/>
      <c r="F10625" s="18"/>
      <c r="G10625" s="18"/>
      <c r="H10625" s="18"/>
      <c r="I10625" s="18"/>
    </row>
    <row r="10626" ht="20.65" customHeight="1">
      <c r="A10626" s="10">
        <v>45857</v>
      </c>
      <c r="B10626" t="s" s="11">
        <v>7</v>
      </c>
      <c r="C10626" t="s" s="12">
        <v>820</v>
      </c>
      <c r="D10626" s="13"/>
      <c r="E10626" s="13">
        <v>49</v>
      </c>
      <c r="F10626" s="14"/>
      <c r="G10626" s="14"/>
      <c r="H10626" s="14"/>
      <c r="I10626" s="14"/>
    </row>
    <row r="10627" ht="20.7" customHeight="1">
      <c r="A10627" s="10">
        <v>45857</v>
      </c>
      <c r="B10627" t="s" s="11">
        <v>8</v>
      </c>
      <c r="C10627" t="s" s="12">
        <v>8</v>
      </c>
      <c r="D10627" s="15" cm="1">
        <f t="array" ref="D10627">SUM(D10625:D10626)</f>
        <v>49</v>
      </c>
      <c r="E10627" s="15" cm="1">
        <f t="array" ref="E10627">SUM(E10625:E10626)</f>
        <v>49</v>
      </c>
      <c r="F10627" s="16" cm="1">
        <f t="array" ref="F10627">SUM(F10625:F10626)</f>
        <v>0</v>
      </c>
      <c r="G10627" s="16" cm="1">
        <f t="array" ref="G10627">SUM(G10625:G10626)</f>
        <v>0</v>
      </c>
      <c r="H10627" s="16" cm="1">
        <f t="array" ref="H10627">SUM(H10625:H10626)</f>
        <v>0</v>
      </c>
      <c r="I10627" s="16" cm="1">
        <f t="array" ref="I10627">SUM(I10625:I10626)</f>
        <v>0</v>
      </c>
    </row>
    <row r="10628" ht="20.65" customHeight="1">
      <c r="A10628" s="10">
        <v>45858</v>
      </c>
      <c r="B10628" t="s" s="11">
        <v>814</v>
      </c>
      <c r="C10628" t="s" s="12">
        <v>820</v>
      </c>
      <c r="D10628" s="17">
        <v>49</v>
      </c>
      <c r="E10628" s="17"/>
      <c r="F10628" s="18"/>
      <c r="G10628" s="18"/>
      <c r="H10628" s="18"/>
      <c r="I10628" s="18"/>
    </row>
    <row r="10629" ht="20.65" customHeight="1">
      <c r="A10629" s="10">
        <v>45858</v>
      </c>
      <c r="B10629" t="s" s="11">
        <v>7</v>
      </c>
      <c r="C10629" t="s" s="12">
        <v>820</v>
      </c>
      <c r="D10629" s="13"/>
      <c r="E10629" s="13">
        <v>49</v>
      </c>
      <c r="F10629" s="14"/>
      <c r="G10629" s="14"/>
      <c r="H10629" s="14"/>
      <c r="I10629" s="14"/>
    </row>
    <row r="10630" ht="20.7" customHeight="1">
      <c r="A10630" s="10">
        <v>45858</v>
      </c>
      <c r="B10630" t="s" s="11">
        <v>8</v>
      </c>
      <c r="C10630" t="s" s="12">
        <v>8</v>
      </c>
      <c r="D10630" s="15" cm="1">
        <f t="array" ref="D10630">SUM(D10628:D10629)</f>
        <v>49</v>
      </c>
      <c r="E10630" s="15" cm="1">
        <f t="array" ref="E10630">SUM(E10628:E10629)</f>
        <v>49</v>
      </c>
      <c r="F10630" s="16" cm="1">
        <f t="array" ref="F10630">SUM(F10628:F10629)</f>
        <v>0</v>
      </c>
      <c r="G10630" s="16" cm="1">
        <f t="array" ref="G10630">SUM(G10628:G10629)</f>
        <v>0</v>
      </c>
      <c r="H10630" s="16" cm="1">
        <f t="array" ref="H10630">SUM(H10628:H10629)</f>
        <v>0</v>
      </c>
      <c r="I10630" s="16" cm="1">
        <f t="array" ref="I10630">SUM(I10628:I10629)</f>
        <v>0</v>
      </c>
    </row>
    <row r="10631" ht="20.35" customHeight="1">
      <c r="A10631" s="10">
        <v>45858</v>
      </c>
      <c r="B10631" t="s" s="11">
        <v>107</v>
      </c>
      <c r="C10631" t="s" s="12">
        <v>54</v>
      </c>
      <c r="D10631" s="17"/>
      <c r="E10631" s="17">
        <v>3300</v>
      </c>
      <c r="F10631" s="18"/>
      <c r="G10631" s="18"/>
      <c r="H10631" s="18"/>
      <c r="I10631" s="18"/>
    </row>
    <row r="10632" ht="20.35" customHeight="1">
      <c r="A10632" s="10">
        <v>45858</v>
      </c>
      <c r="B10632" t="s" s="11">
        <v>10</v>
      </c>
      <c r="C10632" t="s" s="12">
        <v>54</v>
      </c>
      <c r="D10632" s="13">
        <v>3300</v>
      </c>
      <c r="E10632" s="13"/>
      <c r="F10632" s="14"/>
      <c r="G10632" s="14"/>
      <c r="H10632" s="14"/>
      <c r="I10632" s="14"/>
    </row>
    <row r="10633" ht="20.7" customHeight="1">
      <c r="A10633" s="10">
        <v>45858</v>
      </c>
      <c r="B10633" t="s" s="11">
        <v>8</v>
      </c>
      <c r="C10633" t="s" s="12">
        <v>8</v>
      </c>
      <c r="D10633" s="15" cm="1">
        <f t="array" ref="D10633">SUM(D10631:D10632)</f>
        <v>3300</v>
      </c>
      <c r="E10633" s="15" cm="1">
        <f t="array" ref="E10633">SUM(E10631:E10632)</f>
        <v>3300</v>
      </c>
      <c r="F10633" s="16" cm="1">
        <f t="array" ref="F10633">SUM(F10631:F10632)</f>
        <v>0</v>
      </c>
      <c r="G10633" s="16" cm="1">
        <f t="array" ref="G10633">SUM(G10631:G10632)</f>
        <v>0</v>
      </c>
      <c r="H10633" s="16" cm="1">
        <f t="array" ref="H10633">SUM(H10631:H10632)</f>
        <v>0</v>
      </c>
      <c r="I10633" s="16" cm="1">
        <f t="array" ref="I10633">SUM(I10631:I10632)</f>
        <v>0</v>
      </c>
    </row>
    <row r="10634" ht="20.35" customHeight="1">
      <c r="A10634" s="10">
        <v>45858</v>
      </c>
      <c r="B10634" t="s" s="11">
        <v>1155</v>
      </c>
      <c r="C10634" t="s" s="12">
        <v>420</v>
      </c>
      <c r="D10634" s="17"/>
      <c r="E10634" s="17"/>
      <c r="F10634" s="18"/>
      <c r="G10634" s="18"/>
      <c r="H10634" s="18">
        <v>1290</v>
      </c>
      <c r="I10634" s="18"/>
    </row>
    <row r="10635" ht="20.35" customHeight="1">
      <c r="A10635" s="10">
        <v>45858</v>
      </c>
      <c r="B10635" t="s" s="11">
        <v>1357</v>
      </c>
      <c r="C10635" t="s" s="12">
        <v>420</v>
      </c>
      <c r="D10635" s="13"/>
      <c r="E10635" s="13"/>
      <c r="F10635" s="14"/>
      <c r="G10635" s="14"/>
      <c r="H10635" s="14"/>
      <c r="I10635" s="14">
        <v>1290</v>
      </c>
    </row>
    <row r="10636" ht="20.7" customHeight="1">
      <c r="A10636" s="10">
        <v>45858</v>
      </c>
      <c r="B10636" t="s" s="11">
        <v>8</v>
      </c>
      <c r="C10636" t="s" s="12">
        <v>8</v>
      </c>
      <c r="D10636" s="15" cm="1">
        <f t="array" ref="D10636">SUM(D10634:D10635)</f>
        <v>0</v>
      </c>
      <c r="E10636" s="15" cm="1">
        <f t="array" ref="E10636">SUM(E10634:E10635)</f>
        <v>0</v>
      </c>
      <c r="F10636" s="16" cm="1">
        <f t="array" ref="F10636">SUM(F10634:F10635)</f>
        <v>0</v>
      </c>
      <c r="G10636" s="16" cm="1">
        <f t="array" ref="G10636">SUM(G10634:G10635)</f>
        <v>0</v>
      </c>
      <c r="H10636" s="16" cm="1">
        <f t="array" ref="H10636">SUM(H10634:H10635)</f>
        <v>1290</v>
      </c>
      <c r="I10636" s="16" cm="1">
        <f t="array" ref="I10636">SUM(I10634:I10635)</f>
        <v>1290</v>
      </c>
    </row>
    <row r="10637" ht="21.25" customHeight="1">
      <c r="A10637" s="10">
        <v>45858</v>
      </c>
      <c r="B10637" t="s" s="11">
        <v>107</v>
      </c>
      <c r="C10637" t="s" s="12">
        <v>1358</v>
      </c>
      <c r="D10637" s="17"/>
      <c r="E10637" s="17">
        <v>22500</v>
      </c>
      <c r="F10637" s="18"/>
      <c r="G10637" s="18"/>
      <c r="H10637" s="18"/>
      <c r="I10637" s="18"/>
    </row>
    <row r="10638" ht="20.9" customHeight="1">
      <c r="A10638" s="10">
        <v>45858</v>
      </c>
      <c r="B10638" t="s" s="11">
        <v>12</v>
      </c>
      <c r="C10638" t="s" s="12">
        <v>1358</v>
      </c>
      <c r="D10638" s="19">
        <v>11250</v>
      </c>
      <c r="E10638" s="19"/>
      <c r="F10638" s="20"/>
      <c r="G10638" s="20"/>
      <c r="H10638" s="20"/>
      <c r="I10638" s="20"/>
    </row>
    <row r="10639" ht="21.25" customHeight="1">
      <c r="A10639" s="10">
        <v>45858</v>
      </c>
      <c r="B10639" t="s" s="11">
        <v>10</v>
      </c>
      <c r="C10639" t="s" s="12">
        <v>1358</v>
      </c>
      <c r="D10639" s="13">
        <v>11250</v>
      </c>
      <c r="E10639" s="13"/>
      <c r="F10639" s="14"/>
      <c r="G10639" s="14"/>
      <c r="H10639" s="14"/>
      <c r="I10639" s="14"/>
    </row>
    <row r="10640" ht="20.7" customHeight="1">
      <c r="A10640" s="10">
        <v>45858</v>
      </c>
      <c r="B10640" t="s" s="11">
        <v>8</v>
      </c>
      <c r="C10640" t="s" s="12">
        <v>8</v>
      </c>
      <c r="D10640" s="15" cm="1">
        <f t="array" ref="D10640">SUM(D10637:D10639)</f>
        <v>22500</v>
      </c>
      <c r="E10640" s="15" cm="1">
        <f t="array" ref="E10640">SUM(E10637:E10639)</f>
        <v>22500</v>
      </c>
      <c r="F10640" s="16" cm="1">
        <f t="array" ref="F10640">SUM(F10637:F10639)</f>
        <v>0</v>
      </c>
      <c r="G10640" s="16" cm="1">
        <f t="array" ref="G10640">SUM(G10637:G10639)</f>
        <v>0</v>
      </c>
      <c r="H10640" s="16" cm="1">
        <f t="array" ref="H10640">SUM(H10637:H10639)</f>
        <v>0</v>
      </c>
      <c r="I10640" s="16" cm="1">
        <f t="array" ref="I10640">SUM(I10637:I10639)</f>
        <v>0</v>
      </c>
    </row>
    <row r="10641" ht="20.65" customHeight="1">
      <c r="A10641" s="10">
        <v>45859</v>
      </c>
      <c r="B10641" t="s" s="11">
        <v>107</v>
      </c>
      <c r="C10641" t="s" s="12">
        <v>1359</v>
      </c>
      <c r="D10641" s="17"/>
      <c r="E10641" s="17">
        <v>14000</v>
      </c>
      <c r="F10641" s="18"/>
      <c r="G10641" s="18"/>
      <c r="H10641" s="18"/>
      <c r="I10641" s="18"/>
    </row>
    <row r="10642" ht="20.65" customHeight="1">
      <c r="A10642" s="10">
        <v>45859</v>
      </c>
      <c r="B10642" t="s" s="11">
        <v>12</v>
      </c>
      <c r="C10642" t="s" s="12">
        <v>1359</v>
      </c>
      <c r="D10642" s="13">
        <v>14000</v>
      </c>
      <c r="E10642" s="13"/>
      <c r="F10642" s="14"/>
      <c r="G10642" s="14"/>
      <c r="H10642" s="14"/>
      <c r="I10642" s="14"/>
    </row>
    <row r="10643" ht="20.7" customHeight="1">
      <c r="A10643" s="10">
        <v>45859</v>
      </c>
      <c r="B10643" t="s" s="11">
        <v>8</v>
      </c>
      <c r="C10643" t="s" s="12">
        <v>8</v>
      </c>
      <c r="D10643" s="15" cm="1">
        <f t="array" ref="D10643">SUM(D10641:D10642)</f>
        <v>14000</v>
      </c>
      <c r="E10643" s="15" cm="1">
        <f t="array" ref="E10643">SUM(E10641:E10642)</f>
        <v>14000</v>
      </c>
      <c r="F10643" s="16" cm="1">
        <f t="array" ref="F10643">SUM(F10641:F10642)</f>
        <v>0</v>
      </c>
      <c r="G10643" s="16" cm="1">
        <f t="array" ref="G10643">SUM(G10641:G10642)</f>
        <v>0</v>
      </c>
      <c r="H10643" s="16" cm="1">
        <f t="array" ref="H10643">SUM(H10641:H10642)</f>
        <v>0</v>
      </c>
      <c r="I10643" s="16" cm="1">
        <f t="array" ref="I10643">SUM(I10641:I10642)</f>
        <v>0</v>
      </c>
    </row>
    <row r="10644" ht="20.65" customHeight="1">
      <c r="A10644" s="10">
        <v>45859</v>
      </c>
      <c r="B10644" t="s" s="11">
        <v>814</v>
      </c>
      <c r="C10644" t="s" s="12">
        <v>820</v>
      </c>
      <c r="D10644" s="17">
        <v>49</v>
      </c>
      <c r="E10644" s="17"/>
      <c r="F10644" s="18"/>
      <c r="G10644" s="18"/>
      <c r="H10644" s="18"/>
      <c r="I10644" s="18"/>
    </row>
    <row r="10645" ht="20.65" customHeight="1">
      <c r="A10645" s="10">
        <v>45859</v>
      </c>
      <c r="B10645" t="s" s="11">
        <v>7</v>
      </c>
      <c r="C10645" t="s" s="12">
        <v>820</v>
      </c>
      <c r="D10645" s="13"/>
      <c r="E10645" s="13">
        <v>49</v>
      </c>
      <c r="F10645" s="14"/>
      <c r="G10645" s="14"/>
      <c r="H10645" s="14"/>
      <c r="I10645" s="14"/>
    </row>
    <row r="10646" ht="20.7" customHeight="1">
      <c r="A10646" s="10">
        <v>45859</v>
      </c>
      <c r="B10646" t="s" s="11">
        <v>8</v>
      </c>
      <c r="C10646" t="s" s="12">
        <v>8</v>
      </c>
      <c r="D10646" s="15" cm="1">
        <f t="array" ref="D10646">SUM(D10644:D10645)</f>
        <v>49</v>
      </c>
      <c r="E10646" s="15" cm="1">
        <f t="array" ref="E10646">SUM(E10644:E10645)</f>
        <v>49</v>
      </c>
      <c r="F10646" s="16" cm="1">
        <f t="array" ref="F10646">SUM(F10644:F10645)</f>
        <v>0</v>
      </c>
      <c r="G10646" s="16" cm="1">
        <f t="array" ref="G10646">SUM(G10644:G10645)</f>
        <v>0</v>
      </c>
      <c r="H10646" s="16" cm="1">
        <f t="array" ref="H10646">SUM(H10644:H10645)</f>
        <v>0</v>
      </c>
      <c r="I10646" s="16" cm="1">
        <f t="array" ref="I10646">SUM(I10644:I10645)</f>
        <v>0</v>
      </c>
    </row>
    <row r="10647" ht="21.25" customHeight="1">
      <c r="A10647" s="10">
        <v>45859</v>
      </c>
      <c r="B10647" t="s" s="11">
        <v>16</v>
      </c>
      <c r="C10647" t="s" s="12">
        <v>1327</v>
      </c>
      <c r="D10647" s="17">
        <v>4650</v>
      </c>
      <c r="E10647" s="17"/>
      <c r="F10647" s="18"/>
      <c r="G10647" s="18"/>
      <c r="H10647" s="18"/>
      <c r="I10647" s="18"/>
    </row>
    <row r="10648" ht="21.25" customHeight="1">
      <c r="A10648" s="10">
        <v>45859</v>
      </c>
      <c r="B10648" t="s" s="11">
        <v>21</v>
      </c>
      <c r="C10648" t="s" s="12">
        <v>1327</v>
      </c>
      <c r="D10648" s="13"/>
      <c r="E10648" s="13">
        <v>4650</v>
      </c>
      <c r="F10648" s="14"/>
      <c r="G10648" s="14"/>
      <c r="H10648" s="14"/>
      <c r="I10648" s="14"/>
    </row>
    <row r="10649" ht="20.7" customHeight="1">
      <c r="A10649" s="10">
        <v>45859</v>
      </c>
      <c r="B10649" t="s" s="11">
        <v>8</v>
      </c>
      <c r="C10649" t="s" s="12">
        <v>8</v>
      </c>
      <c r="D10649" s="15" cm="1">
        <f t="array" ref="D10649">SUM(D10647:D10648)</f>
        <v>4650</v>
      </c>
      <c r="E10649" s="15" cm="1">
        <f t="array" ref="E10649">SUM(E10647:E10648)</f>
        <v>4650</v>
      </c>
      <c r="F10649" s="16" cm="1">
        <f t="array" ref="F10649">SUM(F10647:F10648)</f>
        <v>0</v>
      </c>
      <c r="G10649" s="16" cm="1">
        <f t="array" ref="G10649">SUM(G10647:G10648)</f>
        <v>0</v>
      </c>
      <c r="H10649" s="16" cm="1">
        <f t="array" ref="H10649">SUM(H10647:H10648)</f>
        <v>0</v>
      </c>
      <c r="I10649" s="16" cm="1">
        <f t="array" ref="I10649">SUM(I10647:I10648)</f>
        <v>0</v>
      </c>
    </row>
    <row r="10650" ht="20.65" customHeight="1">
      <c r="A10650" s="10">
        <v>45859</v>
      </c>
      <c r="B10650" t="s" s="11">
        <v>121</v>
      </c>
      <c r="C10650" t="s" s="12">
        <v>896</v>
      </c>
      <c r="D10650" s="17">
        <v>2530</v>
      </c>
      <c r="E10650" s="17"/>
      <c r="F10650" s="18"/>
      <c r="G10650" s="18"/>
      <c r="H10650" s="18"/>
      <c r="I10650" s="18"/>
    </row>
    <row r="10651" ht="20.65" customHeight="1">
      <c r="A10651" s="10">
        <v>45859</v>
      </c>
      <c r="B10651" t="s" s="11">
        <v>10</v>
      </c>
      <c r="C10651" t="s" s="12">
        <v>896</v>
      </c>
      <c r="D10651" s="13"/>
      <c r="E10651" s="13">
        <v>2530</v>
      </c>
      <c r="F10651" s="14"/>
      <c r="G10651" s="14"/>
      <c r="H10651" s="14"/>
      <c r="I10651" s="14"/>
    </row>
    <row r="10652" ht="20.7" customHeight="1">
      <c r="A10652" s="10">
        <v>45859</v>
      </c>
      <c r="B10652" t="s" s="11">
        <v>8</v>
      </c>
      <c r="C10652" t="s" s="12">
        <v>8</v>
      </c>
      <c r="D10652" s="15" cm="1">
        <f t="array" ref="D10652">SUM(D10650:D10651)</f>
        <v>2530</v>
      </c>
      <c r="E10652" s="15" cm="1">
        <f t="array" ref="E10652">SUM(E10650:E10651)</f>
        <v>2530</v>
      </c>
      <c r="F10652" s="16" cm="1">
        <f t="array" ref="F10652">SUM(F10650:F10651)</f>
        <v>0</v>
      </c>
      <c r="G10652" s="16" cm="1">
        <f t="array" ref="G10652">SUM(G10650:G10651)</f>
        <v>0</v>
      </c>
      <c r="H10652" s="16" cm="1">
        <f t="array" ref="H10652">SUM(H10650:H10651)</f>
        <v>0</v>
      </c>
      <c r="I10652" s="16" cm="1">
        <f t="array" ref="I10652">SUM(I10650:I10651)</f>
        <v>0</v>
      </c>
    </row>
    <row r="10653" ht="20.35" customHeight="1">
      <c r="A10653" s="10">
        <v>45859</v>
      </c>
      <c r="B10653" t="s" s="11">
        <v>107</v>
      </c>
      <c r="C10653" t="s" s="12">
        <v>1328</v>
      </c>
      <c r="D10653" s="17"/>
      <c r="E10653" s="17">
        <v>11074</v>
      </c>
      <c r="F10653" s="18"/>
      <c r="G10653" s="18"/>
      <c r="H10653" s="18"/>
      <c r="I10653" s="18"/>
    </row>
    <row r="10654" ht="20.35" customHeight="1">
      <c r="A10654" s="10">
        <v>45859</v>
      </c>
      <c r="B10654" t="s" s="11">
        <v>16</v>
      </c>
      <c r="C10654" t="s" s="12">
        <v>1328</v>
      </c>
      <c r="D10654" s="13">
        <v>11074</v>
      </c>
      <c r="E10654" s="13"/>
      <c r="F10654" s="14"/>
      <c r="G10654" s="14"/>
      <c r="H10654" s="14"/>
      <c r="I10654" s="14"/>
    </row>
    <row r="10655" ht="20.7" customHeight="1">
      <c r="A10655" s="10">
        <v>45859</v>
      </c>
      <c r="B10655" t="s" s="11">
        <v>8</v>
      </c>
      <c r="C10655" t="s" s="12">
        <v>8</v>
      </c>
      <c r="D10655" s="15" cm="1">
        <f t="array" ref="D10655">SUM(D10653:D10654)</f>
        <v>11074</v>
      </c>
      <c r="E10655" s="15" cm="1">
        <f t="array" ref="E10655">SUM(E10653:E10654)</f>
        <v>11074</v>
      </c>
      <c r="F10655" s="16" cm="1">
        <f t="array" ref="F10655">SUM(F10653:F10654)</f>
        <v>0</v>
      </c>
      <c r="G10655" s="16" cm="1">
        <f t="array" ref="G10655">SUM(G10653:G10654)</f>
        <v>0</v>
      </c>
      <c r="H10655" s="16" cm="1">
        <f t="array" ref="H10655">SUM(H10653:H10654)</f>
        <v>0</v>
      </c>
      <c r="I10655" s="16" cm="1">
        <f t="array" ref="I10655">SUM(I10653:I10654)</f>
        <v>0</v>
      </c>
    </row>
    <row r="10656" ht="20.35" customHeight="1">
      <c r="A10656" s="10">
        <v>45859</v>
      </c>
      <c r="B10656" t="s" s="11">
        <v>1155</v>
      </c>
      <c r="C10656" t="s" s="12">
        <v>1360</v>
      </c>
      <c r="D10656" s="17"/>
      <c r="E10656" s="17"/>
      <c r="F10656" s="18"/>
      <c r="G10656" s="18"/>
      <c r="H10656" s="18"/>
      <c r="I10656" s="18">
        <v>185</v>
      </c>
    </row>
    <row r="10657" ht="20.35" customHeight="1">
      <c r="A10657" s="10">
        <v>45859</v>
      </c>
      <c r="B10657" t="s" s="11">
        <v>1191</v>
      </c>
      <c r="C10657" t="s" s="12">
        <v>1360</v>
      </c>
      <c r="D10657" s="13"/>
      <c r="E10657" s="13"/>
      <c r="F10657" s="14"/>
      <c r="G10657" s="14"/>
      <c r="H10657" s="14">
        <v>185</v>
      </c>
      <c r="I10657" s="14"/>
    </row>
    <row r="10658" ht="20.7" customHeight="1">
      <c r="A10658" s="10">
        <v>45859</v>
      </c>
      <c r="B10658" t="s" s="11">
        <v>8</v>
      </c>
      <c r="C10658" t="s" s="12">
        <v>8</v>
      </c>
      <c r="D10658" s="15" cm="1">
        <f t="array" ref="D10658">SUM(D10656:D10657)</f>
        <v>0</v>
      </c>
      <c r="E10658" s="15" cm="1">
        <f t="array" ref="E10658">SUM(E10656:E10657)</f>
        <v>0</v>
      </c>
      <c r="F10658" s="16" cm="1">
        <f t="array" ref="F10658">SUM(F10656:F10657)</f>
        <v>0</v>
      </c>
      <c r="G10658" s="16" cm="1">
        <f t="array" ref="G10658">SUM(G10656:G10657)</f>
        <v>0</v>
      </c>
      <c r="H10658" s="16" cm="1">
        <f t="array" ref="H10658">SUM(H10656:H10657)</f>
        <v>185</v>
      </c>
      <c r="I10658" s="16" cm="1">
        <f t="array" ref="I10658">SUM(I10656:I10657)</f>
        <v>185</v>
      </c>
    </row>
    <row r="10659" ht="20.35" customHeight="1">
      <c r="A10659" s="10">
        <v>45859</v>
      </c>
      <c r="B10659" t="s" s="11">
        <v>1155</v>
      </c>
      <c r="C10659" t="s" s="12">
        <v>1361</v>
      </c>
      <c r="D10659" s="17"/>
      <c r="E10659" s="17"/>
      <c r="F10659" s="18"/>
      <c r="G10659" s="18"/>
      <c r="H10659" s="18"/>
      <c r="I10659" s="18">
        <v>100</v>
      </c>
    </row>
    <row r="10660" ht="20.35" customHeight="1">
      <c r="A10660" s="10">
        <v>45859</v>
      </c>
      <c r="B10660" t="s" s="11">
        <v>1230</v>
      </c>
      <c r="C10660" t="s" s="12">
        <v>1361</v>
      </c>
      <c r="D10660" s="13"/>
      <c r="E10660" s="13"/>
      <c r="F10660" s="14"/>
      <c r="G10660" s="14"/>
      <c r="H10660" s="14">
        <v>100</v>
      </c>
      <c r="I10660" s="14"/>
    </row>
    <row r="10661" ht="20.7" customHeight="1">
      <c r="A10661" s="10">
        <v>45859</v>
      </c>
      <c r="B10661" t="s" s="11">
        <v>8</v>
      </c>
      <c r="C10661" t="s" s="12">
        <v>8</v>
      </c>
      <c r="D10661" s="15" cm="1">
        <f t="array" ref="D10661">SUM(D10659:D10660)</f>
        <v>0</v>
      </c>
      <c r="E10661" s="15" cm="1">
        <f t="array" ref="E10661">SUM(E10659:E10660)</f>
        <v>0</v>
      </c>
      <c r="F10661" s="16" cm="1">
        <f t="array" ref="F10661">SUM(F10659:F10660)</f>
        <v>0</v>
      </c>
      <c r="G10661" s="16" cm="1">
        <f t="array" ref="G10661">SUM(G10659:G10660)</f>
        <v>0</v>
      </c>
      <c r="H10661" s="16" cm="1">
        <f t="array" ref="H10661">SUM(H10659:H10660)</f>
        <v>100</v>
      </c>
      <c r="I10661" s="16" cm="1">
        <f t="array" ref="I10661">SUM(I10659:I10660)</f>
        <v>100</v>
      </c>
    </row>
    <row r="10662" ht="20.35" customHeight="1">
      <c r="A10662" s="10">
        <v>45859</v>
      </c>
      <c r="B10662" t="s" s="11">
        <v>1155</v>
      </c>
      <c r="C10662" t="s" s="12">
        <v>1361</v>
      </c>
      <c r="D10662" s="17"/>
      <c r="E10662" s="17"/>
      <c r="F10662" s="18"/>
      <c r="G10662" s="18"/>
      <c r="H10662" s="18">
        <v>100</v>
      </c>
      <c r="I10662" s="18"/>
    </row>
    <row r="10663" ht="20.35" customHeight="1">
      <c r="A10663" s="10">
        <v>45859</v>
      </c>
      <c r="B10663" t="s" s="11">
        <v>1230</v>
      </c>
      <c r="C10663" t="s" s="12">
        <v>1361</v>
      </c>
      <c r="D10663" s="13"/>
      <c r="E10663" s="13"/>
      <c r="F10663" s="14"/>
      <c r="G10663" s="14"/>
      <c r="H10663" s="14"/>
      <c r="I10663" s="14">
        <v>100</v>
      </c>
    </row>
    <row r="10664" ht="20.7" customHeight="1">
      <c r="A10664" s="10">
        <v>45859</v>
      </c>
      <c r="B10664" t="s" s="11">
        <v>8</v>
      </c>
      <c r="C10664" t="s" s="12">
        <v>8</v>
      </c>
      <c r="D10664" s="15" cm="1">
        <f t="array" ref="D10664">SUM(D10662:D10663)</f>
        <v>0</v>
      </c>
      <c r="E10664" s="15" cm="1">
        <f t="array" ref="E10664">SUM(E10662:E10663)</f>
        <v>0</v>
      </c>
      <c r="F10664" s="16" cm="1">
        <f t="array" ref="F10664">SUM(F10662:F10663)</f>
        <v>0</v>
      </c>
      <c r="G10664" s="16" cm="1">
        <f t="array" ref="G10664">SUM(G10662:G10663)</f>
        <v>0</v>
      </c>
      <c r="H10664" s="16" cm="1">
        <f t="array" ref="H10664">SUM(H10662:H10663)</f>
        <v>100</v>
      </c>
      <c r="I10664" s="16" cm="1">
        <f t="array" ref="I10664">SUM(I10662:I10663)</f>
        <v>100</v>
      </c>
    </row>
    <row r="10665" ht="20.35" customHeight="1">
      <c r="A10665" s="10">
        <v>45859</v>
      </c>
      <c r="B10665" t="s" s="11">
        <v>1155</v>
      </c>
      <c r="C10665" t="s" s="12">
        <v>1362</v>
      </c>
      <c r="D10665" s="17"/>
      <c r="E10665" s="17"/>
      <c r="F10665" s="18"/>
      <c r="G10665" s="18"/>
      <c r="H10665" s="18"/>
      <c r="I10665" s="18">
        <v>159</v>
      </c>
    </row>
    <row r="10666" ht="20.35" customHeight="1">
      <c r="A10666" s="10">
        <v>45859</v>
      </c>
      <c r="B10666" t="s" s="11">
        <v>1191</v>
      </c>
      <c r="C10666" t="s" s="12">
        <v>1362</v>
      </c>
      <c r="D10666" s="13"/>
      <c r="E10666" s="13"/>
      <c r="F10666" s="14"/>
      <c r="G10666" s="14"/>
      <c r="H10666" s="14">
        <v>159</v>
      </c>
      <c r="I10666" s="14"/>
    </row>
    <row r="10667" ht="20.7" customHeight="1">
      <c r="A10667" s="10">
        <v>45859</v>
      </c>
      <c r="B10667" t="s" s="11">
        <v>8</v>
      </c>
      <c r="C10667" t="s" s="12">
        <v>8</v>
      </c>
      <c r="D10667" s="15" cm="1">
        <f t="array" ref="D10667">SUM(D10665:D10666)</f>
        <v>0</v>
      </c>
      <c r="E10667" s="15" cm="1">
        <f t="array" ref="E10667">SUM(E10665:E10666)</f>
        <v>0</v>
      </c>
      <c r="F10667" s="16" cm="1">
        <f t="array" ref="F10667">SUM(F10665:F10666)</f>
        <v>0</v>
      </c>
      <c r="G10667" s="16" cm="1">
        <f t="array" ref="G10667">SUM(G10665:G10666)</f>
        <v>0</v>
      </c>
      <c r="H10667" s="16" cm="1">
        <f t="array" ref="H10667">SUM(H10665:H10666)</f>
        <v>159</v>
      </c>
      <c r="I10667" s="16" cm="1">
        <f t="array" ref="I10667">SUM(I10665:I10666)</f>
        <v>159</v>
      </c>
    </row>
    <row r="10668" ht="20.35" customHeight="1">
      <c r="A10668" s="10">
        <v>45859</v>
      </c>
      <c r="B10668" t="s" s="11">
        <v>1155</v>
      </c>
      <c r="C10668" t="s" s="12">
        <v>695</v>
      </c>
      <c r="D10668" s="17"/>
      <c r="E10668" s="17"/>
      <c r="F10668" s="18"/>
      <c r="G10668" s="18"/>
      <c r="H10668" s="18"/>
      <c r="I10668" s="18">
        <v>120</v>
      </c>
    </row>
    <row r="10669" ht="20.35" customHeight="1">
      <c r="A10669" s="10">
        <v>45859</v>
      </c>
      <c r="B10669" t="s" s="11">
        <v>1191</v>
      </c>
      <c r="C10669" t="s" s="12">
        <v>695</v>
      </c>
      <c r="D10669" s="13"/>
      <c r="E10669" s="13"/>
      <c r="F10669" s="14"/>
      <c r="G10669" s="14"/>
      <c r="H10669" s="14">
        <v>120</v>
      </c>
      <c r="I10669" s="14"/>
    </row>
    <row r="10670" ht="20.7" customHeight="1">
      <c r="A10670" s="10">
        <v>45859</v>
      </c>
      <c r="B10670" t="s" s="11">
        <v>8</v>
      </c>
      <c r="C10670" t="s" s="12">
        <v>8</v>
      </c>
      <c r="D10670" s="15" cm="1">
        <f t="array" ref="D10670">SUM(D10668:D10669)</f>
        <v>0</v>
      </c>
      <c r="E10670" s="15" cm="1">
        <f t="array" ref="E10670">SUM(E10668:E10669)</f>
        <v>0</v>
      </c>
      <c r="F10670" s="16" cm="1">
        <f t="array" ref="F10670">SUM(F10668:F10669)</f>
        <v>0</v>
      </c>
      <c r="G10670" s="16" cm="1">
        <f t="array" ref="G10670">SUM(G10668:G10669)</f>
        <v>0</v>
      </c>
      <c r="H10670" s="16" cm="1">
        <f t="array" ref="H10670">SUM(H10668:H10669)</f>
        <v>120</v>
      </c>
      <c r="I10670" s="16" cm="1">
        <f t="array" ref="I10670">SUM(I10668:I10669)</f>
        <v>120</v>
      </c>
    </row>
    <row r="10671" ht="20.35" customHeight="1">
      <c r="A10671" s="10">
        <v>45859</v>
      </c>
      <c r="B10671" t="s" s="11">
        <v>1155</v>
      </c>
      <c r="C10671" t="s" s="12">
        <v>1363</v>
      </c>
      <c r="D10671" s="17"/>
      <c r="E10671" s="17"/>
      <c r="F10671" s="18"/>
      <c r="G10671" s="18"/>
      <c r="H10671" s="18"/>
      <c r="I10671" s="18">
        <v>5</v>
      </c>
    </row>
    <row r="10672" ht="20.35" customHeight="1">
      <c r="A10672" s="10">
        <v>45859</v>
      </c>
      <c r="B10672" t="s" s="11">
        <v>1191</v>
      </c>
      <c r="C10672" t="s" s="12">
        <v>1363</v>
      </c>
      <c r="D10672" s="13"/>
      <c r="E10672" s="13"/>
      <c r="F10672" s="14"/>
      <c r="G10672" s="14"/>
      <c r="H10672" s="14">
        <v>5</v>
      </c>
      <c r="I10672" s="14"/>
    </row>
    <row r="10673" ht="20.7" customHeight="1">
      <c r="A10673" s="10">
        <v>45859</v>
      </c>
      <c r="B10673" t="s" s="11">
        <v>8</v>
      </c>
      <c r="C10673" t="s" s="12">
        <v>8</v>
      </c>
      <c r="D10673" s="15" cm="1">
        <f t="array" ref="D10673">SUM(D10671:D10672)</f>
        <v>0</v>
      </c>
      <c r="E10673" s="15" cm="1">
        <f t="array" ref="E10673">SUM(E10671:E10672)</f>
        <v>0</v>
      </c>
      <c r="F10673" s="16" cm="1">
        <f t="array" ref="F10673">SUM(F10671:F10672)</f>
        <v>0</v>
      </c>
      <c r="G10673" s="16" cm="1">
        <f t="array" ref="G10673">SUM(G10671:G10672)</f>
        <v>0</v>
      </c>
      <c r="H10673" s="16" cm="1">
        <f t="array" ref="H10673">SUM(H10671:H10672)</f>
        <v>5</v>
      </c>
      <c r="I10673" s="16" cm="1">
        <f t="array" ref="I10673">SUM(I10671:I10672)</f>
        <v>5</v>
      </c>
    </row>
    <row r="10674" ht="20.35" customHeight="1">
      <c r="A10674" s="10">
        <v>45859</v>
      </c>
      <c r="B10674" t="s" s="11">
        <v>1155</v>
      </c>
      <c r="C10674" t="s" s="12">
        <v>1364</v>
      </c>
      <c r="D10674" s="17"/>
      <c r="E10674" s="17"/>
      <c r="F10674" s="18"/>
      <c r="G10674" s="18"/>
      <c r="H10674" s="18"/>
      <c r="I10674" s="18">
        <v>107</v>
      </c>
    </row>
    <row r="10675" ht="20.35" customHeight="1">
      <c r="A10675" s="10">
        <v>45859</v>
      </c>
      <c r="B10675" t="s" s="11">
        <v>1191</v>
      </c>
      <c r="C10675" t="s" s="12">
        <v>1364</v>
      </c>
      <c r="D10675" s="13"/>
      <c r="E10675" s="13"/>
      <c r="F10675" s="14"/>
      <c r="G10675" s="14"/>
      <c r="H10675" s="14">
        <v>107</v>
      </c>
      <c r="I10675" s="14"/>
    </row>
    <row r="10676" ht="20.7" customHeight="1">
      <c r="A10676" s="10">
        <v>45859</v>
      </c>
      <c r="B10676" t="s" s="11">
        <v>8</v>
      </c>
      <c r="C10676" t="s" s="12">
        <v>8</v>
      </c>
      <c r="D10676" s="15" cm="1">
        <f t="array" ref="D10676">SUM(D10674:D10675)</f>
        <v>0</v>
      </c>
      <c r="E10676" s="15" cm="1">
        <f t="array" ref="E10676">SUM(E10674:E10675)</f>
        <v>0</v>
      </c>
      <c r="F10676" s="16" cm="1">
        <f t="array" ref="F10676">SUM(F10674:F10675)</f>
        <v>0</v>
      </c>
      <c r="G10676" s="16" cm="1">
        <f t="array" ref="G10676">SUM(G10674:G10675)</f>
        <v>0</v>
      </c>
      <c r="H10676" s="16" cm="1">
        <f t="array" ref="H10676">SUM(H10674:H10675)</f>
        <v>107</v>
      </c>
      <c r="I10676" s="16" cm="1">
        <f t="array" ref="I10676">SUM(I10674:I10675)</f>
        <v>107</v>
      </c>
    </row>
    <row r="10677" ht="20.35" customHeight="1">
      <c r="A10677" s="10">
        <v>45859</v>
      </c>
      <c r="B10677" t="s" s="11">
        <v>1155</v>
      </c>
      <c r="C10677" t="s" s="12">
        <v>1365</v>
      </c>
      <c r="D10677" s="17"/>
      <c r="E10677" s="17"/>
      <c r="F10677" s="18"/>
      <c r="G10677" s="18"/>
      <c r="H10677" s="18"/>
      <c r="I10677" s="18">
        <v>19.6</v>
      </c>
    </row>
    <row r="10678" ht="20.35" customHeight="1">
      <c r="A10678" s="10">
        <v>45859</v>
      </c>
      <c r="B10678" t="s" s="11">
        <v>1191</v>
      </c>
      <c r="C10678" t="s" s="12">
        <v>1365</v>
      </c>
      <c r="D10678" s="13"/>
      <c r="E10678" s="13"/>
      <c r="F10678" s="14"/>
      <c r="G10678" s="14"/>
      <c r="H10678" s="14">
        <v>19.6</v>
      </c>
      <c r="I10678" s="14"/>
    </row>
    <row r="10679" ht="20.7" customHeight="1">
      <c r="A10679" s="10">
        <v>45859</v>
      </c>
      <c r="B10679" t="s" s="11">
        <v>8</v>
      </c>
      <c r="C10679" t="s" s="12">
        <v>8</v>
      </c>
      <c r="D10679" s="15" cm="1">
        <f t="array" ref="D10679">SUM(D10677:D10678)</f>
        <v>0</v>
      </c>
      <c r="E10679" s="15" cm="1">
        <f t="array" ref="E10679">SUM(E10677:E10678)</f>
        <v>0</v>
      </c>
      <c r="F10679" s="16" cm="1">
        <f t="array" ref="F10679">SUM(F10677:F10678)</f>
        <v>0</v>
      </c>
      <c r="G10679" s="16" cm="1">
        <f t="array" ref="G10679">SUM(G10677:G10678)</f>
        <v>0</v>
      </c>
      <c r="H10679" s="16" cm="1">
        <f t="array" ref="H10679">SUM(H10677:H10678)</f>
        <v>19.6</v>
      </c>
      <c r="I10679" s="16" cm="1">
        <f t="array" ref="I10679">SUM(I10677:I10678)</f>
        <v>19.6</v>
      </c>
    </row>
    <row r="10680" ht="20.35" customHeight="1">
      <c r="A10680" s="10">
        <v>45859</v>
      </c>
      <c r="B10680" t="s" s="11">
        <v>1155</v>
      </c>
      <c r="C10680" t="s" s="12">
        <v>1366</v>
      </c>
      <c r="D10680" s="17"/>
      <c r="E10680" s="17"/>
      <c r="F10680" s="18"/>
      <c r="G10680" s="18"/>
      <c r="H10680" s="18"/>
      <c r="I10680" s="18">
        <v>48.76</v>
      </c>
    </row>
    <row r="10681" ht="20.35" customHeight="1">
      <c r="A10681" s="10">
        <v>45859</v>
      </c>
      <c r="B10681" t="s" s="11">
        <v>1191</v>
      </c>
      <c r="C10681" t="s" s="12">
        <v>1366</v>
      </c>
      <c r="D10681" s="13"/>
      <c r="E10681" s="13"/>
      <c r="F10681" s="14"/>
      <c r="G10681" s="14"/>
      <c r="H10681" s="14">
        <v>48.76</v>
      </c>
      <c r="I10681" s="14"/>
    </row>
    <row r="10682" ht="20.7" customHeight="1">
      <c r="A10682" s="10">
        <v>45859</v>
      </c>
      <c r="B10682" t="s" s="11">
        <v>8</v>
      </c>
      <c r="C10682" t="s" s="12">
        <v>8</v>
      </c>
      <c r="D10682" s="15" cm="1">
        <f t="array" ref="D10682">SUM(D10680:D10681)</f>
        <v>0</v>
      </c>
      <c r="E10682" s="15" cm="1">
        <f t="array" ref="E10682">SUM(E10680:E10681)</f>
        <v>0</v>
      </c>
      <c r="F10682" s="16" cm="1">
        <f t="array" ref="F10682">SUM(F10680:F10681)</f>
        <v>0</v>
      </c>
      <c r="G10682" s="16" cm="1">
        <f t="array" ref="G10682">SUM(G10680:G10681)</f>
        <v>0</v>
      </c>
      <c r="H10682" s="16" cm="1">
        <f t="array" ref="H10682">SUM(H10680:H10681)</f>
        <v>48.76</v>
      </c>
      <c r="I10682" s="16" cm="1">
        <f t="array" ref="I10682">SUM(I10680:I10681)</f>
        <v>48.76</v>
      </c>
    </row>
    <row r="10683" ht="20.35" customHeight="1">
      <c r="A10683" s="10">
        <v>45860</v>
      </c>
      <c r="B10683" t="s" s="11">
        <v>107</v>
      </c>
      <c r="C10683" t="s" s="12">
        <v>1367</v>
      </c>
      <c r="D10683" s="17"/>
      <c r="E10683" s="17">
        <v>12500</v>
      </c>
      <c r="F10683" s="18"/>
      <c r="G10683" s="18"/>
      <c r="H10683" s="18"/>
      <c r="I10683" s="18"/>
    </row>
    <row r="10684" ht="20.35" customHeight="1">
      <c r="A10684" s="10">
        <v>45860</v>
      </c>
      <c r="B10684" t="s" s="11">
        <v>10</v>
      </c>
      <c r="C10684" t="s" s="12">
        <v>1367</v>
      </c>
      <c r="D10684" s="13">
        <v>12500</v>
      </c>
      <c r="E10684" s="13"/>
      <c r="F10684" s="14"/>
      <c r="G10684" s="14"/>
      <c r="H10684" s="14"/>
      <c r="I10684" s="14"/>
    </row>
    <row r="10685" ht="20.7" customHeight="1">
      <c r="A10685" s="10">
        <v>45860</v>
      </c>
      <c r="B10685" t="s" s="11">
        <v>8</v>
      </c>
      <c r="C10685" t="s" s="12">
        <v>8</v>
      </c>
      <c r="D10685" s="15" cm="1">
        <f t="array" ref="D10685">SUM(D10683:D10684)</f>
        <v>12500</v>
      </c>
      <c r="E10685" s="15" cm="1">
        <f t="array" ref="E10685">SUM(E10683:E10684)</f>
        <v>12500</v>
      </c>
      <c r="F10685" s="16" cm="1">
        <f t="array" ref="F10685">SUM(F10683:F10684)</f>
        <v>0</v>
      </c>
      <c r="G10685" s="16" cm="1">
        <f t="array" ref="G10685">SUM(G10683:G10684)</f>
        <v>0</v>
      </c>
      <c r="H10685" s="16" cm="1">
        <f t="array" ref="H10685">SUM(H10683:H10684)</f>
        <v>0</v>
      </c>
      <c r="I10685" s="16" cm="1">
        <f t="array" ref="I10685">SUM(I10683:I10684)</f>
        <v>0</v>
      </c>
    </row>
    <row r="10686" ht="20.65" customHeight="1">
      <c r="A10686" s="10">
        <v>45860</v>
      </c>
      <c r="B10686" t="s" s="11">
        <v>814</v>
      </c>
      <c r="C10686" t="s" s="12">
        <v>820</v>
      </c>
      <c r="D10686" s="17">
        <v>49</v>
      </c>
      <c r="E10686" s="17"/>
      <c r="F10686" s="18"/>
      <c r="G10686" s="18"/>
      <c r="H10686" s="18"/>
      <c r="I10686" s="18"/>
    </row>
    <row r="10687" ht="20.65" customHeight="1">
      <c r="A10687" s="10">
        <v>45860</v>
      </c>
      <c r="B10687" t="s" s="11">
        <v>7</v>
      </c>
      <c r="C10687" t="s" s="12">
        <v>820</v>
      </c>
      <c r="D10687" s="13"/>
      <c r="E10687" s="13">
        <v>49</v>
      </c>
      <c r="F10687" s="14"/>
      <c r="G10687" s="14"/>
      <c r="H10687" s="14"/>
      <c r="I10687" s="14"/>
    </row>
    <row r="10688" ht="20.7" customHeight="1">
      <c r="A10688" s="10">
        <v>45860</v>
      </c>
      <c r="B10688" t="s" s="11">
        <v>8</v>
      </c>
      <c r="C10688" t="s" s="12">
        <v>8</v>
      </c>
      <c r="D10688" s="15" cm="1">
        <f t="array" ref="D10688">SUM(D10686:D10687)</f>
        <v>49</v>
      </c>
      <c r="E10688" s="15" cm="1">
        <f t="array" ref="E10688">SUM(E10686:E10687)</f>
        <v>49</v>
      </c>
      <c r="F10688" s="16" cm="1">
        <f t="array" ref="F10688">SUM(F10686:F10687)</f>
        <v>0</v>
      </c>
      <c r="G10688" s="16" cm="1">
        <f t="array" ref="G10688">SUM(G10686:G10687)</f>
        <v>0</v>
      </c>
      <c r="H10688" s="16" cm="1">
        <f t="array" ref="H10688">SUM(H10686:H10687)</f>
        <v>0</v>
      </c>
      <c r="I10688" s="16" cm="1">
        <f t="array" ref="I10688">SUM(I10686:I10687)</f>
        <v>0</v>
      </c>
    </row>
    <row r="10689" ht="21.25" customHeight="1">
      <c r="A10689" s="10">
        <v>45860</v>
      </c>
      <c r="B10689" t="s" s="11">
        <v>107</v>
      </c>
      <c r="C10689" t="s" s="12">
        <v>1368</v>
      </c>
      <c r="D10689" s="17"/>
      <c r="E10689" s="17">
        <v>31914</v>
      </c>
      <c r="F10689" s="18"/>
      <c r="G10689" s="18"/>
      <c r="H10689" s="18"/>
      <c r="I10689" s="18"/>
    </row>
    <row r="10690" ht="21.25" customHeight="1">
      <c r="A10690" s="10">
        <v>45860</v>
      </c>
      <c r="B10690" t="s" s="11">
        <v>10</v>
      </c>
      <c r="C10690" t="s" s="12">
        <v>1368</v>
      </c>
      <c r="D10690" s="13">
        <v>31914</v>
      </c>
      <c r="E10690" s="13"/>
      <c r="F10690" s="14"/>
      <c r="G10690" s="14"/>
      <c r="H10690" s="14"/>
      <c r="I10690" s="14"/>
    </row>
    <row r="10691" ht="20.7" customHeight="1">
      <c r="A10691" s="10">
        <v>45860</v>
      </c>
      <c r="B10691" t="s" s="11">
        <v>8</v>
      </c>
      <c r="C10691" t="s" s="12">
        <v>8</v>
      </c>
      <c r="D10691" s="15" cm="1">
        <f t="array" ref="D10691">SUM(D10689:D10690)</f>
        <v>31914</v>
      </c>
      <c r="E10691" s="15" cm="1">
        <f t="array" ref="E10691">SUM(E10689:E10690)</f>
        <v>31914</v>
      </c>
      <c r="F10691" s="16" cm="1">
        <f t="array" ref="F10691">SUM(F10689:F10690)</f>
        <v>0</v>
      </c>
      <c r="G10691" s="16" cm="1">
        <f t="array" ref="G10691">SUM(G10689:G10690)</f>
        <v>0</v>
      </c>
      <c r="H10691" s="16" cm="1">
        <f t="array" ref="H10691">SUM(H10689:H10690)</f>
        <v>0</v>
      </c>
      <c r="I10691" s="16" cm="1">
        <f t="array" ref="I10691">SUM(I10689:I10690)</f>
        <v>0</v>
      </c>
    </row>
    <row r="10692" ht="20.35" customHeight="1">
      <c r="A10692" s="10">
        <v>45860</v>
      </c>
      <c r="B10692" t="s" s="11">
        <v>107</v>
      </c>
      <c r="C10692" t="s" s="12">
        <v>1369</v>
      </c>
      <c r="D10692" s="17"/>
      <c r="E10692" s="17">
        <v>7655</v>
      </c>
      <c r="F10692" s="18"/>
      <c r="G10692" s="18"/>
      <c r="H10692" s="18"/>
      <c r="I10692" s="18"/>
    </row>
    <row r="10693" ht="20.35" customHeight="1">
      <c r="A10693" s="10">
        <v>45860</v>
      </c>
      <c r="B10693" t="s" s="11">
        <v>12</v>
      </c>
      <c r="C10693" t="s" s="12">
        <v>1369</v>
      </c>
      <c r="D10693" s="13">
        <v>7655</v>
      </c>
      <c r="E10693" s="13"/>
      <c r="F10693" s="14"/>
      <c r="G10693" s="14"/>
      <c r="H10693" s="14"/>
      <c r="I10693" s="14"/>
    </row>
    <row r="10694" ht="20.7" customHeight="1">
      <c r="A10694" s="10">
        <v>45860</v>
      </c>
      <c r="B10694" t="s" s="11">
        <v>8</v>
      </c>
      <c r="C10694" t="s" s="12">
        <v>8</v>
      </c>
      <c r="D10694" s="15" cm="1">
        <f t="array" ref="D10694">SUM(D10692:D10693)</f>
        <v>7655</v>
      </c>
      <c r="E10694" s="15" cm="1">
        <f t="array" ref="E10694">SUM(E10692:E10693)</f>
        <v>7655</v>
      </c>
      <c r="F10694" s="16" cm="1">
        <f t="array" ref="F10694">SUM(F10692:F10693)</f>
        <v>0</v>
      </c>
      <c r="G10694" s="16" cm="1">
        <f t="array" ref="G10694">SUM(G10692:G10693)</f>
        <v>0</v>
      </c>
      <c r="H10694" s="16" cm="1">
        <f t="array" ref="H10694">SUM(H10692:H10693)</f>
        <v>0</v>
      </c>
      <c r="I10694" s="16" cm="1">
        <f t="array" ref="I10694">SUM(I10692:I10693)</f>
        <v>0</v>
      </c>
    </row>
    <row r="10695" ht="20.35" customHeight="1">
      <c r="A10695" s="10">
        <v>45860</v>
      </c>
      <c r="B10695" t="s" s="11">
        <v>1155</v>
      </c>
      <c r="C10695" t="s" s="12">
        <v>1370</v>
      </c>
      <c r="D10695" s="17"/>
      <c r="E10695" s="17"/>
      <c r="F10695" s="18"/>
      <c r="G10695" s="18"/>
      <c r="H10695" s="18"/>
      <c r="I10695" s="18">
        <v>48</v>
      </c>
    </row>
    <row r="10696" ht="20.35" customHeight="1">
      <c r="A10696" s="10">
        <v>45860</v>
      </c>
      <c r="B10696" t="s" s="11">
        <v>1191</v>
      </c>
      <c r="C10696" t="s" s="12">
        <v>1370</v>
      </c>
      <c r="D10696" s="13"/>
      <c r="E10696" s="13"/>
      <c r="F10696" s="14"/>
      <c r="G10696" s="14"/>
      <c r="H10696" s="14">
        <v>48</v>
      </c>
      <c r="I10696" s="14"/>
    </row>
    <row r="10697" ht="20.7" customHeight="1">
      <c r="A10697" s="10">
        <v>45860</v>
      </c>
      <c r="B10697" t="s" s="11">
        <v>8</v>
      </c>
      <c r="C10697" t="s" s="12">
        <v>8</v>
      </c>
      <c r="D10697" s="15" cm="1">
        <f t="array" ref="D10697">SUM(D10695:D10696)</f>
        <v>0</v>
      </c>
      <c r="E10697" s="15" cm="1">
        <f t="array" ref="E10697">SUM(E10695:E10696)</f>
        <v>0</v>
      </c>
      <c r="F10697" s="16" cm="1">
        <f t="array" ref="F10697">SUM(F10695:F10696)</f>
        <v>0</v>
      </c>
      <c r="G10697" s="16" cm="1">
        <f t="array" ref="G10697">SUM(G10695:G10696)</f>
        <v>0</v>
      </c>
      <c r="H10697" s="16" cm="1">
        <f t="array" ref="H10697">SUM(H10695:H10696)</f>
        <v>48</v>
      </c>
      <c r="I10697" s="16" cm="1">
        <f t="array" ref="I10697">SUM(I10695:I10696)</f>
        <v>48</v>
      </c>
    </row>
    <row r="10698" ht="20.35" customHeight="1">
      <c r="A10698" s="10">
        <v>45860</v>
      </c>
      <c r="B10698" t="s" s="11">
        <v>1155</v>
      </c>
      <c r="C10698" t="s" s="12">
        <v>1371</v>
      </c>
      <c r="D10698" s="17"/>
      <c r="E10698" s="17"/>
      <c r="F10698" s="18"/>
      <c r="G10698" s="18"/>
      <c r="H10698" s="18"/>
      <c r="I10698" s="18">
        <v>21</v>
      </c>
    </row>
    <row r="10699" ht="20.35" customHeight="1">
      <c r="A10699" s="10">
        <v>45860</v>
      </c>
      <c r="B10699" t="s" s="11">
        <v>1191</v>
      </c>
      <c r="C10699" t="s" s="12">
        <v>1371</v>
      </c>
      <c r="D10699" s="13"/>
      <c r="E10699" s="13"/>
      <c r="F10699" s="14"/>
      <c r="G10699" s="14"/>
      <c r="H10699" s="14">
        <v>21</v>
      </c>
      <c r="I10699" s="14"/>
    </row>
    <row r="10700" ht="20.7" customHeight="1">
      <c r="A10700" s="10">
        <v>45860</v>
      </c>
      <c r="B10700" t="s" s="11">
        <v>8</v>
      </c>
      <c r="C10700" t="s" s="12">
        <v>8</v>
      </c>
      <c r="D10700" s="15" cm="1">
        <f t="array" ref="D10700">SUM(D10698:D10699)</f>
        <v>0</v>
      </c>
      <c r="E10700" s="15" cm="1">
        <f t="array" ref="E10700">SUM(E10698:E10699)</f>
        <v>0</v>
      </c>
      <c r="F10700" s="16" cm="1">
        <f t="array" ref="F10700">SUM(F10698:F10699)</f>
        <v>0</v>
      </c>
      <c r="G10700" s="16" cm="1">
        <f t="array" ref="G10700">SUM(G10698:G10699)</f>
        <v>0</v>
      </c>
      <c r="H10700" s="16" cm="1">
        <f t="array" ref="H10700">SUM(H10698:H10699)</f>
        <v>21</v>
      </c>
      <c r="I10700" s="16" cm="1">
        <f t="array" ref="I10700">SUM(I10698:I10699)</f>
        <v>21</v>
      </c>
    </row>
    <row r="10701" ht="20.35" customHeight="1">
      <c r="A10701" s="10">
        <v>45860</v>
      </c>
      <c r="B10701" t="s" s="11">
        <v>1155</v>
      </c>
      <c r="C10701" t="s" s="12">
        <v>1370</v>
      </c>
      <c r="D10701" s="17"/>
      <c r="E10701" s="17"/>
      <c r="F10701" s="18"/>
      <c r="G10701" s="18"/>
      <c r="H10701" s="18"/>
      <c r="I10701" s="18">
        <v>62</v>
      </c>
    </row>
    <row r="10702" ht="20.35" customHeight="1">
      <c r="A10702" s="10">
        <v>45860</v>
      </c>
      <c r="B10702" t="s" s="11">
        <v>1191</v>
      </c>
      <c r="C10702" t="s" s="12">
        <v>1370</v>
      </c>
      <c r="D10702" s="13"/>
      <c r="E10702" s="13"/>
      <c r="F10702" s="14"/>
      <c r="G10702" s="14"/>
      <c r="H10702" s="14">
        <v>62</v>
      </c>
      <c r="I10702" s="14"/>
    </row>
    <row r="10703" ht="20.7" customHeight="1">
      <c r="A10703" s="10">
        <v>45860</v>
      </c>
      <c r="B10703" t="s" s="11">
        <v>8</v>
      </c>
      <c r="C10703" t="s" s="12">
        <v>8</v>
      </c>
      <c r="D10703" s="15" cm="1">
        <f t="array" ref="D10703">SUM(D10701:D10702)</f>
        <v>0</v>
      </c>
      <c r="E10703" s="15" cm="1">
        <f t="array" ref="E10703">SUM(E10701:E10702)</f>
        <v>0</v>
      </c>
      <c r="F10703" s="16" cm="1">
        <f t="array" ref="F10703">SUM(F10701:F10702)</f>
        <v>0</v>
      </c>
      <c r="G10703" s="16" cm="1">
        <f t="array" ref="G10703">SUM(G10701:G10702)</f>
        <v>0</v>
      </c>
      <c r="H10703" s="16" cm="1">
        <f t="array" ref="H10703">SUM(H10701:H10702)</f>
        <v>62</v>
      </c>
      <c r="I10703" s="16" cm="1">
        <f t="array" ref="I10703">SUM(I10701:I10702)</f>
        <v>62</v>
      </c>
    </row>
    <row r="10704" ht="20.35" customHeight="1">
      <c r="A10704" s="10">
        <v>45860</v>
      </c>
      <c r="B10704" t="s" s="11">
        <v>1155</v>
      </c>
      <c r="C10704" t="s" s="12">
        <v>1370</v>
      </c>
      <c r="D10704" s="17"/>
      <c r="E10704" s="17"/>
      <c r="F10704" s="18"/>
      <c r="G10704" s="18"/>
      <c r="H10704" s="18"/>
      <c r="I10704" s="18">
        <v>169</v>
      </c>
    </row>
    <row r="10705" ht="20.35" customHeight="1">
      <c r="A10705" s="10">
        <v>45860</v>
      </c>
      <c r="B10705" t="s" s="11">
        <v>1191</v>
      </c>
      <c r="C10705" t="s" s="12">
        <v>1370</v>
      </c>
      <c r="D10705" s="13"/>
      <c r="E10705" s="13"/>
      <c r="F10705" s="14"/>
      <c r="G10705" s="14"/>
      <c r="H10705" s="14">
        <v>169</v>
      </c>
      <c r="I10705" s="14"/>
    </row>
    <row r="10706" ht="20.7" customHeight="1">
      <c r="A10706" s="10">
        <v>45860</v>
      </c>
      <c r="B10706" t="s" s="11">
        <v>8</v>
      </c>
      <c r="C10706" t="s" s="12">
        <v>8</v>
      </c>
      <c r="D10706" s="15" cm="1">
        <f t="array" ref="D10706">SUM(D10704:D10705)</f>
        <v>0</v>
      </c>
      <c r="E10706" s="15" cm="1">
        <f t="array" ref="E10706">SUM(E10704:E10705)</f>
        <v>0</v>
      </c>
      <c r="F10706" s="16" cm="1">
        <f t="array" ref="F10706">SUM(F10704:F10705)</f>
        <v>0</v>
      </c>
      <c r="G10706" s="16" cm="1">
        <f t="array" ref="G10706">SUM(G10704:G10705)</f>
        <v>0</v>
      </c>
      <c r="H10706" s="16" cm="1">
        <f t="array" ref="H10706">SUM(H10704:H10705)</f>
        <v>169</v>
      </c>
      <c r="I10706" s="16" cm="1">
        <f t="array" ref="I10706">SUM(I10704:I10705)</f>
        <v>169</v>
      </c>
    </row>
    <row r="10707" ht="20.35" customHeight="1">
      <c r="A10707" s="10">
        <v>45860</v>
      </c>
      <c r="B10707" t="s" s="11">
        <v>1155</v>
      </c>
      <c r="C10707" t="s" s="12">
        <v>1372</v>
      </c>
      <c r="D10707" s="17"/>
      <c r="E10707" s="17"/>
      <c r="F10707" s="18"/>
      <c r="G10707" s="18"/>
      <c r="H10707" s="18"/>
      <c r="I10707" s="18">
        <v>29.9</v>
      </c>
    </row>
    <row r="10708" ht="20.35" customHeight="1">
      <c r="A10708" s="10">
        <v>45860</v>
      </c>
      <c r="B10708" t="s" s="11">
        <v>1191</v>
      </c>
      <c r="C10708" t="s" s="12">
        <v>1372</v>
      </c>
      <c r="D10708" s="13"/>
      <c r="E10708" s="13"/>
      <c r="F10708" s="14"/>
      <c r="G10708" s="14"/>
      <c r="H10708" s="14">
        <v>29.9</v>
      </c>
      <c r="I10708" s="14"/>
    </row>
    <row r="10709" ht="20.7" customHeight="1">
      <c r="A10709" s="10">
        <v>45860</v>
      </c>
      <c r="B10709" t="s" s="11">
        <v>8</v>
      </c>
      <c r="C10709" t="s" s="12">
        <v>8</v>
      </c>
      <c r="D10709" s="15" cm="1">
        <f t="array" ref="D10709">SUM(D10707:D10708)</f>
        <v>0</v>
      </c>
      <c r="E10709" s="15" cm="1">
        <f t="array" ref="E10709">SUM(E10707:E10708)</f>
        <v>0</v>
      </c>
      <c r="F10709" s="16" cm="1">
        <f t="array" ref="F10709">SUM(F10707:F10708)</f>
        <v>0</v>
      </c>
      <c r="G10709" s="16" cm="1">
        <f t="array" ref="G10709">SUM(G10707:G10708)</f>
        <v>0</v>
      </c>
      <c r="H10709" s="16" cm="1">
        <f t="array" ref="H10709">SUM(H10707:H10708)</f>
        <v>29.9</v>
      </c>
      <c r="I10709" s="16" cm="1">
        <f t="array" ref="I10709">SUM(I10707:I10708)</f>
        <v>29.9</v>
      </c>
    </row>
    <row r="10710" ht="20.65" customHeight="1">
      <c r="A10710" s="10">
        <v>45861</v>
      </c>
      <c r="B10710" t="s" s="11">
        <v>814</v>
      </c>
      <c r="C10710" t="s" s="12">
        <v>820</v>
      </c>
      <c r="D10710" s="17">
        <v>49</v>
      </c>
      <c r="E10710" s="17"/>
      <c r="F10710" s="18"/>
      <c r="G10710" s="18"/>
      <c r="H10710" s="18"/>
      <c r="I10710" s="18"/>
    </row>
    <row r="10711" ht="20.65" customHeight="1">
      <c r="A10711" s="10">
        <v>45861</v>
      </c>
      <c r="B10711" t="s" s="11">
        <v>7</v>
      </c>
      <c r="C10711" t="s" s="12">
        <v>820</v>
      </c>
      <c r="D10711" s="13"/>
      <c r="E10711" s="13">
        <v>49</v>
      </c>
      <c r="F10711" s="14"/>
      <c r="G10711" s="14"/>
      <c r="H10711" s="14"/>
      <c r="I10711" s="14"/>
    </row>
    <row r="10712" ht="20.7" customHeight="1">
      <c r="A10712" s="10">
        <v>45861</v>
      </c>
      <c r="B10712" t="s" s="11">
        <v>8</v>
      </c>
      <c r="C10712" t="s" s="12">
        <v>8</v>
      </c>
      <c r="D10712" s="15" cm="1">
        <f t="array" ref="D10712">SUM(D10710:D10711)</f>
        <v>49</v>
      </c>
      <c r="E10712" s="15" cm="1">
        <f t="array" ref="E10712">SUM(E10710:E10711)</f>
        <v>49</v>
      </c>
      <c r="F10712" s="16" cm="1">
        <f t="array" ref="F10712">SUM(F10710:F10711)</f>
        <v>0</v>
      </c>
      <c r="G10712" s="16" cm="1">
        <f t="array" ref="G10712">SUM(G10710:G10711)</f>
        <v>0</v>
      </c>
      <c r="H10712" s="16" cm="1">
        <f t="array" ref="H10712">SUM(H10710:H10711)</f>
        <v>0</v>
      </c>
      <c r="I10712" s="16" cm="1">
        <f t="array" ref="I10712">SUM(I10710:I10711)</f>
        <v>0</v>
      </c>
    </row>
    <row r="10713" ht="20.65" customHeight="1">
      <c r="A10713" s="10">
        <v>45861</v>
      </c>
      <c r="B10713" t="s" s="11">
        <v>107</v>
      </c>
      <c r="C10713" t="s" s="12">
        <v>1373</v>
      </c>
      <c r="D10713" s="17">
        <v>1125</v>
      </c>
      <c r="E10713" s="17"/>
      <c r="F10713" s="18"/>
      <c r="G10713" s="18"/>
      <c r="H10713" s="18"/>
      <c r="I10713" s="18"/>
    </row>
    <row r="10714" ht="20.65" customHeight="1">
      <c r="A10714" s="10">
        <v>45861</v>
      </c>
      <c r="B10714" t="s" s="11">
        <v>10</v>
      </c>
      <c r="C10714" t="s" s="12">
        <v>1373</v>
      </c>
      <c r="D10714" s="13"/>
      <c r="E10714" s="13">
        <v>1125</v>
      </c>
      <c r="F10714" s="14"/>
      <c r="G10714" s="14"/>
      <c r="H10714" s="14"/>
      <c r="I10714" s="14"/>
    </row>
    <row r="10715" ht="20.7" customHeight="1">
      <c r="A10715" s="10">
        <v>45861</v>
      </c>
      <c r="B10715" t="s" s="11">
        <v>8</v>
      </c>
      <c r="C10715" t="s" s="12">
        <v>8</v>
      </c>
      <c r="D10715" s="15" cm="1">
        <f t="array" ref="D10715">SUM(D10713:D10714)</f>
        <v>1125</v>
      </c>
      <c r="E10715" s="15" cm="1">
        <f t="array" ref="E10715">SUM(E10713:E10714)</f>
        <v>1125</v>
      </c>
      <c r="F10715" s="16" cm="1">
        <f t="array" ref="F10715">SUM(F10713:F10714)</f>
        <v>0</v>
      </c>
      <c r="G10715" s="16" cm="1">
        <f t="array" ref="G10715">SUM(G10713:G10714)</f>
        <v>0</v>
      </c>
      <c r="H10715" s="16" cm="1">
        <f t="array" ref="H10715">SUM(H10713:H10714)</f>
        <v>0</v>
      </c>
      <c r="I10715" s="16" cm="1">
        <f t="array" ref="I10715">SUM(I10713:I10714)</f>
        <v>0</v>
      </c>
    </row>
    <row r="10716" ht="20.35" customHeight="1">
      <c r="A10716" s="10">
        <v>45861</v>
      </c>
      <c r="B10716" t="s" s="11">
        <v>1155</v>
      </c>
      <c r="C10716" t="s" s="12">
        <v>1374</v>
      </c>
      <c r="D10716" s="17"/>
      <c r="E10716" s="17"/>
      <c r="F10716" s="18"/>
      <c r="G10716" s="18"/>
      <c r="H10716" s="18"/>
      <c r="I10716" s="18">
        <v>13</v>
      </c>
    </row>
    <row r="10717" ht="20.35" customHeight="1">
      <c r="A10717" s="10">
        <v>45861</v>
      </c>
      <c r="B10717" t="s" s="11">
        <v>1191</v>
      </c>
      <c r="C10717" t="s" s="12">
        <v>1374</v>
      </c>
      <c r="D10717" s="13"/>
      <c r="E10717" s="13"/>
      <c r="F10717" s="14"/>
      <c r="G10717" s="14"/>
      <c r="H10717" s="14">
        <v>13</v>
      </c>
      <c r="I10717" s="14"/>
    </row>
    <row r="10718" ht="20.7" customHeight="1">
      <c r="A10718" s="10">
        <v>45861</v>
      </c>
      <c r="B10718" t="s" s="11">
        <v>8</v>
      </c>
      <c r="C10718" t="s" s="12">
        <v>8</v>
      </c>
      <c r="D10718" s="15" cm="1">
        <f t="array" ref="D10718">SUM(D10716:D10717)</f>
        <v>0</v>
      </c>
      <c r="E10718" s="15" cm="1">
        <f t="array" ref="E10718">SUM(E10716:E10717)</f>
        <v>0</v>
      </c>
      <c r="F10718" s="16" cm="1">
        <f t="array" ref="F10718">SUM(F10716:F10717)</f>
        <v>0</v>
      </c>
      <c r="G10718" s="16" cm="1">
        <f t="array" ref="G10718">SUM(G10716:G10717)</f>
        <v>0</v>
      </c>
      <c r="H10718" s="16" cm="1">
        <f t="array" ref="H10718">SUM(H10716:H10717)</f>
        <v>13</v>
      </c>
      <c r="I10718" s="16" cm="1">
        <f t="array" ref="I10718">SUM(I10716:I10717)</f>
        <v>13</v>
      </c>
    </row>
    <row r="10719" ht="20.35" customHeight="1">
      <c r="A10719" s="10">
        <v>45861</v>
      </c>
      <c r="B10719" t="s" s="11">
        <v>39</v>
      </c>
      <c r="C10719" t="s" s="12">
        <v>64</v>
      </c>
      <c r="D10719" s="17"/>
      <c r="E10719" s="17"/>
      <c r="F10719" s="18">
        <v>50</v>
      </c>
      <c r="G10719" s="18"/>
      <c r="H10719" s="18"/>
      <c r="I10719" s="18"/>
    </row>
    <row r="10720" ht="20.35" customHeight="1">
      <c r="A10720" s="10">
        <v>45861</v>
      </c>
      <c r="B10720" t="s" s="11">
        <v>63</v>
      </c>
      <c r="C10720" t="s" s="12">
        <v>64</v>
      </c>
      <c r="D10720" s="13"/>
      <c r="E10720" s="13"/>
      <c r="F10720" s="14"/>
      <c r="G10720" s="14">
        <v>50</v>
      </c>
      <c r="H10720" s="14"/>
      <c r="I10720" s="14"/>
    </row>
    <row r="10721" ht="20.7" customHeight="1">
      <c r="A10721" s="10">
        <v>45861</v>
      </c>
      <c r="B10721" t="s" s="11">
        <v>8</v>
      </c>
      <c r="C10721" t="s" s="12">
        <v>8</v>
      </c>
      <c r="D10721" s="15" cm="1">
        <f t="array" ref="D10721">SUM(D10719:D10720)</f>
        <v>0</v>
      </c>
      <c r="E10721" s="15" cm="1">
        <f t="array" ref="E10721">SUM(E10719:E10720)</f>
        <v>0</v>
      </c>
      <c r="F10721" s="16" cm="1">
        <f t="array" ref="F10721">SUM(F10719:F10720)</f>
        <v>50</v>
      </c>
      <c r="G10721" s="16" cm="1">
        <f t="array" ref="G10721">SUM(G10719:G10720)</f>
        <v>50</v>
      </c>
      <c r="H10721" s="16" cm="1">
        <f t="array" ref="H10721">SUM(H10719:H10720)</f>
        <v>0</v>
      </c>
      <c r="I10721" s="16" cm="1">
        <f t="array" ref="I10721">SUM(I10719:I10720)</f>
        <v>0</v>
      </c>
    </row>
    <row r="10722" ht="20.65" customHeight="1">
      <c r="A10722" s="10">
        <v>45862</v>
      </c>
      <c r="B10722" t="s" s="11">
        <v>814</v>
      </c>
      <c r="C10722" t="s" s="12">
        <v>820</v>
      </c>
      <c r="D10722" s="17">
        <v>49</v>
      </c>
      <c r="E10722" s="17"/>
      <c r="F10722" s="18"/>
      <c r="G10722" s="18"/>
      <c r="H10722" s="18"/>
      <c r="I10722" s="18"/>
    </row>
    <row r="10723" ht="20.65" customHeight="1">
      <c r="A10723" s="10">
        <v>45862</v>
      </c>
      <c r="B10723" t="s" s="11">
        <v>7</v>
      </c>
      <c r="C10723" t="s" s="12">
        <v>820</v>
      </c>
      <c r="D10723" s="13"/>
      <c r="E10723" s="13">
        <v>49</v>
      </c>
      <c r="F10723" s="14"/>
      <c r="G10723" s="14"/>
      <c r="H10723" s="14"/>
      <c r="I10723" s="14"/>
    </row>
    <row r="10724" ht="20.7" customHeight="1">
      <c r="A10724" s="10">
        <v>45862</v>
      </c>
      <c r="B10724" t="s" s="11">
        <v>8</v>
      </c>
      <c r="C10724" t="s" s="12">
        <v>8</v>
      </c>
      <c r="D10724" s="15" cm="1">
        <f t="array" ref="D10724">SUM(D10722:D10723)</f>
        <v>49</v>
      </c>
      <c r="E10724" s="15" cm="1">
        <f t="array" ref="E10724">SUM(E10722:E10723)</f>
        <v>49</v>
      </c>
      <c r="F10724" s="16" cm="1">
        <f t="array" ref="F10724">SUM(F10722:F10723)</f>
        <v>0</v>
      </c>
      <c r="G10724" s="16" cm="1">
        <f t="array" ref="G10724">SUM(G10722:G10723)</f>
        <v>0</v>
      </c>
      <c r="H10724" s="16" cm="1">
        <f t="array" ref="H10724">SUM(H10722:H10723)</f>
        <v>0</v>
      </c>
      <c r="I10724" s="16" cm="1">
        <f t="array" ref="I10724">SUM(I10722:I10723)</f>
        <v>0</v>
      </c>
    </row>
    <row r="10725" ht="20.65" customHeight="1">
      <c r="A10725" s="10">
        <v>45863</v>
      </c>
      <c r="B10725" t="s" s="11">
        <v>814</v>
      </c>
      <c r="C10725" t="s" s="12">
        <v>820</v>
      </c>
      <c r="D10725" s="17">
        <v>49</v>
      </c>
      <c r="E10725" s="17"/>
      <c r="F10725" s="18"/>
      <c r="G10725" s="18"/>
      <c r="H10725" s="18"/>
      <c r="I10725" s="18"/>
    </row>
    <row r="10726" ht="20.65" customHeight="1">
      <c r="A10726" s="10">
        <v>45863</v>
      </c>
      <c r="B10726" t="s" s="11">
        <v>7</v>
      </c>
      <c r="C10726" t="s" s="12">
        <v>820</v>
      </c>
      <c r="D10726" s="13"/>
      <c r="E10726" s="13">
        <v>49</v>
      </c>
      <c r="F10726" s="14"/>
      <c r="G10726" s="14"/>
      <c r="H10726" s="14"/>
      <c r="I10726" s="14"/>
    </row>
    <row r="10727" ht="20.7" customHeight="1">
      <c r="A10727" s="10">
        <v>45863</v>
      </c>
      <c r="B10727" t="s" s="11">
        <v>8</v>
      </c>
      <c r="C10727" t="s" s="12">
        <v>8</v>
      </c>
      <c r="D10727" s="15" cm="1">
        <f t="array" ref="D10727">SUM(D10725:D10726)</f>
        <v>49</v>
      </c>
      <c r="E10727" s="15" cm="1">
        <f t="array" ref="E10727">SUM(E10725:E10726)</f>
        <v>49</v>
      </c>
      <c r="F10727" s="16" cm="1">
        <f t="array" ref="F10727">SUM(F10725:F10726)</f>
        <v>0</v>
      </c>
      <c r="G10727" s="16" cm="1">
        <f t="array" ref="G10727">SUM(G10725:G10726)</f>
        <v>0</v>
      </c>
      <c r="H10727" s="16" cm="1">
        <f t="array" ref="H10727">SUM(H10725:H10726)</f>
        <v>0</v>
      </c>
      <c r="I10727" s="16" cm="1">
        <f t="array" ref="I10727">SUM(I10725:I10726)</f>
        <v>0</v>
      </c>
    </row>
    <row r="10728" ht="20.35" customHeight="1">
      <c r="A10728" s="10">
        <v>45863</v>
      </c>
      <c r="B10728" t="s" s="11">
        <v>107</v>
      </c>
      <c r="C10728" t="s" s="12">
        <v>1033</v>
      </c>
      <c r="D10728" s="17"/>
      <c r="E10728" s="17">
        <v>16500</v>
      </c>
      <c r="F10728" s="18"/>
      <c r="G10728" s="18"/>
      <c r="H10728" s="18"/>
      <c r="I10728" s="18"/>
    </row>
    <row r="10729" ht="20.05" customHeight="1">
      <c r="A10729" s="10">
        <v>45863</v>
      </c>
      <c r="B10729" t="s" s="11">
        <v>21</v>
      </c>
      <c r="C10729" t="s" s="12">
        <v>1033</v>
      </c>
      <c r="D10729" s="19">
        <v>8250</v>
      </c>
      <c r="E10729" s="19"/>
      <c r="F10729" s="20"/>
      <c r="G10729" s="20"/>
      <c r="H10729" s="20"/>
      <c r="I10729" s="20"/>
    </row>
    <row r="10730" ht="20.35" customHeight="1">
      <c r="A10730" s="10">
        <v>45863</v>
      </c>
      <c r="B10730" t="s" s="11">
        <v>74</v>
      </c>
      <c r="C10730" t="s" s="12">
        <v>1033</v>
      </c>
      <c r="D10730" s="13">
        <v>8250</v>
      </c>
      <c r="E10730" s="13"/>
      <c r="F10730" s="14"/>
      <c r="G10730" s="14"/>
      <c r="H10730" s="14"/>
      <c r="I10730" s="14"/>
    </row>
    <row r="10731" ht="20.7" customHeight="1">
      <c r="A10731" s="10">
        <v>45863</v>
      </c>
      <c r="B10731" t="s" s="11">
        <v>8</v>
      </c>
      <c r="C10731" t="s" s="12">
        <v>8</v>
      </c>
      <c r="D10731" s="15" cm="1">
        <f t="array" ref="D10731">SUM(D10728:D10730)</f>
        <v>16500</v>
      </c>
      <c r="E10731" s="15" cm="1">
        <f t="array" ref="E10731">SUM(E10728:E10730)</f>
        <v>16500</v>
      </c>
      <c r="F10731" s="16" cm="1">
        <f t="array" ref="F10731">SUM(F10728:F10730)</f>
        <v>0</v>
      </c>
      <c r="G10731" s="16" cm="1">
        <f t="array" ref="G10731">SUM(G10728:G10730)</f>
        <v>0</v>
      </c>
      <c r="H10731" s="16" cm="1">
        <f t="array" ref="H10731">SUM(H10728:H10730)</f>
        <v>0</v>
      </c>
      <c r="I10731" s="16" cm="1">
        <f t="array" ref="I10731">SUM(I10728:I10730)</f>
        <v>0</v>
      </c>
    </row>
    <row r="10732" ht="21.25" customHeight="1">
      <c r="A10732" s="10">
        <v>45863</v>
      </c>
      <c r="B10732" t="s" s="11">
        <v>121</v>
      </c>
      <c r="C10732" t="s" s="12">
        <v>1018</v>
      </c>
      <c r="D10732" s="17"/>
      <c r="E10732" s="17">
        <v>10000</v>
      </c>
      <c r="F10732" s="18"/>
      <c r="G10732" s="18"/>
      <c r="H10732" s="18"/>
      <c r="I10732" s="18"/>
    </row>
    <row r="10733" ht="21.25" customHeight="1">
      <c r="A10733" s="10">
        <v>45863</v>
      </c>
      <c r="B10733" t="s" s="11">
        <v>786</v>
      </c>
      <c r="C10733" t="s" s="12">
        <v>1018</v>
      </c>
      <c r="D10733" s="13">
        <v>10000</v>
      </c>
      <c r="E10733" s="13"/>
      <c r="F10733" s="14"/>
      <c r="G10733" s="14"/>
      <c r="H10733" s="14"/>
      <c r="I10733" s="14"/>
    </row>
    <row r="10734" ht="20.7" customHeight="1">
      <c r="A10734" s="10">
        <v>45863</v>
      </c>
      <c r="B10734" t="s" s="11">
        <v>8</v>
      </c>
      <c r="C10734" t="s" s="12">
        <v>8</v>
      </c>
      <c r="D10734" s="15" cm="1">
        <f t="array" ref="D10734">SUM(D10732:D10733)</f>
        <v>10000</v>
      </c>
      <c r="E10734" s="15" cm="1">
        <f t="array" ref="E10734">SUM(E10732:E10733)</f>
        <v>10000</v>
      </c>
      <c r="F10734" s="16" cm="1">
        <f t="array" ref="F10734">SUM(F10732:F10733)</f>
        <v>0</v>
      </c>
      <c r="G10734" s="16" cm="1">
        <f t="array" ref="G10734">SUM(G10732:G10733)</f>
        <v>0</v>
      </c>
      <c r="H10734" s="16" cm="1">
        <f t="array" ref="H10734">SUM(H10732:H10733)</f>
        <v>0</v>
      </c>
      <c r="I10734" s="16" cm="1">
        <f t="array" ref="I10734">SUM(I10732:I10733)</f>
        <v>0</v>
      </c>
    </row>
    <row r="10735" ht="21.25" customHeight="1">
      <c r="A10735" s="10">
        <v>45863</v>
      </c>
      <c r="B10735" t="s" s="11">
        <v>121</v>
      </c>
      <c r="C10735" t="s" s="12">
        <v>952</v>
      </c>
      <c r="D10735" s="17"/>
      <c r="E10735" s="17">
        <v>10000</v>
      </c>
      <c r="F10735" s="18"/>
      <c r="G10735" s="18"/>
      <c r="H10735" s="18"/>
      <c r="I10735" s="18"/>
    </row>
    <row r="10736" ht="21.25" customHeight="1">
      <c r="A10736" s="10">
        <v>45863</v>
      </c>
      <c r="B10736" t="s" s="11">
        <v>788</v>
      </c>
      <c r="C10736" t="s" s="12">
        <v>952</v>
      </c>
      <c r="D10736" s="13">
        <v>10000</v>
      </c>
      <c r="E10736" s="13"/>
      <c r="F10736" s="14"/>
      <c r="G10736" s="14"/>
      <c r="H10736" s="14"/>
      <c r="I10736" s="14"/>
    </row>
    <row r="10737" ht="20.7" customHeight="1">
      <c r="A10737" s="10">
        <v>45863</v>
      </c>
      <c r="B10737" t="s" s="11">
        <v>8</v>
      </c>
      <c r="C10737" t="s" s="12">
        <v>8</v>
      </c>
      <c r="D10737" s="15" cm="1">
        <f t="array" ref="D10737">SUM(D10735:D10736)</f>
        <v>10000</v>
      </c>
      <c r="E10737" s="15" cm="1">
        <f t="array" ref="E10737">SUM(E10735:E10736)</f>
        <v>10000</v>
      </c>
      <c r="F10737" s="16" cm="1">
        <f t="array" ref="F10737">SUM(F10735:F10736)</f>
        <v>0</v>
      </c>
      <c r="G10737" s="16" cm="1">
        <f t="array" ref="G10737">SUM(G10735:G10736)</f>
        <v>0</v>
      </c>
      <c r="H10737" s="16" cm="1">
        <f t="array" ref="H10737">SUM(H10735:H10736)</f>
        <v>0</v>
      </c>
      <c r="I10737" s="16" cm="1">
        <f t="array" ref="I10737">SUM(I10735:I10736)</f>
        <v>0</v>
      </c>
    </row>
    <row r="10738" ht="21.25" customHeight="1">
      <c r="A10738" s="10">
        <v>45863</v>
      </c>
      <c r="B10738" t="s" s="11">
        <v>121</v>
      </c>
      <c r="C10738" t="s" s="12">
        <v>71</v>
      </c>
      <c r="D10738" s="17"/>
      <c r="E10738" s="17">
        <v>10000</v>
      </c>
      <c r="F10738" s="18"/>
      <c r="G10738" s="18"/>
      <c r="H10738" s="18"/>
      <c r="I10738" s="18"/>
    </row>
    <row r="10739" ht="21.25" customHeight="1">
      <c r="A10739" s="10">
        <v>45863</v>
      </c>
      <c r="B10739" t="s" s="11">
        <v>1293</v>
      </c>
      <c r="C10739" t="s" s="12">
        <v>71</v>
      </c>
      <c r="D10739" s="13">
        <v>10000</v>
      </c>
      <c r="E10739" s="13"/>
      <c r="F10739" s="14"/>
      <c r="G10739" s="14"/>
      <c r="H10739" s="14"/>
      <c r="I10739" s="14"/>
    </row>
    <row r="10740" ht="20.7" customHeight="1">
      <c r="A10740" s="10">
        <v>45863</v>
      </c>
      <c r="B10740" t="s" s="11">
        <v>8</v>
      </c>
      <c r="C10740" t="s" s="12">
        <v>8</v>
      </c>
      <c r="D10740" s="15" cm="1">
        <f t="array" ref="D10740">SUM(D10738:D10739)</f>
        <v>10000</v>
      </c>
      <c r="E10740" s="15" cm="1">
        <f t="array" ref="E10740">SUM(E10738:E10739)</f>
        <v>10000</v>
      </c>
      <c r="F10740" s="16" cm="1">
        <f t="array" ref="F10740">SUM(F10738:F10739)</f>
        <v>0</v>
      </c>
      <c r="G10740" s="16" cm="1">
        <f t="array" ref="G10740">SUM(G10738:G10739)</f>
        <v>0</v>
      </c>
      <c r="H10740" s="16" cm="1">
        <f t="array" ref="H10740">SUM(H10738:H10739)</f>
        <v>0</v>
      </c>
      <c r="I10740" s="16" cm="1">
        <f t="array" ref="I10740">SUM(I10738:I10739)</f>
        <v>0</v>
      </c>
    </row>
    <row r="10741" ht="21.25" customHeight="1">
      <c r="A10741" s="10">
        <v>45863</v>
      </c>
      <c r="B10741" t="s" s="11">
        <v>107</v>
      </c>
      <c r="C10741" t="s" s="12">
        <v>1375</v>
      </c>
      <c r="D10741" s="17"/>
      <c r="E10741" s="17">
        <v>10000</v>
      </c>
      <c r="F10741" s="18"/>
      <c r="G10741" s="18"/>
      <c r="H10741" s="18"/>
      <c r="I10741" s="18"/>
    </row>
    <row r="10742" ht="21.25" customHeight="1">
      <c r="A10742" s="10">
        <v>45863</v>
      </c>
      <c r="B10742" t="s" s="11">
        <v>1126</v>
      </c>
      <c r="C10742" t="s" s="12">
        <v>1375</v>
      </c>
      <c r="D10742" s="13">
        <v>10000</v>
      </c>
      <c r="E10742" s="13"/>
      <c r="F10742" s="14"/>
      <c r="G10742" s="14"/>
      <c r="H10742" s="14"/>
      <c r="I10742" s="14"/>
    </row>
    <row r="10743" ht="20.7" customHeight="1">
      <c r="A10743" s="10">
        <v>45863</v>
      </c>
      <c r="B10743" t="s" s="11">
        <v>8</v>
      </c>
      <c r="C10743" t="s" s="12">
        <v>8</v>
      </c>
      <c r="D10743" s="15" cm="1">
        <f t="array" ref="D10743">SUM(D10741:D10742)</f>
        <v>10000</v>
      </c>
      <c r="E10743" s="15" cm="1">
        <f t="array" ref="E10743">SUM(E10741:E10742)</f>
        <v>10000</v>
      </c>
      <c r="F10743" s="16" cm="1">
        <f t="array" ref="F10743">SUM(F10741:F10742)</f>
        <v>0</v>
      </c>
      <c r="G10743" s="16" cm="1">
        <f t="array" ref="G10743">SUM(G10741:G10742)</f>
        <v>0</v>
      </c>
      <c r="H10743" s="16" cm="1">
        <f t="array" ref="H10743">SUM(H10741:H10742)</f>
        <v>0</v>
      </c>
      <c r="I10743" s="16" cm="1">
        <f t="array" ref="I10743">SUM(I10741:I10742)</f>
        <v>0</v>
      </c>
    </row>
    <row r="10744" ht="20.65" customHeight="1">
      <c r="A10744" s="10">
        <v>45863</v>
      </c>
      <c r="B10744" t="s" s="11">
        <v>107</v>
      </c>
      <c r="C10744" t="s" s="12">
        <v>767</v>
      </c>
      <c r="D10744" s="17">
        <v>1</v>
      </c>
      <c r="E10744" s="17"/>
      <c r="F10744" s="18"/>
      <c r="G10744" s="18"/>
      <c r="H10744" s="18"/>
      <c r="I10744" s="18"/>
    </row>
    <row r="10745" ht="20.65" customHeight="1">
      <c r="A10745" s="10">
        <v>45863</v>
      </c>
      <c r="B10745" t="s" s="11">
        <v>91</v>
      </c>
      <c r="C10745" t="s" s="12">
        <v>767</v>
      </c>
      <c r="D10745" s="13"/>
      <c r="E10745" s="13">
        <v>1</v>
      </c>
      <c r="F10745" s="14"/>
      <c r="G10745" s="14"/>
      <c r="H10745" s="14"/>
      <c r="I10745" s="14"/>
    </row>
    <row r="10746" ht="20.7" customHeight="1">
      <c r="A10746" s="10">
        <v>45863</v>
      </c>
      <c r="B10746" t="s" s="11">
        <v>8</v>
      </c>
      <c r="C10746" t="s" s="12">
        <v>8</v>
      </c>
      <c r="D10746" s="15" cm="1">
        <f t="array" ref="D10746">SUM(D10744:D10745)</f>
        <v>1</v>
      </c>
      <c r="E10746" s="15" cm="1">
        <f t="array" ref="E10746">SUM(E10744:E10745)</f>
        <v>1</v>
      </c>
      <c r="F10746" s="16" cm="1">
        <f t="array" ref="F10746">SUM(F10744:F10745)</f>
        <v>0</v>
      </c>
      <c r="G10746" s="16" cm="1">
        <f t="array" ref="G10746">SUM(G10744:G10745)</f>
        <v>0</v>
      </c>
      <c r="H10746" s="16" cm="1">
        <f t="array" ref="H10746">SUM(H10744:H10745)</f>
        <v>0</v>
      </c>
      <c r="I10746" s="16" cm="1">
        <f t="array" ref="I10746">SUM(I10744:I10745)</f>
        <v>0</v>
      </c>
    </row>
    <row r="10747" ht="20.35" customHeight="1">
      <c r="A10747" s="10">
        <v>45863</v>
      </c>
      <c r="B10747" t="s" s="11">
        <v>1155</v>
      </c>
      <c r="C10747" t="s" s="12">
        <v>1376</v>
      </c>
      <c r="D10747" s="17"/>
      <c r="E10747" s="17"/>
      <c r="F10747" s="18"/>
      <c r="G10747" s="18"/>
      <c r="H10747" s="18"/>
      <c r="I10747" s="18">
        <v>22</v>
      </c>
    </row>
    <row r="10748" ht="20.35" customHeight="1">
      <c r="A10748" s="10">
        <v>45863</v>
      </c>
      <c r="B10748" t="s" s="11">
        <v>1191</v>
      </c>
      <c r="C10748" t="s" s="12">
        <v>1376</v>
      </c>
      <c r="D10748" s="13"/>
      <c r="E10748" s="13"/>
      <c r="F10748" s="14"/>
      <c r="G10748" s="14"/>
      <c r="H10748" s="14">
        <v>22</v>
      </c>
      <c r="I10748" s="14"/>
    </row>
    <row r="10749" ht="20.7" customHeight="1">
      <c r="A10749" s="10">
        <v>45863</v>
      </c>
      <c r="B10749" t="s" s="11">
        <v>8</v>
      </c>
      <c r="C10749" t="s" s="12">
        <v>8</v>
      </c>
      <c r="D10749" s="15" cm="1">
        <f t="array" ref="D10749">SUM(D10747:D10748)</f>
        <v>0</v>
      </c>
      <c r="E10749" s="15" cm="1">
        <f t="array" ref="E10749">SUM(E10747:E10748)</f>
        <v>0</v>
      </c>
      <c r="F10749" s="16" cm="1">
        <f t="array" ref="F10749">SUM(F10747:F10748)</f>
        <v>0</v>
      </c>
      <c r="G10749" s="16" cm="1">
        <f t="array" ref="G10749">SUM(G10747:G10748)</f>
        <v>0</v>
      </c>
      <c r="H10749" s="16" cm="1">
        <f t="array" ref="H10749">SUM(H10747:H10748)</f>
        <v>22</v>
      </c>
      <c r="I10749" s="16" cm="1">
        <f t="array" ref="I10749">SUM(I10747:I10748)</f>
        <v>22</v>
      </c>
    </row>
    <row r="10750" ht="20.35" customHeight="1">
      <c r="A10750" s="10">
        <v>45863</v>
      </c>
      <c r="B10750" t="s" s="11">
        <v>1155</v>
      </c>
      <c r="C10750" t="s" s="12">
        <v>1377</v>
      </c>
      <c r="D10750" s="17"/>
      <c r="E10750" s="17"/>
      <c r="F10750" s="18"/>
      <c r="G10750" s="18"/>
      <c r="H10750" s="18"/>
      <c r="I10750" s="18">
        <v>78</v>
      </c>
    </row>
    <row r="10751" ht="20.35" customHeight="1">
      <c r="A10751" s="10">
        <v>45863</v>
      </c>
      <c r="B10751" t="s" s="11">
        <v>1191</v>
      </c>
      <c r="C10751" t="s" s="12">
        <v>1377</v>
      </c>
      <c r="D10751" s="13"/>
      <c r="E10751" s="13"/>
      <c r="F10751" s="14"/>
      <c r="G10751" s="14"/>
      <c r="H10751" s="14">
        <v>78</v>
      </c>
      <c r="I10751" s="14"/>
    </row>
    <row r="10752" ht="20.7" customHeight="1">
      <c r="A10752" s="10">
        <v>45863</v>
      </c>
      <c r="B10752" t="s" s="11">
        <v>8</v>
      </c>
      <c r="C10752" t="s" s="12">
        <v>8</v>
      </c>
      <c r="D10752" s="15" cm="1">
        <f t="array" ref="D10752">SUM(D10750:D10751)</f>
        <v>0</v>
      </c>
      <c r="E10752" s="15" cm="1">
        <f t="array" ref="E10752">SUM(E10750:E10751)</f>
        <v>0</v>
      </c>
      <c r="F10752" s="16" cm="1">
        <f t="array" ref="F10752">SUM(F10750:F10751)</f>
        <v>0</v>
      </c>
      <c r="G10752" s="16" cm="1">
        <f t="array" ref="G10752">SUM(G10750:G10751)</f>
        <v>0</v>
      </c>
      <c r="H10752" s="16" cm="1">
        <f t="array" ref="H10752">SUM(H10750:H10751)</f>
        <v>78</v>
      </c>
      <c r="I10752" s="16" cm="1">
        <f t="array" ref="I10752">SUM(I10750:I10751)</f>
        <v>78</v>
      </c>
    </row>
    <row r="10753" ht="20.35" customHeight="1">
      <c r="A10753" s="10">
        <v>45863</v>
      </c>
      <c r="B10753" t="s" s="11">
        <v>1191</v>
      </c>
      <c r="C10753" t="s" s="12">
        <v>1378</v>
      </c>
      <c r="D10753" s="17"/>
      <c r="E10753" s="17"/>
      <c r="F10753" s="18"/>
      <c r="G10753" s="18"/>
      <c r="H10753" s="18">
        <v>185</v>
      </c>
      <c r="I10753" s="18"/>
    </row>
    <row r="10754" ht="20.35" customHeight="1">
      <c r="A10754" s="10">
        <v>45863</v>
      </c>
      <c r="B10754" t="s" s="11">
        <v>1357</v>
      </c>
      <c r="C10754" t="s" s="12">
        <v>1378</v>
      </c>
      <c r="D10754" s="13"/>
      <c r="E10754" s="13"/>
      <c r="F10754" s="14"/>
      <c r="G10754" s="14"/>
      <c r="H10754" s="14"/>
      <c r="I10754" s="14">
        <v>185</v>
      </c>
    </row>
    <row r="10755" ht="20.7" customHeight="1">
      <c r="A10755" s="10">
        <v>45863</v>
      </c>
      <c r="B10755" t="s" s="11">
        <v>8</v>
      </c>
      <c r="C10755" t="s" s="12">
        <v>8</v>
      </c>
      <c r="D10755" s="15" cm="1">
        <f t="array" ref="D10755">SUM(D10753:D10754)</f>
        <v>0</v>
      </c>
      <c r="E10755" s="15" cm="1">
        <f t="array" ref="E10755">SUM(E10753:E10754)</f>
        <v>0</v>
      </c>
      <c r="F10755" s="16" cm="1">
        <f t="array" ref="F10755">SUM(F10753:F10754)</f>
        <v>0</v>
      </c>
      <c r="G10755" s="16" cm="1">
        <f t="array" ref="G10755">SUM(G10753:G10754)</f>
        <v>0</v>
      </c>
      <c r="H10755" s="16" cm="1">
        <f t="array" ref="H10755">SUM(H10753:H10754)</f>
        <v>185</v>
      </c>
      <c r="I10755" s="16" cm="1">
        <f t="array" ref="I10755">SUM(I10753:I10754)</f>
        <v>185</v>
      </c>
    </row>
    <row r="10756" ht="20.35" customHeight="1">
      <c r="A10756" s="10">
        <v>45863</v>
      </c>
      <c r="B10756" t="s" s="11">
        <v>1191</v>
      </c>
      <c r="C10756" t="s" s="12">
        <v>1379</v>
      </c>
      <c r="D10756" s="17"/>
      <c r="E10756" s="17"/>
      <c r="F10756" s="18"/>
      <c r="G10756" s="18"/>
      <c r="H10756" s="18">
        <v>190</v>
      </c>
      <c r="I10756" s="18"/>
    </row>
    <row r="10757" ht="20.35" customHeight="1">
      <c r="A10757" s="10">
        <v>45863</v>
      </c>
      <c r="B10757" t="s" s="11">
        <v>1357</v>
      </c>
      <c r="C10757" t="s" s="12">
        <v>1379</v>
      </c>
      <c r="D10757" s="13"/>
      <c r="E10757" s="13"/>
      <c r="F10757" s="14"/>
      <c r="G10757" s="14"/>
      <c r="H10757" s="14"/>
      <c r="I10757" s="14">
        <v>190</v>
      </c>
    </row>
    <row r="10758" ht="20.7" customHeight="1">
      <c r="A10758" s="10">
        <v>45863</v>
      </c>
      <c r="B10758" t="s" s="11">
        <v>8</v>
      </c>
      <c r="C10758" t="s" s="12">
        <v>8</v>
      </c>
      <c r="D10758" s="15" cm="1">
        <f t="array" ref="D10758">SUM(D10756:D10757)</f>
        <v>0</v>
      </c>
      <c r="E10758" s="15" cm="1">
        <f t="array" ref="E10758">SUM(E10756:E10757)</f>
        <v>0</v>
      </c>
      <c r="F10758" s="16" cm="1">
        <f t="array" ref="F10758">SUM(F10756:F10757)</f>
        <v>0</v>
      </c>
      <c r="G10758" s="16" cm="1">
        <f t="array" ref="G10758">SUM(G10756:G10757)</f>
        <v>0</v>
      </c>
      <c r="H10758" s="16" cm="1">
        <f t="array" ref="H10758">SUM(H10756:H10757)</f>
        <v>190</v>
      </c>
      <c r="I10758" s="16" cm="1">
        <f t="array" ref="I10758">SUM(I10756:I10757)</f>
        <v>190</v>
      </c>
    </row>
    <row r="10759" ht="20.65" customHeight="1">
      <c r="A10759" s="10">
        <v>45864</v>
      </c>
      <c r="B10759" t="s" s="11">
        <v>814</v>
      </c>
      <c r="C10759" t="s" s="12">
        <v>820</v>
      </c>
      <c r="D10759" s="17">
        <v>49</v>
      </c>
      <c r="E10759" s="17"/>
      <c r="F10759" s="18"/>
      <c r="G10759" s="18"/>
      <c r="H10759" s="18"/>
      <c r="I10759" s="18"/>
    </row>
    <row r="10760" ht="20.65" customHeight="1">
      <c r="A10760" s="10">
        <v>45864</v>
      </c>
      <c r="B10760" t="s" s="11">
        <v>7</v>
      </c>
      <c r="C10760" t="s" s="12">
        <v>820</v>
      </c>
      <c r="D10760" s="13"/>
      <c r="E10760" s="13">
        <v>49</v>
      </c>
      <c r="F10760" s="14"/>
      <c r="G10760" s="14"/>
      <c r="H10760" s="14"/>
      <c r="I10760" s="14"/>
    </row>
    <row r="10761" ht="20.7" customHeight="1">
      <c r="A10761" s="10">
        <v>45864</v>
      </c>
      <c r="B10761" t="s" s="11">
        <v>8</v>
      </c>
      <c r="C10761" t="s" s="12">
        <v>8</v>
      </c>
      <c r="D10761" s="15" cm="1">
        <f t="array" ref="D10761">SUM(D10759:D10760)</f>
        <v>49</v>
      </c>
      <c r="E10761" s="15" cm="1">
        <f t="array" ref="E10761">SUM(E10759:E10760)</f>
        <v>49</v>
      </c>
      <c r="F10761" s="16" cm="1">
        <f t="array" ref="F10761">SUM(F10759:F10760)</f>
        <v>0</v>
      </c>
      <c r="G10761" s="16" cm="1">
        <f t="array" ref="G10761">SUM(G10759:G10760)</f>
        <v>0</v>
      </c>
      <c r="H10761" s="16" cm="1">
        <f t="array" ref="H10761">SUM(H10759:H10760)</f>
        <v>0</v>
      </c>
      <c r="I10761" s="16" cm="1">
        <f t="array" ref="I10761">SUM(I10759:I10760)</f>
        <v>0</v>
      </c>
    </row>
    <row r="10762" ht="20.35" customHeight="1">
      <c r="A10762" s="10">
        <v>45864</v>
      </c>
      <c r="B10762" t="s" s="11">
        <v>1155</v>
      </c>
      <c r="C10762" t="s" s="12">
        <v>1380</v>
      </c>
      <c r="D10762" s="17"/>
      <c r="E10762" s="17"/>
      <c r="F10762" s="18"/>
      <c r="G10762" s="18"/>
      <c r="H10762" s="18"/>
      <c r="I10762" s="18">
        <v>18</v>
      </c>
    </row>
    <row r="10763" ht="20.35" customHeight="1">
      <c r="A10763" s="10">
        <v>45864</v>
      </c>
      <c r="B10763" t="s" s="11">
        <v>1191</v>
      </c>
      <c r="C10763" t="s" s="12">
        <v>1380</v>
      </c>
      <c r="D10763" s="13"/>
      <c r="E10763" s="13"/>
      <c r="F10763" s="14"/>
      <c r="G10763" s="14"/>
      <c r="H10763" s="14">
        <v>18</v>
      </c>
      <c r="I10763" s="14"/>
    </row>
    <row r="10764" ht="20.7" customHeight="1">
      <c r="A10764" s="10">
        <v>45864</v>
      </c>
      <c r="B10764" t="s" s="11">
        <v>8</v>
      </c>
      <c r="C10764" t="s" s="12">
        <v>8</v>
      </c>
      <c r="D10764" s="15" cm="1">
        <f t="array" ref="D10764">SUM(D10762:D10763)</f>
        <v>0</v>
      </c>
      <c r="E10764" s="15" cm="1">
        <f t="array" ref="E10764">SUM(E10762:E10763)</f>
        <v>0</v>
      </c>
      <c r="F10764" s="16" cm="1">
        <f t="array" ref="F10764">SUM(F10762:F10763)</f>
        <v>0</v>
      </c>
      <c r="G10764" s="16" cm="1">
        <f t="array" ref="G10764">SUM(G10762:G10763)</f>
        <v>0</v>
      </c>
      <c r="H10764" s="16" cm="1">
        <f t="array" ref="H10764">SUM(H10762:H10763)</f>
        <v>18</v>
      </c>
      <c r="I10764" s="16" cm="1">
        <f t="array" ref="I10764">SUM(I10762:I10763)</f>
        <v>18</v>
      </c>
    </row>
    <row r="10765" ht="20.35" customHeight="1">
      <c r="A10765" s="10">
        <v>45864</v>
      </c>
      <c r="B10765" t="s" s="11">
        <v>1155</v>
      </c>
      <c r="C10765" t="s" s="12">
        <v>1381</v>
      </c>
      <c r="D10765" s="17"/>
      <c r="E10765" s="17"/>
      <c r="F10765" s="18"/>
      <c r="G10765" s="18"/>
      <c r="H10765" s="18"/>
      <c r="I10765" s="18">
        <v>10</v>
      </c>
    </row>
    <row r="10766" ht="20.35" customHeight="1">
      <c r="A10766" s="10">
        <v>45864</v>
      </c>
      <c r="B10766" t="s" s="11">
        <v>1191</v>
      </c>
      <c r="C10766" t="s" s="12">
        <v>1381</v>
      </c>
      <c r="D10766" s="13"/>
      <c r="E10766" s="13"/>
      <c r="F10766" s="14"/>
      <c r="G10766" s="14"/>
      <c r="H10766" s="14">
        <v>10</v>
      </c>
      <c r="I10766" s="14"/>
    </row>
    <row r="10767" ht="20.7" customHeight="1">
      <c r="A10767" s="10">
        <v>45864</v>
      </c>
      <c r="B10767" t="s" s="11">
        <v>8</v>
      </c>
      <c r="C10767" t="s" s="12">
        <v>8</v>
      </c>
      <c r="D10767" s="15" cm="1">
        <f t="array" ref="D10767">SUM(D10765:D10766)</f>
        <v>0</v>
      </c>
      <c r="E10767" s="15" cm="1">
        <f t="array" ref="E10767">SUM(E10765:E10766)</f>
        <v>0</v>
      </c>
      <c r="F10767" s="16" cm="1">
        <f t="array" ref="F10767">SUM(F10765:F10766)</f>
        <v>0</v>
      </c>
      <c r="G10767" s="16" cm="1">
        <f t="array" ref="G10767">SUM(G10765:G10766)</f>
        <v>0</v>
      </c>
      <c r="H10767" s="16" cm="1">
        <f t="array" ref="H10767">SUM(H10765:H10766)</f>
        <v>10</v>
      </c>
      <c r="I10767" s="16" cm="1">
        <f t="array" ref="I10767">SUM(I10765:I10766)</f>
        <v>10</v>
      </c>
    </row>
    <row r="10768" ht="20.35" customHeight="1">
      <c r="A10768" s="10">
        <v>45864</v>
      </c>
      <c r="B10768" t="s" s="11">
        <v>1155</v>
      </c>
      <c r="C10768" t="s" s="12">
        <v>1382</v>
      </c>
      <c r="D10768" s="17"/>
      <c r="E10768" s="17"/>
      <c r="F10768" s="18"/>
      <c r="G10768" s="18"/>
      <c r="H10768" s="18"/>
      <c r="I10768" s="18">
        <v>4</v>
      </c>
    </row>
    <row r="10769" ht="20.35" customHeight="1">
      <c r="A10769" s="10">
        <v>45864</v>
      </c>
      <c r="B10769" t="s" s="11">
        <v>1191</v>
      </c>
      <c r="C10769" t="s" s="12">
        <v>1382</v>
      </c>
      <c r="D10769" s="13"/>
      <c r="E10769" s="13"/>
      <c r="F10769" s="14"/>
      <c r="G10769" s="14"/>
      <c r="H10769" s="14">
        <v>4</v>
      </c>
      <c r="I10769" s="14"/>
    </row>
    <row r="10770" ht="20.7" customHeight="1">
      <c r="A10770" s="10">
        <v>45864</v>
      </c>
      <c r="B10770" t="s" s="11">
        <v>8</v>
      </c>
      <c r="C10770" t="s" s="12">
        <v>8</v>
      </c>
      <c r="D10770" s="15" cm="1">
        <f t="array" ref="D10770">SUM(D10768:D10769)</f>
        <v>0</v>
      </c>
      <c r="E10770" s="15" cm="1">
        <f t="array" ref="E10770">SUM(E10768:E10769)</f>
        <v>0</v>
      </c>
      <c r="F10770" s="16" cm="1">
        <f t="array" ref="F10770">SUM(F10768:F10769)</f>
        <v>0</v>
      </c>
      <c r="G10770" s="16" cm="1">
        <f t="array" ref="G10770">SUM(G10768:G10769)</f>
        <v>0</v>
      </c>
      <c r="H10770" s="16" cm="1">
        <f t="array" ref="H10770">SUM(H10768:H10769)</f>
        <v>4</v>
      </c>
      <c r="I10770" s="16" cm="1">
        <f t="array" ref="I10770">SUM(I10768:I10769)</f>
        <v>4</v>
      </c>
    </row>
    <row r="10771" ht="20.35" customHeight="1">
      <c r="A10771" s="10">
        <v>45864</v>
      </c>
      <c r="B10771" t="s" s="11">
        <v>1191</v>
      </c>
      <c r="C10771" t="s" s="12">
        <v>1383</v>
      </c>
      <c r="D10771" s="17"/>
      <c r="E10771" s="17"/>
      <c r="F10771" s="18"/>
      <c r="G10771" s="18"/>
      <c r="H10771" s="18">
        <v>450</v>
      </c>
      <c r="I10771" s="18"/>
    </row>
    <row r="10772" ht="20.35" customHeight="1">
      <c r="A10772" s="10">
        <v>45864</v>
      </c>
      <c r="B10772" t="s" s="11">
        <v>1357</v>
      </c>
      <c r="C10772" t="s" s="12">
        <v>1383</v>
      </c>
      <c r="D10772" s="13"/>
      <c r="E10772" s="13"/>
      <c r="F10772" s="14"/>
      <c r="G10772" s="14"/>
      <c r="H10772" s="14"/>
      <c r="I10772" s="14">
        <v>450</v>
      </c>
    </row>
    <row r="10773" ht="20.7" customHeight="1">
      <c r="A10773" s="10">
        <v>45864</v>
      </c>
      <c r="B10773" t="s" s="11">
        <v>8</v>
      </c>
      <c r="C10773" t="s" s="12">
        <v>8</v>
      </c>
      <c r="D10773" s="15" cm="1">
        <f t="array" ref="D10773">SUM(D10771:D10772)</f>
        <v>0</v>
      </c>
      <c r="E10773" s="15" cm="1">
        <f t="array" ref="E10773">SUM(E10771:E10772)</f>
        <v>0</v>
      </c>
      <c r="F10773" s="16" cm="1">
        <f t="array" ref="F10773">SUM(F10771:F10772)</f>
        <v>0</v>
      </c>
      <c r="G10773" s="16" cm="1">
        <f t="array" ref="G10773">SUM(G10771:G10772)</f>
        <v>0</v>
      </c>
      <c r="H10773" s="16" cm="1">
        <f t="array" ref="H10773">SUM(H10771:H10772)</f>
        <v>450</v>
      </c>
      <c r="I10773" s="16" cm="1">
        <f t="array" ref="I10773">SUM(I10771:I10772)</f>
        <v>450</v>
      </c>
    </row>
    <row r="10774" ht="20.35" customHeight="1">
      <c r="A10774" s="10">
        <v>45864</v>
      </c>
      <c r="B10774" t="s" s="11">
        <v>1191</v>
      </c>
      <c r="C10774" t="s" s="12">
        <v>1379</v>
      </c>
      <c r="D10774" s="17"/>
      <c r="E10774" s="17"/>
      <c r="F10774" s="18"/>
      <c r="G10774" s="18"/>
      <c r="H10774" s="18">
        <v>502</v>
      </c>
      <c r="I10774" s="18"/>
    </row>
    <row r="10775" ht="20.35" customHeight="1">
      <c r="A10775" s="10">
        <v>45864</v>
      </c>
      <c r="B10775" t="s" s="11">
        <v>1357</v>
      </c>
      <c r="C10775" t="s" s="12">
        <v>1379</v>
      </c>
      <c r="D10775" s="13"/>
      <c r="E10775" s="13"/>
      <c r="F10775" s="14"/>
      <c r="G10775" s="14"/>
      <c r="H10775" s="14"/>
      <c r="I10775" s="14">
        <v>502</v>
      </c>
    </row>
    <row r="10776" ht="20.7" customHeight="1">
      <c r="A10776" s="10">
        <v>45864</v>
      </c>
      <c r="B10776" t="s" s="11">
        <v>8</v>
      </c>
      <c r="C10776" t="s" s="12">
        <v>8</v>
      </c>
      <c r="D10776" s="15" cm="1">
        <f t="array" ref="D10776">SUM(D10774:D10775)</f>
        <v>0</v>
      </c>
      <c r="E10776" s="15" cm="1">
        <f t="array" ref="E10776">SUM(E10774:E10775)</f>
        <v>0</v>
      </c>
      <c r="F10776" s="16" cm="1">
        <f t="array" ref="F10776">SUM(F10774:F10775)</f>
        <v>0</v>
      </c>
      <c r="G10776" s="16" cm="1">
        <f t="array" ref="G10776">SUM(G10774:G10775)</f>
        <v>0</v>
      </c>
      <c r="H10776" s="16" cm="1">
        <f t="array" ref="H10776">SUM(H10774:H10775)</f>
        <v>502</v>
      </c>
      <c r="I10776" s="16" cm="1">
        <f t="array" ref="I10776">SUM(I10774:I10775)</f>
        <v>502</v>
      </c>
    </row>
    <row r="10777" ht="20.65" customHeight="1">
      <c r="A10777" s="10">
        <v>45865</v>
      </c>
      <c r="B10777" t="s" s="11">
        <v>814</v>
      </c>
      <c r="C10777" t="s" s="12">
        <v>820</v>
      </c>
      <c r="D10777" s="17">
        <v>49</v>
      </c>
      <c r="E10777" s="17"/>
      <c r="F10777" s="18"/>
      <c r="G10777" s="18"/>
      <c r="H10777" s="18"/>
      <c r="I10777" s="18"/>
    </row>
    <row r="10778" ht="20.65" customHeight="1">
      <c r="A10778" s="10">
        <v>45865</v>
      </c>
      <c r="B10778" t="s" s="11">
        <v>7</v>
      </c>
      <c r="C10778" t="s" s="12">
        <v>820</v>
      </c>
      <c r="D10778" s="13"/>
      <c r="E10778" s="13">
        <v>49</v>
      </c>
      <c r="F10778" s="14"/>
      <c r="G10778" s="14"/>
      <c r="H10778" s="14"/>
      <c r="I10778" s="14"/>
    </row>
    <row r="10779" ht="20.7" customHeight="1">
      <c r="A10779" s="10">
        <v>45865</v>
      </c>
      <c r="B10779" t="s" s="11">
        <v>8</v>
      </c>
      <c r="C10779" t="s" s="12">
        <v>8</v>
      </c>
      <c r="D10779" s="15" cm="1">
        <f t="array" ref="D10779">SUM(D10777:D10778)</f>
        <v>49</v>
      </c>
      <c r="E10779" s="15" cm="1">
        <f t="array" ref="E10779">SUM(E10777:E10778)</f>
        <v>49</v>
      </c>
      <c r="F10779" s="16" cm="1">
        <f t="array" ref="F10779">SUM(F10777:F10778)</f>
        <v>0</v>
      </c>
      <c r="G10779" s="16" cm="1">
        <f t="array" ref="G10779">SUM(G10777:G10778)</f>
        <v>0</v>
      </c>
      <c r="H10779" s="16" cm="1">
        <f t="array" ref="H10779">SUM(H10777:H10778)</f>
        <v>0</v>
      </c>
      <c r="I10779" s="16" cm="1">
        <f t="array" ref="I10779">SUM(I10777:I10778)</f>
        <v>0</v>
      </c>
    </row>
    <row r="10780" ht="20.35" customHeight="1">
      <c r="A10780" s="10">
        <v>45865</v>
      </c>
      <c r="B10780" t="s" s="11">
        <v>1191</v>
      </c>
      <c r="C10780" t="s" s="12">
        <v>1379</v>
      </c>
      <c r="D10780" s="17"/>
      <c r="E10780" s="17"/>
      <c r="F10780" s="18"/>
      <c r="G10780" s="18"/>
      <c r="H10780" s="18">
        <v>314</v>
      </c>
      <c r="I10780" s="18"/>
    </row>
    <row r="10781" ht="20.35" customHeight="1">
      <c r="A10781" s="10">
        <v>45865</v>
      </c>
      <c r="B10781" t="s" s="11">
        <v>1357</v>
      </c>
      <c r="C10781" t="s" s="12">
        <v>1379</v>
      </c>
      <c r="D10781" s="13"/>
      <c r="E10781" s="13"/>
      <c r="F10781" s="14"/>
      <c r="G10781" s="14"/>
      <c r="H10781" s="14"/>
      <c r="I10781" s="14">
        <v>314</v>
      </c>
    </row>
    <row r="10782" ht="20.7" customHeight="1">
      <c r="A10782" s="10">
        <v>45865</v>
      </c>
      <c r="B10782" t="s" s="11">
        <v>8</v>
      </c>
      <c r="C10782" t="s" s="12">
        <v>8</v>
      </c>
      <c r="D10782" s="15" cm="1">
        <f t="array" ref="D10782">SUM(D10780:D10781)</f>
        <v>0</v>
      </c>
      <c r="E10782" s="15" cm="1">
        <f t="array" ref="E10782">SUM(E10780:E10781)</f>
        <v>0</v>
      </c>
      <c r="F10782" s="16" cm="1">
        <f t="array" ref="F10782">SUM(F10780:F10781)</f>
        <v>0</v>
      </c>
      <c r="G10782" s="16" cm="1">
        <f t="array" ref="G10782">SUM(G10780:G10781)</f>
        <v>0</v>
      </c>
      <c r="H10782" s="16" cm="1">
        <f t="array" ref="H10782">SUM(H10780:H10781)</f>
        <v>314</v>
      </c>
      <c r="I10782" s="16" cm="1">
        <f t="array" ref="I10782">SUM(I10780:I10781)</f>
        <v>314</v>
      </c>
    </row>
    <row r="10783" ht="20.65" customHeight="1">
      <c r="A10783" s="10">
        <v>45866</v>
      </c>
      <c r="B10783" t="s" s="11">
        <v>814</v>
      </c>
      <c r="C10783" t="s" s="12">
        <v>820</v>
      </c>
      <c r="D10783" s="17">
        <v>49</v>
      </c>
      <c r="E10783" s="17"/>
      <c r="F10783" s="18"/>
      <c r="G10783" s="18"/>
      <c r="H10783" s="18"/>
      <c r="I10783" s="18"/>
    </row>
    <row r="10784" ht="20.65" customHeight="1">
      <c r="A10784" s="10">
        <v>45866</v>
      </c>
      <c r="B10784" t="s" s="11">
        <v>7</v>
      </c>
      <c r="C10784" t="s" s="12">
        <v>820</v>
      </c>
      <c r="D10784" s="13"/>
      <c r="E10784" s="13">
        <v>49</v>
      </c>
      <c r="F10784" s="14"/>
      <c r="G10784" s="14"/>
      <c r="H10784" s="14"/>
      <c r="I10784" s="14"/>
    </row>
    <row r="10785" ht="20.7" customHeight="1">
      <c r="A10785" s="10">
        <v>45866</v>
      </c>
      <c r="B10785" t="s" s="11">
        <v>8</v>
      </c>
      <c r="C10785" t="s" s="12">
        <v>8</v>
      </c>
      <c r="D10785" s="15" cm="1">
        <f t="array" ref="D10785">SUM(D10783:D10784)</f>
        <v>49</v>
      </c>
      <c r="E10785" s="15" cm="1">
        <f t="array" ref="E10785">SUM(E10783:E10784)</f>
        <v>49</v>
      </c>
      <c r="F10785" s="16" cm="1">
        <f t="array" ref="F10785">SUM(F10783:F10784)</f>
        <v>0</v>
      </c>
      <c r="G10785" s="16" cm="1">
        <f t="array" ref="G10785">SUM(G10783:G10784)</f>
        <v>0</v>
      </c>
      <c r="H10785" s="16" cm="1">
        <f t="array" ref="H10785">SUM(H10783:H10784)</f>
        <v>0</v>
      </c>
      <c r="I10785" s="16" cm="1">
        <f t="array" ref="I10785">SUM(I10783:I10784)</f>
        <v>0</v>
      </c>
    </row>
    <row r="10786" ht="21.25" customHeight="1">
      <c r="A10786" s="10">
        <v>45866</v>
      </c>
      <c r="B10786" t="s" s="11">
        <v>107</v>
      </c>
      <c r="C10786" t="s" s="12">
        <v>1384</v>
      </c>
      <c r="D10786" s="17"/>
      <c r="E10786" s="17">
        <v>10000</v>
      </c>
      <c r="F10786" s="18"/>
      <c r="G10786" s="18"/>
      <c r="H10786" s="18"/>
      <c r="I10786" s="18"/>
    </row>
    <row r="10787" ht="21.25" customHeight="1">
      <c r="A10787" s="10">
        <v>45866</v>
      </c>
      <c r="B10787" t="s" s="11">
        <v>1240</v>
      </c>
      <c r="C10787" t="s" s="12">
        <v>1384</v>
      </c>
      <c r="D10787" s="13">
        <v>10000</v>
      </c>
      <c r="E10787" s="13"/>
      <c r="F10787" s="14"/>
      <c r="G10787" s="14"/>
      <c r="H10787" s="14"/>
      <c r="I10787" s="14"/>
    </row>
    <row r="10788" ht="20.7" customHeight="1">
      <c r="A10788" s="10">
        <v>45866</v>
      </c>
      <c r="B10788" t="s" s="11">
        <v>8</v>
      </c>
      <c r="C10788" t="s" s="12">
        <v>8</v>
      </c>
      <c r="D10788" s="15" cm="1">
        <f t="array" ref="D10788">SUM(D10786:D10787)</f>
        <v>10000</v>
      </c>
      <c r="E10788" s="15" cm="1">
        <f t="array" ref="E10788">SUM(E10786:E10787)</f>
        <v>10000</v>
      </c>
      <c r="F10788" s="16" cm="1">
        <f t="array" ref="F10788">SUM(F10786:F10787)</f>
        <v>0</v>
      </c>
      <c r="G10788" s="16" cm="1">
        <f t="array" ref="G10788">SUM(G10786:G10787)</f>
        <v>0</v>
      </c>
      <c r="H10788" s="16" cm="1">
        <f t="array" ref="H10788">SUM(H10786:H10787)</f>
        <v>0</v>
      </c>
      <c r="I10788" s="16" cm="1">
        <f t="array" ref="I10788">SUM(I10786:I10787)</f>
        <v>0</v>
      </c>
    </row>
    <row r="10789" ht="20.35" customHeight="1">
      <c r="A10789" s="10">
        <v>45866</v>
      </c>
      <c r="B10789" t="s" s="11">
        <v>107</v>
      </c>
      <c r="C10789" t="s" s="12">
        <v>1343</v>
      </c>
      <c r="D10789" s="17"/>
      <c r="E10789" s="17">
        <v>749</v>
      </c>
      <c r="F10789" s="18"/>
      <c r="G10789" s="18"/>
      <c r="H10789" s="18"/>
      <c r="I10789" s="18"/>
    </row>
    <row r="10790" ht="20.35" customHeight="1">
      <c r="A10790" s="10">
        <v>45866</v>
      </c>
      <c r="B10790" t="s" s="11">
        <v>10</v>
      </c>
      <c r="C10790" t="s" s="12">
        <v>1343</v>
      </c>
      <c r="D10790" s="13">
        <v>749</v>
      </c>
      <c r="E10790" s="13"/>
      <c r="F10790" s="14"/>
      <c r="G10790" s="14"/>
      <c r="H10790" s="14"/>
      <c r="I10790" s="14"/>
    </row>
    <row r="10791" ht="20.7" customHeight="1">
      <c r="A10791" s="10">
        <v>45866</v>
      </c>
      <c r="B10791" t="s" s="11">
        <v>8</v>
      </c>
      <c r="C10791" t="s" s="12">
        <v>8</v>
      </c>
      <c r="D10791" s="15" cm="1">
        <f t="array" ref="D10791">SUM(D10789:D10790)</f>
        <v>749</v>
      </c>
      <c r="E10791" s="15" cm="1">
        <f t="array" ref="E10791">SUM(E10789:E10790)</f>
        <v>749</v>
      </c>
      <c r="F10791" s="16" cm="1">
        <f t="array" ref="F10791">SUM(F10789:F10790)</f>
        <v>0</v>
      </c>
      <c r="G10791" s="16" cm="1">
        <f t="array" ref="G10791">SUM(G10789:G10790)</f>
        <v>0</v>
      </c>
      <c r="H10791" s="16" cm="1">
        <f t="array" ref="H10791">SUM(H10789:H10790)</f>
        <v>0</v>
      </c>
      <c r="I10791" s="16" cm="1">
        <f t="array" ref="I10791">SUM(I10789:I10790)</f>
        <v>0</v>
      </c>
    </row>
    <row r="10792" ht="20.35" customHeight="1">
      <c r="A10792" s="10">
        <v>45866</v>
      </c>
      <c r="B10792" t="s" s="11">
        <v>107</v>
      </c>
      <c r="C10792" t="s" s="12">
        <v>1367</v>
      </c>
      <c r="D10792" s="17"/>
      <c r="E10792" s="17">
        <v>4400</v>
      </c>
      <c r="F10792" s="18"/>
      <c r="G10792" s="18"/>
      <c r="H10792" s="18"/>
      <c r="I10792" s="18"/>
    </row>
    <row r="10793" ht="20.35" customHeight="1">
      <c r="A10793" s="10">
        <v>45866</v>
      </c>
      <c r="B10793" t="s" s="11">
        <v>10</v>
      </c>
      <c r="C10793" t="s" s="12">
        <v>1367</v>
      </c>
      <c r="D10793" s="13">
        <v>4400</v>
      </c>
      <c r="E10793" s="13"/>
      <c r="F10793" s="14"/>
      <c r="G10793" s="14"/>
      <c r="H10793" s="14"/>
      <c r="I10793" s="14"/>
    </row>
    <row r="10794" ht="20.7" customHeight="1">
      <c r="A10794" s="10">
        <v>45866</v>
      </c>
      <c r="B10794" t="s" s="11">
        <v>8</v>
      </c>
      <c r="C10794" t="s" s="12">
        <v>8</v>
      </c>
      <c r="D10794" s="15" cm="1">
        <f t="array" ref="D10794">SUM(D10792:D10793)</f>
        <v>4400</v>
      </c>
      <c r="E10794" s="15" cm="1">
        <f t="array" ref="E10794">SUM(E10792:E10793)</f>
        <v>4400</v>
      </c>
      <c r="F10794" s="16" cm="1">
        <f t="array" ref="F10794">SUM(F10792:F10793)</f>
        <v>0</v>
      </c>
      <c r="G10794" s="16" cm="1">
        <f t="array" ref="G10794">SUM(G10792:G10793)</f>
        <v>0</v>
      </c>
      <c r="H10794" s="16" cm="1">
        <f t="array" ref="H10794">SUM(H10792:H10793)</f>
        <v>0</v>
      </c>
      <c r="I10794" s="16" cm="1">
        <f t="array" ref="I10794">SUM(I10792:I10793)</f>
        <v>0</v>
      </c>
    </row>
    <row r="10795" ht="20.65" customHeight="1">
      <c r="A10795" s="10">
        <v>45867</v>
      </c>
      <c r="B10795" t="s" s="11">
        <v>814</v>
      </c>
      <c r="C10795" t="s" s="12">
        <v>820</v>
      </c>
      <c r="D10795" s="17">
        <v>49</v>
      </c>
      <c r="E10795" s="17"/>
      <c r="F10795" s="18"/>
      <c r="G10795" s="18"/>
      <c r="H10795" s="18"/>
      <c r="I10795" s="18"/>
    </row>
    <row r="10796" ht="20.65" customHeight="1">
      <c r="A10796" s="10">
        <v>45867</v>
      </c>
      <c r="B10796" t="s" s="11">
        <v>7</v>
      </c>
      <c r="C10796" t="s" s="12">
        <v>820</v>
      </c>
      <c r="D10796" s="13"/>
      <c r="E10796" s="13">
        <v>49</v>
      </c>
      <c r="F10796" s="14"/>
      <c r="G10796" s="14"/>
      <c r="H10796" s="14"/>
      <c r="I10796" s="14"/>
    </row>
    <row r="10797" ht="20.7" customHeight="1">
      <c r="A10797" s="10">
        <v>45867</v>
      </c>
      <c r="B10797" t="s" s="11">
        <v>8</v>
      </c>
      <c r="C10797" t="s" s="12">
        <v>8</v>
      </c>
      <c r="D10797" s="15" cm="1">
        <f t="array" ref="D10797">SUM(D10795:D10796)</f>
        <v>49</v>
      </c>
      <c r="E10797" s="15" cm="1">
        <f t="array" ref="E10797">SUM(E10795:E10796)</f>
        <v>49</v>
      </c>
      <c r="F10797" s="16" cm="1">
        <f t="array" ref="F10797">SUM(F10795:F10796)</f>
        <v>0</v>
      </c>
      <c r="G10797" s="16" cm="1">
        <f t="array" ref="G10797">SUM(G10795:G10796)</f>
        <v>0</v>
      </c>
      <c r="H10797" s="16" cm="1">
        <f t="array" ref="H10797">SUM(H10795:H10796)</f>
        <v>0</v>
      </c>
      <c r="I10797" s="16" cm="1">
        <f t="array" ref="I10797">SUM(I10795:I10796)</f>
        <v>0</v>
      </c>
    </row>
    <row r="10798" ht="20.35" customHeight="1">
      <c r="A10798" s="10">
        <v>45867</v>
      </c>
      <c r="B10798" t="s" s="11">
        <v>1155</v>
      </c>
      <c r="C10798" t="s" s="12">
        <v>1385</v>
      </c>
      <c r="D10798" s="17"/>
      <c r="E10798" s="17"/>
      <c r="F10798" s="18"/>
      <c r="G10798" s="18"/>
      <c r="H10798" s="18"/>
      <c r="I10798" s="18">
        <v>28.7</v>
      </c>
    </row>
    <row r="10799" ht="20.35" customHeight="1">
      <c r="A10799" s="10">
        <v>45867</v>
      </c>
      <c r="B10799" t="s" s="11">
        <v>1191</v>
      </c>
      <c r="C10799" t="s" s="12">
        <v>1385</v>
      </c>
      <c r="D10799" s="13"/>
      <c r="E10799" s="13"/>
      <c r="F10799" s="14"/>
      <c r="G10799" s="14"/>
      <c r="H10799" s="14">
        <v>28.7</v>
      </c>
      <c r="I10799" s="14"/>
    </row>
    <row r="10800" ht="20.7" customHeight="1">
      <c r="A10800" s="10">
        <v>45867</v>
      </c>
      <c r="B10800" t="s" s="11">
        <v>8</v>
      </c>
      <c r="C10800" t="s" s="12">
        <v>8</v>
      </c>
      <c r="D10800" s="15" cm="1">
        <f t="array" ref="D10800">SUM(D10798:D10799)</f>
        <v>0</v>
      </c>
      <c r="E10800" s="15" cm="1">
        <f t="array" ref="E10800">SUM(E10798:E10799)</f>
        <v>0</v>
      </c>
      <c r="F10800" s="16" cm="1">
        <f t="array" ref="F10800">SUM(F10798:F10799)</f>
        <v>0</v>
      </c>
      <c r="G10800" s="16" cm="1">
        <f t="array" ref="G10800">SUM(G10798:G10799)</f>
        <v>0</v>
      </c>
      <c r="H10800" s="16" cm="1">
        <f t="array" ref="H10800">SUM(H10798:H10799)</f>
        <v>28.7</v>
      </c>
      <c r="I10800" s="16" cm="1">
        <f t="array" ref="I10800">SUM(I10798:I10799)</f>
        <v>28.7</v>
      </c>
    </row>
    <row r="10801" ht="20.35" customHeight="1">
      <c r="A10801" s="10">
        <v>45867</v>
      </c>
      <c r="B10801" t="s" s="11">
        <v>1155</v>
      </c>
      <c r="C10801" t="s" s="12">
        <v>1386</v>
      </c>
      <c r="D10801" s="17"/>
      <c r="E10801" s="17"/>
      <c r="F10801" s="18"/>
      <c r="G10801" s="18"/>
      <c r="H10801" s="18"/>
      <c r="I10801" s="18">
        <v>46.2</v>
      </c>
    </row>
    <row r="10802" ht="20.35" customHeight="1">
      <c r="A10802" s="10">
        <v>45867</v>
      </c>
      <c r="B10802" t="s" s="11">
        <v>1191</v>
      </c>
      <c r="C10802" t="s" s="12">
        <v>1386</v>
      </c>
      <c r="D10802" s="13"/>
      <c r="E10802" s="13"/>
      <c r="F10802" s="14"/>
      <c r="G10802" s="14"/>
      <c r="H10802" s="14">
        <v>46.2</v>
      </c>
      <c r="I10802" s="14"/>
    </row>
    <row r="10803" ht="20.7" customHeight="1">
      <c r="A10803" s="10">
        <v>45867</v>
      </c>
      <c r="B10803" t="s" s="11">
        <v>8</v>
      </c>
      <c r="C10803" t="s" s="12">
        <v>8</v>
      </c>
      <c r="D10803" s="15" cm="1">
        <f t="array" ref="D10803">SUM(D10801:D10802)</f>
        <v>0</v>
      </c>
      <c r="E10803" s="15" cm="1">
        <f t="array" ref="E10803">SUM(E10801:E10802)</f>
        <v>0</v>
      </c>
      <c r="F10803" s="16" cm="1">
        <f t="array" ref="F10803">SUM(F10801:F10802)</f>
        <v>0</v>
      </c>
      <c r="G10803" s="16" cm="1">
        <f t="array" ref="G10803">SUM(G10801:G10802)</f>
        <v>0</v>
      </c>
      <c r="H10803" s="16" cm="1">
        <f t="array" ref="H10803">SUM(H10801:H10802)</f>
        <v>46.2</v>
      </c>
      <c r="I10803" s="16" cm="1">
        <f t="array" ref="I10803">SUM(I10801:I10802)</f>
        <v>46.2</v>
      </c>
    </row>
    <row r="10804" ht="20.65" customHeight="1">
      <c r="A10804" s="10">
        <v>45868</v>
      </c>
      <c r="B10804" t="s" s="11">
        <v>814</v>
      </c>
      <c r="C10804" t="s" s="12">
        <v>820</v>
      </c>
      <c r="D10804" s="17">
        <v>49</v>
      </c>
      <c r="E10804" s="17"/>
      <c r="F10804" s="18"/>
      <c r="G10804" s="18"/>
      <c r="H10804" s="18"/>
      <c r="I10804" s="18"/>
    </row>
    <row r="10805" ht="20.65" customHeight="1">
      <c r="A10805" s="10">
        <v>45868</v>
      </c>
      <c r="B10805" t="s" s="11">
        <v>7</v>
      </c>
      <c r="C10805" t="s" s="12">
        <v>820</v>
      </c>
      <c r="D10805" s="13"/>
      <c r="E10805" s="13">
        <v>49</v>
      </c>
      <c r="F10805" s="14"/>
      <c r="G10805" s="14"/>
      <c r="H10805" s="14"/>
      <c r="I10805" s="14"/>
    </row>
    <row r="10806" ht="20.7" customHeight="1">
      <c r="A10806" s="10">
        <v>45868</v>
      </c>
      <c r="B10806" t="s" s="11">
        <v>8</v>
      </c>
      <c r="C10806" t="s" s="12">
        <v>8</v>
      </c>
      <c r="D10806" s="15" cm="1">
        <f t="array" ref="D10806">SUM(D10804:D10805)</f>
        <v>49</v>
      </c>
      <c r="E10806" s="15" cm="1">
        <f t="array" ref="E10806">SUM(E10804:E10805)</f>
        <v>49</v>
      </c>
      <c r="F10806" s="16" cm="1">
        <f t="array" ref="F10806">SUM(F10804:F10805)</f>
        <v>0</v>
      </c>
      <c r="G10806" s="16" cm="1">
        <f t="array" ref="G10806">SUM(G10804:G10805)</f>
        <v>0</v>
      </c>
      <c r="H10806" s="16" cm="1">
        <f t="array" ref="H10806">SUM(H10804:H10805)</f>
        <v>0</v>
      </c>
      <c r="I10806" s="16" cm="1">
        <f t="array" ref="I10806">SUM(I10804:I10805)</f>
        <v>0</v>
      </c>
    </row>
    <row r="10807" ht="20.35" customHeight="1">
      <c r="A10807" s="10">
        <v>45868</v>
      </c>
      <c r="B10807" t="s" s="11">
        <v>1155</v>
      </c>
      <c r="C10807" t="s" s="12">
        <v>1387</v>
      </c>
      <c r="D10807" s="17"/>
      <c r="E10807" s="17"/>
      <c r="F10807" s="18"/>
      <c r="G10807" s="18"/>
      <c r="H10807" s="18"/>
      <c r="I10807" s="18">
        <v>60.8</v>
      </c>
    </row>
    <row r="10808" ht="20.35" customHeight="1">
      <c r="A10808" s="10">
        <v>45868</v>
      </c>
      <c r="B10808" t="s" s="11">
        <v>1191</v>
      </c>
      <c r="C10808" t="s" s="12">
        <v>1387</v>
      </c>
      <c r="D10808" s="13"/>
      <c r="E10808" s="13"/>
      <c r="F10808" s="14"/>
      <c r="G10808" s="14"/>
      <c r="H10808" s="14">
        <v>60.8</v>
      </c>
      <c r="I10808" s="14"/>
    </row>
    <row r="10809" ht="20.7" customHeight="1">
      <c r="A10809" s="10">
        <v>45868</v>
      </c>
      <c r="B10809" t="s" s="11">
        <v>8</v>
      </c>
      <c r="C10809" t="s" s="12">
        <v>8</v>
      </c>
      <c r="D10809" s="15" cm="1">
        <f t="array" ref="D10809">SUM(D10807:D10808)</f>
        <v>0</v>
      </c>
      <c r="E10809" s="15" cm="1">
        <f t="array" ref="E10809">SUM(E10807:E10808)</f>
        <v>0</v>
      </c>
      <c r="F10809" s="16" cm="1">
        <f t="array" ref="F10809">SUM(F10807:F10808)</f>
        <v>0</v>
      </c>
      <c r="G10809" s="16" cm="1">
        <f t="array" ref="G10809">SUM(G10807:G10808)</f>
        <v>0</v>
      </c>
      <c r="H10809" s="16" cm="1">
        <f t="array" ref="H10809">SUM(H10807:H10808)</f>
        <v>60.8</v>
      </c>
      <c r="I10809" s="16" cm="1">
        <f t="array" ref="I10809">SUM(I10807:I10808)</f>
        <v>60.8</v>
      </c>
    </row>
    <row r="10810" ht="20.65" customHeight="1">
      <c r="A10810" s="10">
        <v>45869</v>
      </c>
      <c r="B10810" t="s" s="11">
        <v>814</v>
      </c>
      <c r="C10810" t="s" s="12">
        <v>820</v>
      </c>
      <c r="D10810" s="17">
        <v>49</v>
      </c>
      <c r="E10810" s="17"/>
      <c r="F10810" s="18"/>
      <c r="G10810" s="18"/>
      <c r="H10810" s="18"/>
      <c r="I10810" s="18"/>
    </row>
    <row r="10811" ht="20.65" customHeight="1">
      <c r="A10811" s="10">
        <v>45869</v>
      </c>
      <c r="B10811" t="s" s="11">
        <v>7</v>
      </c>
      <c r="C10811" t="s" s="12">
        <v>820</v>
      </c>
      <c r="D10811" s="13"/>
      <c r="E10811" s="13">
        <v>49</v>
      </c>
      <c r="F10811" s="14"/>
      <c r="G10811" s="14"/>
      <c r="H10811" s="14"/>
      <c r="I10811" s="14"/>
    </row>
    <row r="10812" ht="20.7" customHeight="1">
      <c r="A10812" s="10">
        <v>45869</v>
      </c>
      <c r="B10812" t="s" s="11">
        <v>8</v>
      </c>
      <c r="C10812" t="s" s="12">
        <v>8</v>
      </c>
      <c r="D10812" s="15" cm="1">
        <f t="array" ref="D10812">SUM(D10810:D10811)</f>
        <v>49</v>
      </c>
      <c r="E10812" s="15" cm="1">
        <f t="array" ref="E10812">SUM(E10810:E10811)</f>
        <v>49</v>
      </c>
      <c r="F10812" s="16" cm="1">
        <f t="array" ref="F10812">SUM(F10810:F10811)</f>
        <v>0</v>
      </c>
      <c r="G10812" s="16" cm="1">
        <f t="array" ref="G10812">SUM(G10810:G10811)</f>
        <v>0</v>
      </c>
      <c r="H10812" s="16" cm="1">
        <f t="array" ref="H10812">SUM(H10810:H10811)</f>
        <v>0</v>
      </c>
      <c r="I10812" s="16" cm="1">
        <f t="array" ref="I10812">SUM(I10810:I10811)</f>
        <v>0</v>
      </c>
    </row>
    <row r="10813" ht="20.35" customHeight="1">
      <c r="A10813" s="10">
        <v>45869</v>
      </c>
      <c r="B10813" t="s" s="11">
        <v>91</v>
      </c>
      <c r="C10813" t="s" s="12">
        <v>1321</v>
      </c>
      <c r="D10813" s="17"/>
      <c r="E10813" s="17">
        <v>303000</v>
      </c>
      <c r="F10813" s="18"/>
      <c r="G10813" s="18"/>
      <c r="H10813" s="18"/>
      <c r="I10813" s="18"/>
    </row>
    <row r="10814" ht="20.35" customHeight="1">
      <c r="A10814" s="10">
        <v>45869</v>
      </c>
      <c r="B10814" t="s" s="11">
        <v>107</v>
      </c>
      <c r="C10814" t="s" s="12">
        <v>1321</v>
      </c>
      <c r="D10814" s="13">
        <v>303000</v>
      </c>
      <c r="E10814" s="13"/>
      <c r="F10814" s="14"/>
      <c r="G10814" s="14"/>
      <c r="H10814" s="14"/>
      <c r="I10814" s="14"/>
    </row>
    <row r="10815" ht="20.7" customHeight="1">
      <c r="A10815" s="10">
        <v>45869</v>
      </c>
      <c r="B10815" t="s" s="11">
        <v>8</v>
      </c>
      <c r="C10815" t="s" s="12">
        <v>8</v>
      </c>
      <c r="D10815" s="15" cm="1">
        <f t="array" ref="D10815">SUM(D10813:D10814)</f>
        <v>303000</v>
      </c>
      <c r="E10815" s="15" cm="1">
        <f t="array" ref="E10815">SUM(E10813:E10814)</f>
        <v>303000</v>
      </c>
      <c r="F10815" s="16" cm="1">
        <f t="array" ref="F10815">SUM(F10813:F10814)</f>
        <v>0</v>
      </c>
      <c r="G10815" s="16" cm="1">
        <f t="array" ref="G10815">SUM(G10813:G10814)</f>
        <v>0</v>
      </c>
      <c r="H10815" s="16" cm="1">
        <f t="array" ref="H10815">SUM(H10813:H10814)</f>
        <v>0</v>
      </c>
      <c r="I10815" s="16" cm="1">
        <f t="array" ref="I10815">SUM(I10813:I10814)</f>
        <v>0</v>
      </c>
    </row>
    <row r="10816" ht="21.25" customHeight="1">
      <c r="A10816" s="10">
        <v>45870</v>
      </c>
      <c r="B10816" t="s" s="11">
        <v>97</v>
      </c>
      <c r="C10816" t="s" s="12">
        <v>249</v>
      </c>
      <c r="D10816" s="17"/>
      <c r="E10816" s="17">
        <v>800000</v>
      </c>
      <c r="F10816" s="18"/>
      <c r="G10816" s="18"/>
      <c r="H10816" s="18"/>
      <c r="I10816" s="18"/>
    </row>
    <row r="10817" ht="21.25" customHeight="1">
      <c r="A10817" s="10">
        <v>45870</v>
      </c>
      <c r="B10817" t="s" s="11">
        <v>99</v>
      </c>
      <c r="C10817" t="s" s="12">
        <v>249</v>
      </c>
      <c r="D10817" s="13">
        <v>800000</v>
      </c>
      <c r="E10817" s="13"/>
      <c r="F10817" s="14"/>
      <c r="G10817" s="14"/>
      <c r="H10817" s="14"/>
      <c r="I10817" s="14"/>
    </row>
    <row r="10818" ht="20.7" customHeight="1">
      <c r="A10818" s="10">
        <v>45870</v>
      </c>
      <c r="B10818" t="s" s="11">
        <v>8</v>
      </c>
      <c r="C10818" t="s" s="12">
        <v>8</v>
      </c>
      <c r="D10818" s="15" cm="1">
        <f t="array" ref="D10818">SUM(D10816:D10817)</f>
        <v>800000</v>
      </c>
      <c r="E10818" s="15" cm="1">
        <f t="array" ref="E10818">SUM(E10816:E10817)</f>
        <v>800000</v>
      </c>
      <c r="F10818" s="16" cm="1">
        <f t="array" ref="F10818">SUM(F10816:F10817)</f>
        <v>0</v>
      </c>
      <c r="G10818" s="16" cm="1">
        <f t="array" ref="G10818">SUM(G10816:G10817)</f>
        <v>0</v>
      </c>
      <c r="H10818" s="16" cm="1">
        <f t="array" ref="H10818">SUM(H10816:H10817)</f>
        <v>0</v>
      </c>
      <c r="I10818" s="16" cm="1">
        <f t="array" ref="I10818">SUM(I10816:I10817)</f>
        <v>0</v>
      </c>
    </row>
    <row r="10819" ht="21.25" customHeight="1">
      <c r="A10819" s="10">
        <v>45870</v>
      </c>
      <c r="B10819" t="s" s="11">
        <v>106</v>
      </c>
      <c r="C10819" t="s" s="12">
        <v>1388</v>
      </c>
      <c r="D10819" s="17"/>
      <c r="E10819" s="17">
        <v>17500</v>
      </c>
      <c r="F10819" s="18"/>
      <c r="G10819" s="18"/>
      <c r="H10819" s="18"/>
      <c r="I10819" s="18"/>
    </row>
    <row r="10820" ht="21.25" customHeight="1">
      <c r="A10820" s="10">
        <v>45870</v>
      </c>
      <c r="B10820" t="s" s="11">
        <v>10</v>
      </c>
      <c r="C10820" t="s" s="12">
        <v>1388</v>
      </c>
      <c r="D10820" s="13">
        <v>17500</v>
      </c>
      <c r="E10820" s="13"/>
      <c r="F10820" s="14"/>
      <c r="G10820" s="14"/>
      <c r="H10820" s="14"/>
      <c r="I10820" s="14"/>
    </row>
    <row r="10821" ht="20.7" customHeight="1">
      <c r="A10821" s="10">
        <v>45870</v>
      </c>
      <c r="B10821" t="s" s="11">
        <v>8</v>
      </c>
      <c r="C10821" t="s" s="12">
        <v>8</v>
      </c>
      <c r="D10821" s="15" cm="1">
        <f t="array" ref="D10821">SUM(D10819:D10820)</f>
        <v>17500</v>
      </c>
      <c r="E10821" s="15" cm="1">
        <f t="array" ref="E10821">SUM(E10819:E10820)</f>
        <v>17500</v>
      </c>
      <c r="F10821" s="16" cm="1">
        <f t="array" ref="F10821">SUM(F10819:F10820)</f>
        <v>0</v>
      </c>
      <c r="G10821" s="16" cm="1">
        <f t="array" ref="G10821">SUM(G10819:G10820)</f>
        <v>0</v>
      </c>
      <c r="H10821" s="16" cm="1">
        <f t="array" ref="H10821">SUM(H10819:H10820)</f>
        <v>0</v>
      </c>
      <c r="I10821" s="16" cm="1">
        <f t="array" ref="I10821">SUM(I10819:I10820)</f>
        <v>0</v>
      </c>
    </row>
    <row r="10822" ht="20.65" customHeight="1">
      <c r="A10822" s="10">
        <v>45870</v>
      </c>
      <c r="B10822" t="s" s="11">
        <v>814</v>
      </c>
      <c r="C10822" t="s" s="12">
        <v>820</v>
      </c>
      <c r="D10822" s="17">
        <v>49</v>
      </c>
      <c r="E10822" s="17"/>
      <c r="F10822" s="18"/>
      <c r="G10822" s="18"/>
      <c r="H10822" s="18"/>
      <c r="I10822" s="18"/>
    </row>
    <row r="10823" ht="20.65" customHeight="1">
      <c r="A10823" s="10">
        <v>45870</v>
      </c>
      <c r="B10823" t="s" s="11">
        <v>7</v>
      </c>
      <c r="C10823" t="s" s="12">
        <v>820</v>
      </c>
      <c r="D10823" s="13"/>
      <c r="E10823" s="13">
        <v>49</v>
      </c>
      <c r="F10823" s="14"/>
      <c r="G10823" s="14"/>
      <c r="H10823" s="14"/>
      <c r="I10823" s="14"/>
    </row>
    <row r="10824" ht="20.7" customHeight="1">
      <c r="A10824" s="10">
        <v>45870</v>
      </c>
      <c r="B10824" t="s" s="11">
        <v>8</v>
      </c>
      <c r="C10824" t="s" s="12">
        <v>8</v>
      </c>
      <c r="D10824" s="15" cm="1">
        <f t="array" ref="D10824">SUM(D10822:D10823)</f>
        <v>49</v>
      </c>
      <c r="E10824" s="15" cm="1">
        <f t="array" ref="E10824">SUM(E10822:E10823)</f>
        <v>49</v>
      </c>
      <c r="F10824" s="16" cm="1">
        <f t="array" ref="F10824">SUM(F10822:F10823)</f>
        <v>0</v>
      </c>
      <c r="G10824" s="16" cm="1">
        <f t="array" ref="G10824">SUM(G10822:G10823)</f>
        <v>0</v>
      </c>
      <c r="H10824" s="16" cm="1">
        <f t="array" ref="H10824">SUM(H10822:H10823)</f>
        <v>0</v>
      </c>
      <c r="I10824" s="16" cm="1">
        <f t="array" ref="I10824">SUM(I10822:I10823)</f>
        <v>0</v>
      </c>
    </row>
    <row r="10825" ht="21.25" customHeight="1">
      <c r="A10825" s="10">
        <v>45870</v>
      </c>
      <c r="B10825" t="s" s="11">
        <v>5</v>
      </c>
      <c r="C10825" t="s" s="12">
        <v>247</v>
      </c>
      <c r="D10825" s="17">
        <v>52</v>
      </c>
      <c r="E10825" s="17"/>
      <c r="F10825" s="18"/>
      <c r="G10825" s="18"/>
      <c r="H10825" s="18"/>
      <c r="I10825" s="18"/>
    </row>
    <row r="10826" ht="21.25" customHeight="1">
      <c r="A10826" s="10">
        <v>45870</v>
      </c>
      <c r="B10826" t="s" s="11">
        <v>7</v>
      </c>
      <c r="C10826" t="s" s="12">
        <v>247</v>
      </c>
      <c r="D10826" s="13"/>
      <c r="E10826" s="13">
        <v>52</v>
      </c>
      <c r="F10826" s="14"/>
      <c r="G10826" s="14"/>
      <c r="H10826" s="14"/>
      <c r="I10826" s="14"/>
    </row>
    <row r="10827" ht="20.7" customHeight="1">
      <c r="A10827" s="10">
        <v>45870</v>
      </c>
      <c r="B10827" t="s" s="11">
        <v>8</v>
      </c>
      <c r="C10827" t="s" s="12">
        <v>8</v>
      </c>
      <c r="D10827" s="15" cm="1">
        <f t="array" ref="D10827">SUM(D10825:D10826)</f>
        <v>52</v>
      </c>
      <c r="E10827" s="15" cm="1">
        <f t="array" ref="E10827">SUM(E10825:E10826)</f>
        <v>52</v>
      </c>
      <c r="F10827" s="16" cm="1">
        <f t="array" ref="F10827">SUM(F10825:F10826)</f>
        <v>0</v>
      </c>
      <c r="G10827" s="16" cm="1">
        <f t="array" ref="G10827">SUM(G10825:G10826)</f>
        <v>0</v>
      </c>
      <c r="H10827" s="16" cm="1">
        <f t="array" ref="H10827">SUM(H10825:H10826)</f>
        <v>0</v>
      </c>
      <c r="I10827" s="16" cm="1">
        <f t="array" ref="I10827">SUM(I10825:I10826)</f>
        <v>0</v>
      </c>
    </row>
    <row r="10828" ht="20.35" customHeight="1">
      <c r="A10828" s="10">
        <v>45870</v>
      </c>
      <c r="B10828" t="s" s="11">
        <v>107</v>
      </c>
      <c r="C10828" t="s" s="12">
        <v>1389</v>
      </c>
      <c r="D10828" s="17"/>
      <c r="E10828" s="17">
        <v>143067</v>
      </c>
      <c r="F10828" s="18"/>
      <c r="G10828" s="18"/>
      <c r="H10828" s="18"/>
      <c r="I10828" s="18"/>
    </row>
    <row r="10829" ht="20.05" customHeight="1">
      <c r="A10829" s="10">
        <v>45870</v>
      </c>
      <c r="B10829" t="s" s="11">
        <v>10</v>
      </c>
      <c r="C10829" t="s" s="12">
        <v>1389</v>
      </c>
      <c r="D10829" s="19">
        <v>143067</v>
      </c>
      <c r="E10829" s="19"/>
      <c r="F10829" s="20"/>
      <c r="G10829" s="20"/>
      <c r="H10829" s="20"/>
      <c r="I10829" s="20"/>
    </row>
    <row r="10830" ht="20.05" customHeight="1">
      <c r="A10830" s="10">
        <v>45870</v>
      </c>
      <c r="B10830" t="s" s="11">
        <v>1156</v>
      </c>
      <c r="C10830" t="s" s="12">
        <v>1389</v>
      </c>
      <c r="D10830" s="19"/>
      <c r="E10830" s="19"/>
      <c r="F10830" s="20"/>
      <c r="G10830" s="20"/>
      <c r="H10830" s="20"/>
      <c r="I10830" s="20">
        <v>720.3</v>
      </c>
    </row>
    <row r="10831" ht="20.05" customHeight="1">
      <c r="A10831" s="10">
        <v>45870</v>
      </c>
      <c r="B10831" t="s" s="11">
        <v>1191</v>
      </c>
      <c r="C10831" t="s" s="12">
        <v>1389</v>
      </c>
      <c r="D10831" s="19"/>
      <c r="E10831" s="19"/>
      <c r="F10831" s="20"/>
      <c r="G10831" s="20"/>
      <c r="H10831" s="20">
        <v>20.3</v>
      </c>
      <c r="I10831" s="20"/>
    </row>
    <row r="10832" ht="20.35" customHeight="1">
      <c r="A10832" s="10">
        <v>45870</v>
      </c>
      <c r="B10832" t="s" s="11">
        <v>1357</v>
      </c>
      <c r="C10832" t="s" s="12">
        <v>1389</v>
      </c>
      <c r="D10832" s="13"/>
      <c r="E10832" s="13"/>
      <c r="F10832" s="14"/>
      <c r="G10832" s="14"/>
      <c r="H10832" s="14">
        <v>700</v>
      </c>
      <c r="I10832" s="14"/>
    </row>
    <row r="10833" ht="20.7" customHeight="1">
      <c r="A10833" s="10">
        <v>45870</v>
      </c>
      <c r="B10833" t="s" s="11">
        <v>8</v>
      </c>
      <c r="C10833" t="s" s="12">
        <v>8</v>
      </c>
      <c r="D10833" s="15" cm="1">
        <f t="array" ref="D10833">SUM(D10828:D10832)</f>
        <v>143067</v>
      </c>
      <c r="E10833" s="15" cm="1">
        <f t="array" ref="E10833">SUM(E10828:E10832)</f>
        <v>143067</v>
      </c>
      <c r="F10833" s="16" cm="1">
        <f t="array" ref="F10833">SUM(F10828:F10832)</f>
        <v>0</v>
      </c>
      <c r="G10833" s="16" cm="1">
        <f t="array" ref="G10833">SUM(G10828:G10832)</f>
        <v>0</v>
      </c>
      <c r="H10833" s="16" cm="1">
        <f t="array" ref="H10833">SUM(H10828:H10832)</f>
        <v>720.3</v>
      </c>
      <c r="I10833" s="16" cm="1">
        <f t="array" ref="I10833">SUM(I10828:I10832)</f>
        <v>720.3</v>
      </c>
    </row>
    <row r="10834" ht="20.35" customHeight="1">
      <c r="A10834" s="10">
        <v>45870</v>
      </c>
      <c r="B10834" t="s" s="11">
        <v>1191</v>
      </c>
      <c r="C10834" t="s" s="12">
        <v>1390</v>
      </c>
      <c r="D10834" s="17"/>
      <c r="E10834" s="17"/>
      <c r="F10834" s="18"/>
      <c r="G10834" s="18"/>
      <c r="H10834" s="18">
        <v>1933</v>
      </c>
      <c r="I10834" s="18"/>
    </row>
    <row r="10835" ht="20.35" customHeight="1">
      <c r="A10835" s="10">
        <v>45870</v>
      </c>
      <c r="B10835" t="s" s="11">
        <v>1357</v>
      </c>
      <c r="C10835" t="s" s="12">
        <v>1390</v>
      </c>
      <c r="D10835" s="13"/>
      <c r="E10835" s="13"/>
      <c r="F10835" s="14"/>
      <c r="G10835" s="14"/>
      <c r="H10835" s="14"/>
      <c r="I10835" s="14">
        <v>1933</v>
      </c>
    </row>
    <row r="10836" ht="20.7" customHeight="1">
      <c r="A10836" s="10">
        <v>45870</v>
      </c>
      <c r="B10836" t="s" s="11">
        <v>8</v>
      </c>
      <c r="C10836" t="s" s="12">
        <v>8</v>
      </c>
      <c r="D10836" s="15" cm="1">
        <f t="array" ref="D10836">SUM(D10834:D10835)</f>
        <v>0</v>
      </c>
      <c r="E10836" s="15" cm="1">
        <f t="array" ref="E10836">SUM(E10834:E10835)</f>
        <v>0</v>
      </c>
      <c r="F10836" s="16" cm="1">
        <f t="array" ref="F10836">SUM(F10834:F10835)</f>
        <v>0</v>
      </c>
      <c r="G10836" s="16" cm="1">
        <f t="array" ref="G10836">SUM(G10834:G10835)</f>
        <v>0</v>
      </c>
      <c r="H10836" s="16" cm="1">
        <f t="array" ref="H10836">SUM(H10834:H10835)</f>
        <v>1933</v>
      </c>
      <c r="I10836" s="16" cm="1">
        <f t="array" ref="I10836">SUM(I10834:I10835)</f>
        <v>1933</v>
      </c>
    </row>
    <row r="10837" ht="20.35" customHeight="1">
      <c r="A10837" s="10">
        <v>45870</v>
      </c>
      <c r="B10837" t="s" s="11">
        <v>1155</v>
      </c>
      <c r="C10837" t="s" s="12">
        <v>1391</v>
      </c>
      <c r="D10837" s="17"/>
      <c r="E10837" s="17"/>
      <c r="F10837" s="18"/>
      <c r="G10837" s="18"/>
      <c r="H10837" s="18"/>
      <c r="I10837" s="18">
        <v>8.5</v>
      </c>
    </row>
    <row r="10838" ht="20.35" customHeight="1">
      <c r="A10838" s="10">
        <v>45870</v>
      </c>
      <c r="B10838" t="s" s="11">
        <v>1191</v>
      </c>
      <c r="C10838" t="s" s="12">
        <v>1391</v>
      </c>
      <c r="D10838" s="13"/>
      <c r="E10838" s="13"/>
      <c r="F10838" s="14"/>
      <c r="G10838" s="14"/>
      <c r="H10838" s="14">
        <v>8.5</v>
      </c>
      <c r="I10838" s="14"/>
    </row>
    <row r="10839" ht="20.7" customHeight="1">
      <c r="A10839" s="10">
        <v>45870</v>
      </c>
      <c r="B10839" t="s" s="11">
        <v>8</v>
      </c>
      <c r="C10839" t="s" s="12">
        <v>8</v>
      </c>
      <c r="D10839" s="15" cm="1">
        <f t="array" ref="D10839">SUM(D10837:D10838)</f>
        <v>0</v>
      </c>
      <c r="E10839" s="15" cm="1">
        <f t="array" ref="E10839">SUM(E10837:E10838)</f>
        <v>0</v>
      </c>
      <c r="F10839" s="16" cm="1">
        <f t="array" ref="F10839">SUM(F10837:F10838)</f>
        <v>0</v>
      </c>
      <c r="G10839" s="16" cm="1">
        <f t="array" ref="G10839">SUM(G10837:G10838)</f>
        <v>0</v>
      </c>
      <c r="H10839" s="16" cm="1">
        <f t="array" ref="H10839">SUM(H10837:H10838)</f>
        <v>8.5</v>
      </c>
      <c r="I10839" s="16" cm="1">
        <f t="array" ref="I10839">SUM(I10837:I10838)</f>
        <v>8.5</v>
      </c>
    </row>
    <row r="10840" ht="20.35" customHeight="1">
      <c r="A10840" s="10">
        <v>45870</v>
      </c>
      <c r="B10840" t="s" s="11">
        <v>1155</v>
      </c>
      <c r="C10840" t="s" s="12">
        <v>1392</v>
      </c>
      <c r="D10840" s="17"/>
      <c r="E10840" s="17"/>
      <c r="F10840" s="18"/>
      <c r="G10840" s="18"/>
      <c r="H10840" s="18"/>
      <c r="I10840" s="18">
        <v>3.8</v>
      </c>
    </row>
    <row r="10841" ht="20.35" customHeight="1">
      <c r="A10841" s="10">
        <v>45870</v>
      </c>
      <c r="B10841" t="s" s="11">
        <v>1191</v>
      </c>
      <c r="C10841" t="s" s="12">
        <v>1392</v>
      </c>
      <c r="D10841" s="13"/>
      <c r="E10841" s="13"/>
      <c r="F10841" s="14"/>
      <c r="G10841" s="14"/>
      <c r="H10841" s="14">
        <v>3.8</v>
      </c>
      <c r="I10841" s="14"/>
    </row>
    <row r="10842" ht="20.7" customHeight="1">
      <c r="A10842" s="10">
        <v>45870</v>
      </c>
      <c r="B10842" t="s" s="11">
        <v>8</v>
      </c>
      <c r="C10842" t="s" s="12">
        <v>8</v>
      </c>
      <c r="D10842" s="15" cm="1">
        <f t="array" ref="D10842">SUM(D10840:D10841)</f>
        <v>0</v>
      </c>
      <c r="E10842" s="15" cm="1">
        <f t="array" ref="E10842">SUM(E10840:E10841)</f>
        <v>0</v>
      </c>
      <c r="F10842" s="16" cm="1">
        <f t="array" ref="F10842">SUM(F10840:F10841)</f>
        <v>0</v>
      </c>
      <c r="G10842" s="16" cm="1">
        <f t="array" ref="G10842">SUM(G10840:G10841)</f>
        <v>0</v>
      </c>
      <c r="H10842" s="16" cm="1">
        <f t="array" ref="H10842">SUM(H10840:H10841)</f>
        <v>3.8</v>
      </c>
      <c r="I10842" s="16" cm="1">
        <f t="array" ref="I10842">SUM(I10840:I10841)</f>
        <v>3.8</v>
      </c>
    </row>
    <row r="10843" ht="20.65" customHeight="1">
      <c r="A10843" s="10">
        <v>45871</v>
      </c>
      <c r="B10843" t="s" s="11">
        <v>814</v>
      </c>
      <c r="C10843" t="s" s="12">
        <v>820</v>
      </c>
      <c r="D10843" s="17">
        <v>49</v>
      </c>
      <c r="E10843" s="17"/>
      <c r="F10843" s="18"/>
      <c r="G10843" s="18"/>
      <c r="H10843" s="18"/>
      <c r="I10843" s="18"/>
    </row>
    <row r="10844" ht="20.65" customHeight="1">
      <c r="A10844" s="10">
        <v>45871</v>
      </c>
      <c r="B10844" t="s" s="11">
        <v>7</v>
      </c>
      <c r="C10844" t="s" s="12">
        <v>820</v>
      </c>
      <c r="D10844" s="13"/>
      <c r="E10844" s="13">
        <v>49</v>
      </c>
      <c r="F10844" s="14"/>
      <c r="G10844" s="14"/>
      <c r="H10844" s="14"/>
      <c r="I10844" s="14"/>
    </row>
    <row r="10845" ht="20.7" customHeight="1">
      <c r="A10845" s="10">
        <v>45871</v>
      </c>
      <c r="B10845" t="s" s="11">
        <v>8</v>
      </c>
      <c r="C10845" t="s" s="12">
        <v>8</v>
      </c>
      <c r="D10845" s="15" cm="1">
        <f t="array" ref="D10845">SUM(D10843:D10844)</f>
        <v>49</v>
      </c>
      <c r="E10845" s="15" cm="1">
        <f t="array" ref="E10845">SUM(E10843:E10844)</f>
        <v>49</v>
      </c>
      <c r="F10845" s="16" cm="1">
        <f t="array" ref="F10845">SUM(F10843:F10844)</f>
        <v>0</v>
      </c>
      <c r="G10845" s="16" cm="1">
        <f t="array" ref="G10845">SUM(G10843:G10844)</f>
        <v>0</v>
      </c>
      <c r="H10845" s="16" cm="1">
        <f t="array" ref="H10845">SUM(H10843:H10844)</f>
        <v>0</v>
      </c>
      <c r="I10845" s="16" cm="1">
        <f t="array" ref="I10845">SUM(I10843:I10844)</f>
        <v>0</v>
      </c>
    </row>
    <row r="10846" ht="20.35" customHeight="1">
      <c r="A10846" s="10">
        <v>45871</v>
      </c>
      <c r="B10846" t="s" s="11">
        <v>1155</v>
      </c>
      <c r="C10846" t="s" s="12">
        <v>1393</v>
      </c>
      <c r="D10846" s="17"/>
      <c r="E10846" s="17"/>
      <c r="F10846" s="18"/>
      <c r="G10846" s="18"/>
      <c r="H10846" s="18"/>
      <c r="I10846" s="18">
        <v>30</v>
      </c>
    </row>
    <row r="10847" ht="20.35" customHeight="1">
      <c r="A10847" s="10">
        <v>45871</v>
      </c>
      <c r="B10847" t="s" s="11">
        <v>1191</v>
      </c>
      <c r="C10847" t="s" s="12">
        <v>1393</v>
      </c>
      <c r="D10847" s="13"/>
      <c r="E10847" s="13"/>
      <c r="F10847" s="14"/>
      <c r="G10847" s="14"/>
      <c r="H10847" s="14">
        <v>30</v>
      </c>
      <c r="I10847" s="14"/>
    </row>
    <row r="10848" ht="20.7" customHeight="1">
      <c r="A10848" s="10">
        <v>45871</v>
      </c>
      <c r="B10848" t="s" s="11">
        <v>8</v>
      </c>
      <c r="C10848" t="s" s="12">
        <v>8</v>
      </c>
      <c r="D10848" s="15" cm="1">
        <f t="array" ref="D10848">SUM(D10846:D10847)</f>
        <v>0</v>
      </c>
      <c r="E10848" s="15" cm="1">
        <f t="array" ref="E10848">SUM(E10846:E10847)</f>
        <v>0</v>
      </c>
      <c r="F10848" s="16" cm="1">
        <f t="array" ref="F10848">SUM(F10846:F10847)</f>
        <v>0</v>
      </c>
      <c r="G10848" s="16" cm="1">
        <f t="array" ref="G10848">SUM(G10846:G10847)</f>
        <v>0</v>
      </c>
      <c r="H10848" s="16" cm="1">
        <f t="array" ref="H10848">SUM(H10846:H10847)</f>
        <v>30</v>
      </c>
      <c r="I10848" s="16" cm="1">
        <f t="array" ref="I10848">SUM(I10846:I10847)</f>
        <v>30</v>
      </c>
    </row>
    <row r="10849" ht="20.65" customHeight="1">
      <c r="A10849" s="10">
        <v>45872</v>
      </c>
      <c r="B10849" t="s" s="11">
        <v>814</v>
      </c>
      <c r="C10849" t="s" s="12">
        <v>820</v>
      </c>
      <c r="D10849" s="17">
        <v>49</v>
      </c>
      <c r="E10849" s="17"/>
      <c r="F10849" s="18"/>
      <c r="G10849" s="18"/>
      <c r="H10849" s="18"/>
      <c r="I10849" s="18"/>
    </row>
    <row r="10850" ht="20.65" customHeight="1">
      <c r="A10850" s="10">
        <v>45872</v>
      </c>
      <c r="B10850" t="s" s="11">
        <v>7</v>
      </c>
      <c r="C10850" t="s" s="12">
        <v>820</v>
      </c>
      <c r="D10850" s="13"/>
      <c r="E10850" s="13">
        <v>49</v>
      </c>
      <c r="F10850" s="14"/>
      <c r="G10850" s="14"/>
      <c r="H10850" s="14"/>
      <c r="I10850" s="14"/>
    </row>
    <row r="10851" ht="20.7" customHeight="1">
      <c r="A10851" s="10">
        <v>45872</v>
      </c>
      <c r="B10851" t="s" s="11">
        <v>8</v>
      </c>
      <c r="C10851" t="s" s="12">
        <v>8</v>
      </c>
      <c r="D10851" s="15" cm="1">
        <f t="array" ref="D10851">SUM(D10849:D10850)</f>
        <v>49</v>
      </c>
      <c r="E10851" s="15" cm="1">
        <f t="array" ref="E10851">SUM(E10849:E10850)</f>
        <v>49</v>
      </c>
      <c r="F10851" s="16" cm="1">
        <f t="array" ref="F10851">SUM(F10849:F10850)</f>
        <v>0</v>
      </c>
      <c r="G10851" s="16" cm="1">
        <f t="array" ref="G10851">SUM(G10849:G10850)</f>
        <v>0</v>
      </c>
      <c r="H10851" s="16" cm="1">
        <f t="array" ref="H10851">SUM(H10849:H10850)</f>
        <v>0</v>
      </c>
      <c r="I10851" s="16" cm="1">
        <f t="array" ref="I10851">SUM(I10849:I10850)</f>
        <v>0</v>
      </c>
    </row>
    <row r="10852" ht="20.35" customHeight="1">
      <c r="A10852" s="10">
        <v>45872</v>
      </c>
      <c r="B10852" t="s" s="11">
        <v>107</v>
      </c>
      <c r="C10852" t="s" s="12">
        <v>13</v>
      </c>
      <c r="D10852" s="17"/>
      <c r="E10852" s="17">
        <v>8900</v>
      </c>
      <c r="F10852" s="18"/>
      <c r="G10852" s="18"/>
      <c r="H10852" s="18"/>
      <c r="I10852" s="18"/>
    </row>
    <row r="10853" ht="20.35" customHeight="1">
      <c r="A10853" s="10">
        <v>45872</v>
      </c>
      <c r="B10853" t="s" s="11">
        <v>10</v>
      </c>
      <c r="C10853" t="s" s="12">
        <v>13</v>
      </c>
      <c r="D10853" s="13">
        <v>8900</v>
      </c>
      <c r="E10853" s="13"/>
      <c r="F10853" s="14"/>
      <c r="G10853" s="14"/>
      <c r="H10853" s="14"/>
      <c r="I10853" s="14"/>
    </row>
    <row r="10854" ht="20.7" customHeight="1">
      <c r="A10854" s="10">
        <v>45872</v>
      </c>
      <c r="B10854" t="s" s="11">
        <v>8</v>
      </c>
      <c r="C10854" t="s" s="12">
        <v>8</v>
      </c>
      <c r="D10854" s="15" cm="1">
        <f t="array" ref="D10854">SUM(D10852:D10853)</f>
        <v>8900</v>
      </c>
      <c r="E10854" s="15" cm="1">
        <f t="array" ref="E10854">SUM(E10852:E10853)</f>
        <v>8900</v>
      </c>
      <c r="F10854" s="16" cm="1">
        <f t="array" ref="F10854">SUM(F10852:F10853)</f>
        <v>0</v>
      </c>
      <c r="G10854" s="16" cm="1">
        <f t="array" ref="G10854">SUM(G10852:G10853)</f>
        <v>0</v>
      </c>
      <c r="H10854" s="16" cm="1">
        <f t="array" ref="H10854">SUM(H10852:H10853)</f>
        <v>0</v>
      </c>
      <c r="I10854" s="16" cm="1">
        <f t="array" ref="I10854">SUM(I10852:I10853)</f>
        <v>0</v>
      </c>
    </row>
    <row r="10855" ht="20.35" customHeight="1">
      <c r="A10855" s="10">
        <v>45872</v>
      </c>
      <c r="B10855" t="s" s="11">
        <v>1269</v>
      </c>
      <c r="C10855" t="s" s="12">
        <v>1394</v>
      </c>
      <c r="D10855" s="17"/>
      <c r="E10855" s="17"/>
      <c r="F10855" s="18"/>
      <c r="G10855" s="18"/>
      <c r="H10855" s="18">
        <v>700</v>
      </c>
      <c r="I10855" s="18"/>
    </row>
    <row r="10856" ht="20.35" customHeight="1">
      <c r="A10856" s="10">
        <v>45872</v>
      </c>
      <c r="B10856" t="s" s="11">
        <v>1156</v>
      </c>
      <c r="C10856" t="s" s="12">
        <v>1394</v>
      </c>
      <c r="D10856" s="13"/>
      <c r="E10856" s="13"/>
      <c r="F10856" s="14"/>
      <c r="G10856" s="14"/>
      <c r="H10856" s="14"/>
      <c r="I10856" s="14">
        <v>700</v>
      </c>
    </row>
    <row r="10857" ht="20.7" customHeight="1">
      <c r="A10857" s="10">
        <v>45872</v>
      </c>
      <c r="B10857" t="s" s="11">
        <v>8</v>
      </c>
      <c r="C10857" t="s" s="12">
        <v>8</v>
      </c>
      <c r="D10857" s="15" cm="1">
        <f t="array" ref="D10857">SUM(D10855:D10856)</f>
        <v>0</v>
      </c>
      <c r="E10857" s="15" cm="1">
        <f t="array" ref="E10857">SUM(E10855:E10856)</f>
        <v>0</v>
      </c>
      <c r="F10857" s="16" cm="1">
        <f t="array" ref="F10857">SUM(F10855:F10856)</f>
        <v>0</v>
      </c>
      <c r="G10857" s="16" cm="1">
        <f t="array" ref="G10857">SUM(G10855:G10856)</f>
        <v>0</v>
      </c>
      <c r="H10857" s="16" cm="1">
        <f t="array" ref="H10857">SUM(H10855:H10856)</f>
        <v>700</v>
      </c>
      <c r="I10857" s="16" cm="1">
        <f t="array" ref="I10857">SUM(I10855:I10856)</f>
        <v>700</v>
      </c>
    </row>
    <row r="10858" ht="20.35" customHeight="1">
      <c r="A10858" s="10">
        <v>45872</v>
      </c>
      <c r="B10858" t="s" s="11">
        <v>1191</v>
      </c>
      <c r="C10858" t="s" s="12">
        <v>1379</v>
      </c>
      <c r="D10858" s="17"/>
      <c r="E10858" s="17"/>
      <c r="F10858" s="18"/>
      <c r="G10858" s="18"/>
      <c r="H10858" s="18">
        <v>1093</v>
      </c>
      <c r="I10858" s="18"/>
    </row>
    <row r="10859" ht="20.35" customHeight="1">
      <c r="A10859" s="10">
        <v>45872</v>
      </c>
      <c r="B10859" t="s" s="11">
        <v>1357</v>
      </c>
      <c r="C10859" t="s" s="12">
        <v>1379</v>
      </c>
      <c r="D10859" s="13"/>
      <c r="E10859" s="13"/>
      <c r="F10859" s="14"/>
      <c r="G10859" s="14"/>
      <c r="H10859" s="14"/>
      <c r="I10859" s="14">
        <v>1093</v>
      </c>
    </row>
    <row r="10860" ht="20.7" customHeight="1">
      <c r="A10860" s="10">
        <v>45872</v>
      </c>
      <c r="B10860" t="s" s="11">
        <v>8</v>
      </c>
      <c r="C10860" t="s" s="12">
        <v>8</v>
      </c>
      <c r="D10860" s="15" cm="1">
        <f t="array" ref="D10860">SUM(D10858:D10859)</f>
        <v>0</v>
      </c>
      <c r="E10860" s="15" cm="1">
        <f t="array" ref="E10860">SUM(E10858:E10859)</f>
        <v>0</v>
      </c>
      <c r="F10860" s="16" cm="1">
        <f t="array" ref="F10860">SUM(F10858:F10859)</f>
        <v>0</v>
      </c>
      <c r="G10860" s="16" cm="1">
        <f t="array" ref="G10860">SUM(G10858:G10859)</f>
        <v>0</v>
      </c>
      <c r="H10860" s="16" cm="1">
        <f t="array" ref="H10860">SUM(H10858:H10859)</f>
        <v>1093</v>
      </c>
      <c r="I10860" s="16" cm="1">
        <f t="array" ref="I10860">SUM(I10858:I10859)</f>
        <v>1093</v>
      </c>
    </row>
    <row r="10861" ht="20.35" customHeight="1">
      <c r="A10861" s="10">
        <v>45872</v>
      </c>
      <c r="B10861" t="s" s="11">
        <v>1191</v>
      </c>
      <c r="C10861" t="s" s="12">
        <v>1379</v>
      </c>
      <c r="D10861" s="17"/>
      <c r="E10861" s="17"/>
      <c r="F10861" s="18"/>
      <c r="G10861" s="18"/>
      <c r="H10861" s="18">
        <v>40</v>
      </c>
      <c r="I10861" s="18"/>
    </row>
    <row r="10862" ht="20.35" customHeight="1">
      <c r="A10862" s="10">
        <v>45872</v>
      </c>
      <c r="B10862" t="s" s="11">
        <v>1357</v>
      </c>
      <c r="C10862" t="s" s="12">
        <v>1379</v>
      </c>
      <c r="D10862" s="13"/>
      <c r="E10862" s="13"/>
      <c r="F10862" s="14"/>
      <c r="G10862" s="14"/>
      <c r="H10862" s="14"/>
      <c r="I10862" s="14">
        <v>40</v>
      </c>
    </row>
    <row r="10863" ht="20.7" customHeight="1">
      <c r="A10863" s="10">
        <v>45872</v>
      </c>
      <c r="B10863" t="s" s="11">
        <v>8</v>
      </c>
      <c r="C10863" t="s" s="12">
        <v>8</v>
      </c>
      <c r="D10863" s="15" cm="1">
        <f t="array" ref="D10863">SUM(D10861:D10862)</f>
        <v>0</v>
      </c>
      <c r="E10863" s="15" cm="1">
        <f t="array" ref="E10863">SUM(E10861:E10862)</f>
        <v>0</v>
      </c>
      <c r="F10863" s="16" cm="1">
        <f t="array" ref="F10863">SUM(F10861:F10862)</f>
        <v>0</v>
      </c>
      <c r="G10863" s="16" cm="1">
        <f t="array" ref="G10863">SUM(G10861:G10862)</f>
        <v>0</v>
      </c>
      <c r="H10863" s="16" cm="1">
        <f t="array" ref="H10863">SUM(H10861:H10862)</f>
        <v>40</v>
      </c>
      <c r="I10863" s="16" cm="1">
        <f t="array" ref="I10863">SUM(I10861:I10862)</f>
        <v>40</v>
      </c>
    </row>
    <row r="10864" ht="20.65" customHeight="1">
      <c r="A10864" s="10">
        <v>45873</v>
      </c>
      <c r="B10864" t="s" s="11">
        <v>814</v>
      </c>
      <c r="C10864" t="s" s="12">
        <v>820</v>
      </c>
      <c r="D10864" s="17">
        <v>49</v>
      </c>
      <c r="E10864" s="17"/>
      <c r="F10864" s="18"/>
      <c r="G10864" s="18"/>
      <c r="H10864" s="18"/>
      <c r="I10864" s="18"/>
    </row>
    <row r="10865" ht="20.65" customHeight="1">
      <c r="A10865" s="10">
        <v>45873</v>
      </c>
      <c r="B10865" t="s" s="11">
        <v>7</v>
      </c>
      <c r="C10865" t="s" s="12">
        <v>820</v>
      </c>
      <c r="D10865" s="13"/>
      <c r="E10865" s="13">
        <v>49</v>
      </c>
      <c r="F10865" s="14"/>
      <c r="G10865" s="14"/>
      <c r="H10865" s="14"/>
      <c r="I10865" s="14"/>
    </row>
    <row r="10866" ht="20.7" customHeight="1">
      <c r="A10866" s="10">
        <v>45873</v>
      </c>
      <c r="B10866" t="s" s="11">
        <v>8</v>
      </c>
      <c r="C10866" t="s" s="12">
        <v>8</v>
      </c>
      <c r="D10866" s="15" cm="1">
        <f t="array" ref="D10866">SUM(D10864:D10865)</f>
        <v>49</v>
      </c>
      <c r="E10866" s="15" cm="1">
        <f t="array" ref="E10866">SUM(E10864:E10865)</f>
        <v>49</v>
      </c>
      <c r="F10866" s="16" cm="1">
        <f t="array" ref="F10866">SUM(F10864:F10865)</f>
        <v>0</v>
      </c>
      <c r="G10866" s="16" cm="1">
        <f t="array" ref="G10866">SUM(G10864:G10865)</f>
        <v>0</v>
      </c>
      <c r="H10866" s="16" cm="1">
        <f t="array" ref="H10866">SUM(H10864:H10865)</f>
        <v>0</v>
      </c>
      <c r="I10866" s="16" cm="1">
        <f t="array" ref="I10866">SUM(I10864:I10865)</f>
        <v>0</v>
      </c>
    </row>
    <row r="10867" ht="20.35" customHeight="1">
      <c r="A10867" s="10">
        <v>45873</v>
      </c>
      <c r="B10867" t="s" s="11">
        <v>39</v>
      </c>
      <c r="C10867" t="s" s="12">
        <v>1395</v>
      </c>
      <c r="D10867" s="17"/>
      <c r="E10867" s="17"/>
      <c r="F10867" s="18"/>
      <c r="G10867" s="18">
        <v>11.93</v>
      </c>
      <c r="H10867" s="18"/>
      <c r="I10867" s="18"/>
    </row>
    <row r="10868" ht="20.35" customHeight="1">
      <c r="A10868" s="10">
        <v>45873</v>
      </c>
      <c r="B10868" t="s" s="11">
        <v>44</v>
      </c>
      <c r="C10868" t="s" s="12">
        <v>1395</v>
      </c>
      <c r="D10868" s="13"/>
      <c r="E10868" s="13"/>
      <c r="F10868" s="14">
        <v>11.93</v>
      </c>
      <c r="G10868" s="14"/>
      <c r="H10868" s="14"/>
      <c r="I10868" s="14"/>
    </row>
    <row r="10869" ht="20.7" customHeight="1">
      <c r="A10869" s="10">
        <v>45873</v>
      </c>
      <c r="B10869" t="s" s="11">
        <v>8</v>
      </c>
      <c r="C10869" t="s" s="12">
        <v>8</v>
      </c>
      <c r="D10869" s="15" cm="1">
        <f t="array" ref="D10869">SUM(D10867:D10868)</f>
        <v>0</v>
      </c>
      <c r="E10869" s="15" cm="1">
        <f t="array" ref="E10869">SUM(E10867:E10868)</f>
        <v>0</v>
      </c>
      <c r="F10869" s="16" cm="1">
        <f t="array" ref="F10869">SUM(F10867:F10868)</f>
        <v>11.93</v>
      </c>
      <c r="G10869" s="16" cm="1">
        <f t="array" ref="G10869">SUM(G10867:G10868)</f>
        <v>11.93</v>
      </c>
      <c r="H10869" s="16" cm="1">
        <f t="array" ref="H10869">SUM(H10867:H10868)</f>
        <v>0</v>
      </c>
      <c r="I10869" s="16" cm="1">
        <f t="array" ref="I10869">SUM(I10867:I10868)</f>
        <v>0</v>
      </c>
    </row>
    <row r="10870" ht="20.35" customHeight="1">
      <c r="A10870" s="10">
        <v>45873</v>
      </c>
      <c r="B10870" t="s" s="11">
        <v>107</v>
      </c>
      <c r="C10870" t="s" s="12">
        <v>1396</v>
      </c>
      <c r="D10870" s="17"/>
      <c r="E10870" s="17">
        <v>12448</v>
      </c>
      <c r="F10870" s="18"/>
      <c r="G10870" s="18"/>
      <c r="H10870" s="18"/>
      <c r="I10870" s="18"/>
    </row>
    <row r="10871" ht="20.35" customHeight="1">
      <c r="A10871" s="10">
        <v>45873</v>
      </c>
      <c r="B10871" t="s" s="11">
        <v>10</v>
      </c>
      <c r="C10871" t="s" s="12">
        <v>1396</v>
      </c>
      <c r="D10871" s="13">
        <v>12448</v>
      </c>
      <c r="E10871" s="13"/>
      <c r="F10871" s="14"/>
      <c r="G10871" s="14"/>
      <c r="H10871" s="14"/>
      <c r="I10871" s="14"/>
    </row>
    <row r="10872" ht="20.7" customHeight="1">
      <c r="A10872" s="10">
        <v>45873</v>
      </c>
      <c r="B10872" t="s" s="11">
        <v>8</v>
      </c>
      <c r="C10872" t="s" s="12">
        <v>8</v>
      </c>
      <c r="D10872" s="15" cm="1">
        <f t="array" ref="D10872">SUM(D10870:D10871)</f>
        <v>12448</v>
      </c>
      <c r="E10872" s="15" cm="1">
        <f t="array" ref="E10872">SUM(E10870:E10871)</f>
        <v>12448</v>
      </c>
      <c r="F10872" s="16" cm="1">
        <f t="array" ref="F10872">SUM(F10870:F10871)</f>
        <v>0</v>
      </c>
      <c r="G10872" s="16" cm="1">
        <f t="array" ref="G10872">SUM(G10870:G10871)</f>
        <v>0</v>
      </c>
      <c r="H10872" s="16" cm="1">
        <f t="array" ref="H10872">SUM(H10870:H10871)</f>
        <v>0</v>
      </c>
      <c r="I10872" s="16" cm="1">
        <f t="array" ref="I10872">SUM(I10870:I10871)</f>
        <v>0</v>
      </c>
    </row>
    <row r="10873" ht="20.35" customHeight="1">
      <c r="A10873" s="10">
        <v>45873</v>
      </c>
      <c r="B10873" t="s" s="11">
        <v>107</v>
      </c>
      <c r="C10873" t="s" s="12">
        <v>1396</v>
      </c>
      <c r="D10873" s="17"/>
      <c r="E10873" s="17">
        <v>1101</v>
      </c>
      <c r="F10873" s="18"/>
      <c r="G10873" s="18"/>
      <c r="H10873" s="18"/>
      <c r="I10873" s="18"/>
    </row>
    <row r="10874" ht="20.35" customHeight="1">
      <c r="A10874" s="10">
        <v>45873</v>
      </c>
      <c r="B10874" t="s" s="11">
        <v>10</v>
      </c>
      <c r="C10874" t="s" s="12">
        <v>1396</v>
      </c>
      <c r="D10874" s="13">
        <v>1101</v>
      </c>
      <c r="E10874" s="13"/>
      <c r="F10874" s="14"/>
      <c r="G10874" s="14"/>
      <c r="H10874" s="14"/>
      <c r="I10874" s="14"/>
    </row>
    <row r="10875" ht="20.7" customHeight="1">
      <c r="A10875" s="10">
        <v>45873</v>
      </c>
      <c r="B10875" t="s" s="11">
        <v>8</v>
      </c>
      <c r="C10875" t="s" s="12">
        <v>8</v>
      </c>
      <c r="D10875" s="15" cm="1">
        <f t="array" ref="D10875">SUM(D10873:D10874)</f>
        <v>1101</v>
      </c>
      <c r="E10875" s="15" cm="1">
        <f t="array" ref="E10875">SUM(E10873:E10874)</f>
        <v>1101</v>
      </c>
      <c r="F10875" s="16" cm="1">
        <f t="array" ref="F10875">SUM(F10873:F10874)</f>
        <v>0</v>
      </c>
      <c r="G10875" s="16" cm="1">
        <f t="array" ref="G10875">SUM(G10873:G10874)</f>
        <v>0</v>
      </c>
      <c r="H10875" s="16" cm="1">
        <f t="array" ref="H10875">SUM(H10873:H10874)</f>
        <v>0</v>
      </c>
      <c r="I10875" s="16" cm="1">
        <f t="array" ref="I10875">SUM(I10873:I10874)</f>
        <v>0</v>
      </c>
    </row>
    <row r="10876" ht="20.35" customHeight="1">
      <c r="A10876" s="10">
        <v>45873</v>
      </c>
      <c r="B10876" t="s" s="11">
        <v>107</v>
      </c>
      <c r="C10876" t="s" s="12">
        <v>1396</v>
      </c>
      <c r="D10876" s="17"/>
      <c r="E10876" s="17">
        <v>4676</v>
      </c>
      <c r="F10876" s="18"/>
      <c r="G10876" s="18"/>
      <c r="H10876" s="18"/>
      <c r="I10876" s="18"/>
    </row>
    <row r="10877" ht="20.35" customHeight="1">
      <c r="A10877" s="10">
        <v>45873</v>
      </c>
      <c r="B10877" t="s" s="11">
        <v>10</v>
      </c>
      <c r="C10877" t="s" s="12">
        <v>1396</v>
      </c>
      <c r="D10877" s="13">
        <v>4676</v>
      </c>
      <c r="E10877" s="13"/>
      <c r="F10877" s="14"/>
      <c r="G10877" s="14"/>
      <c r="H10877" s="14"/>
      <c r="I10877" s="14"/>
    </row>
    <row r="10878" ht="20.7" customHeight="1">
      <c r="A10878" s="10">
        <v>45873</v>
      </c>
      <c r="B10878" t="s" s="11">
        <v>8</v>
      </c>
      <c r="C10878" t="s" s="12">
        <v>8</v>
      </c>
      <c r="D10878" s="15" cm="1">
        <f t="array" ref="D10878">SUM(D10876:D10877)</f>
        <v>4676</v>
      </c>
      <c r="E10878" s="15" cm="1">
        <f t="array" ref="E10878">SUM(E10876:E10877)</f>
        <v>4676</v>
      </c>
      <c r="F10878" s="16" cm="1">
        <f t="array" ref="F10878">SUM(F10876:F10877)</f>
        <v>0</v>
      </c>
      <c r="G10878" s="16" cm="1">
        <f t="array" ref="G10878">SUM(G10876:G10877)</f>
        <v>0</v>
      </c>
      <c r="H10878" s="16" cm="1">
        <f t="array" ref="H10878">SUM(H10876:H10877)</f>
        <v>0</v>
      </c>
      <c r="I10878" s="16" cm="1">
        <f t="array" ref="I10878">SUM(I10876:I10877)</f>
        <v>0</v>
      </c>
    </row>
    <row r="10879" ht="20.35" customHeight="1">
      <c r="A10879" s="10">
        <v>45873</v>
      </c>
      <c r="B10879" t="s" s="11">
        <v>107</v>
      </c>
      <c r="C10879" t="s" s="12">
        <v>1397</v>
      </c>
      <c r="D10879" s="17"/>
      <c r="E10879" s="17">
        <v>98824</v>
      </c>
      <c r="F10879" s="18"/>
      <c r="G10879" s="18"/>
      <c r="H10879" s="18"/>
      <c r="I10879" s="18"/>
    </row>
    <row r="10880" ht="20.35" customHeight="1">
      <c r="A10880" s="10">
        <v>45873</v>
      </c>
      <c r="B10880" t="s" s="11">
        <v>10</v>
      </c>
      <c r="C10880" t="s" s="12">
        <v>1397</v>
      </c>
      <c r="D10880" s="13">
        <v>98824</v>
      </c>
      <c r="E10880" s="13"/>
      <c r="F10880" s="14"/>
      <c r="G10880" s="14"/>
      <c r="H10880" s="14"/>
      <c r="I10880" s="14"/>
    </row>
    <row r="10881" ht="20.7" customHeight="1">
      <c r="A10881" s="10">
        <v>45873</v>
      </c>
      <c r="B10881" t="s" s="11">
        <v>8</v>
      </c>
      <c r="C10881" t="s" s="12">
        <v>8</v>
      </c>
      <c r="D10881" s="15" cm="1">
        <f t="array" ref="D10881">SUM(D10879:D10880)</f>
        <v>98824</v>
      </c>
      <c r="E10881" s="15" cm="1">
        <f t="array" ref="E10881">SUM(E10879:E10880)</f>
        <v>98824</v>
      </c>
      <c r="F10881" s="16" cm="1">
        <f t="array" ref="F10881">SUM(F10879:F10880)</f>
        <v>0</v>
      </c>
      <c r="G10881" s="16" cm="1">
        <f t="array" ref="G10881">SUM(G10879:G10880)</f>
        <v>0</v>
      </c>
      <c r="H10881" s="16" cm="1">
        <f t="array" ref="H10881">SUM(H10879:H10880)</f>
        <v>0</v>
      </c>
      <c r="I10881" s="16" cm="1">
        <f t="array" ref="I10881">SUM(I10879:I10880)</f>
        <v>0</v>
      </c>
    </row>
    <row r="10882" ht="20.35" customHeight="1">
      <c r="A10882" s="10">
        <v>45873</v>
      </c>
      <c r="B10882" t="s" s="11">
        <v>107</v>
      </c>
      <c r="C10882" t="s" s="12">
        <v>1397</v>
      </c>
      <c r="D10882" s="17"/>
      <c r="E10882" s="17">
        <v>98683</v>
      </c>
      <c r="F10882" s="18"/>
      <c r="G10882" s="18"/>
      <c r="H10882" s="18"/>
      <c r="I10882" s="18"/>
    </row>
    <row r="10883" ht="20.35" customHeight="1">
      <c r="A10883" s="10">
        <v>45873</v>
      </c>
      <c r="B10883" t="s" s="11">
        <v>10</v>
      </c>
      <c r="C10883" t="s" s="12">
        <v>1397</v>
      </c>
      <c r="D10883" s="13">
        <v>98683</v>
      </c>
      <c r="E10883" s="13"/>
      <c r="F10883" s="14"/>
      <c r="G10883" s="14"/>
      <c r="H10883" s="14"/>
      <c r="I10883" s="14"/>
    </row>
    <row r="10884" ht="20.7" customHeight="1">
      <c r="A10884" s="10">
        <v>45873</v>
      </c>
      <c r="B10884" t="s" s="11">
        <v>8</v>
      </c>
      <c r="C10884" t="s" s="12">
        <v>8</v>
      </c>
      <c r="D10884" s="15" cm="1">
        <f t="array" ref="D10884">SUM(D10882:D10883)</f>
        <v>98683</v>
      </c>
      <c r="E10884" s="15" cm="1">
        <f t="array" ref="E10884">SUM(E10882:E10883)</f>
        <v>98683</v>
      </c>
      <c r="F10884" s="16" cm="1">
        <f t="array" ref="F10884">SUM(F10882:F10883)</f>
        <v>0</v>
      </c>
      <c r="G10884" s="16" cm="1">
        <f t="array" ref="G10884">SUM(G10882:G10883)</f>
        <v>0</v>
      </c>
      <c r="H10884" s="16" cm="1">
        <f t="array" ref="H10884">SUM(H10882:H10883)</f>
        <v>0</v>
      </c>
      <c r="I10884" s="16" cm="1">
        <f t="array" ref="I10884">SUM(I10882:I10883)</f>
        <v>0</v>
      </c>
    </row>
    <row r="10885" ht="20.35" customHeight="1">
      <c r="A10885" s="10">
        <v>45873</v>
      </c>
      <c r="B10885" t="s" s="11">
        <v>1155</v>
      </c>
      <c r="C10885" t="s" s="12">
        <v>420</v>
      </c>
      <c r="D10885" s="17"/>
      <c r="E10885" s="17"/>
      <c r="F10885" s="18"/>
      <c r="G10885" s="18"/>
      <c r="H10885" s="18">
        <v>2000</v>
      </c>
      <c r="I10885" s="18"/>
    </row>
    <row r="10886" ht="20.35" customHeight="1">
      <c r="A10886" s="10">
        <v>45873</v>
      </c>
      <c r="B10886" t="s" s="11">
        <v>1357</v>
      </c>
      <c r="C10886" t="s" s="12">
        <v>420</v>
      </c>
      <c r="D10886" s="13"/>
      <c r="E10886" s="13"/>
      <c r="F10886" s="14"/>
      <c r="G10886" s="14"/>
      <c r="H10886" s="14"/>
      <c r="I10886" s="14">
        <v>2000</v>
      </c>
    </row>
    <row r="10887" ht="20.7" customHeight="1">
      <c r="A10887" s="10">
        <v>45873</v>
      </c>
      <c r="B10887" t="s" s="11">
        <v>8</v>
      </c>
      <c r="C10887" t="s" s="12">
        <v>8</v>
      </c>
      <c r="D10887" s="15" cm="1">
        <f t="array" ref="D10887">SUM(D10885:D10886)</f>
        <v>0</v>
      </c>
      <c r="E10887" s="15" cm="1">
        <f t="array" ref="E10887">SUM(E10885:E10886)</f>
        <v>0</v>
      </c>
      <c r="F10887" s="16" cm="1">
        <f t="array" ref="F10887">SUM(F10885:F10886)</f>
        <v>0</v>
      </c>
      <c r="G10887" s="16" cm="1">
        <f t="array" ref="G10887">SUM(G10885:G10886)</f>
        <v>0</v>
      </c>
      <c r="H10887" s="16" cm="1">
        <f t="array" ref="H10887">SUM(H10885:H10886)</f>
        <v>2000</v>
      </c>
      <c r="I10887" s="16" cm="1">
        <f t="array" ref="I10887">SUM(I10885:I10886)</f>
        <v>2000</v>
      </c>
    </row>
    <row r="10888" ht="20.35" customHeight="1">
      <c r="A10888" s="10">
        <v>45873</v>
      </c>
      <c r="B10888" t="s" s="11">
        <v>1191</v>
      </c>
      <c r="C10888" t="s" s="12">
        <v>1398</v>
      </c>
      <c r="D10888" s="17"/>
      <c r="E10888" s="17"/>
      <c r="F10888" s="18"/>
      <c r="G10888" s="18"/>
      <c r="H10888" s="18">
        <v>689</v>
      </c>
      <c r="I10888" s="18"/>
    </row>
    <row r="10889" ht="20.35" customHeight="1">
      <c r="A10889" s="10">
        <v>45873</v>
      </c>
      <c r="B10889" t="s" s="11">
        <v>1357</v>
      </c>
      <c r="C10889" t="s" s="12">
        <v>1398</v>
      </c>
      <c r="D10889" s="13"/>
      <c r="E10889" s="13"/>
      <c r="F10889" s="14"/>
      <c r="G10889" s="14"/>
      <c r="H10889" s="14"/>
      <c r="I10889" s="14">
        <v>689</v>
      </c>
    </row>
    <row r="10890" ht="20.7" customHeight="1">
      <c r="A10890" s="10">
        <v>45873</v>
      </c>
      <c r="B10890" t="s" s="11">
        <v>8</v>
      </c>
      <c r="C10890" t="s" s="12">
        <v>8</v>
      </c>
      <c r="D10890" s="15" cm="1">
        <f t="array" ref="D10890">SUM(D10888:D10889)</f>
        <v>0</v>
      </c>
      <c r="E10890" s="15" cm="1">
        <f t="array" ref="E10890">SUM(E10888:E10889)</f>
        <v>0</v>
      </c>
      <c r="F10890" s="16" cm="1">
        <f t="array" ref="F10890">SUM(F10888:F10889)</f>
        <v>0</v>
      </c>
      <c r="G10890" s="16" cm="1">
        <f t="array" ref="G10890">SUM(G10888:G10889)</f>
        <v>0</v>
      </c>
      <c r="H10890" s="16" cm="1">
        <f t="array" ref="H10890">SUM(H10888:H10889)</f>
        <v>689</v>
      </c>
      <c r="I10890" s="16" cm="1">
        <f t="array" ref="I10890">SUM(I10888:I10889)</f>
        <v>689</v>
      </c>
    </row>
    <row r="10891" ht="20.35" customHeight="1">
      <c r="A10891" s="10">
        <v>45873</v>
      </c>
      <c r="B10891" t="s" s="11">
        <v>1191</v>
      </c>
      <c r="C10891" t="s" s="12">
        <v>1379</v>
      </c>
      <c r="D10891" s="17"/>
      <c r="E10891" s="17"/>
      <c r="F10891" s="18"/>
      <c r="G10891" s="18"/>
      <c r="H10891" s="18">
        <v>401</v>
      </c>
      <c r="I10891" s="18"/>
    </row>
    <row r="10892" ht="20.35" customHeight="1">
      <c r="A10892" s="10">
        <v>45873</v>
      </c>
      <c r="B10892" t="s" s="11">
        <v>1357</v>
      </c>
      <c r="C10892" t="s" s="12">
        <v>1379</v>
      </c>
      <c r="D10892" s="13"/>
      <c r="E10892" s="13"/>
      <c r="F10892" s="14"/>
      <c r="G10892" s="14"/>
      <c r="H10892" s="14"/>
      <c r="I10892" s="14">
        <v>401</v>
      </c>
    </row>
    <row r="10893" ht="20.7" customHeight="1">
      <c r="A10893" s="10">
        <v>45873</v>
      </c>
      <c r="B10893" t="s" s="11">
        <v>8</v>
      </c>
      <c r="C10893" t="s" s="12">
        <v>8</v>
      </c>
      <c r="D10893" s="15" cm="1">
        <f t="array" ref="D10893">SUM(D10891:D10892)</f>
        <v>0</v>
      </c>
      <c r="E10893" s="15" cm="1">
        <f t="array" ref="E10893">SUM(E10891:E10892)</f>
        <v>0</v>
      </c>
      <c r="F10893" s="16" cm="1">
        <f t="array" ref="F10893">SUM(F10891:F10892)</f>
        <v>0</v>
      </c>
      <c r="G10893" s="16" cm="1">
        <f t="array" ref="G10893">SUM(G10891:G10892)</f>
        <v>0</v>
      </c>
      <c r="H10893" s="16" cm="1">
        <f t="array" ref="H10893">SUM(H10891:H10892)</f>
        <v>401</v>
      </c>
      <c r="I10893" s="16" cm="1">
        <f t="array" ref="I10893">SUM(I10891:I10892)</f>
        <v>401</v>
      </c>
    </row>
    <row r="10894" ht="20.35" customHeight="1">
      <c r="A10894" s="10">
        <v>45873</v>
      </c>
      <c r="B10894" t="s" s="11">
        <v>1269</v>
      </c>
      <c r="C10894" t="s" s="12">
        <v>1399</v>
      </c>
      <c r="D10894" s="17"/>
      <c r="E10894" s="17"/>
      <c r="F10894" s="18"/>
      <c r="G10894" s="18"/>
      <c r="H10894" s="18"/>
      <c r="I10894" s="18">
        <v>2200</v>
      </c>
    </row>
    <row r="10895" ht="20.35" customHeight="1">
      <c r="A10895" s="10">
        <v>45873</v>
      </c>
      <c r="B10895" t="s" s="11">
        <v>1357</v>
      </c>
      <c r="C10895" t="s" s="12">
        <v>1399</v>
      </c>
      <c r="D10895" s="13"/>
      <c r="E10895" s="13"/>
      <c r="F10895" s="14"/>
      <c r="G10895" s="14"/>
      <c r="H10895" s="14">
        <v>2200</v>
      </c>
      <c r="I10895" s="14"/>
    </row>
    <row r="10896" ht="20.7" customHeight="1">
      <c r="A10896" s="10">
        <v>45873</v>
      </c>
      <c r="B10896" t="s" s="11">
        <v>8</v>
      </c>
      <c r="C10896" t="s" s="12">
        <v>8</v>
      </c>
      <c r="D10896" s="15" cm="1">
        <f t="array" ref="D10896">SUM(D10894:D10895)</f>
        <v>0</v>
      </c>
      <c r="E10896" s="15" cm="1">
        <f t="array" ref="E10896">SUM(E10894:E10895)</f>
        <v>0</v>
      </c>
      <c r="F10896" s="16" cm="1">
        <f t="array" ref="F10896">SUM(F10894:F10895)</f>
        <v>0</v>
      </c>
      <c r="G10896" s="16" cm="1">
        <f t="array" ref="G10896">SUM(G10894:G10895)</f>
        <v>0</v>
      </c>
      <c r="H10896" s="16" cm="1">
        <f t="array" ref="H10896">SUM(H10894:H10895)</f>
        <v>2200</v>
      </c>
      <c r="I10896" s="16" cm="1">
        <f t="array" ref="I10896">SUM(I10894:I10895)</f>
        <v>2200</v>
      </c>
    </row>
    <row r="10897" ht="20.35" customHeight="1">
      <c r="A10897" s="10">
        <v>45873</v>
      </c>
      <c r="B10897" t="s" s="11">
        <v>1155</v>
      </c>
      <c r="C10897" t="s" s="12">
        <v>1391</v>
      </c>
      <c r="D10897" s="17"/>
      <c r="E10897" s="17"/>
      <c r="F10897" s="18"/>
      <c r="G10897" s="18"/>
      <c r="H10897" s="18"/>
      <c r="I10897" s="18">
        <v>156.2</v>
      </c>
    </row>
    <row r="10898" ht="20.35" customHeight="1">
      <c r="A10898" s="10">
        <v>45873</v>
      </c>
      <c r="B10898" t="s" s="11">
        <v>1191</v>
      </c>
      <c r="C10898" t="s" s="12">
        <v>1391</v>
      </c>
      <c r="D10898" s="13"/>
      <c r="E10898" s="13"/>
      <c r="F10898" s="14"/>
      <c r="G10898" s="14"/>
      <c r="H10898" s="14">
        <v>156.2</v>
      </c>
      <c r="I10898" s="14"/>
    </row>
    <row r="10899" ht="20.7" customHeight="1">
      <c r="A10899" s="10">
        <v>45873</v>
      </c>
      <c r="B10899" t="s" s="11">
        <v>8</v>
      </c>
      <c r="C10899" t="s" s="12">
        <v>8</v>
      </c>
      <c r="D10899" s="15" cm="1">
        <f t="array" ref="D10899">SUM(D10897:D10898)</f>
        <v>0</v>
      </c>
      <c r="E10899" s="15" cm="1">
        <f t="array" ref="E10899">SUM(E10897:E10898)</f>
        <v>0</v>
      </c>
      <c r="F10899" s="16" cm="1">
        <f t="array" ref="F10899">SUM(F10897:F10898)</f>
        <v>0</v>
      </c>
      <c r="G10899" s="16" cm="1">
        <f t="array" ref="G10899">SUM(G10897:G10898)</f>
        <v>0</v>
      </c>
      <c r="H10899" s="16" cm="1">
        <f t="array" ref="H10899">SUM(H10897:H10898)</f>
        <v>156.2</v>
      </c>
      <c r="I10899" s="16" cm="1">
        <f t="array" ref="I10899">SUM(I10897:I10898)</f>
        <v>156.2</v>
      </c>
    </row>
    <row r="10900" ht="20.35" customHeight="1">
      <c r="A10900" s="10">
        <v>45873</v>
      </c>
      <c r="B10900" t="s" s="11">
        <v>1155</v>
      </c>
      <c r="C10900" t="s" s="12">
        <v>1400</v>
      </c>
      <c r="D10900" s="17"/>
      <c r="E10900" s="17"/>
      <c r="F10900" s="18"/>
      <c r="G10900" s="18"/>
      <c r="H10900" s="18"/>
      <c r="I10900" s="18">
        <v>23</v>
      </c>
    </row>
    <row r="10901" ht="20.35" customHeight="1">
      <c r="A10901" s="10">
        <v>45873</v>
      </c>
      <c r="B10901" t="s" s="11">
        <v>1191</v>
      </c>
      <c r="C10901" t="s" s="12">
        <v>1400</v>
      </c>
      <c r="D10901" s="13"/>
      <c r="E10901" s="13"/>
      <c r="F10901" s="14"/>
      <c r="G10901" s="14"/>
      <c r="H10901" s="14">
        <v>23</v>
      </c>
      <c r="I10901" s="14"/>
    </row>
    <row r="10902" ht="20.7" customHeight="1">
      <c r="A10902" s="10">
        <v>45873</v>
      </c>
      <c r="B10902" t="s" s="11">
        <v>8</v>
      </c>
      <c r="C10902" t="s" s="12">
        <v>8</v>
      </c>
      <c r="D10902" s="15" cm="1">
        <f t="array" ref="D10902">SUM(D10900:D10901)</f>
        <v>0</v>
      </c>
      <c r="E10902" s="15" cm="1">
        <f t="array" ref="E10902">SUM(E10900:E10901)</f>
        <v>0</v>
      </c>
      <c r="F10902" s="16" cm="1">
        <f t="array" ref="F10902">SUM(F10900:F10901)</f>
        <v>0</v>
      </c>
      <c r="G10902" s="16" cm="1">
        <f t="array" ref="G10902">SUM(G10900:G10901)</f>
        <v>0</v>
      </c>
      <c r="H10902" s="16" cm="1">
        <f t="array" ref="H10902">SUM(H10900:H10901)</f>
        <v>23</v>
      </c>
      <c r="I10902" s="16" cm="1">
        <f t="array" ref="I10902">SUM(I10900:I10901)</f>
        <v>23</v>
      </c>
    </row>
    <row r="10903" ht="20.35" customHeight="1">
      <c r="A10903" s="10">
        <v>45873</v>
      </c>
      <c r="B10903" t="s" s="11">
        <v>1155</v>
      </c>
      <c r="C10903" t="s" s="12">
        <v>1391</v>
      </c>
      <c r="D10903" s="17"/>
      <c r="E10903" s="17"/>
      <c r="F10903" s="18"/>
      <c r="G10903" s="18"/>
      <c r="H10903" s="18"/>
      <c r="I10903" s="18">
        <v>88</v>
      </c>
    </row>
    <row r="10904" ht="20.35" customHeight="1">
      <c r="A10904" s="10">
        <v>45873</v>
      </c>
      <c r="B10904" t="s" s="11">
        <v>1191</v>
      </c>
      <c r="C10904" t="s" s="12">
        <v>1391</v>
      </c>
      <c r="D10904" s="13"/>
      <c r="E10904" s="13"/>
      <c r="F10904" s="14"/>
      <c r="G10904" s="14"/>
      <c r="H10904" s="14">
        <v>88</v>
      </c>
      <c r="I10904" s="14"/>
    </row>
    <row r="10905" ht="20.7" customHeight="1">
      <c r="A10905" s="10">
        <v>45873</v>
      </c>
      <c r="B10905" t="s" s="11">
        <v>8</v>
      </c>
      <c r="C10905" t="s" s="12">
        <v>8</v>
      </c>
      <c r="D10905" s="15" cm="1">
        <f t="array" ref="D10905">SUM(D10903:D10904)</f>
        <v>0</v>
      </c>
      <c r="E10905" s="15" cm="1">
        <f t="array" ref="E10905">SUM(E10903:E10904)</f>
        <v>0</v>
      </c>
      <c r="F10905" s="16" cm="1">
        <f t="array" ref="F10905">SUM(F10903:F10904)</f>
        <v>0</v>
      </c>
      <c r="G10905" s="16" cm="1">
        <f t="array" ref="G10905">SUM(G10903:G10904)</f>
        <v>0</v>
      </c>
      <c r="H10905" s="16" cm="1">
        <f t="array" ref="H10905">SUM(H10903:H10904)</f>
        <v>88</v>
      </c>
      <c r="I10905" s="16" cm="1">
        <f t="array" ref="I10905">SUM(I10903:I10904)</f>
        <v>88</v>
      </c>
    </row>
    <row r="10906" ht="20.65" customHeight="1">
      <c r="A10906" s="10">
        <v>45874</v>
      </c>
      <c r="B10906" t="s" s="11">
        <v>814</v>
      </c>
      <c r="C10906" t="s" s="12">
        <v>820</v>
      </c>
      <c r="D10906" s="17">
        <v>49</v>
      </c>
      <c r="E10906" s="17"/>
      <c r="F10906" s="18"/>
      <c r="G10906" s="18"/>
      <c r="H10906" s="18"/>
      <c r="I10906" s="18"/>
    </row>
    <row r="10907" ht="20.65" customHeight="1">
      <c r="A10907" s="10">
        <v>45874</v>
      </c>
      <c r="B10907" t="s" s="11">
        <v>7</v>
      </c>
      <c r="C10907" t="s" s="12">
        <v>820</v>
      </c>
      <c r="D10907" s="13"/>
      <c r="E10907" s="13">
        <v>49</v>
      </c>
      <c r="F10907" s="14"/>
      <c r="G10907" s="14"/>
      <c r="H10907" s="14"/>
      <c r="I10907" s="14"/>
    </row>
    <row r="10908" ht="20.7" customHeight="1">
      <c r="A10908" s="10">
        <v>45874</v>
      </c>
      <c r="B10908" t="s" s="11">
        <v>8</v>
      </c>
      <c r="C10908" t="s" s="12">
        <v>8</v>
      </c>
      <c r="D10908" s="15" cm="1">
        <f t="array" ref="D10908">SUM(D10906:D10907)</f>
        <v>49</v>
      </c>
      <c r="E10908" s="15" cm="1">
        <f t="array" ref="E10908">SUM(E10906:E10907)</f>
        <v>49</v>
      </c>
      <c r="F10908" s="16" cm="1">
        <f t="array" ref="F10908">SUM(F10906:F10907)</f>
        <v>0</v>
      </c>
      <c r="G10908" s="16" cm="1">
        <f t="array" ref="G10908">SUM(G10906:G10907)</f>
        <v>0</v>
      </c>
      <c r="H10908" s="16" cm="1">
        <f t="array" ref="H10908">SUM(H10906:H10907)</f>
        <v>0</v>
      </c>
      <c r="I10908" s="16" cm="1">
        <f t="array" ref="I10908">SUM(I10906:I10907)</f>
        <v>0</v>
      </c>
    </row>
    <row r="10909" ht="20.35" customHeight="1">
      <c r="A10909" s="10">
        <v>45874</v>
      </c>
      <c r="B10909" t="s" s="11">
        <v>107</v>
      </c>
      <c r="C10909" t="s" s="12">
        <v>1401</v>
      </c>
      <c r="D10909" s="17"/>
      <c r="E10909" s="17">
        <v>14417</v>
      </c>
      <c r="F10909" s="18"/>
      <c r="G10909" s="18"/>
      <c r="H10909" s="18"/>
      <c r="I10909" s="18"/>
    </row>
    <row r="10910" ht="20.35" customHeight="1">
      <c r="A10910" s="10">
        <v>45874</v>
      </c>
      <c r="B10910" t="s" s="11">
        <v>10</v>
      </c>
      <c r="C10910" t="s" s="12">
        <v>1401</v>
      </c>
      <c r="D10910" s="13">
        <v>14417</v>
      </c>
      <c r="E10910" s="13"/>
      <c r="F10910" s="14"/>
      <c r="G10910" s="14"/>
      <c r="H10910" s="14"/>
      <c r="I10910" s="14"/>
    </row>
    <row r="10911" ht="20.7" customHeight="1">
      <c r="A10911" s="10">
        <v>45874</v>
      </c>
      <c r="B10911" t="s" s="11">
        <v>8</v>
      </c>
      <c r="C10911" t="s" s="12">
        <v>8</v>
      </c>
      <c r="D10911" s="15" cm="1">
        <f t="array" ref="D10911">SUM(D10909:D10910)</f>
        <v>14417</v>
      </c>
      <c r="E10911" s="15" cm="1">
        <f t="array" ref="E10911">SUM(E10909:E10910)</f>
        <v>14417</v>
      </c>
      <c r="F10911" s="16" cm="1">
        <f t="array" ref="F10911">SUM(F10909:F10910)</f>
        <v>0</v>
      </c>
      <c r="G10911" s="16" cm="1">
        <f t="array" ref="G10911">SUM(G10909:G10910)</f>
        <v>0</v>
      </c>
      <c r="H10911" s="16" cm="1">
        <f t="array" ref="H10911">SUM(H10909:H10910)</f>
        <v>0</v>
      </c>
      <c r="I10911" s="16" cm="1">
        <f t="array" ref="I10911">SUM(I10909:I10910)</f>
        <v>0</v>
      </c>
    </row>
    <row r="10912" ht="20.35" customHeight="1">
      <c r="A10912" s="10">
        <v>45874</v>
      </c>
      <c r="B10912" t="s" s="11">
        <v>1155</v>
      </c>
      <c r="C10912" t="s" s="12">
        <v>1402</v>
      </c>
      <c r="D10912" s="17"/>
      <c r="E10912" s="17"/>
      <c r="F10912" s="18"/>
      <c r="G10912" s="18"/>
      <c r="H10912" s="18"/>
      <c r="I10912" s="18">
        <v>14.8</v>
      </c>
    </row>
    <row r="10913" ht="20.35" customHeight="1">
      <c r="A10913" s="10">
        <v>45874</v>
      </c>
      <c r="B10913" t="s" s="11">
        <v>1191</v>
      </c>
      <c r="C10913" t="s" s="12">
        <v>1402</v>
      </c>
      <c r="D10913" s="13"/>
      <c r="E10913" s="13"/>
      <c r="F10913" s="14"/>
      <c r="G10913" s="14"/>
      <c r="H10913" s="14">
        <v>14.8</v>
      </c>
      <c r="I10913" s="14"/>
    </row>
    <row r="10914" ht="20.7" customHeight="1">
      <c r="A10914" s="10">
        <v>45874</v>
      </c>
      <c r="B10914" t="s" s="11">
        <v>8</v>
      </c>
      <c r="C10914" t="s" s="12">
        <v>8</v>
      </c>
      <c r="D10914" s="15" cm="1">
        <f t="array" ref="D10914">SUM(D10912:D10913)</f>
        <v>0</v>
      </c>
      <c r="E10914" s="15" cm="1">
        <f t="array" ref="E10914">SUM(E10912:E10913)</f>
        <v>0</v>
      </c>
      <c r="F10914" s="16" cm="1">
        <f t="array" ref="F10914">SUM(F10912:F10913)</f>
        <v>0</v>
      </c>
      <c r="G10914" s="16" cm="1">
        <f t="array" ref="G10914">SUM(G10912:G10913)</f>
        <v>0</v>
      </c>
      <c r="H10914" s="16" cm="1">
        <f t="array" ref="H10914">SUM(H10912:H10913)</f>
        <v>14.8</v>
      </c>
      <c r="I10914" s="16" cm="1">
        <f t="array" ref="I10914">SUM(I10912:I10913)</f>
        <v>14.8</v>
      </c>
    </row>
    <row r="10915" ht="20.35" customHeight="1">
      <c r="A10915" s="10">
        <v>45874</v>
      </c>
      <c r="B10915" t="s" s="11">
        <v>1155</v>
      </c>
      <c r="C10915" t="s" s="12">
        <v>1391</v>
      </c>
      <c r="D10915" s="17"/>
      <c r="E10915" s="17"/>
      <c r="F10915" s="18"/>
      <c r="G10915" s="18"/>
      <c r="H10915" s="18"/>
      <c r="I10915" s="18">
        <v>23.9</v>
      </c>
    </row>
    <row r="10916" ht="20.35" customHeight="1">
      <c r="A10916" s="10">
        <v>45874</v>
      </c>
      <c r="B10916" t="s" s="11">
        <v>1191</v>
      </c>
      <c r="C10916" t="s" s="12">
        <v>1391</v>
      </c>
      <c r="D10916" s="13"/>
      <c r="E10916" s="13"/>
      <c r="F10916" s="14"/>
      <c r="G10916" s="14"/>
      <c r="H10916" s="14">
        <v>23.9</v>
      </c>
      <c r="I10916" s="14"/>
    </row>
    <row r="10917" ht="20.7" customHeight="1">
      <c r="A10917" s="10">
        <v>45874</v>
      </c>
      <c r="B10917" t="s" s="11">
        <v>8</v>
      </c>
      <c r="C10917" t="s" s="12">
        <v>8</v>
      </c>
      <c r="D10917" s="15" cm="1">
        <f t="array" ref="D10917">SUM(D10915:D10916)</f>
        <v>0</v>
      </c>
      <c r="E10917" s="15" cm="1">
        <f t="array" ref="E10917">SUM(E10915:E10916)</f>
        <v>0</v>
      </c>
      <c r="F10917" s="16" cm="1">
        <f t="array" ref="F10917">SUM(F10915:F10916)</f>
        <v>0</v>
      </c>
      <c r="G10917" s="16" cm="1">
        <f t="array" ref="G10917">SUM(G10915:G10916)</f>
        <v>0</v>
      </c>
      <c r="H10917" s="16" cm="1">
        <f t="array" ref="H10917">SUM(H10915:H10916)</f>
        <v>23.9</v>
      </c>
      <c r="I10917" s="16" cm="1">
        <f t="array" ref="I10917">SUM(I10915:I10916)</f>
        <v>23.9</v>
      </c>
    </row>
    <row r="10918" ht="20.35" customHeight="1">
      <c r="A10918" s="10">
        <v>45874</v>
      </c>
      <c r="B10918" t="s" s="11">
        <v>1155</v>
      </c>
      <c r="C10918" t="s" s="12">
        <v>1403</v>
      </c>
      <c r="D10918" s="17"/>
      <c r="E10918" s="17"/>
      <c r="F10918" s="18"/>
      <c r="G10918" s="18"/>
      <c r="H10918" s="18"/>
      <c r="I10918" s="18">
        <v>21</v>
      </c>
    </row>
    <row r="10919" ht="20.35" customHeight="1">
      <c r="A10919" s="10">
        <v>45874</v>
      </c>
      <c r="B10919" t="s" s="11">
        <v>1191</v>
      </c>
      <c r="C10919" t="s" s="12">
        <v>1403</v>
      </c>
      <c r="D10919" s="13"/>
      <c r="E10919" s="13"/>
      <c r="F10919" s="14"/>
      <c r="G10919" s="14"/>
      <c r="H10919" s="14">
        <v>21</v>
      </c>
      <c r="I10919" s="14"/>
    </row>
    <row r="10920" ht="20.7" customHeight="1">
      <c r="A10920" s="10">
        <v>45874</v>
      </c>
      <c r="B10920" t="s" s="11">
        <v>8</v>
      </c>
      <c r="C10920" t="s" s="12">
        <v>8</v>
      </c>
      <c r="D10920" s="15" cm="1">
        <f t="array" ref="D10920">SUM(D10918:D10919)</f>
        <v>0</v>
      </c>
      <c r="E10920" s="15" cm="1">
        <f t="array" ref="E10920">SUM(E10918:E10919)</f>
        <v>0</v>
      </c>
      <c r="F10920" s="16" cm="1">
        <f t="array" ref="F10920">SUM(F10918:F10919)</f>
        <v>0</v>
      </c>
      <c r="G10920" s="16" cm="1">
        <f t="array" ref="G10920">SUM(G10918:G10919)</f>
        <v>0</v>
      </c>
      <c r="H10920" s="16" cm="1">
        <f t="array" ref="H10920">SUM(H10918:H10919)</f>
        <v>21</v>
      </c>
      <c r="I10920" s="16" cm="1">
        <f t="array" ref="I10920">SUM(I10918:I10919)</f>
        <v>21</v>
      </c>
    </row>
    <row r="10921" ht="20.35" customHeight="1">
      <c r="A10921" s="10">
        <v>45874</v>
      </c>
      <c r="B10921" t="s" s="11">
        <v>1155</v>
      </c>
      <c r="C10921" t="s" s="12">
        <v>1404</v>
      </c>
      <c r="D10921" s="17"/>
      <c r="E10921" s="17"/>
      <c r="F10921" s="18"/>
      <c r="G10921" s="18"/>
      <c r="H10921" s="18"/>
      <c r="I10921" s="18">
        <v>69</v>
      </c>
    </row>
    <row r="10922" ht="20.35" customHeight="1">
      <c r="A10922" s="10">
        <v>45874</v>
      </c>
      <c r="B10922" t="s" s="11">
        <v>1191</v>
      </c>
      <c r="C10922" t="s" s="12">
        <v>1404</v>
      </c>
      <c r="D10922" s="13"/>
      <c r="E10922" s="13"/>
      <c r="F10922" s="14"/>
      <c r="G10922" s="14"/>
      <c r="H10922" s="14">
        <v>69</v>
      </c>
      <c r="I10922" s="14"/>
    </row>
    <row r="10923" ht="20.7" customHeight="1">
      <c r="A10923" s="10">
        <v>45874</v>
      </c>
      <c r="B10923" t="s" s="11">
        <v>8</v>
      </c>
      <c r="C10923" t="s" s="12">
        <v>8</v>
      </c>
      <c r="D10923" s="15" cm="1">
        <f t="array" ref="D10923">SUM(D10921:D10922)</f>
        <v>0</v>
      </c>
      <c r="E10923" s="15" cm="1">
        <f t="array" ref="E10923">SUM(E10921:E10922)</f>
        <v>0</v>
      </c>
      <c r="F10923" s="16" cm="1">
        <f t="array" ref="F10923">SUM(F10921:F10922)</f>
        <v>0</v>
      </c>
      <c r="G10923" s="16" cm="1">
        <f t="array" ref="G10923">SUM(G10921:G10922)</f>
        <v>0</v>
      </c>
      <c r="H10923" s="16" cm="1">
        <f t="array" ref="H10923">SUM(H10921:H10922)</f>
        <v>69</v>
      </c>
      <c r="I10923" s="16" cm="1">
        <f t="array" ref="I10923">SUM(I10921:I10922)</f>
        <v>69</v>
      </c>
    </row>
    <row r="10924" ht="20.35" customHeight="1">
      <c r="A10924" s="10">
        <v>45874</v>
      </c>
      <c r="B10924" t="s" s="11">
        <v>1155</v>
      </c>
      <c r="C10924" t="s" s="12">
        <v>1405</v>
      </c>
      <c r="D10924" s="17"/>
      <c r="E10924" s="17"/>
      <c r="F10924" s="18"/>
      <c r="G10924" s="18"/>
      <c r="H10924" s="18"/>
      <c r="I10924" s="18">
        <v>63</v>
      </c>
    </row>
    <row r="10925" ht="20.35" customHeight="1">
      <c r="A10925" s="10">
        <v>45874</v>
      </c>
      <c r="B10925" t="s" s="11">
        <v>1191</v>
      </c>
      <c r="C10925" t="s" s="12">
        <v>1405</v>
      </c>
      <c r="D10925" s="13"/>
      <c r="E10925" s="13"/>
      <c r="F10925" s="14"/>
      <c r="G10925" s="14"/>
      <c r="H10925" s="14">
        <v>63</v>
      </c>
      <c r="I10925" s="14"/>
    </row>
    <row r="10926" ht="20.7" customHeight="1">
      <c r="A10926" s="10">
        <v>45874</v>
      </c>
      <c r="B10926" t="s" s="11">
        <v>8</v>
      </c>
      <c r="C10926" t="s" s="12">
        <v>8</v>
      </c>
      <c r="D10926" s="15" cm="1">
        <f t="array" ref="D10926">SUM(D10924:D10925)</f>
        <v>0</v>
      </c>
      <c r="E10926" s="15" cm="1">
        <f t="array" ref="E10926">SUM(E10924:E10925)</f>
        <v>0</v>
      </c>
      <c r="F10926" s="16" cm="1">
        <f t="array" ref="F10926">SUM(F10924:F10925)</f>
        <v>0</v>
      </c>
      <c r="G10926" s="16" cm="1">
        <f t="array" ref="G10926">SUM(G10924:G10925)</f>
        <v>0</v>
      </c>
      <c r="H10926" s="16" cm="1">
        <f t="array" ref="H10926">SUM(H10924:H10925)</f>
        <v>63</v>
      </c>
      <c r="I10926" s="16" cm="1">
        <f t="array" ref="I10926">SUM(I10924:I10925)</f>
        <v>63</v>
      </c>
    </row>
    <row r="10927" ht="20.35" customHeight="1">
      <c r="A10927" s="10">
        <v>45874</v>
      </c>
      <c r="B10927" t="s" s="11">
        <v>1155</v>
      </c>
      <c r="C10927" t="s" s="12">
        <v>1406</v>
      </c>
      <c r="D10927" s="17"/>
      <c r="E10927" s="17"/>
      <c r="F10927" s="18"/>
      <c r="G10927" s="18"/>
      <c r="H10927" s="18"/>
      <c r="I10927" s="18">
        <v>328</v>
      </c>
    </row>
    <row r="10928" ht="20.35" customHeight="1">
      <c r="A10928" s="10">
        <v>45874</v>
      </c>
      <c r="B10928" t="s" s="11">
        <v>1191</v>
      </c>
      <c r="C10928" t="s" s="12">
        <v>1406</v>
      </c>
      <c r="D10928" s="13"/>
      <c r="E10928" s="13"/>
      <c r="F10928" s="14"/>
      <c r="G10928" s="14"/>
      <c r="H10928" s="14">
        <v>328</v>
      </c>
      <c r="I10928" s="14"/>
    </row>
    <row r="10929" ht="20.7" customHeight="1">
      <c r="A10929" s="10">
        <v>45874</v>
      </c>
      <c r="B10929" t="s" s="11">
        <v>8</v>
      </c>
      <c r="C10929" t="s" s="12">
        <v>8</v>
      </c>
      <c r="D10929" s="15" cm="1">
        <f t="array" ref="D10929">SUM(D10927:D10928)</f>
        <v>0</v>
      </c>
      <c r="E10929" s="15" cm="1">
        <f t="array" ref="E10929">SUM(E10927:E10928)</f>
        <v>0</v>
      </c>
      <c r="F10929" s="16" cm="1">
        <f t="array" ref="F10929">SUM(F10927:F10928)</f>
        <v>0</v>
      </c>
      <c r="G10929" s="16" cm="1">
        <f t="array" ref="G10929">SUM(G10927:G10928)</f>
        <v>0</v>
      </c>
      <c r="H10929" s="16" cm="1">
        <f t="array" ref="H10929">SUM(H10927:H10928)</f>
        <v>328</v>
      </c>
      <c r="I10929" s="16" cm="1">
        <f t="array" ref="I10929">SUM(I10927:I10928)</f>
        <v>328</v>
      </c>
    </row>
    <row r="10930" ht="20.35" customHeight="1">
      <c r="A10930" s="10">
        <v>45874</v>
      </c>
      <c r="B10930" t="s" s="11">
        <v>1155</v>
      </c>
      <c r="C10930" t="s" s="12">
        <v>1407</v>
      </c>
      <c r="D10930" s="17"/>
      <c r="E10930" s="17"/>
      <c r="F10930" s="18"/>
      <c r="G10930" s="18"/>
      <c r="H10930" s="18"/>
      <c r="I10930" s="18">
        <v>200</v>
      </c>
    </row>
    <row r="10931" ht="20.35" customHeight="1">
      <c r="A10931" s="10">
        <v>45874</v>
      </c>
      <c r="B10931" t="s" s="11">
        <v>1230</v>
      </c>
      <c r="C10931" t="s" s="12">
        <v>1407</v>
      </c>
      <c r="D10931" s="13"/>
      <c r="E10931" s="13"/>
      <c r="F10931" s="14"/>
      <c r="G10931" s="14"/>
      <c r="H10931" s="14">
        <v>200</v>
      </c>
      <c r="I10931" s="14"/>
    </row>
    <row r="10932" ht="20.7" customHeight="1">
      <c r="A10932" s="10">
        <v>45874</v>
      </c>
      <c r="B10932" t="s" s="11">
        <v>8</v>
      </c>
      <c r="C10932" t="s" s="12">
        <v>8</v>
      </c>
      <c r="D10932" s="15" cm="1">
        <f t="array" ref="D10932">SUM(D10930:D10931)</f>
        <v>0</v>
      </c>
      <c r="E10932" s="15" cm="1">
        <f t="array" ref="E10932">SUM(E10930:E10931)</f>
        <v>0</v>
      </c>
      <c r="F10932" s="16" cm="1">
        <f t="array" ref="F10932">SUM(F10930:F10931)</f>
        <v>0</v>
      </c>
      <c r="G10932" s="16" cm="1">
        <f t="array" ref="G10932">SUM(G10930:G10931)</f>
        <v>0</v>
      </c>
      <c r="H10932" s="16" cm="1">
        <f t="array" ref="H10932">SUM(H10930:H10931)</f>
        <v>200</v>
      </c>
      <c r="I10932" s="16" cm="1">
        <f t="array" ref="I10932">SUM(I10930:I10931)</f>
        <v>200</v>
      </c>
    </row>
    <row r="10933" ht="20.35" customHeight="1">
      <c r="A10933" s="10">
        <v>45874</v>
      </c>
      <c r="B10933" t="s" s="11">
        <v>1269</v>
      </c>
      <c r="C10933" t="s" s="12">
        <v>1407</v>
      </c>
      <c r="D10933" s="17"/>
      <c r="E10933" s="17"/>
      <c r="F10933" s="18"/>
      <c r="G10933" s="18"/>
      <c r="H10933" s="18">
        <v>200</v>
      </c>
      <c r="I10933" s="18"/>
    </row>
    <row r="10934" ht="20.35" customHeight="1">
      <c r="A10934" s="10">
        <v>45874</v>
      </c>
      <c r="B10934" t="s" s="11">
        <v>1230</v>
      </c>
      <c r="C10934" t="s" s="12">
        <v>1407</v>
      </c>
      <c r="D10934" s="13"/>
      <c r="E10934" s="13"/>
      <c r="F10934" s="14"/>
      <c r="G10934" s="14"/>
      <c r="H10934" s="14"/>
      <c r="I10934" s="14">
        <v>200</v>
      </c>
    </row>
    <row r="10935" ht="20.7" customHeight="1">
      <c r="A10935" s="10">
        <v>45874</v>
      </c>
      <c r="B10935" t="s" s="11">
        <v>8</v>
      </c>
      <c r="C10935" t="s" s="12">
        <v>8</v>
      </c>
      <c r="D10935" s="15" cm="1">
        <f t="array" ref="D10935">SUM(D10933:D10934)</f>
        <v>0</v>
      </c>
      <c r="E10935" s="15" cm="1">
        <f t="array" ref="E10935">SUM(E10933:E10934)</f>
        <v>0</v>
      </c>
      <c r="F10935" s="16" cm="1">
        <f t="array" ref="F10935">SUM(F10933:F10934)</f>
        <v>0</v>
      </c>
      <c r="G10935" s="16" cm="1">
        <f t="array" ref="G10935">SUM(G10933:G10934)</f>
        <v>0</v>
      </c>
      <c r="H10935" s="16" cm="1">
        <f t="array" ref="H10935">SUM(H10933:H10934)</f>
        <v>200</v>
      </c>
      <c r="I10935" s="16" cm="1">
        <f t="array" ref="I10935">SUM(I10933:I10934)</f>
        <v>200</v>
      </c>
    </row>
    <row r="10936" ht="20.35" customHeight="1">
      <c r="A10936" s="10">
        <v>45874</v>
      </c>
      <c r="B10936" t="s" s="11">
        <v>1155</v>
      </c>
      <c r="C10936" t="s" s="12">
        <v>1391</v>
      </c>
      <c r="D10936" s="17"/>
      <c r="E10936" s="17"/>
      <c r="F10936" s="18"/>
      <c r="G10936" s="18"/>
      <c r="H10936" s="18"/>
      <c r="I10936" s="18">
        <v>15.7</v>
      </c>
    </row>
    <row r="10937" ht="20.35" customHeight="1">
      <c r="A10937" s="10">
        <v>45874</v>
      </c>
      <c r="B10937" t="s" s="11">
        <v>1191</v>
      </c>
      <c r="C10937" t="s" s="12">
        <v>1391</v>
      </c>
      <c r="D10937" s="13"/>
      <c r="E10937" s="13"/>
      <c r="F10937" s="14"/>
      <c r="G10937" s="14"/>
      <c r="H10937" s="14">
        <v>15.7</v>
      </c>
      <c r="I10937" s="14"/>
    </row>
    <row r="10938" ht="20.7" customHeight="1">
      <c r="A10938" s="10">
        <v>45874</v>
      </c>
      <c r="B10938" t="s" s="11">
        <v>8</v>
      </c>
      <c r="C10938" t="s" s="12">
        <v>8</v>
      </c>
      <c r="D10938" s="15" cm="1">
        <f t="array" ref="D10938">SUM(D10936:D10937)</f>
        <v>0</v>
      </c>
      <c r="E10938" s="15" cm="1">
        <f t="array" ref="E10938">SUM(E10936:E10937)</f>
        <v>0</v>
      </c>
      <c r="F10938" s="16" cm="1">
        <f t="array" ref="F10938">SUM(F10936:F10937)</f>
        <v>0</v>
      </c>
      <c r="G10938" s="16" cm="1">
        <f t="array" ref="G10938">SUM(G10936:G10937)</f>
        <v>0</v>
      </c>
      <c r="H10938" s="16" cm="1">
        <f t="array" ref="H10938">SUM(H10936:H10937)</f>
        <v>15.7</v>
      </c>
      <c r="I10938" s="16" cm="1">
        <f t="array" ref="I10938">SUM(I10936:I10937)</f>
        <v>15.7</v>
      </c>
    </row>
    <row r="10939" ht="20.35" customHeight="1">
      <c r="A10939" s="10">
        <v>45874</v>
      </c>
      <c r="B10939" t="s" s="11">
        <v>1269</v>
      </c>
      <c r="C10939" t="s" s="12">
        <v>1408</v>
      </c>
      <c r="D10939" s="17"/>
      <c r="E10939" s="17"/>
      <c r="F10939" s="18"/>
      <c r="G10939" s="18"/>
      <c r="H10939" s="18"/>
      <c r="I10939" s="18">
        <v>200</v>
      </c>
    </row>
    <row r="10940" ht="20.35" customHeight="1">
      <c r="A10940" s="10">
        <v>45874</v>
      </c>
      <c r="B10940" t="s" s="11">
        <v>1357</v>
      </c>
      <c r="C10940" t="s" s="12">
        <v>1408</v>
      </c>
      <c r="D10940" s="13"/>
      <c r="E10940" s="13"/>
      <c r="F10940" s="14"/>
      <c r="G10940" s="14"/>
      <c r="H10940" s="14">
        <v>200</v>
      </c>
      <c r="I10940" s="14"/>
    </row>
    <row r="10941" ht="20.7" customHeight="1">
      <c r="A10941" s="10">
        <v>45874</v>
      </c>
      <c r="B10941" t="s" s="11">
        <v>8</v>
      </c>
      <c r="C10941" t="s" s="12">
        <v>8</v>
      </c>
      <c r="D10941" s="15" cm="1">
        <f t="array" ref="D10941">SUM(D10939:D10940)</f>
        <v>0</v>
      </c>
      <c r="E10941" s="15" cm="1">
        <f t="array" ref="E10941">SUM(E10939:E10940)</f>
        <v>0</v>
      </c>
      <c r="F10941" s="16" cm="1">
        <f t="array" ref="F10941">SUM(F10939:F10940)</f>
        <v>0</v>
      </c>
      <c r="G10941" s="16" cm="1">
        <f t="array" ref="G10941">SUM(G10939:G10940)</f>
        <v>0</v>
      </c>
      <c r="H10941" s="16" cm="1">
        <f t="array" ref="H10941">SUM(H10939:H10940)</f>
        <v>200</v>
      </c>
      <c r="I10941" s="16" cm="1">
        <f t="array" ref="I10941">SUM(I10939:I10940)</f>
        <v>200</v>
      </c>
    </row>
    <row r="10942" ht="20.35" customHeight="1">
      <c r="A10942" s="10">
        <v>45874</v>
      </c>
      <c r="B10942" t="s" s="11">
        <v>1191</v>
      </c>
      <c r="C10942" t="s" s="12">
        <v>1409</v>
      </c>
      <c r="D10942" s="17"/>
      <c r="E10942" s="17"/>
      <c r="F10942" s="18"/>
      <c r="G10942" s="18"/>
      <c r="H10942" s="18">
        <v>136</v>
      </c>
      <c r="I10942" s="18"/>
    </row>
    <row r="10943" ht="20.35" customHeight="1">
      <c r="A10943" s="10">
        <v>45874</v>
      </c>
      <c r="B10943" t="s" s="11">
        <v>1357</v>
      </c>
      <c r="C10943" t="s" s="12">
        <v>1409</v>
      </c>
      <c r="D10943" s="13"/>
      <c r="E10943" s="13"/>
      <c r="F10943" s="14"/>
      <c r="G10943" s="14"/>
      <c r="H10943" s="14"/>
      <c r="I10943" s="14">
        <v>136</v>
      </c>
    </row>
    <row r="10944" ht="20.7" customHeight="1">
      <c r="A10944" s="10">
        <v>45874</v>
      </c>
      <c r="B10944" t="s" s="11">
        <v>8</v>
      </c>
      <c r="C10944" t="s" s="12">
        <v>8</v>
      </c>
      <c r="D10944" s="15" cm="1">
        <f t="array" ref="D10944">SUM(D10942:D10943)</f>
        <v>0</v>
      </c>
      <c r="E10944" s="15" cm="1">
        <f t="array" ref="E10944">SUM(E10942:E10943)</f>
        <v>0</v>
      </c>
      <c r="F10944" s="16" cm="1">
        <f t="array" ref="F10944">SUM(F10942:F10943)</f>
        <v>0</v>
      </c>
      <c r="G10944" s="16" cm="1">
        <f t="array" ref="G10944">SUM(G10942:G10943)</f>
        <v>0</v>
      </c>
      <c r="H10944" s="16" cm="1">
        <f t="array" ref="H10944">SUM(H10942:H10943)</f>
        <v>136</v>
      </c>
      <c r="I10944" s="16" cm="1">
        <f t="array" ref="I10944">SUM(I10942:I10943)</f>
        <v>136</v>
      </c>
    </row>
    <row r="10945" ht="20.35" customHeight="1">
      <c r="A10945" s="10">
        <v>45874</v>
      </c>
      <c r="B10945" t="s" s="11">
        <v>1191</v>
      </c>
      <c r="C10945" t="s" s="12">
        <v>1379</v>
      </c>
      <c r="D10945" s="17"/>
      <c r="E10945" s="17"/>
      <c r="F10945" s="18"/>
      <c r="G10945" s="18"/>
      <c r="H10945" s="18">
        <v>103</v>
      </c>
      <c r="I10945" s="18"/>
    </row>
    <row r="10946" ht="20.35" customHeight="1">
      <c r="A10946" s="10">
        <v>45874</v>
      </c>
      <c r="B10946" t="s" s="11">
        <v>1357</v>
      </c>
      <c r="C10946" t="s" s="12">
        <v>1379</v>
      </c>
      <c r="D10946" s="13"/>
      <c r="E10946" s="13"/>
      <c r="F10946" s="14"/>
      <c r="G10946" s="14"/>
      <c r="H10946" s="14"/>
      <c r="I10946" s="14">
        <v>103</v>
      </c>
    </row>
    <row r="10947" ht="20.7" customHeight="1">
      <c r="A10947" s="10">
        <v>45874</v>
      </c>
      <c r="B10947" t="s" s="11">
        <v>8</v>
      </c>
      <c r="C10947" t="s" s="12">
        <v>8</v>
      </c>
      <c r="D10947" s="15" cm="1">
        <f t="array" ref="D10947">SUM(D10945:D10946)</f>
        <v>0</v>
      </c>
      <c r="E10947" s="15" cm="1">
        <f t="array" ref="E10947">SUM(E10945:E10946)</f>
        <v>0</v>
      </c>
      <c r="F10947" s="16" cm="1">
        <f t="array" ref="F10947">SUM(F10945:F10946)</f>
        <v>0</v>
      </c>
      <c r="G10947" s="16" cm="1">
        <f t="array" ref="G10947">SUM(G10945:G10946)</f>
        <v>0</v>
      </c>
      <c r="H10947" s="16" cm="1">
        <f t="array" ref="H10947">SUM(H10945:H10946)</f>
        <v>103</v>
      </c>
      <c r="I10947" s="16" cm="1">
        <f t="array" ref="I10947">SUM(I10945:I10946)</f>
        <v>103</v>
      </c>
    </row>
    <row r="10948" ht="20.65" customHeight="1">
      <c r="A10948" s="10">
        <v>45875</v>
      </c>
      <c r="B10948" t="s" s="11">
        <v>814</v>
      </c>
      <c r="C10948" t="s" s="12">
        <v>820</v>
      </c>
      <c r="D10948" s="17">
        <v>50</v>
      </c>
      <c r="E10948" s="17"/>
      <c r="F10948" s="18"/>
      <c r="G10948" s="18"/>
      <c r="H10948" s="18"/>
      <c r="I10948" s="18"/>
    </row>
    <row r="10949" ht="20.65" customHeight="1">
      <c r="A10949" s="10">
        <v>45875</v>
      </c>
      <c r="B10949" t="s" s="11">
        <v>7</v>
      </c>
      <c r="C10949" t="s" s="12">
        <v>820</v>
      </c>
      <c r="D10949" s="13"/>
      <c r="E10949" s="13">
        <v>50</v>
      </c>
      <c r="F10949" s="14"/>
      <c r="G10949" s="14"/>
      <c r="H10949" s="14"/>
      <c r="I10949" s="14"/>
    </row>
    <row r="10950" ht="20.7" customHeight="1">
      <c r="A10950" s="10">
        <v>45875</v>
      </c>
      <c r="B10950" t="s" s="11">
        <v>8</v>
      </c>
      <c r="C10950" t="s" s="12">
        <v>8</v>
      </c>
      <c r="D10950" s="15" cm="1">
        <f t="array" ref="D10950">SUM(D10948:D10949)</f>
        <v>50</v>
      </c>
      <c r="E10950" s="15" cm="1">
        <f t="array" ref="E10950">SUM(E10948:E10949)</f>
        <v>50</v>
      </c>
      <c r="F10950" s="16" cm="1">
        <f t="array" ref="F10950">SUM(F10948:F10949)</f>
        <v>0</v>
      </c>
      <c r="G10950" s="16" cm="1">
        <f t="array" ref="G10950">SUM(G10948:G10949)</f>
        <v>0</v>
      </c>
      <c r="H10950" s="16" cm="1">
        <f t="array" ref="H10950">SUM(H10948:H10949)</f>
        <v>0</v>
      </c>
      <c r="I10950" s="16" cm="1">
        <f t="array" ref="I10950">SUM(I10948:I10949)</f>
        <v>0</v>
      </c>
    </row>
    <row r="10951" ht="20.35" customHeight="1">
      <c r="A10951" s="10">
        <v>45875</v>
      </c>
      <c r="B10951" t="s" s="11">
        <v>1155</v>
      </c>
      <c r="C10951" t="s" s="12">
        <v>1410</v>
      </c>
      <c r="D10951" s="17"/>
      <c r="E10951" s="17"/>
      <c r="F10951" s="18"/>
      <c r="G10951" s="18"/>
      <c r="H10951" s="18"/>
      <c r="I10951" s="18">
        <v>70.90000000000001</v>
      </c>
    </row>
    <row r="10952" ht="20.35" customHeight="1">
      <c r="A10952" s="10">
        <v>45875</v>
      </c>
      <c r="B10952" t="s" s="11">
        <v>1191</v>
      </c>
      <c r="C10952" t="s" s="12">
        <v>1410</v>
      </c>
      <c r="D10952" s="13"/>
      <c r="E10952" s="13"/>
      <c r="F10952" s="14"/>
      <c r="G10952" s="14"/>
      <c r="H10952" s="14">
        <v>70.90000000000001</v>
      </c>
      <c r="I10952" s="14"/>
    </row>
    <row r="10953" ht="20.7" customHeight="1">
      <c r="A10953" s="10">
        <v>45875</v>
      </c>
      <c r="B10953" t="s" s="11">
        <v>8</v>
      </c>
      <c r="C10953" t="s" s="12">
        <v>8</v>
      </c>
      <c r="D10953" s="15" cm="1">
        <f t="array" ref="D10953">SUM(D10951:D10952)</f>
        <v>0</v>
      </c>
      <c r="E10953" s="15" cm="1">
        <f t="array" ref="E10953">SUM(E10951:E10952)</f>
        <v>0</v>
      </c>
      <c r="F10953" s="16" cm="1">
        <f t="array" ref="F10953">SUM(F10951:F10952)</f>
        <v>0</v>
      </c>
      <c r="G10953" s="16" cm="1">
        <f t="array" ref="G10953">SUM(G10951:G10952)</f>
        <v>0</v>
      </c>
      <c r="H10953" s="16" cm="1">
        <f t="array" ref="H10953">SUM(H10951:H10952)</f>
        <v>70.90000000000001</v>
      </c>
      <c r="I10953" s="16" cm="1">
        <f t="array" ref="I10953">SUM(I10951:I10952)</f>
        <v>70.90000000000001</v>
      </c>
    </row>
    <row r="10954" ht="20.35" customHeight="1">
      <c r="A10954" s="10">
        <v>45875</v>
      </c>
      <c r="B10954" t="s" s="11">
        <v>1155</v>
      </c>
      <c r="C10954" t="s" s="12">
        <v>1411</v>
      </c>
      <c r="D10954" s="17"/>
      <c r="E10954" s="17"/>
      <c r="F10954" s="18"/>
      <c r="G10954" s="18"/>
      <c r="H10954" s="18"/>
      <c r="I10954" s="18">
        <v>45</v>
      </c>
    </row>
    <row r="10955" ht="20.35" customHeight="1">
      <c r="A10955" s="10">
        <v>45875</v>
      </c>
      <c r="B10955" t="s" s="11">
        <v>1191</v>
      </c>
      <c r="C10955" t="s" s="12">
        <v>1411</v>
      </c>
      <c r="D10955" s="13"/>
      <c r="E10955" s="13"/>
      <c r="F10955" s="14"/>
      <c r="G10955" s="14"/>
      <c r="H10955" s="14">
        <v>45</v>
      </c>
      <c r="I10955" s="14"/>
    </row>
    <row r="10956" ht="20.7" customHeight="1">
      <c r="A10956" s="10">
        <v>45875</v>
      </c>
      <c r="B10956" t="s" s="11">
        <v>8</v>
      </c>
      <c r="C10956" t="s" s="12">
        <v>8</v>
      </c>
      <c r="D10956" s="15" cm="1">
        <f t="array" ref="D10956">SUM(D10954:D10955)</f>
        <v>0</v>
      </c>
      <c r="E10956" s="15" cm="1">
        <f t="array" ref="E10956">SUM(E10954:E10955)</f>
        <v>0</v>
      </c>
      <c r="F10956" s="16" cm="1">
        <f t="array" ref="F10956">SUM(F10954:F10955)</f>
        <v>0</v>
      </c>
      <c r="G10956" s="16" cm="1">
        <f t="array" ref="G10956">SUM(G10954:G10955)</f>
        <v>0</v>
      </c>
      <c r="H10956" s="16" cm="1">
        <f t="array" ref="H10956">SUM(H10954:H10955)</f>
        <v>45</v>
      </c>
      <c r="I10956" s="16" cm="1">
        <f t="array" ref="I10956">SUM(I10954:I10955)</f>
        <v>45</v>
      </c>
    </row>
    <row r="10957" ht="20.35" customHeight="1">
      <c r="A10957" s="10">
        <v>45875</v>
      </c>
      <c r="B10957" t="s" s="11">
        <v>1155</v>
      </c>
      <c r="C10957" t="s" s="12">
        <v>1411</v>
      </c>
      <c r="D10957" s="17"/>
      <c r="E10957" s="17"/>
      <c r="F10957" s="18"/>
      <c r="G10957" s="18"/>
      <c r="H10957" s="18"/>
      <c r="I10957" s="18">
        <v>20</v>
      </c>
    </row>
    <row r="10958" ht="20.35" customHeight="1">
      <c r="A10958" s="10">
        <v>45875</v>
      </c>
      <c r="B10958" t="s" s="11">
        <v>1191</v>
      </c>
      <c r="C10958" t="s" s="12">
        <v>1411</v>
      </c>
      <c r="D10958" s="13"/>
      <c r="E10958" s="13"/>
      <c r="F10958" s="14"/>
      <c r="G10958" s="14"/>
      <c r="H10958" s="14">
        <v>20</v>
      </c>
      <c r="I10958" s="14"/>
    </row>
    <row r="10959" ht="20.7" customHeight="1">
      <c r="A10959" s="10">
        <v>45875</v>
      </c>
      <c r="B10959" t="s" s="11">
        <v>8</v>
      </c>
      <c r="C10959" t="s" s="12">
        <v>8</v>
      </c>
      <c r="D10959" s="15" cm="1">
        <f t="array" ref="D10959">SUM(D10957:D10958)</f>
        <v>0</v>
      </c>
      <c r="E10959" s="15" cm="1">
        <f t="array" ref="E10959">SUM(E10957:E10958)</f>
        <v>0</v>
      </c>
      <c r="F10959" s="16" cm="1">
        <f t="array" ref="F10959">SUM(F10957:F10958)</f>
        <v>0</v>
      </c>
      <c r="G10959" s="16" cm="1">
        <f t="array" ref="G10959">SUM(G10957:G10958)</f>
        <v>0</v>
      </c>
      <c r="H10959" s="16" cm="1">
        <f t="array" ref="H10959">SUM(H10957:H10958)</f>
        <v>20</v>
      </c>
      <c r="I10959" s="16" cm="1">
        <f t="array" ref="I10959">SUM(I10957:I10958)</f>
        <v>20</v>
      </c>
    </row>
    <row r="10960" ht="20.35" customHeight="1">
      <c r="A10960" s="10">
        <v>45875</v>
      </c>
      <c r="B10960" t="s" s="11">
        <v>1155</v>
      </c>
      <c r="C10960" t="s" s="12">
        <v>1412</v>
      </c>
      <c r="D10960" s="17"/>
      <c r="E10960" s="17"/>
      <c r="F10960" s="18"/>
      <c r="G10960" s="18"/>
      <c r="H10960" s="18"/>
      <c r="I10960" s="18">
        <v>200</v>
      </c>
    </row>
    <row r="10961" ht="20.35" customHeight="1">
      <c r="A10961" s="10">
        <v>45875</v>
      </c>
      <c r="B10961" t="s" s="11">
        <v>1191</v>
      </c>
      <c r="C10961" t="s" s="12">
        <v>1412</v>
      </c>
      <c r="D10961" s="13"/>
      <c r="E10961" s="13"/>
      <c r="F10961" s="14"/>
      <c r="G10961" s="14"/>
      <c r="H10961" s="14">
        <v>200</v>
      </c>
      <c r="I10961" s="14"/>
    </row>
    <row r="10962" ht="20.7" customHeight="1">
      <c r="A10962" s="10">
        <v>45875</v>
      </c>
      <c r="B10962" t="s" s="11">
        <v>8</v>
      </c>
      <c r="C10962" t="s" s="12">
        <v>8</v>
      </c>
      <c r="D10962" s="15" cm="1">
        <f t="array" ref="D10962">SUM(D10960:D10961)</f>
        <v>0</v>
      </c>
      <c r="E10962" s="15" cm="1">
        <f t="array" ref="E10962">SUM(E10960:E10961)</f>
        <v>0</v>
      </c>
      <c r="F10962" s="16" cm="1">
        <f t="array" ref="F10962">SUM(F10960:F10961)</f>
        <v>0</v>
      </c>
      <c r="G10962" s="16" cm="1">
        <f t="array" ref="G10962">SUM(G10960:G10961)</f>
        <v>0</v>
      </c>
      <c r="H10962" s="16" cm="1">
        <f t="array" ref="H10962">SUM(H10960:H10961)</f>
        <v>200</v>
      </c>
      <c r="I10962" s="16" cm="1">
        <f t="array" ref="I10962">SUM(I10960:I10961)</f>
        <v>200</v>
      </c>
    </row>
    <row r="10963" ht="20.35" customHeight="1">
      <c r="A10963" s="10">
        <v>45875</v>
      </c>
      <c r="B10963" t="s" s="11">
        <v>1155</v>
      </c>
      <c r="C10963" t="s" s="12">
        <v>1413</v>
      </c>
      <c r="D10963" s="17"/>
      <c r="E10963" s="17"/>
      <c r="F10963" s="18"/>
      <c r="G10963" s="18"/>
      <c r="H10963" s="18"/>
      <c r="I10963" s="18">
        <v>369</v>
      </c>
    </row>
    <row r="10964" ht="20.35" customHeight="1">
      <c r="A10964" s="10">
        <v>45875</v>
      </c>
      <c r="B10964" t="s" s="11">
        <v>1191</v>
      </c>
      <c r="C10964" t="s" s="12">
        <v>1413</v>
      </c>
      <c r="D10964" s="13"/>
      <c r="E10964" s="13"/>
      <c r="F10964" s="14"/>
      <c r="G10964" s="14"/>
      <c r="H10964" s="14">
        <v>369</v>
      </c>
      <c r="I10964" s="14"/>
    </row>
    <row r="10965" ht="20.7" customHeight="1">
      <c r="A10965" s="10">
        <v>45875</v>
      </c>
      <c r="B10965" t="s" s="11">
        <v>8</v>
      </c>
      <c r="C10965" t="s" s="12">
        <v>8</v>
      </c>
      <c r="D10965" s="15" cm="1">
        <f t="array" ref="D10965">SUM(D10963:D10964)</f>
        <v>0</v>
      </c>
      <c r="E10965" s="15" cm="1">
        <f t="array" ref="E10965">SUM(E10963:E10964)</f>
        <v>0</v>
      </c>
      <c r="F10965" s="16" cm="1">
        <f t="array" ref="F10965">SUM(F10963:F10964)</f>
        <v>0</v>
      </c>
      <c r="G10965" s="16" cm="1">
        <f t="array" ref="G10965">SUM(G10963:G10964)</f>
        <v>0</v>
      </c>
      <c r="H10965" s="16" cm="1">
        <f t="array" ref="H10965">SUM(H10963:H10964)</f>
        <v>369</v>
      </c>
      <c r="I10965" s="16" cm="1">
        <f t="array" ref="I10965">SUM(I10963:I10964)</f>
        <v>369</v>
      </c>
    </row>
    <row r="10966" ht="20.35" customHeight="1">
      <c r="A10966" s="10">
        <v>45875</v>
      </c>
      <c r="B10966" t="s" s="11">
        <v>1191</v>
      </c>
      <c r="C10966" t="s" s="12">
        <v>1379</v>
      </c>
      <c r="D10966" s="17"/>
      <c r="E10966" s="17"/>
      <c r="F10966" s="18"/>
      <c r="G10966" s="18"/>
      <c r="H10966" s="18">
        <v>304</v>
      </c>
      <c r="I10966" s="18"/>
    </row>
    <row r="10967" ht="20.35" customHeight="1">
      <c r="A10967" s="10">
        <v>45875</v>
      </c>
      <c r="B10967" t="s" s="11">
        <v>1357</v>
      </c>
      <c r="C10967" t="s" s="12">
        <v>1379</v>
      </c>
      <c r="D10967" s="13"/>
      <c r="E10967" s="13"/>
      <c r="F10967" s="14"/>
      <c r="G10967" s="14"/>
      <c r="H10967" s="14"/>
      <c r="I10967" s="14">
        <v>304</v>
      </c>
    </row>
    <row r="10968" ht="20.7" customHeight="1">
      <c r="A10968" s="10">
        <v>45875</v>
      </c>
      <c r="B10968" t="s" s="11">
        <v>8</v>
      </c>
      <c r="C10968" t="s" s="12">
        <v>8</v>
      </c>
      <c r="D10968" s="15" cm="1">
        <f t="array" ref="D10968">SUM(D10966:D10967)</f>
        <v>0</v>
      </c>
      <c r="E10968" s="15" cm="1">
        <f t="array" ref="E10968">SUM(E10966:E10967)</f>
        <v>0</v>
      </c>
      <c r="F10968" s="16" cm="1">
        <f t="array" ref="F10968">SUM(F10966:F10967)</f>
        <v>0</v>
      </c>
      <c r="G10968" s="16" cm="1">
        <f t="array" ref="G10968">SUM(G10966:G10967)</f>
        <v>0</v>
      </c>
      <c r="H10968" s="16" cm="1">
        <f t="array" ref="H10968">SUM(H10966:H10967)</f>
        <v>304</v>
      </c>
      <c r="I10968" s="16" cm="1">
        <f t="array" ref="I10968">SUM(I10966:I10967)</f>
        <v>304</v>
      </c>
    </row>
    <row r="10969" ht="20.65" customHeight="1">
      <c r="A10969" s="10">
        <v>45876</v>
      </c>
      <c r="B10969" t="s" s="11">
        <v>814</v>
      </c>
      <c r="C10969" t="s" s="12">
        <v>820</v>
      </c>
      <c r="D10969" s="17">
        <v>50</v>
      </c>
      <c r="E10969" s="17"/>
      <c r="F10969" s="18"/>
      <c r="G10969" s="18"/>
      <c r="H10969" s="18"/>
      <c r="I10969" s="18"/>
    </row>
    <row r="10970" ht="20.65" customHeight="1">
      <c r="A10970" s="10">
        <v>45876</v>
      </c>
      <c r="B10970" t="s" s="11">
        <v>7</v>
      </c>
      <c r="C10970" t="s" s="12">
        <v>820</v>
      </c>
      <c r="D10970" s="13"/>
      <c r="E10970" s="13">
        <v>50</v>
      </c>
      <c r="F10970" s="14"/>
      <c r="G10970" s="14"/>
      <c r="H10970" s="14"/>
      <c r="I10970" s="14"/>
    </row>
    <row r="10971" ht="20.7" customHeight="1">
      <c r="A10971" s="10">
        <v>45876</v>
      </c>
      <c r="B10971" t="s" s="11">
        <v>8</v>
      </c>
      <c r="C10971" t="s" s="12">
        <v>8</v>
      </c>
      <c r="D10971" s="15" cm="1">
        <f t="array" ref="D10971">SUM(D10969:D10970)</f>
        <v>50</v>
      </c>
      <c r="E10971" s="15" cm="1">
        <f t="array" ref="E10971">SUM(E10969:E10970)</f>
        <v>50</v>
      </c>
      <c r="F10971" s="16" cm="1">
        <f t="array" ref="F10971">SUM(F10969:F10970)</f>
        <v>0</v>
      </c>
      <c r="G10971" s="16" cm="1">
        <f t="array" ref="G10971">SUM(G10969:G10970)</f>
        <v>0</v>
      </c>
      <c r="H10971" s="16" cm="1">
        <f t="array" ref="H10971">SUM(H10969:H10970)</f>
        <v>0</v>
      </c>
      <c r="I10971" s="16" cm="1">
        <f t="array" ref="I10971">SUM(I10969:I10970)</f>
        <v>0</v>
      </c>
    </row>
    <row r="10972" ht="21.25" customHeight="1">
      <c r="A10972" s="10">
        <v>45876</v>
      </c>
      <c r="B10972" t="s" s="11">
        <v>107</v>
      </c>
      <c r="C10972" t="s" s="12">
        <v>253</v>
      </c>
      <c r="D10972" s="17"/>
      <c r="E10972" s="17">
        <v>7890</v>
      </c>
      <c r="F10972" s="18"/>
      <c r="G10972" s="18"/>
      <c r="H10972" s="18"/>
      <c r="I10972" s="18"/>
    </row>
    <row r="10973" ht="21.25" customHeight="1">
      <c r="A10973" s="10">
        <v>45876</v>
      </c>
      <c r="B10973" t="s" s="11">
        <v>10</v>
      </c>
      <c r="C10973" t="s" s="12">
        <v>253</v>
      </c>
      <c r="D10973" s="13">
        <v>7890</v>
      </c>
      <c r="E10973" s="13"/>
      <c r="F10973" s="14"/>
      <c r="G10973" s="14"/>
      <c r="H10973" s="14"/>
      <c r="I10973" s="14"/>
    </row>
    <row r="10974" ht="20.7" customHeight="1">
      <c r="A10974" s="10">
        <v>45876</v>
      </c>
      <c r="B10974" t="s" s="11">
        <v>8</v>
      </c>
      <c r="C10974" t="s" s="12">
        <v>8</v>
      </c>
      <c r="D10974" s="15" cm="1">
        <f t="array" ref="D10974">SUM(D10972:D10973)</f>
        <v>7890</v>
      </c>
      <c r="E10974" s="15" cm="1">
        <f t="array" ref="E10974">SUM(E10972:E10973)</f>
        <v>7890</v>
      </c>
      <c r="F10974" s="16" cm="1">
        <f t="array" ref="F10974">SUM(F10972:F10973)</f>
        <v>0</v>
      </c>
      <c r="G10974" s="16" cm="1">
        <f t="array" ref="G10974">SUM(G10972:G10973)</f>
        <v>0</v>
      </c>
      <c r="H10974" s="16" cm="1">
        <f t="array" ref="H10974">SUM(H10972:H10973)</f>
        <v>0</v>
      </c>
      <c r="I10974" s="16" cm="1">
        <f t="array" ref="I10974">SUM(I10972:I10973)</f>
        <v>0</v>
      </c>
    </row>
    <row r="10975" ht="20.35" customHeight="1">
      <c r="A10975" s="10">
        <v>45876</v>
      </c>
      <c r="B10975" t="s" s="11">
        <v>107</v>
      </c>
      <c r="C10975" t="s" s="12">
        <v>1414</v>
      </c>
      <c r="D10975" s="17">
        <v>273600</v>
      </c>
      <c r="E10975" s="17"/>
      <c r="F10975" s="18"/>
      <c r="G10975" s="18"/>
      <c r="H10975" s="18"/>
      <c r="I10975" s="18"/>
    </row>
    <row r="10976" ht="20.35" customHeight="1">
      <c r="A10976" s="10">
        <v>45876</v>
      </c>
      <c r="B10976" t="s" s="11">
        <v>91</v>
      </c>
      <c r="C10976" t="s" s="12">
        <v>1414</v>
      </c>
      <c r="D10976" s="13"/>
      <c r="E10976" s="13">
        <v>273600</v>
      </c>
      <c r="F10976" s="14"/>
      <c r="G10976" s="14"/>
      <c r="H10976" s="14"/>
      <c r="I10976" s="14"/>
    </row>
    <row r="10977" ht="20.7" customHeight="1">
      <c r="A10977" s="10">
        <v>45876</v>
      </c>
      <c r="B10977" t="s" s="11">
        <v>8</v>
      </c>
      <c r="C10977" t="s" s="12">
        <v>8</v>
      </c>
      <c r="D10977" s="15" cm="1">
        <f t="array" ref="D10977">SUM(D10975:D10976)</f>
        <v>273600</v>
      </c>
      <c r="E10977" s="15" cm="1">
        <f t="array" ref="E10977">SUM(E10975:E10976)</f>
        <v>273600</v>
      </c>
      <c r="F10977" s="16" cm="1">
        <f t="array" ref="F10977">SUM(F10975:F10976)</f>
        <v>0</v>
      </c>
      <c r="G10977" s="16" cm="1">
        <f t="array" ref="G10977">SUM(G10975:G10976)</f>
        <v>0</v>
      </c>
      <c r="H10977" s="16" cm="1">
        <f t="array" ref="H10977">SUM(H10975:H10976)</f>
        <v>0</v>
      </c>
      <c r="I10977" s="16" cm="1">
        <f t="array" ref="I10977">SUM(I10975:I10976)</f>
        <v>0</v>
      </c>
    </row>
    <row r="10978" ht="20.35" customHeight="1">
      <c r="A10978" s="10">
        <v>45876</v>
      </c>
      <c r="B10978" t="s" s="11">
        <v>1155</v>
      </c>
      <c r="C10978" t="s" s="12">
        <v>1415</v>
      </c>
      <c r="D10978" s="17"/>
      <c r="E10978" s="17"/>
      <c r="F10978" s="18"/>
      <c r="G10978" s="18"/>
      <c r="H10978" s="18"/>
      <c r="I10978" s="18">
        <v>88</v>
      </c>
    </row>
    <row r="10979" ht="20.35" customHeight="1">
      <c r="A10979" s="10">
        <v>45876</v>
      </c>
      <c r="B10979" t="s" s="11">
        <v>1191</v>
      </c>
      <c r="C10979" t="s" s="12">
        <v>1415</v>
      </c>
      <c r="D10979" s="13"/>
      <c r="E10979" s="13"/>
      <c r="F10979" s="14"/>
      <c r="G10979" s="14"/>
      <c r="H10979" s="14">
        <v>88</v>
      </c>
      <c r="I10979" s="14"/>
    </row>
    <row r="10980" ht="20.7" customHeight="1">
      <c r="A10980" s="10">
        <v>45876</v>
      </c>
      <c r="B10980" t="s" s="11">
        <v>8</v>
      </c>
      <c r="C10980" t="s" s="12">
        <v>8</v>
      </c>
      <c r="D10980" s="15" cm="1">
        <f t="array" ref="D10980">SUM(D10978:D10979)</f>
        <v>0</v>
      </c>
      <c r="E10980" s="15" cm="1">
        <f t="array" ref="E10980">SUM(E10978:E10979)</f>
        <v>0</v>
      </c>
      <c r="F10980" s="16" cm="1">
        <f t="array" ref="F10980">SUM(F10978:F10979)</f>
        <v>0</v>
      </c>
      <c r="G10980" s="16" cm="1">
        <f t="array" ref="G10980">SUM(G10978:G10979)</f>
        <v>0</v>
      </c>
      <c r="H10980" s="16" cm="1">
        <f t="array" ref="H10980">SUM(H10978:H10979)</f>
        <v>88</v>
      </c>
      <c r="I10980" s="16" cm="1">
        <f t="array" ref="I10980">SUM(I10978:I10979)</f>
        <v>88</v>
      </c>
    </row>
    <row r="10981" ht="20.35" customHeight="1">
      <c r="A10981" s="10">
        <v>45876</v>
      </c>
      <c r="B10981" t="s" s="11">
        <v>1155</v>
      </c>
      <c r="C10981" t="s" s="12">
        <v>1402</v>
      </c>
      <c r="D10981" s="17"/>
      <c r="E10981" s="17"/>
      <c r="F10981" s="18"/>
      <c r="G10981" s="18"/>
      <c r="H10981" s="18"/>
      <c r="I10981" s="18">
        <v>36</v>
      </c>
    </row>
    <row r="10982" ht="20.35" customHeight="1">
      <c r="A10982" s="10">
        <v>45876</v>
      </c>
      <c r="B10982" t="s" s="11">
        <v>1191</v>
      </c>
      <c r="C10982" t="s" s="12">
        <v>1402</v>
      </c>
      <c r="D10982" s="13"/>
      <c r="E10982" s="13"/>
      <c r="F10982" s="14"/>
      <c r="G10982" s="14"/>
      <c r="H10982" s="14">
        <v>36</v>
      </c>
      <c r="I10982" s="14"/>
    </row>
    <row r="10983" ht="20.7" customHeight="1">
      <c r="A10983" s="10">
        <v>45876</v>
      </c>
      <c r="B10983" t="s" s="11">
        <v>8</v>
      </c>
      <c r="C10983" t="s" s="12">
        <v>8</v>
      </c>
      <c r="D10983" s="15" cm="1">
        <f t="array" ref="D10983">SUM(D10981:D10982)</f>
        <v>0</v>
      </c>
      <c r="E10983" s="15" cm="1">
        <f t="array" ref="E10983">SUM(E10981:E10982)</f>
        <v>0</v>
      </c>
      <c r="F10983" s="16" cm="1">
        <f t="array" ref="F10983">SUM(F10981:F10982)</f>
        <v>0</v>
      </c>
      <c r="G10983" s="16" cm="1">
        <f t="array" ref="G10983">SUM(G10981:G10982)</f>
        <v>0</v>
      </c>
      <c r="H10983" s="16" cm="1">
        <f t="array" ref="H10983">SUM(H10981:H10982)</f>
        <v>36</v>
      </c>
      <c r="I10983" s="16" cm="1">
        <f t="array" ref="I10983">SUM(I10981:I10982)</f>
        <v>36</v>
      </c>
    </row>
    <row r="10984" ht="20.35" customHeight="1">
      <c r="A10984" s="10">
        <v>45876</v>
      </c>
      <c r="B10984" t="s" s="11">
        <v>1155</v>
      </c>
      <c r="C10984" t="s" s="12">
        <v>1404</v>
      </c>
      <c r="D10984" s="17"/>
      <c r="E10984" s="17"/>
      <c r="F10984" s="18"/>
      <c r="G10984" s="18"/>
      <c r="H10984" s="18"/>
      <c r="I10984" s="18">
        <v>148</v>
      </c>
    </row>
    <row r="10985" ht="20.05" customHeight="1">
      <c r="A10985" s="10">
        <v>45876</v>
      </c>
      <c r="B10985" t="s" s="11">
        <v>1357</v>
      </c>
      <c r="C10985" t="s" s="12">
        <v>1404</v>
      </c>
      <c r="D10985" s="19"/>
      <c r="E10985" s="19"/>
      <c r="F10985" s="20"/>
      <c r="G10985" s="20"/>
      <c r="H10985" s="20">
        <v>79</v>
      </c>
      <c r="I10985" s="20"/>
    </row>
    <row r="10986" ht="20.35" customHeight="1">
      <c r="A10986" s="10">
        <v>45876</v>
      </c>
      <c r="B10986" t="s" s="11">
        <v>1191</v>
      </c>
      <c r="C10986" t="s" s="12">
        <v>1404</v>
      </c>
      <c r="D10986" s="13"/>
      <c r="E10986" s="13"/>
      <c r="F10986" s="14"/>
      <c r="G10986" s="14"/>
      <c r="H10986" s="14">
        <v>69</v>
      </c>
      <c r="I10986" s="14"/>
    </row>
    <row r="10987" ht="20.7" customHeight="1">
      <c r="A10987" s="10">
        <v>45876</v>
      </c>
      <c r="B10987" t="s" s="11">
        <v>8</v>
      </c>
      <c r="C10987" t="s" s="12">
        <v>8</v>
      </c>
      <c r="D10987" s="15" cm="1">
        <f t="array" ref="D10987">SUM(D10984:D10986)</f>
        <v>0</v>
      </c>
      <c r="E10987" s="15" cm="1">
        <f t="array" ref="E10987">SUM(E10984:E10986)</f>
        <v>0</v>
      </c>
      <c r="F10987" s="16" cm="1">
        <f t="array" ref="F10987">SUM(F10984:F10986)</f>
        <v>0</v>
      </c>
      <c r="G10987" s="16" cm="1">
        <f t="array" ref="G10987">SUM(G10984:G10986)</f>
        <v>0</v>
      </c>
      <c r="H10987" s="16" cm="1">
        <f t="array" ref="H10987">SUM(H10984:H10986)</f>
        <v>148</v>
      </c>
      <c r="I10987" s="16" cm="1">
        <f t="array" ref="I10987">SUM(I10984:I10986)</f>
        <v>148</v>
      </c>
    </row>
    <row r="10988" ht="20.35" customHeight="1">
      <c r="A10988" s="10">
        <v>45876</v>
      </c>
      <c r="B10988" t="s" s="11">
        <v>1155</v>
      </c>
      <c r="C10988" t="s" s="12">
        <v>1416</v>
      </c>
      <c r="D10988" s="17"/>
      <c r="E10988" s="17"/>
      <c r="F10988" s="18"/>
      <c r="G10988" s="18"/>
      <c r="H10988" s="18"/>
      <c r="I10988" s="18">
        <v>15</v>
      </c>
    </row>
    <row r="10989" ht="20.35" customHeight="1">
      <c r="A10989" s="10">
        <v>45876</v>
      </c>
      <c r="B10989" t="s" s="11">
        <v>1191</v>
      </c>
      <c r="C10989" t="s" s="12">
        <v>1416</v>
      </c>
      <c r="D10989" s="13"/>
      <c r="E10989" s="13"/>
      <c r="F10989" s="14"/>
      <c r="G10989" s="14"/>
      <c r="H10989" s="14">
        <v>15</v>
      </c>
      <c r="I10989" s="14"/>
    </row>
    <row r="10990" ht="20.7" customHeight="1">
      <c r="A10990" s="10">
        <v>45876</v>
      </c>
      <c r="B10990" t="s" s="11">
        <v>8</v>
      </c>
      <c r="C10990" t="s" s="12">
        <v>8</v>
      </c>
      <c r="D10990" s="15" cm="1">
        <f t="array" ref="D10990">SUM(D10988:D10989)</f>
        <v>0</v>
      </c>
      <c r="E10990" s="15" cm="1">
        <f t="array" ref="E10990">SUM(E10988:E10989)</f>
        <v>0</v>
      </c>
      <c r="F10990" s="16" cm="1">
        <f t="array" ref="F10990">SUM(F10988:F10989)</f>
        <v>0</v>
      </c>
      <c r="G10990" s="16" cm="1">
        <f t="array" ref="G10990">SUM(G10988:G10989)</f>
        <v>0</v>
      </c>
      <c r="H10990" s="16" cm="1">
        <f t="array" ref="H10990">SUM(H10988:H10989)</f>
        <v>15</v>
      </c>
      <c r="I10990" s="16" cm="1">
        <f t="array" ref="I10990">SUM(I10988:I10989)</f>
        <v>15</v>
      </c>
    </row>
    <row r="10991" ht="20.35" customHeight="1">
      <c r="A10991" s="10">
        <v>45876</v>
      </c>
      <c r="B10991" t="s" s="11">
        <v>1191</v>
      </c>
      <c r="C10991" t="s" s="12">
        <v>1379</v>
      </c>
      <c r="D10991" s="17"/>
      <c r="E10991" s="17"/>
      <c r="F10991" s="18"/>
      <c r="G10991" s="18"/>
      <c r="H10991" s="18">
        <v>546</v>
      </c>
      <c r="I10991" s="18"/>
    </row>
    <row r="10992" ht="20.35" customHeight="1">
      <c r="A10992" s="10">
        <v>45876</v>
      </c>
      <c r="B10992" t="s" s="11">
        <v>1357</v>
      </c>
      <c r="C10992" t="s" s="12">
        <v>1379</v>
      </c>
      <c r="D10992" s="13"/>
      <c r="E10992" s="13"/>
      <c r="F10992" s="14"/>
      <c r="G10992" s="14"/>
      <c r="H10992" s="14"/>
      <c r="I10992" s="14">
        <v>546</v>
      </c>
    </row>
    <row r="10993" ht="20.7" customHeight="1">
      <c r="A10993" s="10">
        <v>45876</v>
      </c>
      <c r="B10993" t="s" s="11">
        <v>8</v>
      </c>
      <c r="C10993" t="s" s="12">
        <v>8</v>
      </c>
      <c r="D10993" s="15" cm="1">
        <f t="array" ref="D10993">SUM(D10991:D10992)</f>
        <v>0</v>
      </c>
      <c r="E10993" s="15" cm="1">
        <f t="array" ref="E10993">SUM(E10991:E10992)</f>
        <v>0</v>
      </c>
      <c r="F10993" s="16" cm="1">
        <f t="array" ref="F10993">SUM(F10991:F10992)</f>
        <v>0</v>
      </c>
      <c r="G10993" s="16" cm="1">
        <f t="array" ref="G10993">SUM(G10991:G10992)</f>
        <v>0</v>
      </c>
      <c r="H10993" s="16" cm="1">
        <f t="array" ref="H10993">SUM(H10991:H10992)</f>
        <v>546</v>
      </c>
      <c r="I10993" s="16" cm="1">
        <f t="array" ref="I10993">SUM(I10991:I10992)</f>
        <v>546</v>
      </c>
    </row>
    <row r="10994" ht="20.35" customHeight="1">
      <c r="A10994" s="10">
        <v>45876</v>
      </c>
      <c r="B10994" t="s" s="11">
        <v>1191</v>
      </c>
      <c r="C10994" t="s" s="12">
        <v>1417</v>
      </c>
      <c r="D10994" s="17"/>
      <c r="E10994" s="17"/>
      <c r="F10994" s="18"/>
      <c r="G10994" s="18"/>
      <c r="H10994" s="18">
        <v>616</v>
      </c>
      <c r="I10994" s="18"/>
    </row>
    <row r="10995" ht="20.35" customHeight="1">
      <c r="A10995" s="10">
        <v>45876</v>
      </c>
      <c r="B10995" t="s" s="11">
        <v>1357</v>
      </c>
      <c r="C10995" t="s" s="12">
        <v>1417</v>
      </c>
      <c r="D10995" s="13"/>
      <c r="E10995" s="13"/>
      <c r="F10995" s="14"/>
      <c r="G10995" s="14"/>
      <c r="H10995" s="14"/>
      <c r="I10995" s="14">
        <v>616</v>
      </c>
    </row>
    <row r="10996" ht="20.7" customHeight="1">
      <c r="A10996" s="10">
        <v>45876</v>
      </c>
      <c r="B10996" t="s" s="11">
        <v>8</v>
      </c>
      <c r="C10996" t="s" s="12">
        <v>8</v>
      </c>
      <c r="D10996" s="15" cm="1">
        <f t="array" ref="D10996">SUM(D10994:D10995)</f>
        <v>0</v>
      </c>
      <c r="E10996" s="15" cm="1">
        <f t="array" ref="E10996">SUM(E10994:E10995)</f>
        <v>0</v>
      </c>
      <c r="F10996" s="16" cm="1">
        <f t="array" ref="F10996">SUM(F10994:F10995)</f>
        <v>0</v>
      </c>
      <c r="G10996" s="16" cm="1">
        <f t="array" ref="G10996">SUM(G10994:G10995)</f>
        <v>0</v>
      </c>
      <c r="H10996" s="16" cm="1">
        <f t="array" ref="H10996">SUM(H10994:H10995)</f>
        <v>616</v>
      </c>
      <c r="I10996" s="16" cm="1">
        <f t="array" ref="I10996">SUM(I10994:I10995)</f>
        <v>616</v>
      </c>
    </row>
    <row r="10997" ht="20.35" customHeight="1">
      <c r="A10997" s="10">
        <v>45876</v>
      </c>
      <c r="B10997" t="s" s="11">
        <v>39</v>
      </c>
      <c r="C10997" t="s" s="12">
        <v>1418</v>
      </c>
      <c r="D10997" s="17"/>
      <c r="E10997" s="17"/>
      <c r="F10997" s="18"/>
      <c r="G10997" s="18">
        <v>1.2</v>
      </c>
      <c r="H10997" s="18"/>
      <c r="I10997" s="18"/>
    </row>
    <row r="10998" ht="20.35" customHeight="1">
      <c r="A10998" s="10">
        <v>45876</v>
      </c>
      <c r="B10998" t="s" s="11">
        <v>44</v>
      </c>
      <c r="C10998" t="s" s="12">
        <v>1418</v>
      </c>
      <c r="D10998" s="13"/>
      <c r="E10998" s="13"/>
      <c r="F10998" s="14">
        <v>1.2</v>
      </c>
      <c r="G10998" s="14"/>
      <c r="H10998" s="14"/>
      <c r="I10998" s="14"/>
    </row>
    <row r="10999" ht="20.7" customHeight="1">
      <c r="A10999" s="10">
        <v>45876</v>
      </c>
      <c r="B10999" t="s" s="11">
        <v>8</v>
      </c>
      <c r="C10999" t="s" s="12">
        <v>8</v>
      </c>
      <c r="D10999" s="15" cm="1">
        <f t="array" ref="D10999">SUM(D10997:D10998)</f>
        <v>0</v>
      </c>
      <c r="E10999" s="15" cm="1">
        <f t="array" ref="E10999">SUM(E10997:E10998)</f>
        <v>0</v>
      </c>
      <c r="F10999" s="16" cm="1">
        <f t="array" ref="F10999">SUM(F10997:F10998)</f>
        <v>1.2</v>
      </c>
      <c r="G10999" s="16" cm="1">
        <f t="array" ref="G10999">SUM(G10997:G10998)</f>
        <v>1.2</v>
      </c>
      <c r="H10999" s="16" cm="1">
        <f t="array" ref="H10999">SUM(H10997:H10998)</f>
        <v>0</v>
      </c>
      <c r="I10999" s="16" cm="1">
        <f t="array" ref="I10999">SUM(I10997:I10998)</f>
        <v>0</v>
      </c>
    </row>
    <row r="11000" ht="20.35" customHeight="1">
      <c r="A11000" s="10">
        <v>45876</v>
      </c>
      <c r="B11000" t="s" s="11">
        <v>39</v>
      </c>
      <c r="C11000" t="s" s="12">
        <v>40</v>
      </c>
      <c r="D11000" s="17"/>
      <c r="E11000" s="17"/>
      <c r="F11000" s="18">
        <v>2000</v>
      </c>
      <c r="G11000" s="18"/>
      <c r="H11000" s="18"/>
      <c r="I11000" s="18"/>
    </row>
    <row r="11001" ht="20.35" customHeight="1">
      <c r="A11001" s="10">
        <v>45876</v>
      </c>
      <c r="B11001" t="s" s="11">
        <v>63</v>
      </c>
      <c r="C11001" t="s" s="12">
        <v>40</v>
      </c>
      <c r="D11001" s="13"/>
      <c r="E11001" s="13"/>
      <c r="F11001" s="14"/>
      <c r="G11001" s="14">
        <v>2000</v>
      </c>
      <c r="H11001" s="14"/>
      <c r="I11001" s="14"/>
    </row>
    <row r="11002" ht="20.7" customHeight="1">
      <c r="A11002" s="10">
        <v>45876</v>
      </c>
      <c r="B11002" t="s" s="11">
        <v>8</v>
      </c>
      <c r="C11002" t="s" s="12">
        <v>8</v>
      </c>
      <c r="D11002" s="15" cm="1">
        <f t="array" ref="D11002">SUM(D11000:D11001)</f>
        <v>0</v>
      </c>
      <c r="E11002" s="15" cm="1">
        <f t="array" ref="E11002">SUM(E11000:E11001)</f>
        <v>0</v>
      </c>
      <c r="F11002" s="16" cm="1">
        <f t="array" ref="F11002">SUM(F11000:F11001)</f>
        <v>2000</v>
      </c>
      <c r="G11002" s="16" cm="1">
        <f t="array" ref="G11002">SUM(G11000:G11001)</f>
        <v>2000</v>
      </c>
      <c r="H11002" s="16" cm="1">
        <f t="array" ref="H11002">SUM(H11000:H11001)</f>
        <v>0</v>
      </c>
      <c r="I11002" s="16" cm="1">
        <f t="array" ref="I11002">SUM(I11000:I11001)</f>
        <v>0</v>
      </c>
    </row>
    <row r="11003" ht="20.65" customHeight="1">
      <c r="A11003" s="10">
        <v>45877</v>
      </c>
      <c r="B11003" t="s" s="11">
        <v>814</v>
      </c>
      <c r="C11003" t="s" s="12">
        <v>820</v>
      </c>
      <c r="D11003" s="17">
        <v>50</v>
      </c>
      <c r="E11003" s="17"/>
      <c r="F11003" s="18"/>
      <c r="G11003" s="18"/>
      <c r="H11003" s="18"/>
      <c r="I11003" s="18"/>
    </row>
    <row r="11004" ht="20.65" customHeight="1">
      <c r="A11004" s="10">
        <v>45877</v>
      </c>
      <c r="B11004" t="s" s="11">
        <v>7</v>
      </c>
      <c r="C11004" t="s" s="12">
        <v>820</v>
      </c>
      <c r="D11004" s="13"/>
      <c r="E11004" s="13">
        <v>50</v>
      </c>
      <c r="F11004" s="14"/>
      <c r="G11004" s="14"/>
      <c r="H11004" s="14"/>
      <c r="I11004" s="14"/>
    </row>
    <row r="11005" ht="20.7" customHeight="1">
      <c r="A11005" s="10">
        <v>45877</v>
      </c>
      <c r="B11005" t="s" s="11">
        <v>8</v>
      </c>
      <c r="C11005" t="s" s="12">
        <v>8</v>
      </c>
      <c r="D11005" s="15" cm="1">
        <f t="array" ref="D11005">SUM(D11003:D11004)</f>
        <v>50</v>
      </c>
      <c r="E11005" s="15" cm="1">
        <f t="array" ref="E11005">SUM(E11003:E11004)</f>
        <v>50</v>
      </c>
      <c r="F11005" s="16" cm="1">
        <f t="array" ref="F11005">SUM(F11003:F11004)</f>
        <v>0</v>
      </c>
      <c r="G11005" s="16" cm="1">
        <f t="array" ref="G11005">SUM(G11003:G11004)</f>
        <v>0</v>
      </c>
      <c r="H11005" s="16" cm="1">
        <f t="array" ref="H11005">SUM(H11003:H11004)</f>
        <v>0</v>
      </c>
      <c r="I11005" s="16" cm="1">
        <f t="array" ref="I11005">SUM(I11003:I11004)</f>
        <v>0</v>
      </c>
    </row>
    <row r="11006" ht="20.35" customHeight="1">
      <c r="A11006" s="10">
        <v>45877</v>
      </c>
      <c r="B11006" t="s" s="11">
        <v>1191</v>
      </c>
      <c r="C11006" t="s" s="12">
        <v>1419</v>
      </c>
      <c r="D11006" s="17"/>
      <c r="E11006" s="17"/>
      <c r="F11006" s="18"/>
      <c r="G11006" s="18"/>
      <c r="H11006" s="18">
        <v>244</v>
      </c>
      <c r="I11006" s="18"/>
    </row>
    <row r="11007" ht="20.35" customHeight="1">
      <c r="A11007" s="10">
        <v>45877</v>
      </c>
      <c r="B11007" t="s" s="11">
        <v>1357</v>
      </c>
      <c r="C11007" t="s" s="12">
        <v>1419</v>
      </c>
      <c r="D11007" s="13"/>
      <c r="E11007" s="13"/>
      <c r="F11007" s="14"/>
      <c r="G11007" s="14"/>
      <c r="H11007" s="14"/>
      <c r="I11007" s="14">
        <v>244</v>
      </c>
    </row>
    <row r="11008" ht="20.7" customHeight="1">
      <c r="A11008" s="10">
        <v>45877</v>
      </c>
      <c r="B11008" t="s" s="11">
        <v>8</v>
      </c>
      <c r="C11008" t="s" s="12">
        <v>8</v>
      </c>
      <c r="D11008" s="15" cm="1">
        <f t="array" ref="D11008">SUM(D11006:D11007)</f>
        <v>0</v>
      </c>
      <c r="E11008" s="15" cm="1">
        <f t="array" ref="E11008">SUM(E11006:E11007)</f>
        <v>0</v>
      </c>
      <c r="F11008" s="16" cm="1">
        <f t="array" ref="F11008">SUM(F11006:F11007)</f>
        <v>0</v>
      </c>
      <c r="G11008" s="16" cm="1">
        <f t="array" ref="G11008">SUM(G11006:G11007)</f>
        <v>0</v>
      </c>
      <c r="H11008" s="16" cm="1">
        <f t="array" ref="H11008">SUM(H11006:H11007)</f>
        <v>244</v>
      </c>
      <c r="I11008" s="16" cm="1">
        <f t="array" ref="I11008">SUM(I11006:I11007)</f>
        <v>244</v>
      </c>
    </row>
    <row r="11009" ht="20.35" customHeight="1">
      <c r="A11009" s="10">
        <v>45877</v>
      </c>
      <c r="B11009" t="s" s="11">
        <v>39</v>
      </c>
      <c r="C11009" t="s" s="12">
        <v>1420</v>
      </c>
      <c r="D11009" s="17"/>
      <c r="E11009" s="17"/>
      <c r="F11009" s="18"/>
      <c r="G11009" s="18">
        <v>1.2</v>
      </c>
      <c r="H11009" s="18"/>
      <c r="I11009" s="18"/>
    </row>
    <row r="11010" ht="20.35" customHeight="1">
      <c r="A11010" s="10">
        <v>45877</v>
      </c>
      <c r="B11010" t="s" s="11">
        <v>44</v>
      </c>
      <c r="C11010" t="s" s="12">
        <v>1420</v>
      </c>
      <c r="D11010" s="13"/>
      <c r="E11010" s="13"/>
      <c r="F11010" s="14">
        <v>1.2</v>
      </c>
      <c r="G11010" s="14"/>
      <c r="H11010" s="14"/>
      <c r="I11010" s="14"/>
    </row>
    <row r="11011" ht="20.7" customHeight="1">
      <c r="A11011" s="10">
        <v>45877</v>
      </c>
      <c r="B11011" t="s" s="11">
        <v>8</v>
      </c>
      <c r="C11011" t="s" s="12">
        <v>8</v>
      </c>
      <c r="D11011" s="15" cm="1">
        <f t="array" ref="D11011">SUM(D11009:D11010)</f>
        <v>0</v>
      </c>
      <c r="E11011" s="15" cm="1">
        <f t="array" ref="E11011">SUM(E11009:E11010)</f>
        <v>0</v>
      </c>
      <c r="F11011" s="16" cm="1">
        <f t="array" ref="F11011">SUM(F11009:F11010)</f>
        <v>1.2</v>
      </c>
      <c r="G11011" s="16" cm="1">
        <f t="array" ref="G11011">SUM(G11009:G11010)</f>
        <v>1.2</v>
      </c>
      <c r="H11011" s="16" cm="1">
        <f t="array" ref="H11011">SUM(H11009:H11010)</f>
        <v>0</v>
      </c>
      <c r="I11011" s="16" cm="1">
        <f t="array" ref="I11011">SUM(I11009:I11010)</f>
        <v>0</v>
      </c>
    </row>
    <row r="11012" ht="20.65" customHeight="1">
      <c r="A11012" s="10">
        <v>45878</v>
      </c>
      <c r="B11012" t="s" s="11">
        <v>814</v>
      </c>
      <c r="C11012" t="s" s="12">
        <v>820</v>
      </c>
      <c r="D11012" s="17">
        <v>50</v>
      </c>
      <c r="E11012" s="17"/>
      <c r="F11012" s="18"/>
      <c r="G11012" s="18"/>
      <c r="H11012" s="18"/>
      <c r="I11012" s="18"/>
    </row>
    <row r="11013" ht="20.65" customHeight="1">
      <c r="A11013" s="10">
        <v>45878</v>
      </c>
      <c r="B11013" t="s" s="11">
        <v>7</v>
      </c>
      <c r="C11013" t="s" s="12">
        <v>820</v>
      </c>
      <c r="D11013" s="13"/>
      <c r="E11013" s="13">
        <v>50</v>
      </c>
      <c r="F11013" s="14"/>
      <c r="G11013" s="14"/>
      <c r="H11013" s="14"/>
      <c r="I11013" s="14"/>
    </row>
    <row r="11014" ht="20.7" customHeight="1">
      <c r="A11014" s="10">
        <v>45878</v>
      </c>
      <c r="B11014" t="s" s="11">
        <v>8</v>
      </c>
      <c r="C11014" t="s" s="12">
        <v>8</v>
      </c>
      <c r="D11014" s="15" cm="1">
        <f t="array" ref="D11014">SUM(D11012:D11013)</f>
        <v>50</v>
      </c>
      <c r="E11014" s="15" cm="1">
        <f t="array" ref="E11014">SUM(E11012:E11013)</f>
        <v>50</v>
      </c>
      <c r="F11014" s="16" cm="1">
        <f t="array" ref="F11014">SUM(F11012:F11013)</f>
        <v>0</v>
      </c>
      <c r="G11014" s="16" cm="1">
        <f t="array" ref="G11014">SUM(G11012:G11013)</f>
        <v>0</v>
      </c>
      <c r="H11014" s="16" cm="1">
        <f t="array" ref="H11014">SUM(H11012:H11013)</f>
        <v>0</v>
      </c>
      <c r="I11014" s="16" cm="1">
        <f t="array" ref="I11014">SUM(I11012:I11013)</f>
        <v>0</v>
      </c>
    </row>
    <row r="11015" ht="20.35" customHeight="1">
      <c r="A11015" s="10">
        <v>45878</v>
      </c>
      <c r="B11015" t="s" s="11">
        <v>1191</v>
      </c>
      <c r="C11015" t="s" s="12">
        <v>1417</v>
      </c>
      <c r="D11015" s="17"/>
      <c r="E11015" s="17"/>
      <c r="F11015" s="18"/>
      <c r="G11015" s="18"/>
      <c r="H11015" s="18">
        <v>364</v>
      </c>
      <c r="I11015" s="18"/>
    </row>
    <row r="11016" ht="20.35" customHeight="1">
      <c r="A11016" s="10">
        <v>45878</v>
      </c>
      <c r="B11016" t="s" s="11">
        <v>1357</v>
      </c>
      <c r="C11016" t="s" s="12">
        <v>1417</v>
      </c>
      <c r="D11016" s="13"/>
      <c r="E11016" s="13"/>
      <c r="F11016" s="14"/>
      <c r="G11016" s="14"/>
      <c r="H11016" s="14"/>
      <c r="I11016" s="14">
        <v>364</v>
      </c>
    </row>
    <row r="11017" ht="20.7" customHeight="1">
      <c r="A11017" s="10">
        <v>45878</v>
      </c>
      <c r="B11017" t="s" s="11">
        <v>8</v>
      </c>
      <c r="C11017" t="s" s="12">
        <v>8</v>
      </c>
      <c r="D11017" s="15" cm="1">
        <f t="array" ref="D11017">SUM(D11015:D11016)</f>
        <v>0</v>
      </c>
      <c r="E11017" s="15" cm="1">
        <f t="array" ref="E11017">SUM(E11015:E11016)</f>
        <v>0</v>
      </c>
      <c r="F11017" s="16" cm="1">
        <f t="array" ref="F11017">SUM(F11015:F11016)</f>
        <v>0</v>
      </c>
      <c r="G11017" s="16" cm="1">
        <f t="array" ref="G11017">SUM(G11015:G11016)</f>
        <v>0</v>
      </c>
      <c r="H11017" s="16" cm="1">
        <f t="array" ref="H11017">SUM(H11015:H11016)</f>
        <v>364</v>
      </c>
      <c r="I11017" s="16" cm="1">
        <f t="array" ref="I11017">SUM(I11015:I11016)</f>
        <v>364</v>
      </c>
    </row>
    <row r="11018" ht="20.65" customHeight="1">
      <c r="A11018" s="10">
        <v>45879</v>
      </c>
      <c r="B11018" t="s" s="11">
        <v>814</v>
      </c>
      <c r="C11018" t="s" s="12">
        <v>820</v>
      </c>
      <c r="D11018" s="17">
        <v>50</v>
      </c>
      <c r="E11018" s="17"/>
      <c r="F11018" s="18"/>
      <c r="G11018" s="18"/>
      <c r="H11018" s="18"/>
      <c r="I11018" s="18"/>
    </row>
    <row r="11019" ht="20.65" customHeight="1">
      <c r="A11019" s="10">
        <v>45879</v>
      </c>
      <c r="B11019" t="s" s="11">
        <v>7</v>
      </c>
      <c r="C11019" t="s" s="12">
        <v>820</v>
      </c>
      <c r="D11019" s="13"/>
      <c r="E11019" s="13">
        <v>50</v>
      </c>
      <c r="F11019" s="14"/>
      <c r="G11019" s="14"/>
      <c r="H11019" s="14"/>
      <c r="I11019" s="14"/>
    </row>
    <row r="11020" ht="20.7" customHeight="1">
      <c r="A11020" s="10">
        <v>45879</v>
      </c>
      <c r="B11020" t="s" s="11">
        <v>8</v>
      </c>
      <c r="C11020" t="s" s="12">
        <v>8</v>
      </c>
      <c r="D11020" s="15" cm="1">
        <f t="array" ref="D11020">SUM(D11018:D11019)</f>
        <v>50</v>
      </c>
      <c r="E11020" s="15" cm="1">
        <f t="array" ref="E11020">SUM(E11018:E11019)</f>
        <v>50</v>
      </c>
      <c r="F11020" s="16" cm="1">
        <f t="array" ref="F11020">SUM(F11018:F11019)</f>
        <v>0</v>
      </c>
      <c r="G11020" s="16" cm="1">
        <f t="array" ref="G11020">SUM(G11018:G11019)</f>
        <v>0</v>
      </c>
      <c r="H11020" s="16" cm="1">
        <f t="array" ref="H11020">SUM(H11018:H11019)</f>
        <v>0</v>
      </c>
      <c r="I11020" s="16" cm="1">
        <f t="array" ref="I11020">SUM(I11018:I11019)</f>
        <v>0</v>
      </c>
    </row>
    <row r="11021" ht="20.35" customHeight="1">
      <c r="A11021" s="10">
        <v>45879</v>
      </c>
      <c r="B11021" t="s" s="11">
        <v>107</v>
      </c>
      <c r="C11021" t="s" s="12">
        <v>182</v>
      </c>
      <c r="D11021" s="17"/>
      <c r="E11021" s="17">
        <v>17600</v>
      </c>
      <c r="F11021" s="18"/>
      <c r="G11021" s="18"/>
      <c r="H11021" s="18"/>
      <c r="I11021" s="18"/>
    </row>
    <row r="11022" ht="20.35" customHeight="1">
      <c r="A11022" s="10">
        <v>45879</v>
      </c>
      <c r="B11022" t="s" s="11">
        <v>10</v>
      </c>
      <c r="C11022" t="s" s="12">
        <v>182</v>
      </c>
      <c r="D11022" s="13">
        <v>17600</v>
      </c>
      <c r="E11022" s="13"/>
      <c r="F11022" s="14"/>
      <c r="G11022" s="14"/>
      <c r="H11022" s="14"/>
      <c r="I11022" s="14"/>
    </row>
    <row r="11023" ht="20.7" customHeight="1">
      <c r="A11023" s="10">
        <v>45879</v>
      </c>
      <c r="B11023" t="s" s="11">
        <v>8</v>
      </c>
      <c r="C11023" t="s" s="12">
        <v>8</v>
      </c>
      <c r="D11023" s="15" cm="1">
        <f t="array" ref="D11023">SUM(D11021:D11022)</f>
        <v>17600</v>
      </c>
      <c r="E11023" s="15" cm="1">
        <f t="array" ref="E11023">SUM(E11021:E11022)</f>
        <v>17600</v>
      </c>
      <c r="F11023" s="16" cm="1">
        <f t="array" ref="F11023">SUM(F11021:F11022)</f>
        <v>0</v>
      </c>
      <c r="G11023" s="16" cm="1">
        <f t="array" ref="G11023">SUM(G11021:G11022)</f>
        <v>0</v>
      </c>
      <c r="H11023" s="16" cm="1">
        <f t="array" ref="H11023">SUM(H11021:H11022)</f>
        <v>0</v>
      </c>
      <c r="I11023" s="16" cm="1">
        <f t="array" ref="I11023">SUM(I11021:I11022)</f>
        <v>0</v>
      </c>
    </row>
    <row r="11024" ht="20.35" customHeight="1">
      <c r="A11024" s="10">
        <v>45879</v>
      </c>
      <c r="B11024" t="s" s="11">
        <v>39</v>
      </c>
      <c r="C11024" t="s" s="12">
        <v>1389</v>
      </c>
      <c r="D11024" s="17"/>
      <c r="E11024" s="17"/>
      <c r="F11024" s="18"/>
      <c r="G11024" s="18">
        <v>1836.61</v>
      </c>
      <c r="H11024" s="18"/>
      <c r="I11024" s="18"/>
    </row>
    <row r="11025" ht="20.05" customHeight="1">
      <c r="A11025" s="10">
        <v>45879</v>
      </c>
      <c r="B11025" t="s" s="11">
        <v>44</v>
      </c>
      <c r="C11025" t="s" s="12">
        <v>1389</v>
      </c>
      <c r="D11025" s="19"/>
      <c r="E11025" s="19"/>
      <c r="F11025" s="20">
        <v>1836.61</v>
      </c>
      <c r="G11025" s="20"/>
      <c r="H11025" s="20"/>
      <c r="I11025" s="20"/>
    </row>
    <row r="11026" ht="20.05" customHeight="1">
      <c r="A11026" s="10">
        <v>45879</v>
      </c>
      <c r="B11026" t="s" s="11">
        <v>1156</v>
      </c>
      <c r="C11026" t="s" s="12">
        <v>1389</v>
      </c>
      <c r="D11026" s="19"/>
      <c r="E11026" s="19"/>
      <c r="F11026" s="20"/>
      <c r="G11026" s="20"/>
      <c r="H11026" s="20"/>
      <c r="I11026" s="20">
        <v>3090</v>
      </c>
    </row>
    <row r="11027" ht="20.05" customHeight="1">
      <c r="A11027" s="10">
        <v>45879</v>
      </c>
      <c r="B11027" t="s" s="11">
        <v>1191</v>
      </c>
      <c r="C11027" t="s" s="12">
        <v>1389</v>
      </c>
      <c r="D11027" s="19"/>
      <c r="E11027" s="19"/>
      <c r="F11027" s="20"/>
      <c r="G11027" s="20"/>
      <c r="H11027" s="20">
        <v>90</v>
      </c>
      <c r="I11027" s="20"/>
    </row>
    <row r="11028" ht="20.35" customHeight="1">
      <c r="A11028" s="10">
        <v>45879</v>
      </c>
      <c r="B11028" t="s" s="11">
        <v>1357</v>
      </c>
      <c r="C11028" t="s" s="12">
        <v>1389</v>
      </c>
      <c r="D11028" s="13"/>
      <c r="E11028" s="13"/>
      <c r="F11028" s="14"/>
      <c r="G11028" s="14"/>
      <c r="H11028" s="14">
        <v>3000</v>
      </c>
      <c r="I11028" s="14"/>
    </row>
    <row r="11029" ht="20.7" customHeight="1">
      <c r="A11029" s="10">
        <v>45879</v>
      </c>
      <c r="B11029" t="s" s="11">
        <v>8</v>
      </c>
      <c r="C11029" t="s" s="12">
        <v>8</v>
      </c>
      <c r="D11029" s="15" cm="1">
        <f t="array" ref="D11029">SUM(D11024:D11028)</f>
        <v>0</v>
      </c>
      <c r="E11029" s="15" cm="1">
        <f t="array" ref="E11029">SUM(E11024:E11028)</f>
        <v>0</v>
      </c>
      <c r="F11029" s="16" cm="1">
        <f t="array" ref="F11029">SUM(F11024:F11028)</f>
        <v>1836.61</v>
      </c>
      <c r="G11029" s="16" cm="1">
        <f t="array" ref="G11029">SUM(G11024:G11028)</f>
        <v>1836.61</v>
      </c>
      <c r="H11029" s="16" cm="1">
        <f t="array" ref="H11029">SUM(H11024:H11028)</f>
        <v>3090</v>
      </c>
      <c r="I11029" s="16" cm="1">
        <f t="array" ref="I11029">SUM(I11024:I11028)</f>
        <v>3090</v>
      </c>
    </row>
    <row r="11030" ht="20.35" customHeight="1">
      <c r="A11030" s="10">
        <v>45879</v>
      </c>
      <c r="B11030" t="s" s="11">
        <v>39</v>
      </c>
      <c r="C11030" t="s" s="12">
        <v>1421</v>
      </c>
      <c r="D11030" s="17"/>
      <c r="E11030" s="17"/>
      <c r="F11030" s="18"/>
      <c r="G11030" s="18">
        <v>44.63</v>
      </c>
      <c r="H11030" s="18"/>
      <c r="I11030" s="18"/>
    </row>
    <row r="11031" ht="20.35" customHeight="1">
      <c r="A11031" s="10">
        <v>45879</v>
      </c>
      <c r="B11031" t="s" s="11">
        <v>44</v>
      </c>
      <c r="C11031" t="s" s="12">
        <v>1421</v>
      </c>
      <c r="D11031" s="13"/>
      <c r="E11031" s="13"/>
      <c r="F11031" s="14">
        <v>44.63</v>
      </c>
      <c r="G11031" s="14"/>
      <c r="H11031" s="14"/>
      <c r="I11031" s="14"/>
    </row>
    <row r="11032" ht="20.7" customHeight="1">
      <c r="A11032" s="10">
        <v>45879</v>
      </c>
      <c r="B11032" t="s" s="11">
        <v>8</v>
      </c>
      <c r="C11032" t="s" s="12">
        <v>8</v>
      </c>
      <c r="D11032" s="15" cm="1">
        <f t="array" ref="D11032">SUM(D11030:D11031)</f>
        <v>0</v>
      </c>
      <c r="E11032" s="15" cm="1">
        <f t="array" ref="E11032">SUM(E11030:E11031)</f>
        <v>0</v>
      </c>
      <c r="F11032" s="16" cm="1">
        <f t="array" ref="F11032">SUM(F11030:F11031)</f>
        <v>44.63</v>
      </c>
      <c r="G11032" s="16" cm="1">
        <f t="array" ref="G11032">SUM(G11030:G11031)</f>
        <v>44.63</v>
      </c>
      <c r="H11032" s="16" cm="1">
        <f t="array" ref="H11032">SUM(H11030:H11031)</f>
        <v>0</v>
      </c>
      <c r="I11032" s="16" cm="1">
        <f t="array" ref="I11032">SUM(I11030:I11031)</f>
        <v>0</v>
      </c>
    </row>
    <row r="11033" ht="20.35" customHeight="1">
      <c r="A11033" s="10">
        <v>45879</v>
      </c>
      <c r="B11033" t="s" s="11">
        <v>39</v>
      </c>
      <c r="C11033" t="s" s="12">
        <v>1418</v>
      </c>
      <c r="D11033" s="17"/>
      <c r="E11033" s="17"/>
      <c r="F11033" s="18"/>
      <c r="G11033" s="18">
        <v>2.38</v>
      </c>
      <c r="H11033" s="18"/>
      <c r="I11033" s="18"/>
    </row>
    <row r="11034" ht="20.35" customHeight="1">
      <c r="A11034" s="10">
        <v>45879</v>
      </c>
      <c r="B11034" t="s" s="11">
        <v>44</v>
      </c>
      <c r="C11034" t="s" s="12">
        <v>1418</v>
      </c>
      <c r="D11034" s="13"/>
      <c r="E11034" s="13"/>
      <c r="F11034" s="14">
        <v>2.38</v>
      </c>
      <c r="G11034" s="14"/>
      <c r="H11034" s="14"/>
      <c r="I11034" s="14"/>
    </row>
    <row r="11035" ht="20.7" customHeight="1">
      <c r="A11035" s="10">
        <v>45879</v>
      </c>
      <c r="B11035" t="s" s="11">
        <v>8</v>
      </c>
      <c r="C11035" t="s" s="12">
        <v>8</v>
      </c>
      <c r="D11035" s="15" cm="1">
        <f t="array" ref="D11035">SUM(D11033:D11034)</f>
        <v>0</v>
      </c>
      <c r="E11035" s="15" cm="1">
        <f t="array" ref="E11035">SUM(E11033:E11034)</f>
        <v>0</v>
      </c>
      <c r="F11035" s="16" cm="1">
        <f t="array" ref="F11035">SUM(F11033:F11034)</f>
        <v>2.38</v>
      </c>
      <c r="G11035" s="16" cm="1">
        <f t="array" ref="G11035">SUM(G11033:G11034)</f>
        <v>2.38</v>
      </c>
      <c r="H11035" s="16" cm="1">
        <f t="array" ref="H11035">SUM(H11033:H11034)</f>
        <v>0</v>
      </c>
      <c r="I11035" s="16" cm="1">
        <f t="array" ref="I11035">SUM(I11033:I11034)</f>
        <v>0</v>
      </c>
    </row>
    <row r="11036" ht="20.35" customHeight="1">
      <c r="A11036" s="10">
        <v>45879</v>
      </c>
      <c r="B11036" t="s" s="11">
        <v>39</v>
      </c>
      <c r="C11036" t="s" s="12">
        <v>1396</v>
      </c>
      <c r="D11036" s="17"/>
      <c r="E11036" s="17"/>
      <c r="F11036" s="18"/>
      <c r="G11036" s="18">
        <v>4.16</v>
      </c>
      <c r="H11036" s="18"/>
      <c r="I11036" s="18"/>
    </row>
    <row r="11037" ht="20.35" customHeight="1">
      <c r="A11037" s="10">
        <v>45879</v>
      </c>
      <c r="B11037" t="s" s="11">
        <v>44</v>
      </c>
      <c r="C11037" t="s" s="12">
        <v>1396</v>
      </c>
      <c r="D11037" s="13"/>
      <c r="E11037" s="13"/>
      <c r="F11037" s="14">
        <v>4.16</v>
      </c>
      <c r="G11037" s="14"/>
      <c r="H11037" s="14"/>
      <c r="I11037" s="14"/>
    </row>
    <row r="11038" ht="20.7" customHeight="1">
      <c r="A11038" s="10">
        <v>45879</v>
      </c>
      <c r="B11038" t="s" s="11">
        <v>8</v>
      </c>
      <c r="C11038" t="s" s="12">
        <v>8</v>
      </c>
      <c r="D11038" s="15" cm="1">
        <f t="array" ref="D11038">SUM(D11036:D11037)</f>
        <v>0</v>
      </c>
      <c r="E11038" s="15" cm="1">
        <f t="array" ref="E11038">SUM(E11036:E11037)</f>
        <v>0</v>
      </c>
      <c r="F11038" s="16" cm="1">
        <f t="array" ref="F11038">SUM(F11036:F11037)</f>
        <v>4.16</v>
      </c>
      <c r="G11038" s="16" cm="1">
        <f t="array" ref="G11038">SUM(G11036:G11037)</f>
        <v>4.16</v>
      </c>
      <c r="H11038" s="16" cm="1">
        <f t="array" ref="H11038">SUM(H11036:H11037)</f>
        <v>0</v>
      </c>
      <c r="I11038" s="16" cm="1">
        <f t="array" ref="I11038">SUM(I11036:I11037)</f>
        <v>0</v>
      </c>
    </row>
    <row r="11039" ht="20.35" customHeight="1">
      <c r="A11039" s="10">
        <v>45879</v>
      </c>
      <c r="B11039" t="s" s="11">
        <v>39</v>
      </c>
      <c r="C11039" t="s" s="12">
        <v>1422</v>
      </c>
      <c r="D11039" s="17"/>
      <c r="E11039" s="17"/>
      <c r="F11039" s="18"/>
      <c r="G11039" s="18">
        <v>20</v>
      </c>
      <c r="H11039" s="18"/>
      <c r="I11039" s="18"/>
    </row>
    <row r="11040" ht="20.35" customHeight="1">
      <c r="A11040" s="10">
        <v>45879</v>
      </c>
      <c r="B11040" t="s" s="11">
        <v>55</v>
      </c>
      <c r="C11040" t="s" s="12">
        <v>1422</v>
      </c>
      <c r="D11040" s="13"/>
      <c r="E11040" s="13"/>
      <c r="F11040" s="14">
        <v>20</v>
      </c>
      <c r="G11040" s="14"/>
      <c r="H11040" s="14"/>
      <c r="I11040" s="14"/>
    </row>
    <row r="11041" ht="20.7" customHeight="1">
      <c r="A11041" s="10">
        <v>45879</v>
      </c>
      <c r="B11041" t="s" s="11">
        <v>8</v>
      </c>
      <c r="C11041" t="s" s="12">
        <v>8</v>
      </c>
      <c r="D11041" s="15" cm="1">
        <f t="array" ref="D11041">SUM(D11039:D11040)</f>
        <v>0</v>
      </c>
      <c r="E11041" s="15" cm="1">
        <f t="array" ref="E11041">SUM(E11039:E11040)</f>
        <v>0</v>
      </c>
      <c r="F11041" s="16" cm="1">
        <f t="array" ref="F11041">SUM(F11039:F11040)</f>
        <v>20</v>
      </c>
      <c r="G11041" s="16" cm="1">
        <f t="array" ref="G11041">SUM(G11039:G11040)</f>
        <v>20</v>
      </c>
      <c r="H11041" s="16" cm="1">
        <f t="array" ref="H11041">SUM(H11039:H11040)</f>
        <v>0</v>
      </c>
      <c r="I11041" s="16" cm="1">
        <f t="array" ref="I11041">SUM(I11039:I11040)</f>
        <v>0</v>
      </c>
    </row>
    <row r="11042" ht="20.35" customHeight="1">
      <c r="A11042" s="10">
        <v>45879</v>
      </c>
      <c r="B11042" t="s" s="11">
        <v>39</v>
      </c>
      <c r="C11042" t="s" s="12">
        <v>1421</v>
      </c>
      <c r="D11042" s="17"/>
      <c r="E11042" s="17"/>
      <c r="F11042" s="18"/>
      <c r="G11042" s="18">
        <v>56.53</v>
      </c>
      <c r="H11042" s="18"/>
      <c r="I11042" s="18"/>
    </row>
    <row r="11043" ht="20.35" customHeight="1">
      <c r="A11043" s="10">
        <v>45879</v>
      </c>
      <c r="B11043" t="s" s="11">
        <v>44</v>
      </c>
      <c r="C11043" t="s" s="12">
        <v>1421</v>
      </c>
      <c r="D11043" s="13"/>
      <c r="E11043" s="13"/>
      <c r="F11043" s="14">
        <v>56.53</v>
      </c>
      <c r="G11043" s="14"/>
      <c r="H11043" s="14"/>
      <c r="I11043" s="14"/>
    </row>
    <row r="11044" ht="20.7" customHeight="1">
      <c r="A11044" s="10">
        <v>45879</v>
      </c>
      <c r="B11044" t="s" s="11">
        <v>8</v>
      </c>
      <c r="C11044" t="s" s="12">
        <v>8</v>
      </c>
      <c r="D11044" s="15" cm="1">
        <f t="array" ref="D11044">SUM(D11042:D11043)</f>
        <v>0</v>
      </c>
      <c r="E11044" s="15" cm="1">
        <f t="array" ref="E11044">SUM(E11042:E11043)</f>
        <v>0</v>
      </c>
      <c r="F11044" s="16" cm="1">
        <f t="array" ref="F11044">SUM(F11042:F11043)</f>
        <v>56.53</v>
      </c>
      <c r="G11044" s="16" cm="1">
        <f t="array" ref="G11044">SUM(G11042:G11043)</f>
        <v>56.53</v>
      </c>
      <c r="H11044" s="16" cm="1">
        <f t="array" ref="H11044">SUM(H11042:H11043)</f>
        <v>0</v>
      </c>
      <c r="I11044" s="16" cm="1">
        <f t="array" ref="I11044">SUM(I11042:I11043)</f>
        <v>0</v>
      </c>
    </row>
    <row r="11045" ht="20.65" customHeight="1">
      <c r="A11045" s="10">
        <v>45880</v>
      </c>
      <c r="B11045" t="s" s="11">
        <v>814</v>
      </c>
      <c r="C11045" t="s" s="12">
        <v>820</v>
      </c>
      <c r="D11045" s="17">
        <v>50</v>
      </c>
      <c r="E11045" s="17"/>
      <c r="F11045" s="18"/>
      <c r="G11045" s="18"/>
      <c r="H11045" s="18"/>
      <c r="I11045" s="18"/>
    </row>
    <row r="11046" ht="20.65" customHeight="1">
      <c r="A11046" s="10">
        <v>45880</v>
      </c>
      <c r="B11046" t="s" s="11">
        <v>7</v>
      </c>
      <c r="C11046" t="s" s="12">
        <v>820</v>
      </c>
      <c r="D11046" s="13"/>
      <c r="E11046" s="13">
        <v>50</v>
      </c>
      <c r="F11046" s="14"/>
      <c r="G11046" s="14"/>
      <c r="H11046" s="14"/>
      <c r="I11046" s="14"/>
    </row>
    <row r="11047" ht="20.7" customHeight="1">
      <c r="A11047" s="10">
        <v>45880</v>
      </c>
      <c r="B11047" t="s" s="11">
        <v>8</v>
      </c>
      <c r="C11047" t="s" s="12">
        <v>8</v>
      </c>
      <c r="D11047" s="15" cm="1">
        <f t="array" ref="D11047">SUM(D11045:D11046)</f>
        <v>50</v>
      </c>
      <c r="E11047" s="15" cm="1">
        <f t="array" ref="E11047">SUM(E11045:E11046)</f>
        <v>50</v>
      </c>
      <c r="F11047" s="16" cm="1">
        <f t="array" ref="F11047">SUM(F11045:F11046)</f>
        <v>0</v>
      </c>
      <c r="G11047" s="16" cm="1">
        <f t="array" ref="G11047">SUM(G11045:G11046)</f>
        <v>0</v>
      </c>
      <c r="H11047" s="16" cm="1">
        <f t="array" ref="H11047">SUM(H11045:H11046)</f>
        <v>0</v>
      </c>
      <c r="I11047" s="16" cm="1">
        <f t="array" ref="I11047">SUM(I11045:I11046)</f>
        <v>0</v>
      </c>
    </row>
    <row r="11048" ht="20.35" customHeight="1">
      <c r="A11048" s="10">
        <v>45880</v>
      </c>
      <c r="B11048" t="s" s="11">
        <v>107</v>
      </c>
      <c r="C11048" t="s" s="12">
        <v>169</v>
      </c>
      <c r="D11048" s="17"/>
      <c r="E11048" s="17">
        <v>4600</v>
      </c>
      <c r="F11048" s="18"/>
      <c r="G11048" s="18"/>
      <c r="H11048" s="18"/>
      <c r="I11048" s="18"/>
    </row>
    <row r="11049" ht="20.35" customHeight="1">
      <c r="A11049" s="10">
        <v>45880</v>
      </c>
      <c r="B11049" t="s" s="11">
        <v>12</v>
      </c>
      <c r="C11049" t="s" s="12">
        <v>169</v>
      </c>
      <c r="D11049" s="13">
        <v>4600</v>
      </c>
      <c r="E11049" s="13"/>
      <c r="F11049" s="14"/>
      <c r="G11049" s="14"/>
      <c r="H11049" s="14"/>
      <c r="I11049" s="14"/>
    </row>
    <row r="11050" ht="20.7" customHeight="1">
      <c r="A11050" s="10">
        <v>45880</v>
      </c>
      <c r="B11050" t="s" s="11">
        <v>8</v>
      </c>
      <c r="C11050" t="s" s="12">
        <v>8</v>
      </c>
      <c r="D11050" s="15" cm="1">
        <f t="array" ref="D11050">SUM(D11048:D11049)</f>
        <v>4600</v>
      </c>
      <c r="E11050" s="15" cm="1">
        <f t="array" ref="E11050">SUM(E11048:E11049)</f>
        <v>4600</v>
      </c>
      <c r="F11050" s="16" cm="1">
        <f t="array" ref="F11050">SUM(F11048:F11049)</f>
        <v>0</v>
      </c>
      <c r="G11050" s="16" cm="1">
        <f t="array" ref="G11050">SUM(G11048:G11049)</f>
        <v>0</v>
      </c>
      <c r="H11050" s="16" cm="1">
        <f t="array" ref="H11050">SUM(H11048:H11049)</f>
        <v>0</v>
      </c>
      <c r="I11050" s="16" cm="1">
        <f t="array" ref="I11050">SUM(I11048:I11049)</f>
        <v>0</v>
      </c>
    </row>
    <row r="11051" ht="20.65" customHeight="1">
      <c r="A11051" s="10">
        <v>45880</v>
      </c>
      <c r="B11051" t="s" s="11">
        <v>107</v>
      </c>
      <c r="C11051" t="s" s="12">
        <v>721</v>
      </c>
      <c r="D11051" s="17"/>
      <c r="E11051" s="17">
        <v>23400</v>
      </c>
      <c r="F11051" s="18"/>
      <c r="G11051" s="18"/>
      <c r="H11051" s="18"/>
      <c r="I11051" s="18"/>
    </row>
    <row r="11052" ht="20.65" customHeight="1">
      <c r="A11052" s="10">
        <v>45880</v>
      </c>
      <c r="B11052" t="s" s="11">
        <v>12</v>
      </c>
      <c r="C11052" t="s" s="12">
        <v>721</v>
      </c>
      <c r="D11052" s="13">
        <v>23400</v>
      </c>
      <c r="E11052" s="13"/>
      <c r="F11052" s="14"/>
      <c r="G11052" s="14"/>
      <c r="H11052" s="14"/>
      <c r="I11052" s="14"/>
    </row>
    <row r="11053" ht="20.7" customHeight="1">
      <c r="A11053" s="10">
        <v>45880</v>
      </c>
      <c r="B11053" t="s" s="11">
        <v>8</v>
      </c>
      <c r="C11053" t="s" s="12">
        <v>8</v>
      </c>
      <c r="D11053" s="15" cm="1">
        <f t="array" ref="D11053">SUM(D11051:D11052)</f>
        <v>23400</v>
      </c>
      <c r="E11053" s="15" cm="1">
        <f t="array" ref="E11053">SUM(E11051:E11052)</f>
        <v>23400</v>
      </c>
      <c r="F11053" s="16" cm="1">
        <f t="array" ref="F11053">SUM(F11051:F11052)</f>
        <v>0</v>
      </c>
      <c r="G11053" s="16" cm="1">
        <f t="array" ref="G11053">SUM(G11051:G11052)</f>
        <v>0</v>
      </c>
      <c r="H11053" s="16" cm="1">
        <f t="array" ref="H11053">SUM(H11051:H11052)</f>
        <v>0</v>
      </c>
      <c r="I11053" s="16" cm="1">
        <f t="array" ref="I11053">SUM(I11051:I11052)</f>
        <v>0</v>
      </c>
    </row>
    <row r="11054" ht="20.35" customHeight="1">
      <c r="A11054" s="10">
        <v>45880</v>
      </c>
      <c r="B11054" t="s" s="11">
        <v>107</v>
      </c>
      <c r="C11054" t="s" s="12">
        <v>1396</v>
      </c>
      <c r="D11054" s="17"/>
      <c r="E11054" s="17">
        <v>3651</v>
      </c>
      <c r="F11054" s="18"/>
      <c r="G11054" s="18"/>
      <c r="H11054" s="18"/>
      <c r="I11054" s="18"/>
    </row>
    <row r="11055" ht="20.35" customHeight="1">
      <c r="A11055" s="10">
        <v>45880</v>
      </c>
      <c r="B11055" t="s" s="11">
        <v>10</v>
      </c>
      <c r="C11055" t="s" s="12">
        <v>1396</v>
      </c>
      <c r="D11055" s="13">
        <v>3651</v>
      </c>
      <c r="E11055" s="13"/>
      <c r="F11055" s="14"/>
      <c r="G11055" s="14"/>
      <c r="H11055" s="14"/>
      <c r="I11055" s="14"/>
    </row>
    <row r="11056" ht="20.7" customHeight="1">
      <c r="A11056" s="10">
        <v>45880</v>
      </c>
      <c r="B11056" t="s" s="11">
        <v>8</v>
      </c>
      <c r="C11056" t="s" s="12">
        <v>8</v>
      </c>
      <c r="D11056" s="15" cm="1">
        <f t="array" ref="D11056">SUM(D11054:D11055)</f>
        <v>3651</v>
      </c>
      <c r="E11056" s="15" cm="1">
        <f t="array" ref="E11056">SUM(E11054:E11055)</f>
        <v>3651</v>
      </c>
      <c r="F11056" s="16" cm="1">
        <f t="array" ref="F11056">SUM(F11054:F11055)</f>
        <v>0</v>
      </c>
      <c r="G11056" s="16" cm="1">
        <f t="array" ref="G11056">SUM(G11054:G11055)</f>
        <v>0</v>
      </c>
      <c r="H11056" s="16" cm="1">
        <f t="array" ref="H11056">SUM(H11054:H11055)</f>
        <v>0</v>
      </c>
      <c r="I11056" s="16" cm="1">
        <f t="array" ref="I11056">SUM(I11054:I11055)</f>
        <v>0</v>
      </c>
    </row>
    <row r="11057" ht="20.35" customHeight="1">
      <c r="A11057" s="10">
        <v>45880</v>
      </c>
      <c r="B11057" t="s" s="11">
        <v>107</v>
      </c>
      <c r="C11057" t="s" s="12">
        <v>1396</v>
      </c>
      <c r="D11057" s="17"/>
      <c r="E11057" s="17">
        <v>4043</v>
      </c>
      <c r="F11057" s="18"/>
      <c r="G11057" s="18"/>
      <c r="H11057" s="18"/>
      <c r="I11057" s="18"/>
    </row>
    <row r="11058" ht="20.35" customHeight="1">
      <c r="A11058" s="10">
        <v>45880</v>
      </c>
      <c r="B11058" t="s" s="11">
        <v>10</v>
      </c>
      <c r="C11058" t="s" s="12">
        <v>1396</v>
      </c>
      <c r="D11058" s="13">
        <v>4043</v>
      </c>
      <c r="E11058" s="13"/>
      <c r="F11058" s="14"/>
      <c r="G11058" s="14"/>
      <c r="H11058" s="14"/>
      <c r="I11058" s="14"/>
    </row>
    <row r="11059" ht="20.7" customHeight="1">
      <c r="A11059" s="10">
        <v>45880</v>
      </c>
      <c r="B11059" t="s" s="11">
        <v>8</v>
      </c>
      <c r="C11059" t="s" s="12">
        <v>8</v>
      </c>
      <c r="D11059" s="15" cm="1">
        <f t="array" ref="D11059">SUM(D11057:D11058)</f>
        <v>4043</v>
      </c>
      <c r="E11059" s="15" cm="1">
        <f t="array" ref="E11059">SUM(E11057:E11058)</f>
        <v>4043</v>
      </c>
      <c r="F11059" s="16" cm="1">
        <f t="array" ref="F11059">SUM(F11057:F11058)</f>
        <v>0</v>
      </c>
      <c r="G11059" s="16" cm="1">
        <f t="array" ref="G11059">SUM(G11057:G11058)</f>
        <v>0</v>
      </c>
      <c r="H11059" s="16" cm="1">
        <f t="array" ref="H11059">SUM(H11057:H11058)</f>
        <v>0</v>
      </c>
      <c r="I11059" s="16" cm="1">
        <f t="array" ref="I11059">SUM(I11057:I11058)</f>
        <v>0</v>
      </c>
    </row>
    <row r="11060" ht="20.35" customHeight="1">
      <c r="A11060" s="10">
        <v>45880</v>
      </c>
      <c r="B11060" t="s" s="11">
        <v>107</v>
      </c>
      <c r="C11060" t="s" s="12">
        <v>1401</v>
      </c>
      <c r="D11060" s="17"/>
      <c r="E11060" s="17">
        <v>14288</v>
      </c>
      <c r="F11060" s="18"/>
      <c r="G11060" s="18"/>
      <c r="H11060" s="18"/>
      <c r="I11060" s="18"/>
    </row>
    <row r="11061" ht="20.35" customHeight="1">
      <c r="A11061" s="10">
        <v>45880</v>
      </c>
      <c r="B11061" t="s" s="11">
        <v>10</v>
      </c>
      <c r="C11061" t="s" s="12">
        <v>1401</v>
      </c>
      <c r="D11061" s="13">
        <v>14288</v>
      </c>
      <c r="E11061" s="13"/>
      <c r="F11061" s="14"/>
      <c r="G11061" s="14"/>
      <c r="H11061" s="14"/>
      <c r="I11061" s="14"/>
    </row>
    <row r="11062" ht="20.7" customHeight="1">
      <c r="A11062" s="10">
        <v>45880</v>
      </c>
      <c r="B11062" t="s" s="11">
        <v>8</v>
      </c>
      <c r="C11062" t="s" s="12">
        <v>8</v>
      </c>
      <c r="D11062" s="15" cm="1">
        <f t="array" ref="D11062">SUM(D11060:D11061)</f>
        <v>14288</v>
      </c>
      <c r="E11062" s="15" cm="1">
        <f t="array" ref="E11062">SUM(E11060:E11061)</f>
        <v>14288</v>
      </c>
      <c r="F11062" s="16" cm="1">
        <f t="array" ref="F11062">SUM(F11060:F11061)</f>
        <v>0</v>
      </c>
      <c r="G11062" s="16" cm="1">
        <f t="array" ref="G11062">SUM(G11060:G11061)</f>
        <v>0</v>
      </c>
      <c r="H11062" s="16" cm="1">
        <f t="array" ref="H11062">SUM(H11060:H11061)</f>
        <v>0</v>
      </c>
      <c r="I11062" s="16" cm="1">
        <f t="array" ref="I11062">SUM(I11060:I11061)</f>
        <v>0</v>
      </c>
    </row>
    <row r="11063" ht="20.35" customHeight="1">
      <c r="A11063" s="10">
        <v>45880</v>
      </c>
      <c r="B11063" t="s" s="11">
        <v>107</v>
      </c>
      <c r="C11063" t="s" s="12">
        <v>1396</v>
      </c>
      <c r="D11063" s="17"/>
      <c r="E11063" s="17">
        <v>7598</v>
      </c>
      <c r="F11063" s="18"/>
      <c r="G11063" s="18"/>
      <c r="H11063" s="18"/>
      <c r="I11063" s="18"/>
    </row>
    <row r="11064" ht="20.35" customHeight="1">
      <c r="A11064" s="10">
        <v>45880</v>
      </c>
      <c r="B11064" t="s" s="11">
        <v>10</v>
      </c>
      <c r="C11064" t="s" s="12">
        <v>1396</v>
      </c>
      <c r="D11064" s="13">
        <v>7598</v>
      </c>
      <c r="E11064" s="13"/>
      <c r="F11064" s="14"/>
      <c r="G11064" s="14"/>
      <c r="H11064" s="14"/>
      <c r="I11064" s="14"/>
    </row>
    <row r="11065" ht="20.7" customHeight="1">
      <c r="A11065" s="10">
        <v>45880</v>
      </c>
      <c r="B11065" t="s" s="11">
        <v>8</v>
      </c>
      <c r="C11065" t="s" s="12">
        <v>8</v>
      </c>
      <c r="D11065" s="15" cm="1">
        <f t="array" ref="D11065">SUM(D11063:D11064)</f>
        <v>7598</v>
      </c>
      <c r="E11065" s="15" cm="1">
        <f t="array" ref="E11065">SUM(E11063:E11064)</f>
        <v>7598</v>
      </c>
      <c r="F11065" s="16" cm="1">
        <f t="array" ref="F11065">SUM(F11063:F11064)</f>
        <v>0</v>
      </c>
      <c r="G11065" s="16" cm="1">
        <f t="array" ref="G11065">SUM(G11063:G11064)</f>
        <v>0</v>
      </c>
      <c r="H11065" s="16" cm="1">
        <f t="array" ref="H11065">SUM(H11063:H11064)</f>
        <v>0</v>
      </c>
      <c r="I11065" s="16" cm="1">
        <f t="array" ref="I11065">SUM(I11063:I11064)</f>
        <v>0</v>
      </c>
    </row>
    <row r="11066" ht="20.35" customHeight="1">
      <c r="A11066" s="10">
        <v>45880</v>
      </c>
      <c r="B11066" t="s" s="11">
        <v>107</v>
      </c>
      <c r="C11066" t="s" s="12">
        <v>1396</v>
      </c>
      <c r="D11066" s="17"/>
      <c r="E11066" s="17">
        <v>8116</v>
      </c>
      <c r="F11066" s="18"/>
      <c r="G11066" s="18"/>
      <c r="H11066" s="18"/>
      <c r="I11066" s="18"/>
    </row>
    <row r="11067" ht="20.35" customHeight="1">
      <c r="A11067" s="10">
        <v>45880</v>
      </c>
      <c r="B11067" t="s" s="11">
        <v>10</v>
      </c>
      <c r="C11067" t="s" s="12">
        <v>1396</v>
      </c>
      <c r="D11067" s="13">
        <v>8116</v>
      </c>
      <c r="E11067" s="13"/>
      <c r="F11067" s="14"/>
      <c r="G11067" s="14"/>
      <c r="H11067" s="14"/>
      <c r="I11067" s="14"/>
    </row>
    <row r="11068" ht="20.7" customHeight="1">
      <c r="A11068" s="10">
        <v>45880</v>
      </c>
      <c r="B11068" t="s" s="11">
        <v>8</v>
      </c>
      <c r="C11068" t="s" s="12">
        <v>8</v>
      </c>
      <c r="D11068" s="15" cm="1">
        <f t="array" ref="D11068">SUM(D11066:D11067)</f>
        <v>8116</v>
      </c>
      <c r="E11068" s="15" cm="1">
        <f t="array" ref="E11068">SUM(E11066:E11067)</f>
        <v>8116</v>
      </c>
      <c r="F11068" s="16" cm="1">
        <f t="array" ref="F11068">SUM(F11066:F11067)</f>
        <v>0</v>
      </c>
      <c r="G11068" s="16" cm="1">
        <f t="array" ref="G11068">SUM(G11066:G11067)</f>
        <v>0</v>
      </c>
      <c r="H11068" s="16" cm="1">
        <f t="array" ref="H11068">SUM(H11066:H11067)</f>
        <v>0</v>
      </c>
      <c r="I11068" s="16" cm="1">
        <f t="array" ref="I11068">SUM(I11066:I11067)</f>
        <v>0</v>
      </c>
    </row>
    <row r="11069" ht="20.35" customHeight="1">
      <c r="A11069" s="10">
        <v>45880</v>
      </c>
      <c r="B11069" t="s" s="11">
        <v>107</v>
      </c>
      <c r="C11069" t="s" s="12">
        <v>1396</v>
      </c>
      <c r="D11069" s="17"/>
      <c r="E11069" s="17">
        <v>16065</v>
      </c>
      <c r="F11069" s="18"/>
      <c r="G11069" s="18"/>
      <c r="H11069" s="18"/>
      <c r="I11069" s="18"/>
    </row>
    <row r="11070" ht="20.35" customHeight="1">
      <c r="A11070" s="10">
        <v>45880</v>
      </c>
      <c r="B11070" t="s" s="11">
        <v>10</v>
      </c>
      <c r="C11070" t="s" s="12">
        <v>1396</v>
      </c>
      <c r="D11070" s="13">
        <v>16065</v>
      </c>
      <c r="E11070" s="13"/>
      <c r="F11070" s="14"/>
      <c r="G11070" s="14"/>
      <c r="H11070" s="14"/>
      <c r="I11070" s="14"/>
    </row>
    <row r="11071" ht="20.7" customHeight="1">
      <c r="A11071" s="10">
        <v>45880</v>
      </c>
      <c r="B11071" t="s" s="11">
        <v>8</v>
      </c>
      <c r="C11071" t="s" s="12">
        <v>8</v>
      </c>
      <c r="D11071" s="15" cm="1">
        <f t="array" ref="D11071">SUM(D11069:D11070)</f>
        <v>16065</v>
      </c>
      <c r="E11071" s="15" cm="1">
        <f t="array" ref="E11071">SUM(E11069:E11070)</f>
        <v>16065</v>
      </c>
      <c r="F11071" s="16" cm="1">
        <f t="array" ref="F11071">SUM(F11069:F11070)</f>
        <v>0</v>
      </c>
      <c r="G11071" s="16" cm="1">
        <f t="array" ref="G11071">SUM(G11069:G11070)</f>
        <v>0</v>
      </c>
      <c r="H11071" s="16" cm="1">
        <f t="array" ref="H11071">SUM(H11069:H11070)</f>
        <v>0</v>
      </c>
      <c r="I11071" s="16" cm="1">
        <f t="array" ref="I11071">SUM(I11069:I11070)</f>
        <v>0</v>
      </c>
    </row>
    <row r="11072" ht="20.35" customHeight="1">
      <c r="A11072" s="10">
        <v>45880</v>
      </c>
      <c r="B11072" t="s" s="11">
        <v>107</v>
      </c>
      <c r="C11072" t="s" s="12">
        <v>1396</v>
      </c>
      <c r="D11072" s="17"/>
      <c r="E11072" s="17">
        <v>24336</v>
      </c>
      <c r="F11072" s="18"/>
      <c r="G11072" s="18"/>
      <c r="H11072" s="18"/>
      <c r="I11072" s="18"/>
    </row>
    <row r="11073" ht="20.35" customHeight="1">
      <c r="A11073" s="10">
        <v>45880</v>
      </c>
      <c r="B11073" t="s" s="11">
        <v>10</v>
      </c>
      <c r="C11073" t="s" s="12">
        <v>1396</v>
      </c>
      <c r="D11073" s="13">
        <v>24336</v>
      </c>
      <c r="E11073" s="13"/>
      <c r="F11073" s="14"/>
      <c r="G11073" s="14"/>
      <c r="H11073" s="14"/>
      <c r="I11073" s="14"/>
    </row>
    <row r="11074" ht="20.7" customHeight="1">
      <c r="A11074" s="10">
        <v>45880</v>
      </c>
      <c r="B11074" t="s" s="11">
        <v>8</v>
      </c>
      <c r="C11074" t="s" s="12">
        <v>8</v>
      </c>
      <c r="D11074" s="15" cm="1">
        <f t="array" ref="D11074">SUM(D11072:D11073)</f>
        <v>24336</v>
      </c>
      <c r="E11074" s="15" cm="1">
        <f t="array" ref="E11074">SUM(E11072:E11073)</f>
        <v>24336</v>
      </c>
      <c r="F11074" s="16" cm="1">
        <f t="array" ref="F11074">SUM(F11072:F11073)</f>
        <v>0</v>
      </c>
      <c r="G11074" s="16" cm="1">
        <f t="array" ref="G11074">SUM(G11072:G11073)</f>
        <v>0</v>
      </c>
      <c r="H11074" s="16" cm="1">
        <f t="array" ref="H11074">SUM(H11072:H11073)</f>
        <v>0</v>
      </c>
      <c r="I11074" s="16" cm="1">
        <f t="array" ref="I11074">SUM(I11072:I11073)</f>
        <v>0</v>
      </c>
    </row>
    <row r="11075" ht="20.35" customHeight="1">
      <c r="A11075" s="10">
        <v>45880</v>
      </c>
      <c r="B11075" t="s" s="11">
        <v>107</v>
      </c>
      <c r="C11075" t="s" s="12">
        <v>1396</v>
      </c>
      <c r="D11075" s="17"/>
      <c r="E11075" s="17">
        <v>31809</v>
      </c>
      <c r="F11075" s="18"/>
      <c r="G11075" s="18"/>
      <c r="H11075" s="18"/>
      <c r="I11075" s="18"/>
    </row>
    <row r="11076" ht="20.35" customHeight="1">
      <c r="A11076" s="10">
        <v>45880</v>
      </c>
      <c r="B11076" t="s" s="11">
        <v>10</v>
      </c>
      <c r="C11076" t="s" s="12">
        <v>1396</v>
      </c>
      <c r="D11076" s="13">
        <v>31809</v>
      </c>
      <c r="E11076" s="13"/>
      <c r="F11076" s="14"/>
      <c r="G11076" s="14"/>
      <c r="H11076" s="14"/>
      <c r="I11076" s="14"/>
    </row>
    <row r="11077" ht="20.7" customHeight="1">
      <c r="A11077" s="10">
        <v>45880</v>
      </c>
      <c r="B11077" t="s" s="11">
        <v>8</v>
      </c>
      <c r="C11077" t="s" s="12">
        <v>8</v>
      </c>
      <c r="D11077" s="15" cm="1">
        <f t="array" ref="D11077">SUM(D11075:D11076)</f>
        <v>31809</v>
      </c>
      <c r="E11077" s="15" cm="1">
        <f t="array" ref="E11077">SUM(E11075:E11076)</f>
        <v>31809</v>
      </c>
      <c r="F11077" s="16" cm="1">
        <f t="array" ref="F11077">SUM(F11075:F11076)</f>
        <v>0</v>
      </c>
      <c r="G11077" s="16" cm="1">
        <f t="array" ref="G11077">SUM(G11075:G11076)</f>
        <v>0</v>
      </c>
      <c r="H11077" s="16" cm="1">
        <f t="array" ref="H11077">SUM(H11075:H11076)</f>
        <v>0</v>
      </c>
      <c r="I11077" s="16" cm="1">
        <f t="array" ref="I11077">SUM(I11075:I11076)</f>
        <v>0</v>
      </c>
    </row>
    <row r="11078" ht="20.35" customHeight="1">
      <c r="A11078" s="10">
        <v>45880</v>
      </c>
      <c r="B11078" t="s" s="11">
        <v>107</v>
      </c>
      <c r="C11078" t="s" s="12">
        <v>68</v>
      </c>
      <c r="D11078" s="17"/>
      <c r="E11078" s="17">
        <v>2500</v>
      </c>
      <c r="F11078" s="18"/>
      <c r="G11078" s="18"/>
      <c r="H11078" s="18"/>
      <c r="I11078" s="18"/>
    </row>
    <row r="11079" ht="20.35" customHeight="1">
      <c r="A11079" s="10">
        <v>45880</v>
      </c>
      <c r="B11079" t="s" s="11">
        <v>10</v>
      </c>
      <c r="C11079" t="s" s="12">
        <v>68</v>
      </c>
      <c r="D11079" s="13">
        <v>2500</v>
      </c>
      <c r="E11079" s="13"/>
      <c r="F11079" s="14"/>
      <c r="G11079" s="14"/>
      <c r="H11079" s="14"/>
      <c r="I11079" s="14"/>
    </row>
    <row r="11080" ht="20.7" customHeight="1">
      <c r="A11080" s="10">
        <v>45880</v>
      </c>
      <c r="B11080" t="s" s="11">
        <v>8</v>
      </c>
      <c r="C11080" t="s" s="12">
        <v>8</v>
      </c>
      <c r="D11080" s="15" cm="1">
        <f t="array" ref="D11080">SUM(D11078:D11079)</f>
        <v>2500</v>
      </c>
      <c r="E11080" s="15" cm="1">
        <f t="array" ref="E11080">SUM(E11078:E11079)</f>
        <v>2500</v>
      </c>
      <c r="F11080" s="16" cm="1">
        <f t="array" ref="F11080">SUM(F11078:F11079)</f>
        <v>0</v>
      </c>
      <c r="G11080" s="16" cm="1">
        <f t="array" ref="G11080">SUM(G11078:G11079)</f>
        <v>0</v>
      </c>
      <c r="H11080" s="16" cm="1">
        <f t="array" ref="H11080">SUM(H11078:H11079)</f>
        <v>0</v>
      </c>
      <c r="I11080" s="16" cm="1">
        <f t="array" ref="I11080">SUM(I11078:I11079)</f>
        <v>0</v>
      </c>
    </row>
    <row r="11081" ht="20.65" customHeight="1">
      <c r="A11081" s="10">
        <v>45881</v>
      </c>
      <c r="B11081" t="s" s="11">
        <v>107</v>
      </c>
      <c r="C11081" t="s" s="12">
        <v>767</v>
      </c>
      <c r="D11081" s="17">
        <v>1</v>
      </c>
      <c r="E11081" s="17"/>
      <c r="F11081" s="18"/>
      <c r="G11081" s="18"/>
      <c r="H11081" s="18"/>
      <c r="I11081" s="18"/>
    </row>
    <row r="11082" ht="20.65" customHeight="1">
      <c r="A11082" s="10">
        <v>45881</v>
      </c>
      <c r="B11082" t="s" s="11">
        <v>91</v>
      </c>
      <c r="C11082" t="s" s="12">
        <v>767</v>
      </c>
      <c r="D11082" s="13"/>
      <c r="E11082" s="13">
        <v>1</v>
      </c>
      <c r="F11082" s="14"/>
      <c r="G11082" s="14"/>
      <c r="H11082" s="14"/>
      <c r="I11082" s="14"/>
    </row>
    <row r="11083" ht="20.7" customHeight="1">
      <c r="A11083" s="10">
        <v>45881</v>
      </c>
      <c r="B11083" t="s" s="11">
        <v>8</v>
      </c>
      <c r="C11083" t="s" s="12">
        <v>8</v>
      </c>
      <c r="D11083" s="15" cm="1">
        <f t="array" ref="D11083">SUM(D11081:D11082)</f>
        <v>1</v>
      </c>
      <c r="E11083" s="15" cm="1">
        <f t="array" ref="E11083">SUM(E11081:E11082)</f>
        <v>1</v>
      </c>
      <c r="F11083" s="16" cm="1">
        <f t="array" ref="F11083">SUM(F11081:F11082)</f>
        <v>0</v>
      </c>
      <c r="G11083" s="16" cm="1">
        <f t="array" ref="G11083">SUM(G11081:G11082)</f>
        <v>0</v>
      </c>
      <c r="H11083" s="16" cm="1">
        <f t="array" ref="H11083">SUM(H11081:H11082)</f>
        <v>0</v>
      </c>
      <c r="I11083" s="16" cm="1">
        <f t="array" ref="I11083">SUM(I11081:I11082)</f>
        <v>0</v>
      </c>
    </row>
    <row r="11084" ht="20.65" customHeight="1">
      <c r="A11084" s="10">
        <v>45881</v>
      </c>
      <c r="B11084" t="s" s="11">
        <v>814</v>
      </c>
      <c r="C11084" t="s" s="12">
        <v>820</v>
      </c>
      <c r="D11084" s="17">
        <v>50</v>
      </c>
      <c r="E11084" s="17"/>
      <c r="F11084" s="18"/>
      <c r="G11084" s="18"/>
      <c r="H11084" s="18"/>
      <c r="I11084" s="18"/>
    </row>
    <row r="11085" ht="20.65" customHeight="1">
      <c r="A11085" s="10">
        <v>45881</v>
      </c>
      <c r="B11085" t="s" s="11">
        <v>7</v>
      </c>
      <c r="C11085" t="s" s="12">
        <v>820</v>
      </c>
      <c r="D11085" s="13"/>
      <c r="E11085" s="13">
        <v>50</v>
      </c>
      <c r="F11085" s="14"/>
      <c r="G11085" s="14"/>
      <c r="H11085" s="14"/>
      <c r="I11085" s="14"/>
    </row>
    <row r="11086" ht="20.7" customHeight="1">
      <c r="A11086" s="10">
        <v>45881</v>
      </c>
      <c r="B11086" t="s" s="11">
        <v>8</v>
      </c>
      <c r="C11086" t="s" s="12">
        <v>8</v>
      </c>
      <c r="D11086" s="15" cm="1">
        <f t="array" ref="D11086">SUM(D11084:D11085)</f>
        <v>50</v>
      </c>
      <c r="E11086" s="15" cm="1">
        <f t="array" ref="E11086">SUM(E11084:E11085)</f>
        <v>50</v>
      </c>
      <c r="F11086" s="16" cm="1">
        <f t="array" ref="F11086">SUM(F11084:F11085)</f>
        <v>0</v>
      </c>
      <c r="G11086" s="16" cm="1">
        <f t="array" ref="G11086">SUM(G11084:G11085)</f>
        <v>0</v>
      </c>
      <c r="H11086" s="16" cm="1">
        <f t="array" ref="H11086">SUM(H11084:H11085)</f>
        <v>0</v>
      </c>
      <c r="I11086" s="16" cm="1">
        <f t="array" ref="I11086">SUM(I11084:I11085)</f>
        <v>0</v>
      </c>
    </row>
    <row r="11087" ht="20.35" customHeight="1">
      <c r="A11087" s="10">
        <v>45881</v>
      </c>
      <c r="B11087" t="s" s="11">
        <v>107</v>
      </c>
      <c r="C11087" t="s" s="12">
        <v>1396</v>
      </c>
      <c r="D11087" s="17"/>
      <c r="E11087" s="17">
        <v>8592</v>
      </c>
      <c r="F11087" s="18"/>
      <c r="G11087" s="18"/>
      <c r="H11087" s="18"/>
      <c r="I11087" s="18"/>
    </row>
    <row r="11088" ht="20.35" customHeight="1">
      <c r="A11088" s="10">
        <v>45881</v>
      </c>
      <c r="B11088" t="s" s="11">
        <v>10</v>
      </c>
      <c r="C11088" t="s" s="12">
        <v>1396</v>
      </c>
      <c r="D11088" s="13">
        <v>8592</v>
      </c>
      <c r="E11088" s="13"/>
      <c r="F11088" s="14"/>
      <c r="G11088" s="14"/>
      <c r="H11088" s="14"/>
      <c r="I11088" s="14"/>
    </row>
    <row r="11089" ht="20.7" customHeight="1">
      <c r="A11089" s="10">
        <v>45881</v>
      </c>
      <c r="B11089" t="s" s="11">
        <v>8</v>
      </c>
      <c r="C11089" t="s" s="12">
        <v>8</v>
      </c>
      <c r="D11089" s="15" cm="1">
        <f t="array" ref="D11089">SUM(D11087:D11088)</f>
        <v>8592</v>
      </c>
      <c r="E11089" s="15" cm="1">
        <f t="array" ref="E11089">SUM(E11087:E11088)</f>
        <v>8592</v>
      </c>
      <c r="F11089" s="16" cm="1">
        <f t="array" ref="F11089">SUM(F11087:F11088)</f>
        <v>0</v>
      </c>
      <c r="G11089" s="16" cm="1">
        <f t="array" ref="G11089">SUM(G11087:G11088)</f>
        <v>0</v>
      </c>
      <c r="H11089" s="16" cm="1">
        <f t="array" ref="H11089">SUM(H11087:H11088)</f>
        <v>0</v>
      </c>
      <c r="I11089" s="16" cm="1">
        <f t="array" ref="I11089">SUM(I11087:I11088)</f>
        <v>0</v>
      </c>
    </row>
    <row r="11090" ht="20.35" customHeight="1">
      <c r="A11090" s="10">
        <v>45881</v>
      </c>
      <c r="B11090" t="s" s="11">
        <v>107</v>
      </c>
      <c r="C11090" t="s" s="12">
        <v>1396</v>
      </c>
      <c r="D11090" s="17"/>
      <c r="E11090" s="17">
        <v>22050</v>
      </c>
      <c r="F11090" s="18"/>
      <c r="G11090" s="18"/>
      <c r="H11090" s="18"/>
      <c r="I11090" s="18"/>
    </row>
    <row r="11091" ht="20.35" customHeight="1">
      <c r="A11091" s="10">
        <v>45881</v>
      </c>
      <c r="B11091" t="s" s="11">
        <v>10</v>
      </c>
      <c r="C11091" t="s" s="12">
        <v>1396</v>
      </c>
      <c r="D11091" s="13">
        <v>22050</v>
      </c>
      <c r="E11091" s="13"/>
      <c r="F11091" s="14"/>
      <c r="G11091" s="14"/>
      <c r="H11091" s="14"/>
      <c r="I11091" s="14"/>
    </row>
    <row r="11092" ht="20.7" customHeight="1">
      <c r="A11092" s="10">
        <v>45881</v>
      </c>
      <c r="B11092" t="s" s="11">
        <v>8</v>
      </c>
      <c r="C11092" t="s" s="12">
        <v>8</v>
      </c>
      <c r="D11092" s="15" cm="1">
        <f t="array" ref="D11092">SUM(D11090:D11091)</f>
        <v>22050</v>
      </c>
      <c r="E11092" s="15" cm="1">
        <f t="array" ref="E11092">SUM(E11090:E11091)</f>
        <v>22050</v>
      </c>
      <c r="F11092" s="16" cm="1">
        <f t="array" ref="F11092">SUM(F11090:F11091)</f>
        <v>0</v>
      </c>
      <c r="G11092" s="16" cm="1">
        <f t="array" ref="G11092">SUM(G11090:G11091)</f>
        <v>0</v>
      </c>
      <c r="H11092" s="16" cm="1">
        <f t="array" ref="H11092">SUM(H11090:H11091)</f>
        <v>0</v>
      </c>
      <c r="I11092" s="16" cm="1">
        <f t="array" ref="I11092">SUM(I11090:I11091)</f>
        <v>0</v>
      </c>
    </row>
    <row r="11093" ht="20.35" customHeight="1">
      <c r="A11093" s="10">
        <v>45881</v>
      </c>
      <c r="B11093" t="s" s="11">
        <v>107</v>
      </c>
      <c r="C11093" t="s" s="12">
        <v>1396</v>
      </c>
      <c r="D11093" s="17"/>
      <c r="E11093" s="17">
        <v>6896</v>
      </c>
      <c r="F11093" s="18"/>
      <c r="G11093" s="18"/>
      <c r="H11093" s="18"/>
      <c r="I11093" s="18"/>
    </row>
    <row r="11094" ht="20.35" customHeight="1">
      <c r="A11094" s="10">
        <v>45881</v>
      </c>
      <c r="B11094" t="s" s="11">
        <v>10</v>
      </c>
      <c r="C11094" t="s" s="12">
        <v>1396</v>
      </c>
      <c r="D11094" s="13">
        <v>6896</v>
      </c>
      <c r="E11094" s="13"/>
      <c r="F11094" s="14"/>
      <c r="G11094" s="14"/>
      <c r="H11094" s="14"/>
      <c r="I11094" s="14"/>
    </row>
    <row r="11095" ht="20.7" customHeight="1">
      <c r="A11095" s="10">
        <v>45881</v>
      </c>
      <c r="B11095" t="s" s="11">
        <v>8</v>
      </c>
      <c r="C11095" t="s" s="12">
        <v>8</v>
      </c>
      <c r="D11095" s="15" cm="1">
        <f t="array" ref="D11095">SUM(D11093:D11094)</f>
        <v>6896</v>
      </c>
      <c r="E11095" s="15" cm="1">
        <f t="array" ref="E11095">SUM(E11093:E11094)</f>
        <v>6896</v>
      </c>
      <c r="F11095" s="16" cm="1">
        <f t="array" ref="F11095">SUM(F11093:F11094)</f>
        <v>0</v>
      </c>
      <c r="G11095" s="16" cm="1">
        <f t="array" ref="G11095">SUM(G11093:G11094)</f>
        <v>0</v>
      </c>
      <c r="H11095" s="16" cm="1">
        <f t="array" ref="H11095">SUM(H11093:H11094)</f>
        <v>0</v>
      </c>
      <c r="I11095" s="16" cm="1">
        <f t="array" ref="I11095">SUM(I11093:I11094)</f>
        <v>0</v>
      </c>
    </row>
    <row r="11096" ht="20.65" customHeight="1">
      <c r="A11096" s="10">
        <v>45881</v>
      </c>
      <c r="B11096" t="s" s="11">
        <v>107</v>
      </c>
      <c r="C11096" t="s" s="12">
        <v>721</v>
      </c>
      <c r="D11096" s="17"/>
      <c r="E11096" s="17">
        <v>22000</v>
      </c>
      <c r="F11096" s="18"/>
      <c r="G11096" s="18"/>
      <c r="H11096" s="18"/>
      <c r="I11096" s="18"/>
    </row>
    <row r="11097" ht="20.65" customHeight="1">
      <c r="A11097" s="10">
        <v>45881</v>
      </c>
      <c r="B11097" t="s" s="11">
        <v>12</v>
      </c>
      <c r="C11097" t="s" s="12">
        <v>721</v>
      </c>
      <c r="D11097" s="13">
        <v>22000</v>
      </c>
      <c r="E11097" s="13"/>
      <c r="F11097" s="14"/>
      <c r="G11097" s="14"/>
      <c r="H11097" s="14"/>
      <c r="I11097" s="14"/>
    </row>
    <row r="11098" ht="20.7" customHeight="1">
      <c r="A11098" s="10">
        <v>45881</v>
      </c>
      <c r="B11098" t="s" s="11">
        <v>8</v>
      </c>
      <c r="C11098" t="s" s="12">
        <v>8</v>
      </c>
      <c r="D11098" s="15" cm="1">
        <f t="array" ref="D11098">SUM(D11096:D11097)</f>
        <v>22000</v>
      </c>
      <c r="E11098" s="15" cm="1">
        <f t="array" ref="E11098">SUM(E11096:E11097)</f>
        <v>22000</v>
      </c>
      <c r="F11098" s="16" cm="1">
        <f t="array" ref="F11098">SUM(F11096:F11097)</f>
        <v>0</v>
      </c>
      <c r="G11098" s="16" cm="1">
        <f t="array" ref="G11098">SUM(G11096:G11097)</f>
        <v>0</v>
      </c>
      <c r="H11098" s="16" cm="1">
        <f t="array" ref="H11098">SUM(H11096:H11097)</f>
        <v>0</v>
      </c>
      <c r="I11098" s="16" cm="1">
        <f t="array" ref="I11098">SUM(I11096:I11097)</f>
        <v>0</v>
      </c>
    </row>
    <row r="11099" ht="20.65" customHeight="1">
      <c r="A11099" s="10">
        <v>45882</v>
      </c>
      <c r="B11099" t="s" s="11">
        <v>814</v>
      </c>
      <c r="C11099" t="s" s="12">
        <v>820</v>
      </c>
      <c r="D11099" s="17">
        <v>50</v>
      </c>
      <c r="E11099" s="17"/>
      <c r="F11099" s="18"/>
      <c r="G11099" s="18"/>
      <c r="H11099" s="18"/>
      <c r="I11099" s="18"/>
    </row>
    <row r="11100" ht="20.65" customHeight="1">
      <c r="A11100" s="10">
        <v>45882</v>
      </c>
      <c r="B11100" t="s" s="11">
        <v>7</v>
      </c>
      <c r="C11100" t="s" s="12">
        <v>820</v>
      </c>
      <c r="D11100" s="13"/>
      <c r="E11100" s="13">
        <v>50</v>
      </c>
      <c r="F11100" s="14"/>
      <c r="G11100" s="14"/>
      <c r="H11100" s="14"/>
      <c r="I11100" s="14"/>
    </row>
    <row r="11101" ht="20.7" customHeight="1">
      <c r="A11101" s="10">
        <v>45882</v>
      </c>
      <c r="B11101" t="s" s="11">
        <v>8</v>
      </c>
      <c r="C11101" t="s" s="12">
        <v>8</v>
      </c>
      <c r="D11101" s="15" cm="1">
        <f t="array" ref="D11101">SUM(D11099:D11100)</f>
        <v>50</v>
      </c>
      <c r="E11101" s="15" cm="1">
        <f t="array" ref="E11101">SUM(E11099:E11100)</f>
        <v>50</v>
      </c>
      <c r="F11101" s="16" cm="1">
        <f t="array" ref="F11101">SUM(F11099:F11100)</f>
        <v>0</v>
      </c>
      <c r="G11101" s="16" cm="1">
        <f t="array" ref="G11101">SUM(G11099:G11100)</f>
        <v>0</v>
      </c>
      <c r="H11101" s="16" cm="1">
        <f t="array" ref="H11101">SUM(H11099:H11100)</f>
        <v>0</v>
      </c>
      <c r="I11101" s="16" cm="1">
        <f t="array" ref="I11101">SUM(I11099:I11100)</f>
        <v>0</v>
      </c>
    </row>
    <row r="11102" ht="21.25" customHeight="1">
      <c r="A11102" s="10">
        <v>45882</v>
      </c>
      <c r="B11102" t="s" s="11">
        <v>107</v>
      </c>
      <c r="C11102" t="s" s="12">
        <v>1351</v>
      </c>
      <c r="D11102" s="17"/>
      <c r="E11102" s="17">
        <v>9300</v>
      </c>
      <c r="F11102" s="18"/>
      <c r="G11102" s="18"/>
      <c r="H11102" s="18"/>
      <c r="I11102" s="18"/>
    </row>
    <row r="11103" ht="21.25" customHeight="1">
      <c r="A11103" s="10">
        <v>45882</v>
      </c>
      <c r="B11103" t="s" s="11">
        <v>21</v>
      </c>
      <c r="C11103" t="s" s="12">
        <v>1351</v>
      </c>
      <c r="D11103" s="13">
        <v>9300</v>
      </c>
      <c r="E11103" s="13"/>
      <c r="F11103" s="14"/>
      <c r="G11103" s="14"/>
      <c r="H11103" s="14"/>
      <c r="I11103" s="14"/>
    </row>
    <row r="11104" ht="20.7" customHeight="1">
      <c r="A11104" s="10">
        <v>45882</v>
      </c>
      <c r="B11104" t="s" s="11">
        <v>8</v>
      </c>
      <c r="C11104" t="s" s="12">
        <v>8</v>
      </c>
      <c r="D11104" s="15" cm="1">
        <f t="array" ref="D11104">SUM(D11102:D11103)</f>
        <v>9300</v>
      </c>
      <c r="E11104" s="15" cm="1">
        <f t="array" ref="E11104">SUM(E11102:E11103)</f>
        <v>9300</v>
      </c>
      <c r="F11104" s="16" cm="1">
        <f t="array" ref="F11104">SUM(F11102:F11103)</f>
        <v>0</v>
      </c>
      <c r="G11104" s="16" cm="1">
        <f t="array" ref="G11104">SUM(G11102:G11103)</f>
        <v>0</v>
      </c>
      <c r="H11104" s="16" cm="1">
        <f t="array" ref="H11104">SUM(H11102:H11103)</f>
        <v>0</v>
      </c>
      <c r="I11104" s="16" cm="1">
        <f t="array" ref="I11104">SUM(I11102:I11103)</f>
        <v>0</v>
      </c>
    </row>
    <row r="11105" ht="20.65" customHeight="1">
      <c r="A11105" s="10">
        <v>45882</v>
      </c>
      <c r="B11105" t="s" s="11">
        <v>107</v>
      </c>
      <c r="C11105" t="s" s="12">
        <v>1423</v>
      </c>
      <c r="D11105" s="17"/>
      <c r="E11105" s="17">
        <v>6600</v>
      </c>
      <c r="F11105" s="18"/>
      <c r="G11105" s="18"/>
      <c r="H11105" s="18"/>
      <c r="I11105" s="18"/>
    </row>
    <row r="11106" ht="20.65" customHeight="1">
      <c r="A11106" s="10">
        <v>45882</v>
      </c>
      <c r="B11106" t="s" s="11">
        <v>12</v>
      </c>
      <c r="C11106" t="s" s="12">
        <v>1423</v>
      </c>
      <c r="D11106" s="13">
        <v>6600</v>
      </c>
      <c r="E11106" s="13"/>
      <c r="F11106" s="14"/>
      <c r="G11106" s="14"/>
      <c r="H11106" s="14"/>
      <c r="I11106" s="14"/>
    </row>
    <row r="11107" ht="20.7" customHeight="1">
      <c r="A11107" s="10">
        <v>45882</v>
      </c>
      <c r="B11107" t="s" s="11">
        <v>8</v>
      </c>
      <c r="C11107" t="s" s="12">
        <v>8</v>
      </c>
      <c r="D11107" s="15" cm="1">
        <f t="array" ref="D11107">SUM(D11105:D11106)</f>
        <v>6600</v>
      </c>
      <c r="E11107" s="15" cm="1">
        <f t="array" ref="E11107">SUM(E11105:E11106)</f>
        <v>6600</v>
      </c>
      <c r="F11107" s="16" cm="1">
        <f t="array" ref="F11107">SUM(F11105:F11106)</f>
        <v>0</v>
      </c>
      <c r="G11107" s="16" cm="1">
        <f t="array" ref="G11107">SUM(G11105:G11106)</f>
        <v>0</v>
      </c>
      <c r="H11107" s="16" cm="1">
        <f t="array" ref="H11107">SUM(H11105:H11106)</f>
        <v>0</v>
      </c>
      <c r="I11107" s="16" cm="1">
        <f t="array" ref="I11107">SUM(I11105:I11106)</f>
        <v>0</v>
      </c>
    </row>
    <row r="11108" ht="20.35" customHeight="1">
      <c r="A11108" s="10">
        <v>45882</v>
      </c>
      <c r="B11108" t="s" s="11">
        <v>107</v>
      </c>
      <c r="C11108" t="s" s="12">
        <v>1424</v>
      </c>
      <c r="D11108" s="17"/>
      <c r="E11108" s="17">
        <v>13882</v>
      </c>
      <c r="F11108" s="18"/>
      <c r="G11108" s="18"/>
      <c r="H11108" s="18"/>
      <c r="I11108" s="18"/>
    </row>
    <row r="11109" ht="20.35" customHeight="1">
      <c r="A11109" s="10">
        <v>45882</v>
      </c>
      <c r="B11109" t="s" s="11">
        <v>10</v>
      </c>
      <c r="C11109" t="s" s="12">
        <v>1424</v>
      </c>
      <c r="D11109" s="13">
        <v>13882</v>
      </c>
      <c r="E11109" s="13"/>
      <c r="F11109" s="14"/>
      <c r="G11109" s="14"/>
      <c r="H11109" s="14"/>
      <c r="I11109" s="14"/>
    </row>
    <row r="11110" ht="20.7" customHeight="1">
      <c r="A11110" s="10">
        <v>45882</v>
      </c>
      <c r="B11110" t="s" s="11">
        <v>8</v>
      </c>
      <c r="C11110" t="s" s="12">
        <v>8</v>
      </c>
      <c r="D11110" s="15" cm="1">
        <f t="array" ref="D11110">SUM(D11108:D11109)</f>
        <v>13882</v>
      </c>
      <c r="E11110" s="15" cm="1">
        <f t="array" ref="E11110">SUM(E11108:E11109)</f>
        <v>13882</v>
      </c>
      <c r="F11110" s="16" cm="1">
        <f t="array" ref="F11110">SUM(F11108:F11109)</f>
        <v>0</v>
      </c>
      <c r="G11110" s="16" cm="1">
        <f t="array" ref="G11110">SUM(G11108:G11109)</f>
        <v>0</v>
      </c>
      <c r="H11110" s="16" cm="1">
        <f t="array" ref="H11110">SUM(H11108:H11109)</f>
        <v>0</v>
      </c>
      <c r="I11110" s="16" cm="1">
        <f t="array" ref="I11110">SUM(I11108:I11109)</f>
        <v>0</v>
      </c>
    </row>
    <row r="11111" ht="20.65" customHeight="1">
      <c r="A11111" s="10">
        <v>45882</v>
      </c>
      <c r="B11111" t="s" s="11">
        <v>107</v>
      </c>
      <c r="C11111" t="s" s="12">
        <v>1425</v>
      </c>
      <c r="D11111" s="17"/>
      <c r="E11111" s="17">
        <v>59800</v>
      </c>
      <c r="F11111" s="18"/>
      <c r="G11111" s="18"/>
      <c r="H11111" s="18"/>
      <c r="I11111" s="18"/>
    </row>
    <row r="11112" ht="20.65" customHeight="1">
      <c r="A11112" s="10">
        <v>45882</v>
      </c>
      <c r="B11112" t="s" s="11">
        <v>12</v>
      </c>
      <c r="C11112" t="s" s="12">
        <v>1425</v>
      </c>
      <c r="D11112" s="13">
        <v>59800</v>
      </c>
      <c r="E11112" s="13"/>
      <c r="F11112" s="14"/>
      <c r="G11112" s="14"/>
      <c r="H11112" s="14"/>
      <c r="I11112" s="14"/>
    </row>
    <row r="11113" ht="20.7" customHeight="1">
      <c r="A11113" s="10">
        <v>45882</v>
      </c>
      <c r="B11113" t="s" s="11">
        <v>8</v>
      </c>
      <c r="C11113" t="s" s="12">
        <v>8</v>
      </c>
      <c r="D11113" s="15" cm="1">
        <f t="array" ref="D11113">SUM(D11111:D11112)</f>
        <v>59800</v>
      </c>
      <c r="E11113" s="15" cm="1">
        <f t="array" ref="E11113">SUM(E11111:E11112)</f>
        <v>59800</v>
      </c>
      <c r="F11113" s="16" cm="1">
        <f t="array" ref="F11113">SUM(F11111:F11112)</f>
        <v>0</v>
      </c>
      <c r="G11113" s="16" cm="1">
        <f t="array" ref="G11113">SUM(G11111:G11112)</f>
        <v>0</v>
      </c>
      <c r="H11113" s="16" cm="1">
        <f t="array" ref="H11113">SUM(H11111:H11112)</f>
        <v>0</v>
      </c>
      <c r="I11113" s="16" cm="1">
        <f t="array" ref="I11113">SUM(I11111:I11112)</f>
        <v>0</v>
      </c>
    </row>
    <row r="11114" ht="20.65" customHeight="1">
      <c r="A11114" s="10">
        <v>45883</v>
      </c>
      <c r="B11114" t="s" s="11">
        <v>814</v>
      </c>
      <c r="C11114" t="s" s="12">
        <v>820</v>
      </c>
      <c r="D11114" s="17">
        <v>50</v>
      </c>
      <c r="E11114" s="17"/>
      <c r="F11114" s="18"/>
      <c r="G11114" s="18"/>
      <c r="H11114" s="18"/>
      <c r="I11114" s="18"/>
    </row>
    <row r="11115" ht="20.65" customHeight="1">
      <c r="A11115" s="10">
        <v>45883</v>
      </c>
      <c r="B11115" t="s" s="11">
        <v>7</v>
      </c>
      <c r="C11115" t="s" s="12">
        <v>820</v>
      </c>
      <c r="D11115" s="13"/>
      <c r="E11115" s="13">
        <v>50</v>
      </c>
      <c r="F11115" s="14"/>
      <c r="G11115" s="14"/>
      <c r="H11115" s="14"/>
      <c r="I11115" s="14"/>
    </row>
    <row r="11116" ht="20.7" customHeight="1">
      <c r="A11116" s="10">
        <v>45883</v>
      </c>
      <c r="B11116" t="s" s="11">
        <v>8</v>
      </c>
      <c r="C11116" t="s" s="12">
        <v>8</v>
      </c>
      <c r="D11116" s="15" cm="1">
        <f t="array" ref="D11116">SUM(D11114:D11115)</f>
        <v>50</v>
      </c>
      <c r="E11116" s="15" cm="1">
        <f t="array" ref="E11116">SUM(E11114:E11115)</f>
        <v>50</v>
      </c>
      <c r="F11116" s="16" cm="1">
        <f t="array" ref="F11116">SUM(F11114:F11115)</f>
        <v>0</v>
      </c>
      <c r="G11116" s="16" cm="1">
        <f t="array" ref="G11116">SUM(G11114:G11115)</f>
        <v>0</v>
      </c>
      <c r="H11116" s="16" cm="1">
        <f t="array" ref="H11116">SUM(H11114:H11115)</f>
        <v>0</v>
      </c>
      <c r="I11116" s="16" cm="1">
        <f t="array" ref="I11116">SUM(I11114:I11115)</f>
        <v>0</v>
      </c>
    </row>
    <row r="11117" ht="20.35" customHeight="1">
      <c r="A11117" s="10">
        <v>45883</v>
      </c>
      <c r="B11117" t="s" s="11">
        <v>107</v>
      </c>
      <c r="C11117" t="s" s="12">
        <v>1426</v>
      </c>
      <c r="D11117" s="17"/>
      <c r="E11117" s="17">
        <v>4300</v>
      </c>
      <c r="F11117" s="18"/>
      <c r="G11117" s="18"/>
      <c r="H11117" s="18"/>
      <c r="I11117" s="18"/>
    </row>
    <row r="11118" ht="20.35" customHeight="1">
      <c r="A11118" s="10">
        <v>45883</v>
      </c>
      <c r="B11118" t="s" s="11">
        <v>12</v>
      </c>
      <c r="C11118" t="s" s="12">
        <v>1426</v>
      </c>
      <c r="D11118" s="13">
        <v>4300</v>
      </c>
      <c r="E11118" s="13"/>
      <c r="F11118" s="14"/>
      <c r="G11118" s="14"/>
      <c r="H11118" s="14"/>
      <c r="I11118" s="14"/>
    </row>
    <row r="11119" ht="20.7" customHeight="1">
      <c r="A11119" s="10">
        <v>45883</v>
      </c>
      <c r="B11119" t="s" s="11">
        <v>8</v>
      </c>
      <c r="C11119" t="s" s="12">
        <v>8</v>
      </c>
      <c r="D11119" s="15" cm="1">
        <f t="array" ref="D11119">SUM(D11117:D11118)</f>
        <v>4300</v>
      </c>
      <c r="E11119" s="15" cm="1">
        <f t="array" ref="E11119">SUM(E11117:E11118)</f>
        <v>4300</v>
      </c>
      <c r="F11119" s="16" cm="1">
        <f t="array" ref="F11119">SUM(F11117:F11118)</f>
        <v>0</v>
      </c>
      <c r="G11119" s="16" cm="1">
        <f t="array" ref="G11119">SUM(G11117:G11118)</f>
        <v>0</v>
      </c>
      <c r="H11119" s="16" cm="1">
        <f t="array" ref="H11119">SUM(H11117:H11118)</f>
        <v>0</v>
      </c>
      <c r="I11119" s="16" cm="1">
        <f t="array" ref="I11119">SUM(I11117:I11118)</f>
        <v>0</v>
      </c>
    </row>
    <row r="11120" ht="21.25" customHeight="1">
      <c r="A11120" s="10">
        <v>45883</v>
      </c>
      <c r="B11120" t="s" s="11">
        <v>28</v>
      </c>
      <c r="C11120" t="s" s="12">
        <v>1427</v>
      </c>
      <c r="D11120" s="17">
        <v>150000</v>
      </c>
      <c r="E11120" s="17"/>
      <c r="F11120" s="18"/>
      <c r="G11120" s="18"/>
      <c r="H11120" s="18"/>
      <c r="I11120" s="18"/>
    </row>
    <row r="11121" ht="21.25" customHeight="1">
      <c r="A11121" s="10">
        <v>45883</v>
      </c>
      <c r="B11121" t="s" s="11">
        <v>91</v>
      </c>
      <c r="C11121" t="s" s="12">
        <v>1427</v>
      </c>
      <c r="D11121" s="13"/>
      <c r="E11121" s="13">
        <v>150000</v>
      </c>
      <c r="F11121" s="14"/>
      <c r="G11121" s="14"/>
      <c r="H11121" s="14"/>
      <c r="I11121" s="14"/>
    </row>
    <row r="11122" ht="20.7" customHeight="1">
      <c r="A11122" s="10">
        <v>45883</v>
      </c>
      <c r="B11122" t="s" s="11">
        <v>8</v>
      </c>
      <c r="C11122" t="s" s="12">
        <v>8</v>
      </c>
      <c r="D11122" s="15" cm="1">
        <f t="array" ref="D11122">SUM(D11120:D11121)</f>
        <v>150000</v>
      </c>
      <c r="E11122" s="15" cm="1">
        <f t="array" ref="E11122">SUM(E11120:E11121)</f>
        <v>150000</v>
      </c>
      <c r="F11122" s="16" cm="1">
        <f t="array" ref="F11122">SUM(F11120:F11121)</f>
        <v>0</v>
      </c>
      <c r="G11122" s="16" cm="1">
        <f t="array" ref="G11122">SUM(G11120:G11121)</f>
        <v>0</v>
      </c>
      <c r="H11122" s="16" cm="1">
        <f t="array" ref="H11122">SUM(H11120:H11121)</f>
        <v>0</v>
      </c>
      <c r="I11122" s="16" cm="1">
        <f t="array" ref="I11122">SUM(I11120:I11121)</f>
        <v>0</v>
      </c>
    </row>
    <row r="11123" ht="20.65" customHeight="1">
      <c r="A11123" s="10">
        <v>45883</v>
      </c>
      <c r="B11123" t="s" s="11">
        <v>107</v>
      </c>
      <c r="C11123" t="s" s="12">
        <v>767</v>
      </c>
      <c r="D11123" s="17">
        <v>1</v>
      </c>
      <c r="E11123" s="17"/>
      <c r="F11123" s="18"/>
      <c r="G11123" s="18"/>
      <c r="H11123" s="18"/>
      <c r="I11123" s="18"/>
    </row>
    <row r="11124" ht="20.65" customHeight="1">
      <c r="A11124" s="10">
        <v>45883</v>
      </c>
      <c r="B11124" t="s" s="11">
        <v>91</v>
      </c>
      <c r="C11124" t="s" s="12">
        <v>767</v>
      </c>
      <c r="D11124" s="13"/>
      <c r="E11124" s="13">
        <v>1</v>
      </c>
      <c r="F11124" s="14"/>
      <c r="G11124" s="14"/>
      <c r="H11124" s="14"/>
      <c r="I11124" s="14"/>
    </row>
    <row r="11125" ht="20.7" customHeight="1">
      <c r="A11125" s="10">
        <v>45883</v>
      </c>
      <c r="B11125" t="s" s="11">
        <v>8</v>
      </c>
      <c r="C11125" t="s" s="12">
        <v>8</v>
      </c>
      <c r="D11125" s="15" cm="1">
        <f t="array" ref="D11125">SUM(D11123:D11124)</f>
        <v>1</v>
      </c>
      <c r="E11125" s="15" cm="1">
        <f t="array" ref="E11125">SUM(E11123:E11124)</f>
        <v>1</v>
      </c>
      <c r="F11125" s="16" cm="1">
        <f t="array" ref="F11125">SUM(F11123:F11124)</f>
        <v>0</v>
      </c>
      <c r="G11125" s="16" cm="1">
        <f t="array" ref="G11125">SUM(G11123:G11124)</f>
        <v>0</v>
      </c>
      <c r="H11125" s="16" cm="1">
        <f t="array" ref="H11125">SUM(H11123:H11124)</f>
        <v>0</v>
      </c>
      <c r="I11125" s="16" cm="1">
        <f t="array" ref="I11125">SUM(I11123:I11124)</f>
        <v>0</v>
      </c>
    </row>
    <row r="11126" ht="20.35" customHeight="1">
      <c r="A11126" s="10">
        <v>45884</v>
      </c>
      <c r="B11126" t="s" s="11">
        <v>89</v>
      </c>
      <c r="C11126" t="s" s="12">
        <v>1428</v>
      </c>
      <c r="D11126" s="17">
        <v>2000000</v>
      </c>
      <c r="E11126" s="17"/>
      <c r="F11126" s="18"/>
      <c r="G11126" s="18"/>
      <c r="H11126" s="18"/>
      <c r="I11126" s="18"/>
    </row>
    <row r="11127" ht="20.35" customHeight="1">
      <c r="A11127" s="10">
        <v>45884</v>
      </c>
      <c r="B11127" t="s" s="11">
        <v>21</v>
      </c>
      <c r="C11127" t="s" s="12">
        <v>1428</v>
      </c>
      <c r="D11127" s="13"/>
      <c r="E11127" s="13">
        <v>2000000</v>
      </c>
      <c r="F11127" s="14"/>
      <c r="G11127" s="14"/>
      <c r="H11127" s="14"/>
      <c r="I11127" s="14"/>
    </row>
    <row r="11128" ht="20.7" customHeight="1">
      <c r="A11128" s="10">
        <v>45884</v>
      </c>
      <c r="B11128" t="s" s="11">
        <v>8</v>
      </c>
      <c r="C11128" t="s" s="12">
        <v>8</v>
      </c>
      <c r="D11128" s="15" cm="1">
        <f t="array" ref="D11128">SUM(D11126:D11127)</f>
        <v>2000000</v>
      </c>
      <c r="E11128" s="15" cm="1">
        <f t="array" ref="E11128">SUM(E11126:E11127)</f>
        <v>2000000</v>
      </c>
      <c r="F11128" s="16" cm="1">
        <f t="array" ref="F11128">SUM(F11126:F11127)</f>
        <v>0</v>
      </c>
      <c r="G11128" s="16" cm="1">
        <f t="array" ref="G11128">SUM(G11126:G11127)</f>
        <v>0</v>
      </c>
      <c r="H11128" s="16" cm="1">
        <f t="array" ref="H11128">SUM(H11126:H11127)</f>
        <v>0</v>
      </c>
      <c r="I11128" s="16" cm="1">
        <f t="array" ref="I11128">SUM(I11126:I11127)</f>
        <v>0</v>
      </c>
    </row>
    <row r="11129" ht="20.35" customHeight="1">
      <c r="A11129" s="10">
        <v>45884</v>
      </c>
      <c r="B11129" t="s" s="11">
        <v>89</v>
      </c>
      <c r="C11129" t="s" s="12">
        <v>1429</v>
      </c>
      <c r="D11129" s="17"/>
      <c r="E11129" s="17">
        <v>500000</v>
      </c>
      <c r="F11129" s="18"/>
      <c r="G11129" s="18"/>
      <c r="H11129" s="18"/>
      <c r="I11129" s="18"/>
    </row>
    <row r="11130" ht="20.05" customHeight="1">
      <c r="A11130" s="10">
        <v>45884</v>
      </c>
      <c r="B11130" t="s" s="11">
        <v>10</v>
      </c>
      <c r="C11130" t="s" s="12">
        <v>1429</v>
      </c>
      <c r="D11130" s="19">
        <v>500000</v>
      </c>
      <c r="E11130" s="19"/>
      <c r="F11130" s="20"/>
      <c r="G11130" s="20"/>
      <c r="H11130" s="20"/>
      <c r="I11130" s="20"/>
    </row>
    <row r="11131" ht="20.05" customHeight="1">
      <c r="A11131" s="10">
        <v>45884</v>
      </c>
      <c r="B11131" t="s" s="11">
        <v>1156</v>
      </c>
      <c r="C11131" t="s" s="12">
        <v>1429</v>
      </c>
      <c r="D11131" s="19"/>
      <c r="E11131" s="19"/>
      <c r="F11131" s="20"/>
      <c r="G11131" s="20"/>
      <c r="H11131" s="20"/>
      <c r="I11131" s="20">
        <v>2500</v>
      </c>
    </row>
    <row r="11132" ht="20.35" customHeight="1">
      <c r="A11132" s="10">
        <v>45884</v>
      </c>
      <c r="B11132" t="s" s="11">
        <v>1357</v>
      </c>
      <c r="C11132" t="s" s="12">
        <v>1429</v>
      </c>
      <c r="D11132" s="13"/>
      <c r="E11132" s="13"/>
      <c r="F11132" s="14"/>
      <c r="G11132" s="14"/>
      <c r="H11132" s="14">
        <v>2500</v>
      </c>
      <c r="I11132" s="14"/>
    </row>
    <row r="11133" ht="20.7" customHeight="1">
      <c r="A11133" s="10">
        <v>45884</v>
      </c>
      <c r="B11133" t="s" s="11">
        <v>8</v>
      </c>
      <c r="C11133" t="s" s="12">
        <v>8</v>
      </c>
      <c r="D11133" s="15" cm="1">
        <f t="array" ref="D11133">SUM(D11129:D11132)</f>
        <v>500000</v>
      </c>
      <c r="E11133" s="15" cm="1">
        <f t="array" ref="E11133">SUM(E11129:E11132)</f>
        <v>500000</v>
      </c>
      <c r="F11133" s="16" cm="1">
        <f t="array" ref="F11133">SUM(F11129:F11132)</f>
        <v>0</v>
      </c>
      <c r="G11133" s="16" cm="1">
        <f t="array" ref="G11133">SUM(G11129:G11132)</f>
        <v>0</v>
      </c>
      <c r="H11133" s="16" cm="1">
        <f t="array" ref="H11133">SUM(H11129:H11132)</f>
        <v>2500</v>
      </c>
      <c r="I11133" s="16" cm="1">
        <f t="array" ref="I11133">SUM(I11129:I11132)</f>
        <v>2500</v>
      </c>
    </row>
    <row r="11134" ht="20.35" customHeight="1">
      <c r="A11134" s="10">
        <v>45884</v>
      </c>
      <c r="B11134" t="s" s="11">
        <v>89</v>
      </c>
      <c r="C11134" t="s" s="12">
        <v>420</v>
      </c>
      <c r="D11134" s="17"/>
      <c r="E11134" s="17">
        <v>327320</v>
      </c>
      <c r="F11134" s="18"/>
      <c r="G11134" s="18"/>
      <c r="H11134" s="18"/>
      <c r="I11134" s="18"/>
    </row>
    <row r="11135" ht="20.35" customHeight="1">
      <c r="A11135" s="10">
        <v>45884</v>
      </c>
      <c r="B11135" t="s" s="11">
        <v>107</v>
      </c>
      <c r="C11135" t="s" s="12">
        <v>420</v>
      </c>
      <c r="D11135" s="13">
        <v>327320</v>
      </c>
      <c r="E11135" s="13"/>
      <c r="F11135" s="14"/>
      <c r="G11135" s="14"/>
      <c r="H11135" s="14"/>
      <c r="I11135" s="14"/>
    </row>
    <row r="11136" ht="20.7" customHeight="1">
      <c r="A11136" s="10">
        <v>45884</v>
      </c>
      <c r="B11136" t="s" s="11">
        <v>8</v>
      </c>
      <c r="C11136" t="s" s="12">
        <v>8</v>
      </c>
      <c r="D11136" s="15" cm="1">
        <f t="array" ref="D11136">SUM(D11134:D11135)</f>
        <v>327320</v>
      </c>
      <c r="E11136" s="15" cm="1">
        <f t="array" ref="E11136">SUM(E11134:E11135)</f>
        <v>327320</v>
      </c>
      <c r="F11136" s="16" cm="1">
        <f t="array" ref="F11136">SUM(F11134:F11135)</f>
        <v>0</v>
      </c>
      <c r="G11136" s="16" cm="1">
        <f t="array" ref="G11136">SUM(G11134:G11135)</f>
        <v>0</v>
      </c>
      <c r="H11136" s="16" cm="1">
        <f t="array" ref="H11136">SUM(H11134:H11135)</f>
        <v>0</v>
      </c>
      <c r="I11136" s="16" cm="1">
        <f t="array" ref="I11136">SUM(I11134:I11135)</f>
        <v>0</v>
      </c>
    </row>
    <row r="11137" ht="20.35" customHeight="1">
      <c r="A11137" s="10">
        <v>45884</v>
      </c>
      <c r="B11137" t="s" s="11">
        <v>89</v>
      </c>
      <c r="C11137" t="s" s="12">
        <v>1430</v>
      </c>
      <c r="D11137" s="17"/>
      <c r="E11137" s="17">
        <v>1172680</v>
      </c>
      <c r="F11137" s="18"/>
      <c r="G11137" s="18"/>
      <c r="H11137" s="18"/>
      <c r="I11137" s="18"/>
    </row>
    <row r="11138" ht="20.05" customHeight="1">
      <c r="A11138" s="10">
        <v>45884</v>
      </c>
      <c r="B11138" t="s" s="11">
        <v>74</v>
      </c>
      <c r="C11138" t="s" s="12">
        <v>1430</v>
      </c>
      <c r="D11138" s="19">
        <v>586340</v>
      </c>
      <c r="E11138" s="19"/>
      <c r="F11138" s="20"/>
      <c r="G11138" s="20"/>
      <c r="H11138" s="20"/>
      <c r="I11138" s="20"/>
    </row>
    <row r="11139" ht="20.35" customHeight="1">
      <c r="A11139" s="10">
        <v>45884</v>
      </c>
      <c r="B11139" t="s" s="11">
        <v>21</v>
      </c>
      <c r="C11139" t="s" s="12">
        <v>1430</v>
      </c>
      <c r="D11139" s="13">
        <v>586340</v>
      </c>
      <c r="E11139" s="13"/>
      <c r="F11139" s="14"/>
      <c r="G11139" s="14"/>
      <c r="H11139" s="14"/>
      <c r="I11139" s="14"/>
    </row>
    <row r="11140" ht="20.7" customHeight="1">
      <c r="A11140" s="10">
        <v>45884</v>
      </c>
      <c r="B11140" t="s" s="11">
        <v>8</v>
      </c>
      <c r="C11140" t="s" s="12">
        <v>8</v>
      </c>
      <c r="D11140" s="15" cm="1">
        <f t="array" ref="D11140">SUM(D11137:D11139)</f>
        <v>1172680</v>
      </c>
      <c r="E11140" s="15" cm="1">
        <f t="array" ref="E11140">SUM(E11137:E11139)</f>
        <v>1172680</v>
      </c>
      <c r="F11140" s="16" cm="1">
        <f t="array" ref="F11140">SUM(F11137:F11139)</f>
        <v>0</v>
      </c>
      <c r="G11140" s="16" cm="1">
        <f t="array" ref="G11140">SUM(G11137:G11139)</f>
        <v>0</v>
      </c>
      <c r="H11140" s="16" cm="1">
        <f t="array" ref="H11140">SUM(H11137:H11139)</f>
        <v>0</v>
      </c>
      <c r="I11140" s="16" cm="1">
        <f t="array" ref="I11140">SUM(I11137:I11139)</f>
        <v>0</v>
      </c>
    </row>
    <row r="11141" ht="20.35" customHeight="1">
      <c r="A11141" s="10">
        <v>45884</v>
      </c>
      <c r="B11141" t="s" s="11">
        <v>1329</v>
      </c>
      <c r="C11141" t="s" s="12">
        <v>1431</v>
      </c>
      <c r="D11141" s="17"/>
      <c r="E11141" s="17"/>
      <c r="F11141" s="18">
        <v>79</v>
      </c>
      <c r="G11141" s="18"/>
      <c r="H11141" s="18"/>
      <c r="I11141" s="18"/>
    </row>
    <row r="11142" ht="20.35" customHeight="1">
      <c r="A11142" s="10">
        <v>45884</v>
      </c>
      <c r="B11142" t="s" s="11">
        <v>63</v>
      </c>
      <c r="C11142" t="s" s="12">
        <v>1431</v>
      </c>
      <c r="D11142" s="13"/>
      <c r="E11142" s="13"/>
      <c r="F11142" s="14"/>
      <c r="G11142" s="14">
        <v>79</v>
      </c>
      <c r="H11142" s="14"/>
      <c r="I11142" s="14"/>
    </row>
    <row r="11143" ht="20.7" customHeight="1">
      <c r="A11143" s="10">
        <v>45884</v>
      </c>
      <c r="B11143" t="s" s="11">
        <v>8</v>
      </c>
      <c r="C11143" t="s" s="12">
        <v>8</v>
      </c>
      <c r="D11143" s="15" cm="1">
        <f t="array" ref="D11143">SUM(D11141:D11142)</f>
        <v>0</v>
      </c>
      <c r="E11143" s="15" cm="1">
        <f t="array" ref="E11143">SUM(E11141:E11142)</f>
        <v>0</v>
      </c>
      <c r="F11143" s="16" cm="1">
        <f t="array" ref="F11143">SUM(F11141:F11142)</f>
        <v>79</v>
      </c>
      <c r="G11143" s="16" cm="1">
        <f t="array" ref="G11143">SUM(G11141:G11142)</f>
        <v>79</v>
      </c>
      <c r="H11143" s="16" cm="1">
        <f t="array" ref="H11143">SUM(H11141:H11142)</f>
        <v>0</v>
      </c>
      <c r="I11143" s="16" cm="1">
        <f t="array" ref="I11143">SUM(I11141:I11142)</f>
        <v>0</v>
      </c>
    </row>
    <row r="11144" ht="20.65" customHeight="1">
      <c r="A11144" s="10">
        <v>45884</v>
      </c>
      <c r="B11144" t="s" s="11">
        <v>814</v>
      </c>
      <c r="C11144" t="s" s="12">
        <v>820</v>
      </c>
      <c r="D11144" s="17">
        <v>50</v>
      </c>
      <c r="E11144" s="17"/>
      <c r="F11144" s="18"/>
      <c r="G11144" s="18"/>
      <c r="H11144" s="18"/>
      <c r="I11144" s="18"/>
    </row>
    <row r="11145" ht="20.65" customHeight="1">
      <c r="A11145" s="10">
        <v>45884</v>
      </c>
      <c r="B11145" t="s" s="11">
        <v>7</v>
      </c>
      <c r="C11145" t="s" s="12">
        <v>820</v>
      </c>
      <c r="D11145" s="13"/>
      <c r="E11145" s="13">
        <v>50</v>
      </c>
      <c r="F11145" s="14"/>
      <c r="G11145" s="14"/>
      <c r="H11145" s="14"/>
      <c r="I11145" s="14"/>
    </row>
    <row r="11146" ht="20.7" customHeight="1">
      <c r="A11146" s="10">
        <v>45884</v>
      </c>
      <c r="B11146" t="s" s="11">
        <v>8</v>
      </c>
      <c r="C11146" t="s" s="12">
        <v>8</v>
      </c>
      <c r="D11146" s="15" cm="1">
        <f t="array" ref="D11146">SUM(D11144:D11145)</f>
        <v>50</v>
      </c>
      <c r="E11146" s="15" cm="1">
        <f t="array" ref="E11146">SUM(E11144:E11145)</f>
        <v>50</v>
      </c>
      <c r="F11146" s="16" cm="1">
        <f t="array" ref="F11146">SUM(F11144:F11145)</f>
        <v>0</v>
      </c>
      <c r="G11146" s="16" cm="1">
        <f t="array" ref="G11146">SUM(G11144:G11145)</f>
        <v>0</v>
      </c>
      <c r="H11146" s="16" cm="1">
        <f t="array" ref="H11146">SUM(H11144:H11145)</f>
        <v>0</v>
      </c>
      <c r="I11146" s="16" cm="1">
        <f t="array" ref="I11146">SUM(I11144:I11145)</f>
        <v>0</v>
      </c>
    </row>
    <row r="11147" ht="20.35" customHeight="1">
      <c r="A11147" s="10">
        <v>45884</v>
      </c>
      <c r="B11147" t="s" s="11">
        <v>1357</v>
      </c>
      <c r="C11147" t="s" s="12">
        <v>1432</v>
      </c>
      <c r="D11147" s="17"/>
      <c r="E11147" s="17"/>
      <c r="F11147" s="18"/>
      <c r="G11147" s="18"/>
      <c r="H11147" s="18"/>
      <c r="I11147" s="18">
        <v>1350</v>
      </c>
    </row>
    <row r="11148" ht="20.35" customHeight="1">
      <c r="A11148" s="10">
        <v>45884</v>
      </c>
      <c r="B11148" t="s" s="11">
        <v>1191</v>
      </c>
      <c r="C11148" t="s" s="12">
        <v>1432</v>
      </c>
      <c r="D11148" s="13"/>
      <c r="E11148" s="13"/>
      <c r="F11148" s="14"/>
      <c r="G11148" s="14"/>
      <c r="H11148" s="14">
        <v>1350</v>
      </c>
      <c r="I11148" s="14"/>
    </row>
    <row r="11149" ht="20.7" customHeight="1">
      <c r="A11149" s="10">
        <v>45884</v>
      </c>
      <c r="B11149" t="s" s="11">
        <v>8</v>
      </c>
      <c r="C11149" t="s" s="12">
        <v>8</v>
      </c>
      <c r="D11149" s="15" cm="1">
        <f t="array" ref="D11149">SUM(D11147:D11148)</f>
        <v>0</v>
      </c>
      <c r="E11149" s="15" cm="1">
        <f t="array" ref="E11149">SUM(E11147:E11148)</f>
        <v>0</v>
      </c>
      <c r="F11149" s="16" cm="1">
        <f t="array" ref="F11149">SUM(F11147:F11148)</f>
        <v>0</v>
      </c>
      <c r="G11149" s="16" cm="1">
        <f t="array" ref="G11149">SUM(G11147:G11148)</f>
        <v>0</v>
      </c>
      <c r="H11149" s="16" cm="1">
        <f t="array" ref="H11149">SUM(H11147:H11148)</f>
        <v>1350</v>
      </c>
      <c r="I11149" s="16" cm="1">
        <f t="array" ref="I11149">SUM(I11147:I11148)</f>
        <v>1350</v>
      </c>
    </row>
    <row r="11150" ht="20.35" customHeight="1">
      <c r="A11150" s="10">
        <v>45884</v>
      </c>
      <c r="B11150" t="s" s="11">
        <v>89</v>
      </c>
      <c r="C11150" t="s" s="12">
        <v>1433</v>
      </c>
      <c r="D11150" s="17"/>
      <c r="E11150" s="17">
        <v>100000</v>
      </c>
      <c r="F11150" s="18"/>
      <c r="G11150" s="18"/>
      <c r="H11150" s="18"/>
      <c r="I11150" s="18"/>
    </row>
    <row r="11151" ht="20.35" customHeight="1">
      <c r="A11151" s="10">
        <v>45884</v>
      </c>
      <c r="B11151" t="s" s="11">
        <v>21</v>
      </c>
      <c r="C11151" t="s" s="12">
        <v>1433</v>
      </c>
      <c r="D11151" s="13">
        <v>100000</v>
      </c>
      <c r="E11151" s="13"/>
      <c r="F11151" s="14"/>
      <c r="G11151" s="14"/>
      <c r="H11151" s="14"/>
      <c r="I11151" s="14"/>
    </row>
    <row r="11152" ht="20.7" customHeight="1">
      <c r="A11152" s="10">
        <v>45884</v>
      </c>
      <c r="B11152" t="s" s="11">
        <v>8</v>
      </c>
      <c r="C11152" t="s" s="12">
        <v>8</v>
      </c>
      <c r="D11152" s="15" cm="1">
        <f t="array" ref="D11152">SUM(D11150:D11151)</f>
        <v>100000</v>
      </c>
      <c r="E11152" s="15" cm="1">
        <f t="array" ref="E11152">SUM(E11150:E11151)</f>
        <v>100000</v>
      </c>
      <c r="F11152" s="16" cm="1">
        <f t="array" ref="F11152">SUM(F11150:F11151)</f>
        <v>0</v>
      </c>
      <c r="G11152" s="16" cm="1">
        <f t="array" ref="G11152">SUM(G11150:G11151)</f>
        <v>0</v>
      </c>
      <c r="H11152" s="16" cm="1">
        <f t="array" ref="H11152">SUM(H11150:H11151)</f>
        <v>0</v>
      </c>
      <c r="I11152" s="16" cm="1">
        <f t="array" ref="I11152">SUM(I11150:I11151)</f>
        <v>0</v>
      </c>
    </row>
    <row r="11153" ht="20.65" customHeight="1">
      <c r="A11153" s="10">
        <v>45885</v>
      </c>
      <c r="B11153" t="s" s="11">
        <v>814</v>
      </c>
      <c r="C11153" t="s" s="12">
        <v>820</v>
      </c>
      <c r="D11153" s="17">
        <v>50</v>
      </c>
      <c r="E11153" s="17"/>
      <c r="F11153" s="18"/>
      <c r="G11153" s="18"/>
      <c r="H11153" s="18"/>
      <c r="I11153" s="18"/>
    </row>
    <row r="11154" ht="20.65" customHeight="1">
      <c r="A11154" s="10">
        <v>45885</v>
      </c>
      <c r="B11154" t="s" s="11">
        <v>7</v>
      </c>
      <c r="C11154" t="s" s="12">
        <v>820</v>
      </c>
      <c r="D11154" s="13"/>
      <c r="E11154" s="13">
        <v>50</v>
      </c>
      <c r="F11154" s="14"/>
      <c r="G11154" s="14"/>
      <c r="H11154" s="14"/>
      <c r="I11154" s="14"/>
    </row>
    <row r="11155" ht="20.7" customHeight="1">
      <c r="A11155" s="10">
        <v>45885</v>
      </c>
      <c r="B11155" t="s" s="11">
        <v>8</v>
      </c>
      <c r="C11155" t="s" s="12">
        <v>8</v>
      </c>
      <c r="D11155" s="15" cm="1">
        <f t="array" ref="D11155">SUM(D11153:D11154)</f>
        <v>50</v>
      </c>
      <c r="E11155" s="15" cm="1">
        <f t="array" ref="E11155">SUM(E11153:E11154)</f>
        <v>50</v>
      </c>
      <c r="F11155" s="16" cm="1">
        <f t="array" ref="F11155">SUM(F11153:F11154)</f>
        <v>0</v>
      </c>
      <c r="G11155" s="16" cm="1">
        <f t="array" ref="G11155">SUM(G11153:G11154)</f>
        <v>0</v>
      </c>
      <c r="H11155" s="16" cm="1">
        <f t="array" ref="H11155">SUM(H11153:H11154)</f>
        <v>0</v>
      </c>
      <c r="I11155" s="16" cm="1">
        <f t="array" ref="I11155">SUM(I11153:I11154)</f>
        <v>0</v>
      </c>
    </row>
    <row r="11156" ht="20.65" customHeight="1">
      <c r="A11156" s="10">
        <v>45886</v>
      </c>
      <c r="B11156" t="s" s="11">
        <v>814</v>
      </c>
      <c r="C11156" t="s" s="12">
        <v>820</v>
      </c>
      <c r="D11156" s="17">
        <v>50</v>
      </c>
      <c r="E11156" s="17"/>
      <c r="F11156" s="18"/>
      <c r="G11156" s="18"/>
      <c r="H11156" s="18"/>
      <c r="I11156" s="18"/>
    </row>
    <row r="11157" ht="20.65" customHeight="1">
      <c r="A11157" s="10">
        <v>45886</v>
      </c>
      <c r="B11157" t="s" s="11">
        <v>7</v>
      </c>
      <c r="C11157" t="s" s="12">
        <v>820</v>
      </c>
      <c r="D11157" s="13"/>
      <c r="E11157" s="13">
        <v>50</v>
      </c>
      <c r="F11157" s="14"/>
      <c r="G11157" s="14"/>
      <c r="H11157" s="14"/>
      <c r="I11157" s="14"/>
    </row>
    <row r="11158" ht="20.7" customHeight="1">
      <c r="A11158" s="10">
        <v>45886</v>
      </c>
      <c r="B11158" t="s" s="11">
        <v>8</v>
      </c>
      <c r="C11158" t="s" s="12">
        <v>8</v>
      </c>
      <c r="D11158" s="15" cm="1">
        <f t="array" ref="D11158">SUM(D11156:D11157)</f>
        <v>50</v>
      </c>
      <c r="E11158" s="15" cm="1">
        <f t="array" ref="E11158">SUM(E11156:E11157)</f>
        <v>50</v>
      </c>
      <c r="F11158" s="16" cm="1">
        <f t="array" ref="F11158">SUM(F11156:F11157)</f>
        <v>0</v>
      </c>
      <c r="G11158" s="16" cm="1">
        <f t="array" ref="G11158">SUM(G11156:G11157)</f>
        <v>0</v>
      </c>
      <c r="H11158" s="16" cm="1">
        <f t="array" ref="H11158">SUM(H11156:H11157)</f>
        <v>0</v>
      </c>
      <c r="I11158" s="16" cm="1">
        <f t="array" ref="I11158">SUM(I11156:I11157)</f>
        <v>0</v>
      </c>
    </row>
    <row r="11159" ht="20.65" customHeight="1">
      <c r="A11159" s="10">
        <v>45886</v>
      </c>
      <c r="B11159" t="s" s="11">
        <v>107</v>
      </c>
      <c r="C11159" t="s" s="12">
        <v>721</v>
      </c>
      <c r="D11159" s="17"/>
      <c r="E11159" s="17">
        <v>25400</v>
      </c>
      <c r="F11159" s="18"/>
      <c r="G11159" s="18"/>
      <c r="H11159" s="18"/>
      <c r="I11159" s="18"/>
    </row>
    <row r="11160" ht="20.65" customHeight="1">
      <c r="A11160" s="10">
        <v>45886</v>
      </c>
      <c r="B11160" t="s" s="11">
        <v>12</v>
      </c>
      <c r="C11160" t="s" s="12">
        <v>721</v>
      </c>
      <c r="D11160" s="13">
        <v>25400</v>
      </c>
      <c r="E11160" s="13"/>
      <c r="F11160" s="14"/>
      <c r="G11160" s="14"/>
      <c r="H11160" s="14"/>
      <c r="I11160" s="14"/>
    </row>
    <row r="11161" ht="20.7" customHeight="1">
      <c r="A11161" s="10">
        <v>45886</v>
      </c>
      <c r="B11161" t="s" s="11">
        <v>8</v>
      </c>
      <c r="C11161" t="s" s="12">
        <v>8</v>
      </c>
      <c r="D11161" s="15" cm="1">
        <f t="array" ref="D11161">SUM(D11159:D11160)</f>
        <v>25400</v>
      </c>
      <c r="E11161" s="15" cm="1">
        <f t="array" ref="E11161">SUM(E11159:E11160)</f>
        <v>25400</v>
      </c>
      <c r="F11161" s="16" cm="1">
        <f t="array" ref="F11161">SUM(F11159:F11160)</f>
        <v>0</v>
      </c>
      <c r="G11161" s="16" cm="1">
        <f t="array" ref="G11161">SUM(G11159:G11160)</f>
        <v>0</v>
      </c>
      <c r="H11161" s="16" cm="1">
        <f t="array" ref="H11161">SUM(H11159:H11160)</f>
        <v>0</v>
      </c>
      <c r="I11161" s="16" cm="1">
        <f t="array" ref="I11161">SUM(I11159:I11160)</f>
        <v>0</v>
      </c>
    </row>
    <row r="11162" ht="20.65" customHeight="1">
      <c r="A11162" s="10">
        <v>45887</v>
      </c>
      <c r="B11162" t="s" s="11">
        <v>814</v>
      </c>
      <c r="C11162" t="s" s="12">
        <v>820</v>
      </c>
      <c r="D11162" s="17">
        <v>50</v>
      </c>
      <c r="E11162" s="17"/>
      <c r="F11162" s="18"/>
      <c r="G11162" s="18"/>
      <c r="H11162" s="18"/>
      <c r="I11162" s="18"/>
    </row>
    <row r="11163" ht="20.65" customHeight="1">
      <c r="A11163" s="10">
        <v>45887</v>
      </c>
      <c r="B11163" t="s" s="11">
        <v>7</v>
      </c>
      <c r="C11163" t="s" s="12">
        <v>820</v>
      </c>
      <c r="D11163" s="13"/>
      <c r="E11163" s="13">
        <v>50</v>
      </c>
      <c r="F11163" s="14"/>
      <c r="G11163" s="14"/>
      <c r="H11163" s="14"/>
      <c r="I11163" s="14"/>
    </row>
    <row r="11164" ht="20.7" customHeight="1">
      <c r="A11164" s="10">
        <v>45887</v>
      </c>
      <c r="B11164" t="s" s="11">
        <v>8</v>
      </c>
      <c r="C11164" t="s" s="12">
        <v>8</v>
      </c>
      <c r="D11164" s="15" cm="1">
        <f t="array" ref="D11164">SUM(D11162:D11163)</f>
        <v>50</v>
      </c>
      <c r="E11164" s="15" cm="1">
        <f t="array" ref="E11164">SUM(E11162:E11163)</f>
        <v>50</v>
      </c>
      <c r="F11164" s="16" cm="1">
        <f t="array" ref="F11164">SUM(F11162:F11163)</f>
        <v>0</v>
      </c>
      <c r="G11164" s="16" cm="1">
        <f t="array" ref="G11164">SUM(G11162:G11163)</f>
        <v>0</v>
      </c>
      <c r="H11164" s="16" cm="1">
        <f t="array" ref="H11164">SUM(H11162:H11163)</f>
        <v>0</v>
      </c>
      <c r="I11164" s="16" cm="1">
        <f t="array" ref="I11164">SUM(I11162:I11163)</f>
        <v>0</v>
      </c>
    </row>
    <row r="11165" ht="20.35" customHeight="1">
      <c r="A11165" s="10">
        <v>45887</v>
      </c>
      <c r="B11165" t="s" s="11">
        <v>107</v>
      </c>
      <c r="C11165" t="s" s="12">
        <v>1424</v>
      </c>
      <c r="D11165" s="17"/>
      <c r="E11165" s="17">
        <v>267122</v>
      </c>
      <c r="F11165" s="18"/>
      <c r="G11165" s="18"/>
      <c r="H11165" s="18"/>
      <c r="I11165" s="18"/>
    </row>
    <row r="11166" ht="20.35" customHeight="1">
      <c r="A11166" s="10">
        <v>45887</v>
      </c>
      <c r="B11166" t="s" s="11">
        <v>10</v>
      </c>
      <c r="C11166" t="s" s="12">
        <v>1424</v>
      </c>
      <c r="D11166" s="13">
        <v>267122</v>
      </c>
      <c r="E11166" s="13"/>
      <c r="F11166" s="14"/>
      <c r="G11166" s="14"/>
      <c r="H11166" s="14"/>
      <c r="I11166" s="14"/>
    </row>
    <row r="11167" ht="20.7" customHeight="1">
      <c r="A11167" s="10">
        <v>45887</v>
      </c>
      <c r="B11167" t="s" s="11">
        <v>8</v>
      </c>
      <c r="C11167" t="s" s="12">
        <v>8</v>
      </c>
      <c r="D11167" s="15" cm="1">
        <f t="array" ref="D11167">SUM(D11165:D11166)</f>
        <v>267122</v>
      </c>
      <c r="E11167" s="15" cm="1">
        <f t="array" ref="E11167">SUM(E11165:E11166)</f>
        <v>267122</v>
      </c>
      <c r="F11167" s="16" cm="1">
        <f t="array" ref="F11167">SUM(F11165:F11166)</f>
        <v>0</v>
      </c>
      <c r="G11167" s="16" cm="1">
        <f t="array" ref="G11167">SUM(G11165:G11166)</f>
        <v>0</v>
      </c>
      <c r="H11167" s="16" cm="1">
        <f t="array" ref="H11167">SUM(H11165:H11166)</f>
        <v>0</v>
      </c>
      <c r="I11167" s="16" cm="1">
        <f t="array" ref="I11167">SUM(I11165:I11166)</f>
        <v>0</v>
      </c>
    </row>
    <row r="11168" ht="20.35" customHeight="1">
      <c r="A11168" s="10">
        <v>45887</v>
      </c>
      <c r="B11168" t="s" s="11">
        <v>28</v>
      </c>
      <c r="C11168" t="s" s="12">
        <v>468</v>
      </c>
      <c r="D11168" s="17"/>
      <c r="E11168" s="17">
        <v>2900</v>
      </c>
      <c r="F11168" s="18"/>
      <c r="G11168" s="18"/>
      <c r="H11168" s="18"/>
      <c r="I11168" s="18"/>
    </row>
    <row r="11169" ht="20.35" customHeight="1">
      <c r="A11169" s="10">
        <v>45887</v>
      </c>
      <c r="B11169" t="s" s="11">
        <v>12</v>
      </c>
      <c r="C11169" t="s" s="12">
        <v>468</v>
      </c>
      <c r="D11169" s="13">
        <v>2900</v>
      </c>
      <c r="E11169" s="13"/>
      <c r="F11169" s="14"/>
      <c r="G11169" s="14"/>
      <c r="H11169" s="14"/>
      <c r="I11169" s="14"/>
    </row>
    <row r="11170" ht="20.7" customHeight="1">
      <c r="A11170" s="10">
        <v>45887</v>
      </c>
      <c r="B11170" t="s" s="11">
        <v>8</v>
      </c>
      <c r="C11170" t="s" s="12">
        <v>8</v>
      </c>
      <c r="D11170" s="15" cm="1">
        <f t="array" ref="D11170">SUM(D11168:D11169)</f>
        <v>2900</v>
      </c>
      <c r="E11170" s="15" cm="1">
        <f t="array" ref="E11170">SUM(E11168:E11169)</f>
        <v>2900</v>
      </c>
      <c r="F11170" s="16" cm="1">
        <f t="array" ref="F11170">SUM(F11168:F11169)</f>
        <v>0</v>
      </c>
      <c r="G11170" s="16" cm="1">
        <f t="array" ref="G11170">SUM(G11168:G11169)</f>
        <v>0</v>
      </c>
      <c r="H11170" s="16" cm="1">
        <f t="array" ref="H11170">SUM(H11168:H11169)</f>
        <v>0</v>
      </c>
      <c r="I11170" s="16" cm="1">
        <f t="array" ref="I11170">SUM(I11168:I11169)</f>
        <v>0</v>
      </c>
    </row>
    <row r="11171" ht="21.25" customHeight="1">
      <c r="A11171" s="10">
        <v>45887</v>
      </c>
      <c r="B11171" t="s" s="11">
        <v>121</v>
      </c>
      <c r="C11171" t="s" s="12">
        <v>324</v>
      </c>
      <c r="D11171" s="17"/>
      <c r="E11171" s="17">
        <v>1500</v>
      </c>
      <c r="F11171" s="18"/>
      <c r="G11171" s="18"/>
      <c r="H11171" s="18"/>
      <c r="I11171" s="18"/>
    </row>
    <row r="11172" ht="21.25" customHeight="1">
      <c r="A11172" s="10">
        <v>45887</v>
      </c>
      <c r="B11172" t="s" s="11">
        <v>16</v>
      </c>
      <c r="C11172" t="s" s="12">
        <v>324</v>
      </c>
      <c r="D11172" s="13">
        <v>1500</v>
      </c>
      <c r="E11172" s="13"/>
      <c r="F11172" s="14"/>
      <c r="G11172" s="14"/>
      <c r="H11172" s="14"/>
      <c r="I11172" s="14"/>
    </row>
    <row r="11173" ht="20.7" customHeight="1">
      <c r="A11173" s="10">
        <v>45887</v>
      </c>
      <c r="B11173" t="s" s="11">
        <v>8</v>
      </c>
      <c r="C11173" t="s" s="12">
        <v>8</v>
      </c>
      <c r="D11173" s="15" cm="1">
        <f t="array" ref="D11173">SUM(D11171:D11172)</f>
        <v>1500</v>
      </c>
      <c r="E11173" s="15" cm="1">
        <f t="array" ref="E11173">SUM(E11171:E11172)</f>
        <v>1500</v>
      </c>
      <c r="F11173" s="16" cm="1">
        <f t="array" ref="F11173">SUM(F11171:F11172)</f>
        <v>0</v>
      </c>
      <c r="G11173" s="16" cm="1">
        <f t="array" ref="G11173">SUM(G11171:G11172)</f>
        <v>0</v>
      </c>
      <c r="H11173" s="16" cm="1">
        <f t="array" ref="H11173">SUM(H11171:H11172)</f>
        <v>0</v>
      </c>
      <c r="I11173" s="16" cm="1">
        <f t="array" ref="I11173">SUM(I11171:I11172)</f>
        <v>0</v>
      </c>
    </row>
    <row r="11174" ht="21.25" customHeight="1">
      <c r="A11174" s="10">
        <v>45887</v>
      </c>
      <c r="B11174" t="s" s="11">
        <v>121</v>
      </c>
      <c r="C11174" t="s" s="12">
        <v>324</v>
      </c>
      <c r="D11174" s="17"/>
      <c r="E11174" s="17">
        <v>10950</v>
      </c>
      <c r="F11174" s="18"/>
      <c r="G11174" s="18"/>
      <c r="H11174" s="18"/>
      <c r="I11174" s="18"/>
    </row>
    <row r="11175" ht="21.25" customHeight="1">
      <c r="A11175" s="10">
        <v>45887</v>
      </c>
      <c r="B11175" t="s" s="11">
        <v>16</v>
      </c>
      <c r="C11175" t="s" s="12">
        <v>324</v>
      </c>
      <c r="D11175" s="13">
        <v>10950</v>
      </c>
      <c r="E11175" s="13"/>
      <c r="F11175" s="14"/>
      <c r="G11175" s="14"/>
      <c r="H11175" s="14"/>
      <c r="I11175" s="14"/>
    </row>
    <row r="11176" ht="20.7" customHeight="1">
      <c r="A11176" s="10">
        <v>45887</v>
      </c>
      <c r="B11176" t="s" s="11">
        <v>8</v>
      </c>
      <c r="C11176" t="s" s="12">
        <v>8</v>
      </c>
      <c r="D11176" s="15" cm="1">
        <f t="array" ref="D11176">SUM(D11174:D11175)</f>
        <v>10950</v>
      </c>
      <c r="E11176" s="15" cm="1">
        <f t="array" ref="E11176">SUM(E11174:E11175)</f>
        <v>10950</v>
      </c>
      <c r="F11176" s="16" cm="1">
        <f t="array" ref="F11176">SUM(F11174:F11175)</f>
        <v>0</v>
      </c>
      <c r="G11176" s="16" cm="1">
        <f t="array" ref="G11176">SUM(G11174:G11175)</f>
        <v>0</v>
      </c>
      <c r="H11176" s="16" cm="1">
        <f t="array" ref="H11176">SUM(H11174:H11175)</f>
        <v>0</v>
      </c>
      <c r="I11176" s="16" cm="1">
        <f t="array" ref="I11176">SUM(I11174:I11175)</f>
        <v>0</v>
      </c>
    </row>
    <row r="11177" ht="20.65" customHeight="1">
      <c r="A11177" s="10">
        <v>45887</v>
      </c>
      <c r="B11177" t="s" s="11">
        <v>107</v>
      </c>
      <c r="C11177" t="s" s="12">
        <v>1434</v>
      </c>
      <c r="D11177" s="17"/>
      <c r="E11177" s="17">
        <v>6900</v>
      </c>
      <c r="F11177" s="18"/>
      <c r="G11177" s="18"/>
      <c r="H11177" s="18"/>
      <c r="I11177" s="18"/>
    </row>
    <row r="11178" ht="20.65" customHeight="1">
      <c r="A11178" s="10">
        <v>45887</v>
      </c>
      <c r="B11178" t="s" s="11">
        <v>16</v>
      </c>
      <c r="C11178" t="s" s="12">
        <v>1434</v>
      </c>
      <c r="D11178" s="13">
        <v>6900</v>
      </c>
      <c r="E11178" s="13"/>
      <c r="F11178" s="14"/>
      <c r="G11178" s="14"/>
      <c r="H11178" s="14"/>
      <c r="I11178" s="14"/>
    </row>
    <row r="11179" ht="20.7" customHeight="1">
      <c r="A11179" s="10">
        <v>45887</v>
      </c>
      <c r="B11179" t="s" s="11">
        <v>8</v>
      </c>
      <c r="C11179" t="s" s="12">
        <v>8</v>
      </c>
      <c r="D11179" s="15" cm="1">
        <f t="array" ref="D11179">SUM(D11177:D11178)</f>
        <v>6900</v>
      </c>
      <c r="E11179" s="15" cm="1">
        <f t="array" ref="E11179">SUM(E11177:E11178)</f>
        <v>6900</v>
      </c>
      <c r="F11179" s="16" cm="1">
        <f t="array" ref="F11179">SUM(F11177:F11178)</f>
        <v>0</v>
      </c>
      <c r="G11179" s="16" cm="1">
        <f t="array" ref="G11179">SUM(G11177:G11178)</f>
        <v>0</v>
      </c>
      <c r="H11179" s="16" cm="1">
        <f t="array" ref="H11179">SUM(H11177:H11178)</f>
        <v>0</v>
      </c>
      <c r="I11179" s="16" cm="1">
        <f t="array" ref="I11179">SUM(I11177:I11178)</f>
        <v>0</v>
      </c>
    </row>
    <row r="11180" ht="20.65" customHeight="1">
      <c r="A11180" s="10">
        <v>45888</v>
      </c>
      <c r="B11180" t="s" s="11">
        <v>814</v>
      </c>
      <c r="C11180" t="s" s="12">
        <v>820</v>
      </c>
      <c r="D11180" s="17">
        <v>50</v>
      </c>
      <c r="E11180" s="17"/>
      <c r="F11180" s="18"/>
      <c r="G11180" s="18"/>
      <c r="H11180" s="18"/>
      <c r="I11180" s="18"/>
    </row>
    <row r="11181" ht="20.65" customHeight="1">
      <c r="A11181" s="10">
        <v>45888</v>
      </c>
      <c r="B11181" t="s" s="11">
        <v>7</v>
      </c>
      <c r="C11181" t="s" s="12">
        <v>820</v>
      </c>
      <c r="D11181" s="13"/>
      <c r="E11181" s="13">
        <v>50</v>
      </c>
      <c r="F11181" s="14"/>
      <c r="G11181" s="14"/>
      <c r="H11181" s="14"/>
      <c r="I11181" s="14"/>
    </row>
    <row r="11182" ht="20.7" customHeight="1">
      <c r="A11182" s="10">
        <v>45888</v>
      </c>
      <c r="B11182" t="s" s="11">
        <v>8</v>
      </c>
      <c r="C11182" t="s" s="12">
        <v>8</v>
      </c>
      <c r="D11182" s="15" cm="1">
        <f t="array" ref="D11182">SUM(D11180:D11181)</f>
        <v>50</v>
      </c>
      <c r="E11182" s="15" cm="1">
        <f t="array" ref="E11182">SUM(E11180:E11181)</f>
        <v>50</v>
      </c>
      <c r="F11182" s="16" cm="1">
        <f t="array" ref="F11182">SUM(F11180:F11181)</f>
        <v>0</v>
      </c>
      <c r="G11182" s="16" cm="1">
        <f t="array" ref="G11182">SUM(G11180:G11181)</f>
        <v>0</v>
      </c>
      <c r="H11182" s="16" cm="1">
        <f t="array" ref="H11182">SUM(H11180:H11181)</f>
        <v>0</v>
      </c>
      <c r="I11182" s="16" cm="1">
        <f t="array" ref="I11182">SUM(I11180:I11181)</f>
        <v>0</v>
      </c>
    </row>
    <row r="11183" ht="20.65" customHeight="1">
      <c r="A11183" s="10">
        <v>45888</v>
      </c>
      <c r="B11183" t="s" s="11">
        <v>107</v>
      </c>
      <c r="C11183" t="s" s="12">
        <v>1296</v>
      </c>
      <c r="D11183" s="17"/>
      <c r="E11183" s="17">
        <v>2200</v>
      </c>
      <c r="F11183" s="18"/>
      <c r="G11183" s="18"/>
      <c r="H11183" s="18"/>
      <c r="I11183" s="18"/>
    </row>
    <row r="11184" ht="20.65" customHeight="1">
      <c r="A11184" s="10">
        <v>45888</v>
      </c>
      <c r="B11184" t="s" s="11">
        <v>12</v>
      </c>
      <c r="C11184" t="s" s="12">
        <v>1296</v>
      </c>
      <c r="D11184" s="13">
        <v>2200</v>
      </c>
      <c r="E11184" s="13"/>
      <c r="F11184" s="14"/>
      <c r="G11184" s="14"/>
      <c r="H11184" s="14"/>
      <c r="I11184" s="14"/>
    </row>
    <row r="11185" ht="20.7" customHeight="1">
      <c r="A11185" s="10">
        <v>45888</v>
      </c>
      <c r="B11185" t="s" s="11">
        <v>8</v>
      </c>
      <c r="C11185" t="s" s="12">
        <v>8</v>
      </c>
      <c r="D11185" s="15" cm="1">
        <f t="array" ref="D11185">SUM(D11183:D11184)</f>
        <v>2200</v>
      </c>
      <c r="E11185" s="15" cm="1">
        <f t="array" ref="E11185">SUM(E11183:E11184)</f>
        <v>2200</v>
      </c>
      <c r="F11185" s="16" cm="1">
        <f t="array" ref="F11185">SUM(F11183:F11184)</f>
        <v>0</v>
      </c>
      <c r="G11185" s="16" cm="1">
        <f t="array" ref="G11185">SUM(G11183:G11184)</f>
        <v>0</v>
      </c>
      <c r="H11185" s="16" cm="1">
        <f t="array" ref="H11185">SUM(H11183:H11184)</f>
        <v>0</v>
      </c>
      <c r="I11185" s="16" cm="1">
        <f t="array" ref="I11185">SUM(I11183:I11184)</f>
        <v>0</v>
      </c>
    </row>
    <row r="11186" ht="20.65" customHeight="1">
      <c r="A11186" s="10">
        <v>45888</v>
      </c>
      <c r="B11186" t="s" s="11">
        <v>28</v>
      </c>
      <c r="C11186" t="s" s="12">
        <v>218</v>
      </c>
      <c r="D11186" s="17"/>
      <c r="E11186" s="17">
        <v>5000</v>
      </c>
      <c r="F11186" s="18"/>
      <c r="G11186" s="18"/>
      <c r="H11186" s="18"/>
      <c r="I11186" s="18"/>
    </row>
    <row r="11187" ht="20.65" customHeight="1">
      <c r="A11187" s="10">
        <v>45888</v>
      </c>
      <c r="B11187" t="s" s="11">
        <v>12</v>
      </c>
      <c r="C11187" t="s" s="12">
        <v>218</v>
      </c>
      <c r="D11187" s="13">
        <v>5000</v>
      </c>
      <c r="E11187" s="13"/>
      <c r="F11187" s="14"/>
      <c r="G11187" s="14"/>
      <c r="H11187" s="14"/>
      <c r="I11187" s="14"/>
    </row>
    <row r="11188" ht="20.7" customHeight="1">
      <c r="A11188" s="10">
        <v>45888</v>
      </c>
      <c r="B11188" t="s" s="11">
        <v>8</v>
      </c>
      <c r="C11188" t="s" s="12">
        <v>8</v>
      </c>
      <c r="D11188" s="15" cm="1">
        <f t="array" ref="D11188">SUM(D11186:D11187)</f>
        <v>5000</v>
      </c>
      <c r="E11188" s="15" cm="1">
        <f t="array" ref="E11188">SUM(E11186:E11187)</f>
        <v>5000</v>
      </c>
      <c r="F11188" s="16" cm="1">
        <f t="array" ref="F11188">SUM(F11186:F11187)</f>
        <v>0</v>
      </c>
      <c r="G11188" s="16" cm="1">
        <f t="array" ref="G11188">SUM(G11186:G11187)</f>
        <v>0</v>
      </c>
      <c r="H11188" s="16" cm="1">
        <f t="array" ref="H11188">SUM(H11186:H11187)</f>
        <v>0</v>
      </c>
      <c r="I11188" s="16" cm="1">
        <f t="array" ref="I11188">SUM(I11186:I11187)</f>
        <v>0</v>
      </c>
    </row>
    <row r="11189" ht="20.65" customHeight="1">
      <c r="A11189" s="10">
        <v>45889</v>
      </c>
      <c r="B11189" t="s" s="11">
        <v>814</v>
      </c>
      <c r="C11189" t="s" s="12">
        <v>820</v>
      </c>
      <c r="D11189" s="17">
        <v>50</v>
      </c>
      <c r="E11189" s="17"/>
      <c r="F11189" s="18"/>
      <c r="G11189" s="18"/>
      <c r="H11189" s="18"/>
      <c r="I11189" s="18"/>
    </row>
    <row r="11190" ht="20.65" customHeight="1">
      <c r="A11190" s="10">
        <v>45889</v>
      </c>
      <c r="B11190" t="s" s="11">
        <v>7</v>
      </c>
      <c r="C11190" t="s" s="12">
        <v>820</v>
      </c>
      <c r="D11190" s="13"/>
      <c r="E11190" s="13">
        <v>50</v>
      </c>
      <c r="F11190" s="14"/>
      <c r="G11190" s="14"/>
      <c r="H11190" s="14"/>
      <c r="I11190" s="14"/>
    </row>
    <row r="11191" ht="20.7" customHeight="1">
      <c r="A11191" s="10">
        <v>45889</v>
      </c>
      <c r="B11191" t="s" s="11">
        <v>8</v>
      </c>
      <c r="C11191" t="s" s="12">
        <v>8</v>
      </c>
      <c r="D11191" s="15" cm="1">
        <f t="array" ref="D11191">SUM(D11189:D11190)</f>
        <v>50</v>
      </c>
      <c r="E11191" s="15" cm="1">
        <f t="array" ref="E11191">SUM(E11189:E11190)</f>
        <v>50</v>
      </c>
      <c r="F11191" s="16" cm="1">
        <f t="array" ref="F11191">SUM(F11189:F11190)</f>
        <v>0</v>
      </c>
      <c r="G11191" s="16" cm="1">
        <f t="array" ref="G11191">SUM(G11189:G11190)</f>
        <v>0</v>
      </c>
      <c r="H11191" s="16" cm="1">
        <f t="array" ref="H11191">SUM(H11189:H11190)</f>
        <v>0</v>
      </c>
      <c r="I11191" s="16" cm="1">
        <f t="array" ref="I11191">SUM(I11189:I11190)</f>
        <v>0</v>
      </c>
    </row>
    <row r="11192" ht="20.35" customHeight="1">
      <c r="A11192" s="10">
        <v>45889</v>
      </c>
      <c r="B11192" t="s" s="11">
        <v>107</v>
      </c>
      <c r="C11192" t="s" s="12">
        <v>54</v>
      </c>
      <c r="D11192" s="17"/>
      <c r="E11192" s="17">
        <v>3300</v>
      </c>
      <c r="F11192" s="18"/>
      <c r="G11192" s="18"/>
      <c r="H11192" s="18"/>
      <c r="I11192" s="18"/>
    </row>
    <row r="11193" ht="20.35" customHeight="1">
      <c r="A11193" s="10">
        <v>45889</v>
      </c>
      <c r="B11193" t="s" s="11">
        <v>10</v>
      </c>
      <c r="C11193" t="s" s="12">
        <v>54</v>
      </c>
      <c r="D11193" s="13">
        <v>3300</v>
      </c>
      <c r="E11193" s="13"/>
      <c r="F11193" s="14"/>
      <c r="G11193" s="14"/>
      <c r="H11193" s="14"/>
      <c r="I11193" s="14"/>
    </row>
    <row r="11194" ht="20.7" customHeight="1">
      <c r="A11194" s="10">
        <v>45889</v>
      </c>
      <c r="B11194" t="s" s="11">
        <v>8</v>
      </c>
      <c r="C11194" t="s" s="12">
        <v>8</v>
      </c>
      <c r="D11194" s="15" cm="1">
        <f t="array" ref="D11194">SUM(D11192:D11193)</f>
        <v>3300</v>
      </c>
      <c r="E11194" s="15" cm="1">
        <f t="array" ref="E11194">SUM(E11192:E11193)</f>
        <v>3300</v>
      </c>
      <c r="F11194" s="16" cm="1">
        <f t="array" ref="F11194">SUM(F11192:F11193)</f>
        <v>0</v>
      </c>
      <c r="G11194" s="16" cm="1">
        <f t="array" ref="G11194">SUM(G11192:G11193)</f>
        <v>0</v>
      </c>
      <c r="H11194" s="16" cm="1">
        <f t="array" ref="H11194">SUM(H11192:H11193)</f>
        <v>0</v>
      </c>
      <c r="I11194" s="16" cm="1">
        <f t="array" ref="I11194">SUM(I11192:I11193)</f>
        <v>0</v>
      </c>
    </row>
    <row r="11195" ht="20.65" customHeight="1">
      <c r="A11195" s="10">
        <v>45890</v>
      </c>
      <c r="B11195" t="s" s="11">
        <v>814</v>
      </c>
      <c r="C11195" t="s" s="12">
        <v>820</v>
      </c>
      <c r="D11195" s="17">
        <v>50</v>
      </c>
      <c r="E11195" s="17"/>
      <c r="F11195" s="18"/>
      <c r="G11195" s="18"/>
      <c r="H11195" s="18"/>
      <c r="I11195" s="18"/>
    </row>
    <row r="11196" ht="20.65" customHeight="1">
      <c r="A11196" s="10">
        <v>45890</v>
      </c>
      <c r="B11196" t="s" s="11">
        <v>7</v>
      </c>
      <c r="C11196" t="s" s="12">
        <v>820</v>
      </c>
      <c r="D11196" s="13"/>
      <c r="E11196" s="13">
        <v>50</v>
      </c>
      <c r="F11196" s="14"/>
      <c r="G11196" s="14"/>
      <c r="H11196" s="14"/>
      <c r="I11196" s="14"/>
    </row>
    <row r="11197" ht="20.7" customHeight="1">
      <c r="A11197" s="10">
        <v>45890</v>
      </c>
      <c r="B11197" t="s" s="11">
        <v>8</v>
      </c>
      <c r="C11197" t="s" s="12">
        <v>8</v>
      </c>
      <c r="D11197" s="15" cm="1">
        <f t="array" ref="D11197">SUM(D11195:D11196)</f>
        <v>50</v>
      </c>
      <c r="E11197" s="15" cm="1">
        <f t="array" ref="E11197">SUM(E11195:E11196)</f>
        <v>50</v>
      </c>
      <c r="F11197" s="16" cm="1">
        <f t="array" ref="F11197">SUM(F11195:F11196)</f>
        <v>0</v>
      </c>
      <c r="G11197" s="16" cm="1">
        <f t="array" ref="G11197">SUM(G11195:G11196)</f>
        <v>0</v>
      </c>
      <c r="H11197" s="16" cm="1">
        <f t="array" ref="H11197">SUM(H11195:H11196)</f>
        <v>0</v>
      </c>
      <c r="I11197" s="16" cm="1">
        <f t="array" ref="I11197">SUM(I11195:I11196)</f>
        <v>0</v>
      </c>
    </row>
    <row r="11198" ht="20.65" customHeight="1">
      <c r="A11198" s="10">
        <v>45891</v>
      </c>
      <c r="B11198" t="s" s="11">
        <v>814</v>
      </c>
      <c r="C11198" t="s" s="12">
        <v>820</v>
      </c>
      <c r="D11198" s="17">
        <v>50</v>
      </c>
      <c r="E11198" s="17"/>
      <c r="F11198" s="18"/>
      <c r="G11198" s="18"/>
      <c r="H11198" s="18"/>
      <c r="I11198" s="18"/>
    </row>
    <row r="11199" ht="20.65" customHeight="1">
      <c r="A11199" s="10">
        <v>45891</v>
      </c>
      <c r="B11199" t="s" s="11">
        <v>7</v>
      </c>
      <c r="C11199" t="s" s="12">
        <v>820</v>
      </c>
      <c r="D11199" s="13"/>
      <c r="E11199" s="13">
        <v>50</v>
      </c>
      <c r="F11199" s="14"/>
      <c r="G11199" s="14"/>
      <c r="H11199" s="14"/>
      <c r="I11199" s="14"/>
    </row>
    <row r="11200" ht="20.7" customHeight="1">
      <c r="A11200" s="10">
        <v>45891</v>
      </c>
      <c r="B11200" t="s" s="11">
        <v>8</v>
      </c>
      <c r="C11200" t="s" s="12">
        <v>8</v>
      </c>
      <c r="D11200" s="15" cm="1">
        <f t="array" ref="D11200">SUM(D11198:D11199)</f>
        <v>50</v>
      </c>
      <c r="E11200" s="15" cm="1">
        <f t="array" ref="E11200">SUM(E11198:E11199)</f>
        <v>50</v>
      </c>
      <c r="F11200" s="16" cm="1">
        <f t="array" ref="F11200">SUM(F11198:F11199)</f>
        <v>0</v>
      </c>
      <c r="G11200" s="16" cm="1">
        <f t="array" ref="G11200">SUM(G11198:G11199)</f>
        <v>0</v>
      </c>
      <c r="H11200" s="16" cm="1">
        <f t="array" ref="H11200">SUM(H11198:H11199)</f>
        <v>0</v>
      </c>
      <c r="I11200" s="16" cm="1">
        <f t="array" ref="I11200">SUM(I11198:I11199)</f>
        <v>0</v>
      </c>
    </row>
    <row r="11201" ht="20.35" customHeight="1">
      <c r="A11201" s="10">
        <v>45891</v>
      </c>
      <c r="B11201" t="s" s="11">
        <v>107</v>
      </c>
      <c r="C11201" t="s" s="12">
        <v>1312</v>
      </c>
      <c r="D11201" s="17"/>
      <c r="E11201" s="17">
        <v>32075</v>
      </c>
      <c r="F11201" s="18"/>
      <c r="G11201" s="18"/>
      <c r="H11201" s="18"/>
      <c r="I11201" s="18"/>
    </row>
    <row r="11202" ht="20.35" customHeight="1">
      <c r="A11202" s="10">
        <v>45891</v>
      </c>
      <c r="B11202" t="s" s="11">
        <v>10</v>
      </c>
      <c r="C11202" t="s" s="12">
        <v>1312</v>
      </c>
      <c r="D11202" s="13">
        <v>32075</v>
      </c>
      <c r="E11202" s="13"/>
      <c r="F11202" s="14"/>
      <c r="G11202" s="14"/>
      <c r="H11202" s="14"/>
      <c r="I11202" s="14"/>
    </row>
    <row r="11203" ht="20.7" customHeight="1">
      <c r="A11203" s="10">
        <v>45891</v>
      </c>
      <c r="B11203" t="s" s="11">
        <v>8</v>
      </c>
      <c r="C11203" t="s" s="12">
        <v>8</v>
      </c>
      <c r="D11203" s="15" cm="1">
        <f t="array" ref="D11203">SUM(D11201:D11202)</f>
        <v>32075</v>
      </c>
      <c r="E11203" s="15" cm="1">
        <f t="array" ref="E11203">SUM(E11201:E11202)</f>
        <v>32075</v>
      </c>
      <c r="F11203" s="16" cm="1">
        <f t="array" ref="F11203">SUM(F11201:F11202)</f>
        <v>0</v>
      </c>
      <c r="G11203" s="16" cm="1">
        <f t="array" ref="G11203">SUM(G11201:G11202)</f>
        <v>0</v>
      </c>
      <c r="H11203" s="16" cm="1">
        <f t="array" ref="H11203">SUM(H11201:H11202)</f>
        <v>0</v>
      </c>
      <c r="I11203" s="16" cm="1">
        <f t="array" ref="I11203">SUM(I11201:I11202)</f>
        <v>0</v>
      </c>
    </row>
    <row r="11204" ht="21.25" customHeight="1">
      <c r="A11204" s="10">
        <v>45891</v>
      </c>
      <c r="B11204" t="s" s="11">
        <v>28</v>
      </c>
      <c r="C11204" t="s" s="12">
        <v>276</v>
      </c>
      <c r="D11204" s="17"/>
      <c r="E11204" s="17">
        <v>13000</v>
      </c>
      <c r="F11204" s="18"/>
      <c r="G11204" s="18"/>
      <c r="H11204" s="18"/>
      <c r="I11204" s="18"/>
    </row>
    <row r="11205" ht="21.25" customHeight="1">
      <c r="A11205" s="10">
        <v>45891</v>
      </c>
      <c r="B11205" t="s" s="11">
        <v>10</v>
      </c>
      <c r="C11205" t="s" s="12">
        <v>276</v>
      </c>
      <c r="D11205" s="13">
        <v>13000</v>
      </c>
      <c r="E11205" s="13"/>
      <c r="F11205" s="14"/>
      <c r="G11205" s="14"/>
      <c r="H11205" s="14"/>
      <c r="I11205" s="14"/>
    </row>
    <row r="11206" ht="20.7" customHeight="1">
      <c r="A11206" s="10">
        <v>45891</v>
      </c>
      <c r="B11206" t="s" s="11">
        <v>8</v>
      </c>
      <c r="C11206" t="s" s="12">
        <v>8</v>
      </c>
      <c r="D11206" s="15" cm="1">
        <f t="array" ref="D11206">SUM(D11204:D11205)</f>
        <v>13000</v>
      </c>
      <c r="E11206" s="15" cm="1">
        <f t="array" ref="E11206">SUM(E11204:E11205)</f>
        <v>13000</v>
      </c>
      <c r="F11206" s="16" cm="1">
        <f t="array" ref="F11206">SUM(F11204:F11205)</f>
        <v>0</v>
      </c>
      <c r="G11206" s="16" cm="1">
        <f t="array" ref="G11206">SUM(G11204:G11205)</f>
        <v>0</v>
      </c>
      <c r="H11206" s="16" cm="1">
        <f t="array" ref="H11206">SUM(H11204:H11205)</f>
        <v>0</v>
      </c>
      <c r="I11206" s="16" cm="1">
        <f t="array" ref="I11206">SUM(I11204:I11205)</f>
        <v>0</v>
      </c>
    </row>
    <row r="11207" ht="20.35" customHeight="1">
      <c r="A11207" s="10">
        <v>45891</v>
      </c>
      <c r="B11207" t="s" s="11">
        <v>39</v>
      </c>
      <c r="C11207" t="s" s="12">
        <v>1435</v>
      </c>
      <c r="D11207" s="17"/>
      <c r="E11207" s="17"/>
      <c r="F11207" s="18"/>
      <c r="G11207" s="18">
        <v>40</v>
      </c>
      <c r="H11207" s="18"/>
      <c r="I11207" s="18"/>
    </row>
    <row r="11208" ht="20.35" customHeight="1">
      <c r="A11208" s="10">
        <v>45891</v>
      </c>
      <c r="B11208" t="s" s="11">
        <v>44</v>
      </c>
      <c r="C11208" t="s" s="12">
        <v>1435</v>
      </c>
      <c r="D11208" s="13"/>
      <c r="E11208" s="13"/>
      <c r="F11208" s="14">
        <v>40</v>
      </c>
      <c r="G11208" s="14"/>
      <c r="H11208" s="14"/>
      <c r="I11208" s="14"/>
    </row>
    <row r="11209" ht="20.7" customHeight="1">
      <c r="A11209" s="10">
        <v>45891</v>
      </c>
      <c r="B11209" t="s" s="11">
        <v>8</v>
      </c>
      <c r="C11209" t="s" s="12">
        <v>8</v>
      </c>
      <c r="D11209" s="15" cm="1">
        <f t="array" ref="D11209">SUM(D11207:D11208)</f>
        <v>0</v>
      </c>
      <c r="E11209" s="15" cm="1">
        <f t="array" ref="E11209">SUM(E11207:E11208)</f>
        <v>0</v>
      </c>
      <c r="F11209" s="16" cm="1">
        <f t="array" ref="F11209">SUM(F11207:F11208)</f>
        <v>40</v>
      </c>
      <c r="G11209" s="16" cm="1">
        <f t="array" ref="G11209">SUM(G11207:G11208)</f>
        <v>40</v>
      </c>
      <c r="H11209" s="16" cm="1">
        <f t="array" ref="H11209">SUM(H11207:H11208)</f>
        <v>0</v>
      </c>
      <c r="I11209" s="16" cm="1">
        <f t="array" ref="I11209">SUM(I11207:I11208)</f>
        <v>0</v>
      </c>
    </row>
    <row r="11210" ht="20.65" customHeight="1">
      <c r="A11210" s="10">
        <v>45892</v>
      </c>
      <c r="B11210" t="s" s="11">
        <v>814</v>
      </c>
      <c r="C11210" t="s" s="12">
        <v>820</v>
      </c>
      <c r="D11210" s="17">
        <v>50</v>
      </c>
      <c r="E11210" s="17"/>
      <c r="F11210" s="18"/>
      <c r="G11210" s="18"/>
      <c r="H11210" s="18"/>
      <c r="I11210" s="18"/>
    </row>
    <row r="11211" ht="20.65" customHeight="1">
      <c r="A11211" s="10">
        <v>45892</v>
      </c>
      <c r="B11211" t="s" s="11">
        <v>7</v>
      </c>
      <c r="C11211" t="s" s="12">
        <v>820</v>
      </c>
      <c r="D11211" s="13"/>
      <c r="E11211" s="13">
        <v>50</v>
      </c>
      <c r="F11211" s="14"/>
      <c r="G11211" s="14"/>
      <c r="H11211" s="14"/>
      <c r="I11211" s="14"/>
    </row>
    <row r="11212" ht="20.7" customHeight="1">
      <c r="A11212" s="10">
        <v>45892</v>
      </c>
      <c r="B11212" t="s" s="11">
        <v>8</v>
      </c>
      <c r="C11212" t="s" s="12">
        <v>8</v>
      </c>
      <c r="D11212" s="15" cm="1">
        <f t="array" ref="D11212">SUM(D11210:D11211)</f>
        <v>50</v>
      </c>
      <c r="E11212" s="15" cm="1">
        <f t="array" ref="E11212">SUM(E11210:E11211)</f>
        <v>50</v>
      </c>
      <c r="F11212" s="16" cm="1">
        <f t="array" ref="F11212">SUM(F11210:F11211)</f>
        <v>0</v>
      </c>
      <c r="G11212" s="16" cm="1">
        <f t="array" ref="G11212">SUM(G11210:G11211)</f>
        <v>0</v>
      </c>
      <c r="H11212" s="16" cm="1">
        <f t="array" ref="H11212">SUM(H11210:H11211)</f>
        <v>0</v>
      </c>
      <c r="I11212" s="16" cm="1">
        <f t="array" ref="I11212">SUM(I11210:I11211)</f>
        <v>0</v>
      </c>
    </row>
    <row r="11213" ht="21.25" customHeight="1">
      <c r="A11213" s="10">
        <v>45892</v>
      </c>
      <c r="B11213" t="s" s="11">
        <v>28</v>
      </c>
      <c r="C11213" t="s" s="12">
        <v>1436</v>
      </c>
      <c r="D11213" s="17"/>
      <c r="E11213" s="17">
        <v>8700</v>
      </c>
      <c r="F11213" s="18"/>
      <c r="G11213" s="18"/>
      <c r="H11213" s="18"/>
      <c r="I11213" s="18"/>
    </row>
    <row r="11214" ht="21.25" customHeight="1">
      <c r="A11214" s="10">
        <v>45892</v>
      </c>
      <c r="B11214" t="s" s="11">
        <v>12</v>
      </c>
      <c r="C11214" t="s" s="12">
        <v>1436</v>
      </c>
      <c r="D11214" s="13">
        <v>8700</v>
      </c>
      <c r="E11214" s="13"/>
      <c r="F11214" s="14"/>
      <c r="G11214" s="14"/>
      <c r="H11214" s="14"/>
      <c r="I11214" s="14"/>
    </row>
    <row r="11215" ht="20.7" customHeight="1">
      <c r="A11215" s="10">
        <v>45892</v>
      </c>
      <c r="B11215" t="s" s="11">
        <v>8</v>
      </c>
      <c r="C11215" t="s" s="12">
        <v>8</v>
      </c>
      <c r="D11215" s="15" cm="1">
        <f t="array" ref="D11215">SUM(D11213:D11214)</f>
        <v>8700</v>
      </c>
      <c r="E11215" s="15" cm="1">
        <f t="array" ref="E11215">SUM(E11213:E11214)</f>
        <v>8700</v>
      </c>
      <c r="F11215" s="16" cm="1">
        <f t="array" ref="F11215">SUM(F11213:F11214)</f>
        <v>0</v>
      </c>
      <c r="G11215" s="16" cm="1">
        <f t="array" ref="G11215">SUM(G11213:G11214)</f>
        <v>0</v>
      </c>
      <c r="H11215" s="16" cm="1">
        <f t="array" ref="H11215">SUM(H11213:H11214)</f>
        <v>0</v>
      </c>
      <c r="I11215" s="16" cm="1">
        <f t="array" ref="I11215">SUM(I11213:I11214)</f>
        <v>0</v>
      </c>
    </row>
    <row r="11216" ht="20.35" customHeight="1">
      <c r="A11216" s="10">
        <v>45892</v>
      </c>
      <c r="B11216" t="s" s="11">
        <v>39</v>
      </c>
      <c r="C11216" t="s" s="12">
        <v>64</v>
      </c>
      <c r="D11216" s="17"/>
      <c r="E11216" s="17"/>
      <c r="F11216" s="18">
        <v>50</v>
      </c>
      <c r="G11216" s="18"/>
      <c r="H11216" s="18"/>
      <c r="I11216" s="18"/>
    </row>
    <row r="11217" ht="20.35" customHeight="1">
      <c r="A11217" s="10">
        <v>45892</v>
      </c>
      <c r="B11217" t="s" s="11">
        <v>41</v>
      </c>
      <c r="C11217" t="s" s="12">
        <v>64</v>
      </c>
      <c r="D11217" s="13"/>
      <c r="E11217" s="13"/>
      <c r="F11217" s="14"/>
      <c r="G11217" s="14">
        <v>50</v>
      </c>
      <c r="H11217" s="14"/>
      <c r="I11217" s="14"/>
    </row>
    <row r="11218" ht="20.7" customHeight="1">
      <c r="A11218" s="10">
        <v>45892</v>
      </c>
      <c r="B11218" t="s" s="11">
        <v>8</v>
      </c>
      <c r="C11218" t="s" s="12">
        <v>8</v>
      </c>
      <c r="D11218" s="15" cm="1">
        <f t="array" ref="D11218">SUM(D11216:D11217)</f>
        <v>0</v>
      </c>
      <c r="E11218" s="15" cm="1">
        <f t="array" ref="E11218">SUM(E11216:E11217)</f>
        <v>0</v>
      </c>
      <c r="F11218" s="16" cm="1">
        <f t="array" ref="F11218">SUM(F11216:F11217)</f>
        <v>50</v>
      </c>
      <c r="G11218" s="16" cm="1">
        <f t="array" ref="G11218">SUM(G11216:G11217)</f>
        <v>50</v>
      </c>
      <c r="H11218" s="16" cm="1">
        <f t="array" ref="H11218">SUM(H11216:H11217)</f>
        <v>0</v>
      </c>
      <c r="I11218" s="16" cm="1">
        <f t="array" ref="I11218">SUM(I11216:I11217)</f>
        <v>0</v>
      </c>
    </row>
    <row r="11219" ht="21.25" customHeight="1">
      <c r="A11219" s="10">
        <v>45892</v>
      </c>
      <c r="B11219" t="s" s="11">
        <v>28</v>
      </c>
      <c r="C11219" t="s" s="12">
        <v>1437</v>
      </c>
      <c r="D11219" s="17"/>
      <c r="E11219" s="17">
        <v>14000</v>
      </c>
      <c r="F11219" s="18"/>
      <c r="G11219" s="18"/>
      <c r="H11219" s="18"/>
      <c r="I11219" s="18"/>
    </row>
    <row r="11220" ht="21.25" customHeight="1">
      <c r="A11220" s="10">
        <v>45892</v>
      </c>
      <c r="B11220" t="s" s="11">
        <v>12</v>
      </c>
      <c r="C11220" t="s" s="12">
        <v>1437</v>
      </c>
      <c r="D11220" s="13">
        <v>14000</v>
      </c>
      <c r="E11220" s="13"/>
      <c r="F11220" s="14"/>
      <c r="G11220" s="14"/>
      <c r="H11220" s="14"/>
      <c r="I11220" s="14"/>
    </row>
    <row r="11221" ht="20.7" customHeight="1">
      <c r="A11221" s="10">
        <v>45892</v>
      </c>
      <c r="B11221" t="s" s="11">
        <v>8</v>
      </c>
      <c r="C11221" t="s" s="12">
        <v>8</v>
      </c>
      <c r="D11221" s="15" cm="1">
        <f t="array" ref="D11221">SUM(D11219:D11220)</f>
        <v>14000</v>
      </c>
      <c r="E11221" s="15" cm="1">
        <f t="array" ref="E11221">SUM(E11219:E11220)</f>
        <v>14000</v>
      </c>
      <c r="F11221" s="16" cm="1">
        <f t="array" ref="F11221">SUM(F11219:F11220)</f>
        <v>0</v>
      </c>
      <c r="G11221" s="16" cm="1">
        <f t="array" ref="G11221">SUM(G11219:G11220)</f>
        <v>0</v>
      </c>
      <c r="H11221" s="16" cm="1">
        <f t="array" ref="H11221">SUM(H11219:H11220)</f>
        <v>0</v>
      </c>
      <c r="I11221" s="16" cm="1">
        <f t="array" ref="I11221">SUM(I11219:I11220)</f>
        <v>0</v>
      </c>
    </row>
    <row r="11222" ht="20.65" customHeight="1">
      <c r="A11222" s="10">
        <v>45893</v>
      </c>
      <c r="B11222" t="s" s="11">
        <v>814</v>
      </c>
      <c r="C11222" t="s" s="12">
        <v>820</v>
      </c>
      <c r="D11222" s="17">
        <v>50</v>
      </c>
      <c r="E11222" s="17"/>
      <c r="F11222" s="18"/>
      <c r="G11222" s="18"/>
      <c r="H11222" s="18"/>
      <c r="I11222" s="18"/>
    </row>
    <row r="11223" ht="20.65" customHeight="1">
      <c r="A11223" s="10">
        <v>45893</v>
      </c>
      <c r="B11223" t="s" s="11">
        <v>7</v>
      </c>
      <c r="C11223" t="s" s="12">
        <v>820</v>
      </c>
      <c r="D11223" s="13"/>
      <c r="E11223" s="13">
        <v>50</v>
      </c>
      <c r="F11223" s="14"/>
      <c r="G11223" s="14"/>
      <c r="H11223" s="14"/>
      <c r="I11223" s="14"/>
    </row>
    <row r="11224" ht="20.7" customHeight="1">
      <c r="A11224" s="10">
        <v>45893</v>
      </c>
      <c r="B11224" t="s" s="11">
        <v>8</v>
      </c>
      <c r="C11224" t="s" s="12">
        <v>8</v>
      </c>
      <c r="D11224" s="15" cm="1">
        <f t="array" ref="D11224">SUM(D11222:D11223)</f>
        <v>50</v>
      </c>
      <c r="E11224" s="15" cm="1">
        <f t="array" ref="E11224">SUM(E11222:E11223)</f>
        <v>50</v>
      </c>
      <c r="F11224" s="16" cm="1">
        <f t="array" ref="F11224">SUM(F11222:F11223)</f>
        <v>0</v>
      </c>
      <c r="G11224" s="16" cm="1">
        <f t="array" ref="G11224">SUM(G11222:G11223)</f>
        <v>0</v>
      </c>
      <c r="H11224" s="16" cm="1">
        <f t="array" ref="H11224">SUM(H11222:H11223)</f>
        <v>0</v>
      </c>
      <c r="I11224" s="16" cm="1">
        <f t="array" ref="I11224">SUM(I11222:I11223)</f>
        <v>0</v>
      </c>
    </row>
    <row r="11225" ht="20.35" customHeight="1">
      <c r="A11225" s="10">
        <v>45893</v>
      </c>
      <c r="B11225" t="s" s="11">
        <v>107</v>
      </c>
      <c r="C11225" t="s" s="12">
        <v>53</v>
      </c>
      <c r="D11225" s="17"/>
      <c r="E11225" s="17">
        <v>10000</v>
      </c>
      <c r="F11225" s="18"/>
      <c r="G11225" s="18"/>
      <c r="H11225" s="18"/>
      <c r="I11225" s="18"/>
    </row>
    <row r="11226" ht="20.35" customHeight="1">
      <c r="A11226" s="10">
        <v>45893</v>
      </c>
      <c r="B11226" t="s" s="11">
        <v>12</v>
      </c>
      <c r="C11226" t="s" s="12">
        <v>53</v>
      </c>
      <c r="D11226" s="13">
        <v>10000</v>
      </c>
      <c r="E11226" s="13"/>
      <c r="F11226" s="14"/>
      <c r="G11226" s="14"/>
      <c r="H11226" s="14"/>
      <c r="I11226" s="14"/>
    </row>
    <row r="11227" ht="20.7" customHeight="1">
      <c r="A11227" s="10">
        <v>45893</v>
      </c>
      <c r="B11227" t="s" s="11">
        <v>8</v>
      </c>
      <c r="C11227" t="s" s="12">
        <v>8</v>
      </c>
      <c r="D11227" s="15" cm="1">
        <f t="array" ref="D11227">SUM(D11225:D11226)</f>
        <v>10000</v>
      </c>
      <c r="E11227" s="15" cm="1">
        <f t="array" ref="E11227">SUM(E11225:E11226)</f>
        <v>10000</v>
      </c>
      <c r="F11227" s="16" cm="1">
        <f t="array" ref="F11227">SUM(F11225:F11226)</f>
        <v>0</v>
      </c>
      <c r="G11227" s="16" cm="1">
        <f t="array" ref="G11227">SUM(G11225:G11226)</f>
        <v>0</v>
      </c>
      <c r="H11227" s="16" cm="1">
        <f t="array" ref="H11227">SUM(H11225:H11226)</f>
        <v>0</v>
      </c>
      <c r="I11227" s="16" cm="1">
        <f t="array" ref="I11227">SUM(I11225:I11226)</f>
        <v>0</v>
      </c>
    </row>
    <row r="11228" ht="20.65" customHeight="1">
      <c r="A11228" s="10">
        <v>45894</v>
      </c>
      <c r="B11228" t="s" s="11">
        <v>814</v>
      </c>
      <c r="C11228" t="s" s="12">
        <v>820</v>
      </c>
      <c r="D11228" s="17">
        <v>50</v>
      </c>
      <c r="E11228" s="17"/>
      <c r="F11228" s="18"/>
      <c r="G11228" s="18"/>
      <c r="H11228" s="18"/>
      <c r="I11228" s="18"/>
    </row>
    <row r="11229" ht="20.65" customHeight="1">
      <c r="A11229" s="10">
        <v>45894</v>
      </c>
      <c r="B11229" t="s" s="11">
        <v>7</v>
      </c>
      <c r="C11229" t="s" s="12">
        <v>820</v>
      </c>
      <c r="D11229" s="13"/>
      <c r="E11229" s="13">
        <v>50</v>
      </c>
      <c r="F11229" s="14"/>
      <c r="G11229" s="14"/>
      <c r="H11229" s="14"/>
      <c r="I11229" s="14"/>
    </row>
    <row r="11230" ht="20.7" customHeight="1">
      <c r="A11230" s="10">
        <v>45894</v>
      </c>
      <c r="B11230" t="s" s="11">
        <v>8</v>
      </c>
      <c r="C11230" t="s" s="12">
        <v>8</v>
      </c>
      <c r="D11230" s="15" cm="1">
        <f t="array" ref="D11230">SUM(D11228:D11229)</f>
        <v>50</v>
      </c>
      <c r="E11230" s="15" cm="1">
        <f t="array" ref="E11230">SUM(E11228:E11229)</f>
        <v>50</v>
      </c>
      <c r="F11230" s="16" cm="1">
        <f t="array" ref="F11230">SUM(F11228:F11229)</f>
        <v>0</v>
      </c>
      <c r="G11230" s="16" cm="1">
        <f t="array" ref="G11230">SUM(G11228:G11229)</f>
        <v>0</v>
      </c>
      <c r="H11230" s="16" cm="1">
        <f t="array" ref="H11230">SUM(H11228:H11229)</f>
        <v>0</v>
      </c>
      <c r="I11230" s="16" cm="1">
        <f t="array" ref="I11230">SUM(I11228:I11229)</f>
        <v>0</v>
      </c>
    </row>
    <row r="11231" ht="20.35" customHeight="1">
      <c r="A11231" s="10">
        <v>45894</v>
      </c>
      <c r="B11231" t="s" s="11">
        <v>107</v>
      </c>
      <c r="C11231" t="s" s="12">
        <v>1438</v>
      </c>
      <c r="D11231" s="17"/>
      <c r="E11231" s="17">
        <v>12028</v>
      </c>
      <c r="F11231" s="18"/>
      <c r="G11231" s="18"/>
      <c r="H11231" s="18"/>
      <c r="I11231" s="18"/>
    </row>
    <row r="11232" ht="20.05" customHeight="1">
      <c r="A11232" s="10">
        <v>45894</v>
      </c>
      <c r="B11232" t="s" s="11">
        <v>89</v>
      </c>
      <c r="C11232" t="s" s="12">
        <v>1438</v>
      </c>
      <c r="D11232" s="19">
        <v>6014</v>
      </c>
      <c r="E11232" s="19"/>
      <c r="F11232" s="20"/>
      <c r="G11232" s="20"/>
      <c r="H11232" s="20"/>
      <c r="I11232" s="20"/>
    </row>
    <row r="11233" ht="20.35" customHeight="1">
      <c r="A11233" s="10">
        <v>45894</v>
      </c>
      <c r="B11233" t="s" s="11">
        <v>74</v>
      </c>
      <c r="C11233" t="s" s="12">
        <v>1438</v>
      </c>
      <c r="D11233" s="13">
        <v>6014</v>
      </c>
      <c r="E11233" s="13"/>
      <c r="F11233" s="14"/>
      <c r="G11233" s="14"/>
      <c r="H11233" s="14"/>
      <c r="I11233" s="14"/>
    </row>
    <row r="11234" ht="20.7" customHeight="1">
      <c r="A11234" s="10">
        <v>45894</v>
      </c>
      <c r="B11234" t="s" s="11">
        <v>8</v>
      </c>
      <c r="C11234" t="s" s="12">
        <v>8</v>
      </c>
      <c r="D11234" s="15" cm="1">
        <f t="array" ref="D11234">SUM(D11231:D11233)</f>
        <v>12028</v>
      </c>
      <c r="E11234" s="15" cm="1">
        <f t="array" ref="E11234">SUM(E11231:E11233)</f>
        <v>12028</v>
      </c>
      <c r="F11234" s="16" cm="1">
        <f t="array" ref="F11234">SUM(F11231:F11233)</f>
        <v>0</v>
      </c>
      <c r="G11234" s="16" cm="1">
        <f t="array" ref="G11234">SUM(G11231:G11233)</f>
        <v>0</v>
      </c>
      <c r="H11234" s="16" cm="1">
        <f t="array" ref="H11234">SUM(H11231:H11233)</f>
        <v>0</v>
      </c>
      <c r="I11234" s="16" cm="1">
        <f t="array" ref="I11234">SUM(I11231:I11233)</f>
        <v>0</v>
      </c>
    </row>
    <row r="11235" ht="21.25" customHeight="1">
      <c r="A11235" s="10">
        <v>45894</v>
      </c>
      <c r="B11235" t="s" s="11">
        <v>121</v>
      </c>
      <c r="C11235" t="s" s="12">
        <v>1439</v>
      </c>
      <c r="D11235" s="17"/>
      <c r="E11235" s="17">
        <v>10000</v>
      </c>
      <c r="F11235" s="18"/>
      <c r="G11235" s="18"/>
      <c r="H11235" s="18"/>
      <c r="I11235" s="18"/>
    </row>
    <row r="11236" ht="21.25" customHeight="1">
      <c r="A11236" s="10">
        <v>45894</v>
      </c>
      <c r="B11236" t="s" s="11">
        <v>786</v>
      </c>
      <c r="C11236" t="s" s="12">
        <v>1439</v>
      </c>
      <c r="D11236" s="13">
        <v>10000</v>
      </c>
      <c r="E11236" s="13"/>
      <c r="F11236" s="14"/>
      <c r="G11236" s="14"/>
      <c r="H11236" s="14"/>
      <c r="I11236" s="14"/>
    </row>
    <row r="11237" ht="20.7" customHeight="1">
      <c r="A11237" s="10">
        <v>45894</v>
      </c>
      <c r="B11237" t="s" s="11">
        <v>8</v>
      </c>
      <c r="C11237" t="s" s="12">
        <v>8</v>
      </c>
      <c r="D11237" s="15" cm="1">
        <f t="array" ref="D11237">SUM(D11235:D11236)</f>
        <v>10000</v>
      </c>
      <c r="E11237" s="15" cm="1">
        <f t="array" ref="E11237">SUM(E11235:E11236)</f>
        <v>10000</v>
      </c>
      <c r="F11237" s="16" cm="1">
        <f t="array" ref="F11237">SUM(F11235:F11236)</f>
        <v>0</v>
      </c>
      <c r="G11237" s="16" cm="1">
        <f t="array" ref="G11237">SUM(G11235:G11236)</f>
        <v>0</v>
      </c>
      <c r="H11237" s="16" cm="1">
        <f t="array" ref="H11237">SUM(H11235:H11236)</f>
        <v>0</v>
      </c>
      <c r="I11237" s="16" cm="1">
        <f t="array" ref="I11237">SUM(I11235:I11236)</f>
        <v>0</v>
      </c>
    </row>
    <row r="11238" ht="21.25" customHeight="1">
      <c r="A11238" s="10">
        <v>45894</v>
      </c>
      <c r="B11238" t="s" s="11">
        <v>121</v>
      </c>
      <c r="C11238" t="s" s="12">
        <v>1440</v>
      </c>
      <c r="D11238" s="17"/>
      <c r="E11238" s="17">
        <v>10000</v>
      </c>
      <c r="F11238" s="18"/>
      <c r="G11238" s="18"/>
      <c r="H11238" s="18"/>
      <c r="I11238" s="18"/>
    </row>
    <row r="11239" ht="21.25" customHeight="1">
      <c r="A11239" s="10">
        <v>45894</v>
      </c>
      <c r="B11239" t="s" s="11">
        <v>788</v>
      </c>
      <c r="C11239" t="s" s="12">
        <v>1440</v>
      </c>
      <c r="D11239" s="13">
        <v>10000</v>
      </c>
      <c r="E11239" s="13"/>
      <c r="F11239" s="14"/>
      <c r="G11239" s="14"/>
      <c r="H11239" s="14"/>
      <c r="I11239" s="14"/>
    </row>
    <row r="11240" ht="20.7" customHeight="1">
      <c r="A11240" s="10">
        <v>45894</v>
      </c>
      <c r="B11240" t="s" s="11">
        <v>8</v>
      </c>
      <c r="C11240" t="s" s="12">
        <v>8</v>
      </c>
      <c r="D11240" s="15" cm="1">
        <f t="array" ref="D11240">SUM(D11238:D11239)</f>
        <v>10000</v>
      </c>
      <c r="E11240" s="15" cm="1">
        <f t="array" ref="E11240">SUM(E11238:E11239)</f>
        <v>10000</v>
      </c>
      <c r="F11240" s="16" cm="1">
        <f t="array" ref="F11240">SUM(F11238:F11239)</f>
        <v>0</v>
      </c>
      <c r="G11240" s="16" cm="1">
        <f t="array" ref="G11240">SUM(G11238:G11239)</f>
        <v>0</v>
      </c>
      <c r="H11240" s="16" cm="1">
        <f t="array" ref="H11240">SUM(H11238:H11239)</f>
        <v>0</v>
      </c>
      <c r="I11240" s="16" cm="1">
        <f t="array" ref="I11240">SUM(I11238:I11239)</f>
        <v>0</v>
      </c>
    </row>
    <row r="11241" ht="21.25" customHeight="1">
      <c r="A11241" s="10">
        <v>45894</v>
      </c>
      <c r="B11241" t="s" s="11">
        <v>121</v>
      </c>
      <c r="C11241" t="s" s="12">
        <v>1441</v>
      </c>
      <c r="D11241" s="17"/>
      <c r="E11241" s="17">
        <v>10000</v>
      </c>
      <c r="F11241" s="18"/>
      <c r="G11241" s="18"/>
      <c r="H11241" s="18"/>
      <c r="I11241" s="18"/>
    </row>
    <row r="11242" ht="21.25" customHeight="1">
      <c r="A11242" s="10">
        <v>45894</v>
      </c>
      <c r="B11242" t="s" s="11">
        <v>1293</v>
      </c>
      <c r="C11242" t="s" s="12">
        <v>1441</v>
      </c>
      <c r="D11242" s="13">
        <v>10000</v>
      </c>
      <c r="E11242" s="13"/>
      <c r="F11242" s="14"/>
      <c r="G11242" s="14"/>
      <c r="H11242" s="14"/>
      <c r="I11242" s="14"/>
    </row>
    <row r="11243" ht="20.7" customHeight="1">
      <c r="A11243" s="10">
        <v>45894</v>
      </c>
      <c r="B11243" t="s" s="11">
        <v>8</v>
      </c>
      <c r="C11243" t="s" s="12">
        <v>8</v>
      </c>
      <c r="D11243" s="15" cm="1">
        <f t="array" ref="D11243">SUM(D11241:D11242)</f>
        <v>10000</v>
      </c>
      <c r="E11243" s="15" cm="1">
        <f t="array" ref="E11243">SUM(E11241:E11242)</f>
        <v>10000</v>
      </c>
      <c r="F11243" s="16" cm="1">
        <f t="array" ref="F11243">SUM(F11241:F11242)</f>
        <v>0</v>
      </c>
      <c r="G11243" s="16" cm="1">
        <f t="array" ref="G11243">SUM(G11241:G11242)</f>
        <v>0</v>
      </c>
      <c r="H11243" s="16" cm="1">
        <f t="array" ref="H11243">SUM(H11241:H11242)</f>
        <v>0</v>
      </c>
      <c r="I11243" s="16" cm="1">
        <f t="array" ref="I11243">SUM(I11241:I11242)</f>
        <v>0</v>
      </c>
    </row>
    <row r="11244" ht="20.35" customHeight="1">
      <c r="A11244" s="10">
        <v>45894</v>
      </c>
      <c r="B11244" t="s" s="11">
        <v>107</v>
      </c>
      <c r="C11244" t="s" s="12">
        <v>1442</v>
      </c>
      <c r="D11244" s="17">
        <v>5000</v>
      </c>
      <c r="E11244" s="17"/>
      <c r="F11244" s="18"/>
      <c r="G11244" s="18"/>
      <c r="H11244" s="18"/>
      <c r="I11244" s="18"/>
    </row>
    <row r="11245" ht="20.35" customHeight="1">
      <c r="A11245" s="10">
        <v>45894</v>
      </c>
      <c r="B11245" t="s" s="11">
        <v>21</v>
      </c>
      <c r="C11245" t="s" s="12">
        <v>1442</v>
      </c>
      <c r="D11245" s="13"/>
      <c r="E11245" s="13">
        <v>5000</v>
      </c>
      <c r="F11245" s="14"/>
      <c r="G11245" s="14"/>
      <c r="H11245" s="14"/>
      <c r="I11245" s="14"/>
    </row>
    <row r="11246" ht="20.7" customHeight="1">
      <c r="A11246" s="10">
        <v>45894</v>
      </c>
      <c r="B11246" t="s" s="11">
        <v>8</v>
      </c>
      <c r="C11246" t="s" s="12">
        <v>8</v>
      </c>
      <c r="D11246" s="15" cm="1">
        <f t="array" ref="D11246">SUM(D11244:D11245)</f>
        <v>5000</v>
      </c>
      <c r="E11246" s="15" cm="1">
        <f t="array" ref="E11246">SUM(E11244:E11245)</f>
        <v>5000</v>
      </c>
      <c r="F11246" s="16" cm="1">
        <f t="array" ref="F11246">SUM(F11244:F11245)</f>
        <v>0</v>
      </c>
      <c r="G11246" s="16" cm="1">
        <f t="array" ref="G11246">SUM(G11244:G11245)</f>
        <v>0</v>
      </c>
      <c r="H11246" s="16" cm="1">
        <f t="array" ref="H11246">SUM(H11244:H11245)</f>
        <v>0</v>
      </c>
      <c r="I11246" s="16" cm="1">
        <f t="array" ref="I11246">SUM(I11244:I11245)</f>
        <v>0</v>
      </c>
    </row>
    <row r="11247" ht="21.25" customHeight="1">
      <c r="A11247" s="10">
        <v>45894</v>
      </c>
      <c r="B11247" t="s" s="11">
        <v>121</v>
      </c>
      <c r="C11247" t="s" s="12">
        <v>324</v>
      </c>
      <c r="D11247" s="17"/>
      <c r="E11247" s="17">
        <v>4500</v>
      </c>
      <c r="F11247" s="18"/>
      <c r="G11247" s="18"/>
      <c r="H11247" s="18"/>
      <c r="I11247" s="18"/>
    </row>
    <row r="11248" ht="21.25" customHeight="1">
      <c r="A11248" s="10">
        <v>45894</v>
      </c>
      <c r="B11248" t="s" s="11">
        <v>16</v>
      </c>
      <c r="C11248" t="s" s="12">
        <v>324</v>
      </c>
      <c r="D11248" s="13">
        <v>4500</v>
      </c>
      <c r="E11248" s="13"/>
      <c r="F11248" s="14"/>
      <c r="G11248" s="14"/>
      <c r="H11248" s="14"/>
      <c r="I11248" s="14"/>
    </row>
    <row r="11249" ht="20.7" customHeight="1">
      <c r="A11249" s="10">
        <v>45894</v>
      </c>
      <c r="B11249" t="s" s="11">
        <v>8</v>
      </c>
      <c r="C11249" t="s" s="12">
        <v>8</v>
      </c>
      <c r="D11249" s="15" cm="1">
        <f t="array" ref="D11249">SUM(D11247:D11248)</f>
        <v>4500</v>
      </c>
      <c r="E11249" s="15" cm="1">
        <f t="array" ref="E11249">SUM(E11247:E11248)</f>
        <v>4500</v>
      </c>
      <c r="F11249" s="16" cm="1">
        <f t="array" ref="F11249">SUM(F11247:F11248)</f>
        <v>0</v>
      </c>
      <c r="G11249" s="16" cm="1">
        <f t="array" ref="G11249">SUM(G11247:G11248)</f>
        <v>0</v>
      </c>
      <c r="H11249" s="16" cm="1">
        <f t="array" ref="H11249">SUM(H11247:H11248)</f>
        <v>0</v>
      </c>
      <c r="I11249" s="16" cm="1">
        <f t="array" ref="I11249">SUM(I11247:I11248)</f>
        <v>0</v>
      </c>
    </row>
    <row r="11250" ht="20.35" customHeight="1">
      <c r="A11250" s="10">
        <v>45894</v>
      </c>
      <c r="B11250" t="s" s="11">
        <v>107</v>
      </c>
      <c r="C11250" t="s" s="12">
        <v>1438</v>
      </c>
      <c r="D11250" s="17"/>
      <c r="E11250" s="17">
        <v>4472</v>
      </c>
      <c r="F11250" s="18"/>
      <c r="G11250" s="18"/>
      <c r="H11250" s="18"/>
      <c r="I11250" s="18"/>
    </row>
    <row r="11251" ht="20.05" customHeight="1">
      <c r="A11251" s="10">
        <v>45894</v>
      </c>
      <c r="B11251" t="s" s="11">
        <v>89</v>
      </c>
      <c r="C11251" t="s" s="12">
        <v>1438</v>
      </c>
      <c r="D11251" s="19">
        <v>2236</v>
      </c>
      <c r="E11251" s="19"/>
      <c r="F11251" s="20"/>
      <c r="G11251" s="20"/>
      <c r="H11251" s="20"/>
      <c r="I11251" s="20"/>
    </row>
    <row r="11252" ht="20.35" customHeight="1">
      <c r="A11252" s="10">
        <v>45894</v>
      </c>
      <c r="B11252" t="s" s="11">
        <v>74</v>
      </c>
      <c r="C11252" t="s" s="12">
        <v>1438</v>
      </c>
      <c r="D11252" s="13">
        <v>2236</v>
      </c>
      <c r="E11252" s="13"/>
      <c r="F11252" s="14"/>
      <c r="G11252" s="14"/>
      <c r="H11252" s="14"/>
      <c r="I11252" s="14"/>
    </row>
    <row r="11253" ht="20.7" customHeight="1">
      <c r="A11253" s="10">
        <v>45894</v>
      </c>
      <c r="B11253" t="s" s="11">
        <v>8</v>
      </c>
      <c r="C11253" t="s" s="12">
        <v>8</v>
      </c>
      <c r="D11253" s="15" cm="1">
        <f t="array" ref="D11253">SUM(D11250:D11252)</f>
        <v>4472</v>
      </c>
      <c r="E11253" s="15" cm="1">
        <f t="array" ref="E11253">SUM(E11250:E11252)</f>
        <v>4472</v>
      </c>
      <c r="F11253" s="16" cm="1">
        <f t="array" ref="F11253">SUM(F11250:F11252)</f>
        <v>0</v>
      </c>
      <c r="G11253" s="16" cm="1">
        <f t="array" ref="G11253">SUM(G11250:G11252)</f>
        <v>0</v>
      </c>
      <c r="H11253" s="16" cm="1">
        <f t="array" ref="H11253">SUM(H11250:H11252)</f>
        <v>0</v>
      </c>
      <c r="I11253" s="16" cm="1">
        <f t="array" ref="I11253">SUM(I11250:I11252)</f>
        <v>0</v>
      </c>
    </row>
    <row r="11254" ht="20.65" customHeight="1">
      <c r="A11254" s="10">
        <v>45895</v>
      </c>
      <c r="B11254" t="s" s="11">
        <v>814</v>
      </c>
      <c r="C11254" t="s" s="12">
        <v>820</v>
      </c>
      <c r="D11254" s="17">
        <v>50</v>
      </c>
      <c r="E11254" s="17"/>
      <c r="F11254" s="18"/>
      <c r="G11254" s="18"/>
      <c r="H11254" s="18"/>
      <c r="I11254" s="18"/>
    </row>
    <row r="11255" ht="20.65" customHeight="1">
      <c r="A11255" s="10">
        <v>45895</v>
      </c>
      <c r="B11255" t="s" s="11">
        <v>7</v>
      </c>
      <c r="C11255" t="s" s="12">
        <v>820</v>
      </c>
      <c r="D11255" s="13"/>
      <c r="E11255" s="13">
        <v>50</v>
      </c>
      <c r="F11255" s="14"/>
      <c r="G11255" s="14"/>
      <c r="H11255" s="14"/>
      <c r="I11255" s="14"/>
    </row>
    <row r="11256" ht="20.7" customHeight="1">
      <c r="A11256" s="10">
        <v>45895</v>
      </c>
      <c r="B11256" t="s" s="11">
        <v>8</v>
      </c>
      <c r="C11256" t="s" s="12">
        <v>8</v>
      </c>
      <c r="D11256" s="15" cm="1">
        <f t="array" ref="D11256">SUM(D11254:D11255)</f>
        <v>50</v>
      </c>
      <c r="E11256" s="15" cm="1">
        <f t="array" ref="E11256">SUM(E11254:E11255)</f>
        <v>50</v>
      </c>
      <c r="F11256" s="16" cm="1">
        <f t="array" ref="F11256">SUM(F11254:F11255)</f>
        <v>0</v>
      </c>
      <c r="G11256" s="16" cm="1">
        <f t="array" ref="G11256">SUM(G11254:G11255)</f>
        <v>0</v>
      </c>
      <c r="H11256" s="16" cm="1">
        <f t="array" ref="H11256">SUM(H11254:H11255)</f>
        <v>0</v>
      </c>
      <c r="I11256" s="16" cm="1">
        <f t="array" ref="I11256">SUM(I11254:I11255)</f>
        <v>0</v>
      </c>
    </row>
    <row r="11257" ht="20.65" customHeight="1">
      <c r="A11257" s="10">
        <v>45895</v>
      </c>
      <c r="B11257" t="s" s="11">
        <v>28</v>
      </c>
      <c r="C11257" t="s" s="12">
        <v>1443</v>
      </c>
      <c r="D11257" s="17"/>
      <c r="E11257" s="17">
        <v>1500</v>
      </c>
      <c r="F11257" s="18"/>
      <c r="G11257" s="18"/>
      <c r="H11257" s="18"/>
      <c r="I11257" s="18"/>
    </row>
    <row r="11258" ht="20.65" customHeight="1">
      <c r="A11258" s="10">
        <v>45895</v>
      </c>
      <c r="B11258" t="s" s="11">
        <v>12</v>
      </c>
      <c r="C11258" t="s" s="12">
        <v>1443</v>
      </c>
      <c r="D11258" s="13">
        <v>1500</v>
      </c>
      <c r="E11258" s="13"/>
      <c r="F11258" s="14"/>
      <c r="G11258" s="14"/>
      <c r="H11258" s="14"/>
      <c r="I11258" s="14"/>
    </row>
    <row r="11259" ht="20.7" customHeight="1">
      <c r="A11259" s="10">
        <v>45895</v>
      </c>
      <c r="B11259" t="s" s="11">
        <v>8</v>
      </c>
      <c r="C11259" t="s" s="12">
        <v>8</v>
      </c>
      <c r="D11259" s="15" cm="1">
        <f t="array" ref="D11259">SUM(D11257:D11258)</f>
        <v>1500</v>
      </c>
      <c r="E11259" s="15" cm="1">
        <f t="array" ref="E11259">SUM(E11257:E11258)</f>
        <v>1500</v>
      </c>
      <c r="F11259" s="16" cm="1">
        <f t="array" ref="F11259">SUM(F11257:F11258)</f>
        <v>0</v>
      </c>
      <c r="G11259" s="16" cm="1">
        <f t="array" ref="G11259">SUM(G11257:G11258)</f>
        <v>0</v>
      </c>
      <c r="H11259" s="16" cm="1">
        <f t="array" ref="H11259">SUM(H11257:H11258)</f>
        <v>0</v>
      </c>
      <c r="I11259" s="16" cm="1">
        <f t="array" ref="I11259">SUM(I11257:I11258)</f>
        <v>0</v>
      </c>
    </row>
    <row r="11260" ht="21.25" customHeight="1">
      <c r="A11260" s="10">
        <v>45895</v>
      </c>
      <c r="B11260" t="s" s="11">
        <v>28</v>
      </c>
      <c r="C11260" t="s" s="12">
        <v>1444</v>
      </c>
      <c r="D11260" s="17"/>
      <c r="E11260" s="17">
        <v>1500</v>
      </c>
      <c r="F11260" s="18"/>
      <c r="G11260" s="18"/>
      <c r="H11260" s="18"/>
      <c r="I11260" s="18"/>
    </row>
    <row r="11261" ht="21.25" customHeight="1">
      <c r="A11261" s="10">
        <v>45895</v>
      </c>
      <c r="B11261" t="s" s="11">
        <v>12</v>
      </c>
      <c r="C11261" t="s" s="12">
        <v>1444</v>
      </c>
      <c r="D11261" s="13">
        <v>1500</v>
      </c>
      <c r="E11261" s="13"/>
      <c r="F11261" s="14"/>
      <c r="G11261" s="14"/>
      <c r="H11261" s="14"/>
      <c r="I11261" s="14"/>
    </row>
    <row r="11262" ht="20.7" customHeight="1">
      <c r="A11262" s="10">
        <v>45895</v>
      </c>
      <c r="B11262" t="s" s="11">
        <v>8</v>
      </c>
      <c r="C11262" t="s" s="12">
        <v>8</v>
      </c>
      <c r="D11262" s="15" cm="1">
        <f t="array" ref="D11262">SUM(D11260:D11261)</f>
        <v>1500</v>
      </c>
      <c r="E11262" s="15" cm="1">
        <f t="array" ref="E11262">SUM(E11260:E11261)</f>
        <v>1500</v>
      </c>
      <c r="F11262" s="16" cm="1">
        <f t="array" ref="F11262">SUM(F11260:F11261)</f>
        <v>0</v>
      </c>
      <c r="G11262" s="16" cm="1">
        <f t="array" ref="G11262">SUM(G11260:G11261)</f>
        <v>0</v>
      </c>
      <c r="H11262" s="16" cm="1">
        <f t="array" ref="H11262">SUM(H11260:H11261)</f>
        <v>0</v>
      </c>
      <c r="I11262" s="16" cm="1">
        <f t="array" ref="I11262">SUM(I11260:I11261)</f>
        <v>0</v>
      </c>
    </row>
    <row r="11263" ht="20.35" customHeight="1">
      <c r="A11263" s="10">
        <v>45895</v>
      </c>
      <c r="B11263" t="s" s="11">
        <v>39</v>
      </c>
      <c r="C11263" t="s" s="12">
        <v>64</v>
      </c>
      <c r="D11263" s="17"/>
      <c r="E11263" s="17"/>
      <c r="F11263" s="18">
        <v>1500</v>
      </c>
      <c r="G11263" s="18"/>
      <c r="H11263" s="18"/>
      <c r="I11263" s="18"/>
    </row>
    <row r="11264" ht="20.35" customHeight="1">
      <c r="A11264" s="10">
        <v>45895</v>
      </c>
      <c r="B11264" t="s" s="11">
        <v>41</v>
      </c>
      <c r="C11264" t="s" s="12">
        <v>64</v>
      </c>
      <c r="D11264" s="13"/>
      <c r="E11264" s="13"/>
      <c r="F11264" s="14"/>
      <c r="G11264" s="14">
        <v>1500</v>
      </c>
      <c r="H11264" s="14"/>
      <c r="I11264" s="14"/>
    </row>
    <row r="11265" ht="20.7" customHeight="1">
      <c r="A11265" s="10">
        <v>45895</v>
      </c>
      <c r="B11265" t="s" s="11">
        <v>8</v>
      </c>
      <c r="C11265" t="s" s="12">
        <v>8</v>
      </c>
      <c r="D11265" s="15" cm="1">
        <f t="array" ref="D11265">SUM(D11263:D11264)</f>
        <v>0</v>
      </c>
      <c r="E11265" s="15" cm="1">
        <f t="array" ref="E11265">SUM(E11263:E11264)</f>
        <v>0</v>
      </c>
      <c r="F11265" s="16" cm="1">
        <f t="array" ref="F11265">SUM(F11263:F11264)</f>
        <v>1500</v>
      </c>
      <c r="G11265" s="16" cm="1">
        <f t="array" ref="G11265">SUM(G11263:G11264)</f>
        <v>1500</v>
      </c>
      <c r="H11265" s="16" cm="1">
        <f t="array" ref="H11265">SUM(H11263:H11264)</f>
        <v>0</v>
      </c>
      <c r="I11265" s="16" cm="1">
        <f t="array" ref="I11265">SUM(I11263:I11264)</f>
        <v>0</v>
      </c>
    </row>
    <row r="11266" ht="20.65" customHeight="1">
      <c r="A11266" s="10">
        <v>45895</v>
      </c>
      <c r="B11266" t="s" s="11">
        <v>28</v>
      </c>
      <c r="C11266" t="s" s="12">
        <v>1445</v>
      </c>
      <c r="D11266" s="17"/>
      <c r="E11266" s="17">
        <v>11500</v>
      </c>
      <c r="F11266" s="18"/>
      <c r="G11266" s="18"/>
      <c r="H11266" s="18"/>
      <c r="I11266" s="18"/>
    </row>
    <row r="11267" ht="20.65" customHeight="1">
      <c r="A11267" s="10">
        <v>45895</v>
      </c>
      <c r="B11267" t="s" s="11">
        <v>12</v>
      </c>
      <c r="C11267" t="s" s="12">
        <v>1445</v>
      </c>
      <c r="D11267" s="13">
        <v>11500</v>
      </c>
      <c r="E11267" s="13"/>
      <c r="F11267" s="14"/>
      <c r="G11267" s="14"/>
      <c r="H11267" s="14"/>
      <c r="I11267" s="14"/>
    </row>
    <row r="11268" ht="20.7" customHeight="1">
      <c r="A11268" s="10">
        <v>45895</v>
      </c>
      <c r="B11268" t="s" s="11">
        <v>8</v>
      </c>
      <c r="C11268" t="s" s="12">
        <v>8</v>
      </c>
      <c r="D11268" s="15" cm="1">
        <f t="array" ref="D11268">SUM(D11266:D11267)</f>
        <v>11500</v>
      </c>
      <c r="E11268" s="15" cm="1">
        <f t="array" ref="E11268">SUM(E11266:E11267)</f>
        <v>11500</v>
      </c>
      <c r="F11268" s="16" cm="1">
        <f t="array" ref="F11268">SUM(F11266:F11267)</f>
        <v>0</v>
      </c>
      <c r="G11268" s="16" cm="1">
        <f t="array" ref="G11268">SUM(G11266:G11267)</f>
        <v>0</v>
      </c>
      <c r="H11268" s="16" cm="1">
        <f t="array" ref="H11268">SUM(H11266:H11267)</f>
        <v>0</v>
      </c>
      <c r="I11268" s="16" cm="1">
        <f t="array" ref="I11268">SUM(I11266:I11267)</f>
        <v>0</v>
      </c>
    </row>
    <row r="11269" ht="20.65" customHeight="1">
      <c r="A11269" s="10">
        <v>45896</v>
      </c>
      <c r="B11269" t="s" s="11">
        <v>814</v>
      </c>
      <c r="C11269" t="s" s="12">
        <v>820</v>
      </c>
      <c r="D11269" s="17">
        <v>50</v>
      </c>
      <c r="E11269" s="17"/>
      <c r="F11269" s="18"/>
      <c r="G11269" s="18"/>
      <c r="H11269" s="18"/>
      <c r="I11269" s="18"/>
    </row>
    <row r="11270" ht="20.65" customHeight="1">
      <c r="A11270" s="10">
        <v>45896</v>
      </c>
      <c r="B11270" t="s" s="11">
        <v>7</v>
      </c>
      <c r="C11270" t="s" s="12">
        <v>820</v>
      </c>
      <c r="D11270" s="13"/>
      <c r="E11270" s="13">
        <v>50</v>
      </c>
      <c r="F11270" s="14"/>
      <c r="G11270" s="14"/>
      <c r="H11270" s="14"/>
      <c r="I11270" s="14"/>
    </row>
    <row r="11271" ht="20.7" customHeight="1">
      <c r="A11271" s="10">
        <v>45896</v>
      </c>
      <c r="B11271" t="s" s="11">
        <v>8</v>
      </c>
      <c r="C11271" t="s" s="12">
        <v>8</v>
      </c>
      <c r="D11271" s="15" cm="1">
        <f t="array" ref="D11271">SUM(D11269:D11270)</f>
        <v>50</v>
      </c>
      <c r="E11271" s="15" cm="1">
        <f t="array" ref="E11271">SUM(E11269:E11270)</f>
        <v>50</v>
      </c>
      <c r="F11271" s="16" cm="1">
        <f t="array" ref="F11271">SUM(F11269:F11270)</f>
        <v>0</v>
      </c>
      <c r="G11271" s="16" cm="1">
        <f t="array" ref="G11271">SUM(G11269:G11270)</f>
        <v>0</v>
      </c>
      <c r="H11271" s="16" cm="1">
        <f t="array" ref="H11271">SUM(H11269:H11270)</f>
        <v>0</v>
      </c>
      <c r="I11271" s="16" cm="1">
        <f t="array" ref="I11271">SUM(I11269:I11270)</f>
        <v>0</v>
      </c>
    </row>
    <row r="11272" ht="20.65" customHeight="1">
      <c r="A11272" s="10">
        <v>45896</v>
      </c>
      <c r="B11272" t="s" s="11">
        <v>107</v>
      </c>
      <c r="C11272" t="s" s="12">
        <v>833</v>
      </c>
      <c r="D11272" s="17">
        <v>200</v>
      </c>
      <c r="E11272" s="17"/>
      <c r="F11272" s="18"/>
      <c r="G11272" s="18"/>
      <c r="H11272" s="18"/>
      <c r="I11272" s="18"/>
    </row>
    <row r="11273" ht="20.65" customHeight="1">
      <c r="A11273" s="10">
        <v>45896</v>
      </c>
      <c r="B11273" t="s" s="11">
        <v>10</v>
      </c>
      <c r="C11273" t="s" s="12">
        <v>833</v>
      </c>
      <c r="D11273" s="13"/>
      <c r="E11273" s="13">
        <v>200</v>
      </c>
      <c r="F11273" s="14"/>
      <c r="G11273" s="14"/>
      <c r="H11273" s="14"/>
      <c r="I11273" s="14"/>
    </row>
    <row r="11274" ht="20.7" customHeight="1">
      <c r="A11274" s="10">
        <v>45896</v>
      </c>
      <c r="B11274" t="s" s="11">
        <v>8</v>
      </c>
      <c r="C11274" t="s" s="12">
        <v>8</v>
      </c>
      <c r="D11274" s="15" cm="1">
        <f t="array" ref="D11274">SUM(D11272:D11273)</f>
        <v>200</v>
      </c>
      <c r="E11274" s="15" cm="1">
        <f t="array" ref="E11274">SUM(E11272:E11273)</f>
        <v>200</v>
      </c>
      <c r="F11274" s="16" cm="1">
        <f t="array" ref="F11274">SUM(F11272:F11273)</f>
        <v>0</v>
      </c>
      <c r="G11274" s="16" cm="1">
        <f t="array" ref="G11274">SUM(G11272:G11273)</f>
        <v>0</v>
      </c>
      <c r="H11274" s="16" cm="1">
        <f t="array" ref="H11274">SUM(H11272:H11273)</f>
        <v>0</v>
      </c>
      <c r="I11274" s="16" cm="1">
        <f t="array" ref="I11274">SUM(I11272:I11273)</f>
        <v>0</v>
      </c>
    </row>
    <row r="11275" ht="20.65" customHeight="1">
      <c r="A11275" s="10">
        <v>45897</v>
      </c>
      <c r="B11275" t="s" s="11">
        <v>814</v>
      </c>
      <c r="C11275" t="s" s="12">
        <v>820</v>
      </c>
      <c r="D11275" s="17">
        <v>50</v>
      </c>
      <c r="E11275" s="17"/>
      <c r="F11275" s="18"/>
      <c r="G11275" s="18"/>
      <c r="H11275" s="18"/>
      <c r="I11275" s="18"/>
    </row>
    <row r="11276" ht="20.65" customHeight="1">
      <c r="A11276" s="10">
        <v>45897</v>
      </c>
      <c r="B11276" t="s" s="11">
        <v>7</v>
      </c>
      <c r="C11276" t="s" s="12">
        <v>820</v>
      </c>
      <c r="D11276" s="13"/>
      <c r="E11276" s="13">
        <v>50</v>
      </c>
      <c r="F11276" s="14"/>
      <c r="G11276" s="14"/>
      <c r="H11276" s="14"/>
      <c r="I11276" s="14"/>
    </row>
    <row r="11277" ht="20.7" customHeight="1">
      <c r="A11277" s="10">
        <v>45897</v>
      </c>
      <c r="B11277" t="s" s="11">
        <v>8</v>
      </c>
      <c r="C11277" t="s" s="12">
        <v>8</v>
      </c>
      <c r="D11277" s="15" cm="1">
        <f t="array" ref="D11277">SUM(D11275:D11276)</f>
        <v>50</v>
      </c>
      <c r="E11277" s="15" cm="1">
        <f t="array" ref="E11277">SUM(E11275:E11276)</f>
        <v>50</v>
      </c>
      <c r="F11277" s="16" cm="1">
        <f t="array" ref="F11277">SUM(F11275:F11276)</f>
        <v>0</v>
      </c>
      <c r="G11277" s="16" cm="1">
        <f t="array" ref="G11277">SUM(G11275:G11276)</f>
        <v>0</v>
      </c>
      <c r="H11277" s="16" cm="1">
        <f t="array" ref="H11277">SUM(H11275:H11276)</f>
        <v>0</v>
      </c>
      <c r="I11277" s="16" cm="1">
        <f t="array" ref="I11277">SUM(I11275:I11276)</f>
        <v>0</v>
      </c>
    </row>
    <row r="11278" ht="20.65" customHeight="1">
      <c r="A11278" s="10">
        <v>45897</v>
      </c>
      <c r="B11278" t="s" s="11">
        <v>28</v>
      </c>
      <c r="C11278" t="s" s="12">
        <v>1446</v>
      </c>
      <c r="D11278" s="17"/>
      <c r="E11278" s="17">
        <v>2100</v>
      </c>
      <c r="F11278" s="18"/>
      <c r="G11278" s="18"/>
      <c r="H11278" s="18"/>
      <c r="I11278" s="18"/>
    </row>
    <row r="11279" ht="20.65" customHeight="1">
      <c r="A11279" s="10">
        <v>45897</v>
      </c>
      <c r="B11279" t="s" s="11">
        <v>12</v>
      </c>
      <c r="C11279" t="s" s="12">
        <v>1446</v>
      </c>
      <c r="D11279" s="13">
        <v>2100</v>
      </c>
      <c r="E11279" s="13"/>
      <c r="F11279" s="14"/>
      <c r="G11279" s="14"/>
      <c r="H11279" s="14"/>
      <c r="I11279" s="14"/>
    </row>
    <row r="11280" ht="20.7" customHeight="1">
      <c r="A11280" s="10">
        <v>45897</v>
      </c>
      <c r="B11280" t="s" s="11">
        <v>8</v>
      </c>
      <c r="C11280" t="s" s="12">
        <v>8</v>
      </c>
      <c r="D11280" s="15" cm="1">
        <f t="array" ref="D11280">SUM(D11278:D11279)</f>
        <v>2100</v>
      </c>
      <c r="E11280" s="15" cm="1">
        <f t="array" ref="E11280">SUM(E11278:E11279)</f>
        <v>2100</v>
      </c>
      <c r="F11280" s="16" cm="1">
        <f t="array" ref="F11280">SUM(F11278:F11279)</f>
        <v>0</v>
      </c>
      <c r="G11280" s="16" cm="1">
        <f t="array" ref="G11280">SUM(G11278:G11279)</f>
        <v>0</v>
      </c>
      <c r="H11280" s="16" cm="1">
        <f t="array" ref="H11280">SUM(H11278:H11279)</f>
        <v>0</v>
      </c>
      <c r="I11280" s="16" cm="1">
        <f t="array" ref="I11280">SUM(I11278:I11279)</f>
        <v>0</v>
      </c>
    </row>
    <row r="11281" ht="20.65" customHeight="1">
      <c r="A11281" s="10">
        <v>45898</v>
      </c>
      <c r="B11281" t="s" s="11">
        <v>814</v>
      </c>
      <c r="C11281" t="s" s="12">
        <v>820</v>
      </c>
      <c r="D11281" s="17">
        <v>50</v>
      </c>
      <c r="E11281" s="17"/>
      <c r="F11281" s="18"/>
      <c r="G11281" s="18"/>
      <c r="H11281" s="18"/>
      <c r="I11281" s="18"/>
    </row>
    <row r="11282" ht="20.65" customHeight="1">
      <c r="A11282" s="10">
        <v>45898</v>
      </c>
      <c r="B11282" t="s" s="11">
        <v>7</v>
      </c>
      <c r="C11282" t="s" s="12">
        <v>820</v>
      </c>
      <c r="D11282" s="13"/>
      <c r="E11282" s="13">
        <v>50</v>
      </c>
      <c r="F11282" s="14"/>
      <c r="G11282" s="14"/>
      <c r="H11282" s="14"/>
      <c r="I11282" s="14"/>
    </row>
    <row r="11283" ht="20.7" customHeight="1">
      <c r="A11283" s="10">
        <v>45898</v>
      </c>
      <c r="B11283" t="s" s="11">
        <v>8</v>
      </c>
      <c r="C11283" t="s" s="12">
        <v>8</v>
      </c>
      <c r="D11283" s="15" cm="1">
        <f t="array" ref="D11283">SUM(D11281:D11282)</f>
        <v>50</v>
      </c>
      <c r="E11283" s="15" cm="1">
        <f t="array" ref="E11283">SUM(E11281:E11282)</f>
        <v>50</v>
      </c>
      <c r="F11283" s="16" cm="1">
        <f t="array" ref="F11283">SUM(F11281:F11282)</f>
        <v>0</v>
      </c>
      <c r="G11283" s="16" cm="1">
        <f t="array" ref="G11283">SUM(G11281:G11282)</f>
        <v>0</v>
      </c>
      <c r="H11283" s="16" cm="1">
        <f t="array" ref="H11283">SUM(H11281:H11282)</f>
        <v>0</v>
      </c>
      <c r="I11283" s="16" cm="1">
        <f t="array" ref="I11283">SUM(I11281:I11282)</f>
        <v>0</v>
      </c>
    </row>
    <row r="11284" ht="20.35" customHeight="1">
      <c r="A11284" s="10">
        <v>45898</v>
      </c>
      <c r="B11284" t="s" s="11">
        <v>39</v>
      </c>
      <c r="C11284" t="s" s="12">
        <v>1447</v>
      </c>
      <c r="D11284" s="17"/>
      <c r="E11284" s="17"/>
      <c r="F11284" s="18"/>
      <c r="G11284" s="18">
        <v>1583.23</v>
      </c>
      <c r="H11284" s="18"/>
      <c r="I11284" s="18"/>
    </row>
    <row r="11285" ht="20.05" customHeight="1">
      <c r="A11285" s="10">
        <v>45898</v>
      </c>
      <c r="B11285" t="s" s="11">
        <v>898</v>
      </c>
      <c r="C11285" t="s" s="12">
        <v>1447</v>
      </c>
      <c r="D11285" s="19"/>
      <c r="E11285" s="19"/>
      <c r="F11285" s="20">
        <v>23.95</v>
      </c>
      <c r="G11285" s="20"/>
      <c r="H11285" s="20"/>
      <c r="I11285" s="20"/>
    </row>
    <row r="11286" ht="20.05" customHeight="1">
      <c r="A11286" s="10">
        <v>45898</v>
      </c>
      <c r="B11286" t="s" s="11">
        <v>44</v>
      </c>
      <c r="C11286" t="s" s="12">
        <v>1447</v>
      </c>
      <c r="D11286" s="19"/>
      <c r="E11286" s="19"/>
      <c r="F11286" s="20">
        <v>1559.28</v>
      </c>
      <c r="G11286" s="20"/>
      <c r="H11286" s="20"/>
      <c r="I11286" s="20"/>
    </row>
    <row r="11287" ht="20.05" customHeight="1">
      <c r="A11287" s="10">
        <v>45898</v>
      </c>
      <c r="B11287" t="s" s="11">
        <v>89</v>
      </c>
      <c r="C11287" t="s" s="12">
        <v>1448</v>
      </c>
      <c r="D11287" s="19">
        <v>513242</v>
      </c>
      <c r="E11287" s="19"/>
      <c r="F11287" s="20"/>
      <c r="G11287" s="20"/>
      <c r="H11287" s="20"/>
      <c r="I11287" s="20"/>
    </row>
    <row r="11288" ht="20.35" customHeight="1">
      <c r="A11288" s="10">
        <v>45898</v>
      </c>
      <c r="B11288" t="s" s="11">
        <v>46</v>
      </c>
      <c r="C11288" t="s" s="12">
        <v>1448</v>
      </c>
      <c r="D11288" s="13"/>
      <c r="E11288" s="13">
        <v>513242</v>
      </c>
      <c r="F11288" s="14"/>
      <c r="G11288" s="14"/>
      <c r="H11288" s="14"/>
      <c r="I11288" s="14"/>
    </row>
    <row r="11289" ht="20.7" customHeight="1">
      <c r="A11289" s="10">
        <v>45898</v>
      </c>
      <c r="B11289" t="s" s="11">
        <v>8</v>
      </c>
      <c r="C11289" t="s" s="12">
        <v>8</v>
      </c>
      <c r="D11289" s="15" cm="1">
        <f t="array" ref="D11289">SUM(D11284:D11288)</f>
        <v>513242</v>
      </c>
      <c r="E11289" s="15" cm="1">
        <f t="array" ref="E11289">SUM(E11284:E11288)</f>
        <v>513242</v>
      </c>
      <c r="F11289" s="16" cm="1">
        <f t="array" ref="F11289">SUM(F11284:F11288)</f>
        <v>1583.23</v>
      </c>
      <c r="G11289" s="16" cm="1">
        <f t="array" ref="G11289">SUM(G11284:G11288)</f>
        <v>1583.23</v>
      </c>
      <c r="H11289" s="16" cm="1">
        <f t="array" ref="H11289">SUM(H11284:H11288)</f>
        <v>0</v>
      </c>
      <c r="I11289" s="16" cm="1">
        <f t="array" ref="I11289">SUM(I11284:I11288)</f>
        <v>0</v>
      </c>
    </row>
    <row r="11290" ht="21.25" customHeight="1">
      <c r="A11290" s="10">
        <v>45898</v>
      </c>
      <c r="B11290" t="s" s="11">
        <v>89</v>
      </c>
      <c r="C11290" t="s" s="12">
        <v>1449</v>
      </c>
      <c r="D11290" s="17"/>
      <c r="E11290" s="17">
        <v>154560</v>
      </c>
      <c r="F11290" s="18"/>
      <c r="G11290" s="18"/>
      <c r="H11290" s="18"/>
      <c r="I11290" s="18"/>
    </row>
    <row r="11291" ht="21.25" customHeight="1">
      <c r="A11291" s="10">
        <v>45898</v>
      </c>
      <c r="B11291" t="s" s="11">
        <v>86</v>
      </c>
      <c r="C11291" t="s" s="12">
        <v>1449</v>
      </c>
      <c r="D11291" s="13">
        <v>154560</v>
      </c>
      <c r="E11291" s="13"/>
      <c r="F11291" s="14"/>
      <c r="G11291" s="14"/>
      <c r="H11291" s="14"/>
      <c r="I11291" s="14"/>
    </row>
    <row r="11292" ht="20.7" customHeight="1">
      <c r="A11292" s="10">
        <v>45898</v>
      </c>
      <c r="B11292" t="s" s="11">
        <v>8</v>
      </c>
      <c r="C11292" t="s" s="12">
        <v>8</v>
      </c>
      <c r="D11292" s="15" cm="1">
        <f t="array" ref="D11292">SUM(D11290:D11291)</f>
        <v>154560</v>
      </c>
      <c r="E11292" s="15" cm="1">
        <f t="array" ref="E11292">SUM(E11290:E11291)</f>
        <v>154560</v>
      </c>
      <c r="F11292" s="16" cm="1">
        <f t="array" ref="F11292">SUM(F11290:F11291)</f>
        <v>0</v>
      </c>
      <c r="G11292" s="16" cm="1">
        <f t="array" ref="G11292">SUM(G11290:G11291)</f>
        <v>0</v>
      </c>
      <c r="H11292" s="16" cm="1">
        <f t="array" ref="H11292">SUM(H11290:H11291)</f>
        <v>0</v>
      </c>
      <c r="I11292" s="16" cm="1">
        <f t="array" ref="I11292">SUM(I11290:I11291)</f>
        <v>0</v>
      </c>
    </row>
    <row r="11293" ht="20.35" customHeight="1">
      <c r="A11293" s="10">
        <v>45898</v>
      </c>
      <c r="B11293" t="s" s="11">
        <v>89</v>
      </c>
      <c r="C11293" t="s" s="12">
        <v>1450</v>
      </c>
      <c r="D11293" s="17"/>
      <c r="E11293" s="17">
        <v>157860</v>
      </c>
      <c r="F11293" s="18"/>
      <c r="G11293" s="18"/>
      <c r="H11293" s="18"/>
      <c r="I11293" s="18"/>
    </row>
    <row r="11294" ht="20.35" customHeight="1">
      <c r="A11294" s="10">
        <v>45898</v>
      </c>
      <c r="B11294" t="s" s="11">
        <v>10</v>
      </c>
      <c r="C11294" t="s" s="12">
        <v>1450</v>
      </c>
      <c r="D11294" s="13">
        <v>157860</v>
      </c>
      <c r="E11294" s="13"/>
      <c r="F11294" s="14"/>
      <c r="G11294" s="14"/>
      <c r="H11294" s="14"/>
      <c r="I11294" s="14"/>
    </row>
    <row r="11295" ht="20.7" customHeight="1">
      <c r="A11295" s="10">
        <v>45898</v>
      </c>
      <c r="B11295" t="s" s="11">
        <v>8</v>
      </c>
      <c r="C11295" t="s" s="12">
        <v>8</v>
      </c>
      <c r="D11295" s="15" cm="1">
        <f t="array" ref="D11295">SUM(D11293:D11294)</f>
        <v>157860</v>
      </c>
      <c r="E11295" s="15" cm="1">
        <f t="array" ref="E11295">SUM(E11293:E11294)</f>
        <v>157860</v>
      </c>
      <c r="F11295" s="16" cm="1">
        <f t="array" ref="F11295">SUM(F11293:F11294)</f>
        <v>0</v>
      </c>
      <c r="G11295" s="16" cm="1">
        <f t="array" ref="G11295">SUM(G11293:G11294)</f>
        <v>0</v>
      </c>
      <c r="H11295" s="16" cm="1">
        <f t="array" ref="H11295">SUM(H11293:H11294)</f>
        <v>0</v>
      </c>
      <c r="I11295" s="16" cm="1">
        <f t="array" ref="I11295">SUM(I11293:I11294)</f>
        <v>0</v>
      </c>
    </row>
    <row r="11296" ht="20.35" customHeight="1">
      <c r="A11296" s="10">
        <v>45898</v>
      </c>
      <c r="B11296" t="s" s="11">
        <v>1156</v>
      </c>
      <c r="C11296" t="s" s="12">
        <v>1451</v>
      </c>
      <c r="D11296" s="17"/>
      <c r="E11296" s="17"/>
      <c r="F11296" s="18"/>
      <c r="G11296" s="18"/>
      <c r="H11296" s="18"/>
      <c r="I11296" s="18">
        <v>809</v>
      </c>
    </row>
    <row r="11297" ht="20.35" customHeight="1">
      <c r="A11297" s="10">
        <v>45898</v>
      </c>
      <c r="B11297" t="s" s="11">
        <v>1357</v>
      </c>
      <c r="C11297" t="s" s="12">
        <v>1451</v>
      </c>
      <c r="D11297" s="13"/>
      <c r="E11297" s="13"/>
      <c r="F11297" s="14"/>
      <c r="G11297" s="14"/>
      <c r="H11297" s="14">
        <v>809</v>
      </c>
      <c r="I11297" s="14"/>
    </row>
    <row r="11298" ht="20.7" customHeight="1">
      <c r="A11298" s="10">
        <v>45898</v>
      </c>
      <c r="B11298" t="s" s="11">
        <v>8</v>
      </c>
      <c r="C11298" t="s" s="12">
        <v>8</v>
      </c>
      <c r="D11298" s="15" cm="1">
        <f t="array" ref="D11298">SUM(D11296:D11297)</f>
        <v>0</v>
      </c>
      <c r="E11298" s="15" cm="1">
        <f t="array" ref="E11298">SUM(E11296:E11297)</f>
        <v>0</v>
      </c>
      <c r="F11298" s="16" cm="1">
        <f t="array" ref="F11298">SUM(F11296:F11297)</f>
        <v>0</v>
      </c>
      <c r="G11298" s="16" cm="1">
        <f t="array" ref="G11298">SUM(G11296:G11297)</f>
        <v>0</v>
      </c>
      <c r="H11298" s="16" cm="1">
        <f t="array" ref="H11298">SUM(H11296:H11297)</f>
        <v>809</v>
      </c>
      <c r="I11298" s="16" cm="1">
        <f t="array" ref="I11298">SUM(I11296:I11297)</f>
        <v>809</v>
      </c>
    </row>
    <row r="11299" ht="20.35" customHeight="1">
      <c r="A11299" s="10">
        <v>45898</v>
      </c>
      <c r="B11299" t="s" s="11">
        <v>28</v>
      </c>
      <c r="C11299" t="s" s="12">
        <v>1452</v>
      </c>
      <c r="D11299" s="17"/>
      <c r="E11299" s="17">
        <v>12000</v>
      </c>
      <c r="F11299" s="18"/>
      <c r="G11299" s="18"/>
      <c r="H11299" s="18"/>
      <c r="I11299" s="18"/>
    </row>
    <row r="11300" ht="20.35" customHeight="1">
      <c r="A11300" s="10">
        <v>45898</v>
      </c>
      <c r="B11300" t="s" s="11">
        <v>12</v>
      </c>
      <c r="C11300" t="s" s="12">
        <v>1452</v>
      </c>
      <c r="D11300" s="13">
        <v>12000</v>
      </c>
      <c r="E11300" s="13"/>
      <c r="F11300" s="14"/>
      <c r="G11300" s="14"/>
      <c r="H11300" s="14"/>
      <c r="I11300" s="14"/>
    </row>
    <row r="11301" ht="20.7" customHeight="1">
      <c r="A11301" s="10">
        <v>45898</v>
      </c>
      <c r="B11301" t="s" s="11">
        <v>8</v>
      </c>
      <c r="C11301" t="s" s="12">
        <v>8</v>
      </c>
      <c r="D11301" s="15" cm="1">
        <f t="array" ref="D11301">SUM(D11299:D11300)</f>
        <v>12000</v>
      </c>
      <c r="E11301" s="15" cm="1">
        <f t="array" ref="E11301">SUM(E11299:E11300)</f>
        <v>12000</v>
      </c>
      <c r="F11301" s="16" cm="1">
        <f t="array" ref="F11301">SUM(F11299:F11300)</f>
        <v>0</v>
      </c>
      <c r="G11301" s="16" cm="1">
        <f t="array" ref="G11301">SUM(G11299:G11300)</f>
        <v>0</v>
      </c>
      <c r="H11301" s="16" cm="1">
        <f t="array" ref="H11301">SUM(H11299:H11300)</f>
        <v>0</v>
      </c>
      <c r="I11301" s="16" cm="1">
        <f t="array" ref="I11301">SUM(I11299:I11300)</f>
        <v>0</v>
      </c>
    </row>
    <row r="11302" ht="20.35" customHeight="1">
      <c r="A11302" s="10">
        <v>45898</v>
      </c>
      <c r="B11302" t="s" s="11">
        <v>89</v>
      </c>
      <c r="C11302" t="s" s="12">
        <v>1453</v>
      </c>
      <c r="D11302" s="17"/>
      <c r="E11302" s="17">
        <v>76500</v>
      </c>
      <c r="F11302" s="18"/>
      <c r="G11302" s="18"/>
      <c r="H11302" s="18"/>
      <c r="I11302" s="18"/>
    </row>
    <row r="11303" ht="20.05" customHeight="1">
      <c r="A11303" s="10">
        <v>45898</v>
      </c>
      <c r="B11303" t="s" s="11">
        <v>12</v>
      </c>
      <c r="C11303" t="s" s="12">
        <v>1453</v>
      </c>
      <c r="D11303" s="19">
        <v>19125</v>
      </c>
      <c r="E11303" s="19"/>
      <c r="F11303" s="20"/>
      <c r="G11303" s="20"/>
      <c r="H11303" s="20"/>
      <c r="I11303" s="20"/>
    </row>
    <row r="11304" ht="20.05" customHeight="1">
      <c r="A11304" s="10">
        <v>45898</v>
      </c>
      <c r="B11304" t="s" s="11">
        <v>10</v>
      </c>
      <c r="C11304" t="s" s="12">
        <v>1453</v>
      </c>
      <c r="D11304" s="19">
        <v>19125</v>
      </c>
      <c r="E11304" s="19"/>
      <c r="F11304" s="20"/>
      <c r="G11304" s="20"/>
      <c r="H11304" s="20"/>
      <c r="I11304" s="20"/>
    </row>
    <row r="11305" ht="20.35" customHeight="1">
      <c r="A11305" s="10">
        <v>45898</v>
      </c>
      <c r="B11305" t="s" s="11">
        <v>89</v>
      </c>
      <c r="C11305" t="s" s="12">
        <v>1453</v>
      </c>
      <c r="D11305" s="13">
        <v>38250</v>
      </c>
      <c r="E11305" s="13"/>
      <c r="F11305" s="14"/>
      <c r="G11305" s="14"/>
      <c r="H11305" s="14"/>
      <c r="I11305" s="14"/>
    </row>
    <row r="11306" ht="20.7" customHeight="1">
      <c r="A11306" s="10">
        <v>45898</v>
      </c>
      <c r="B11306" t="s" s="11">
        <v>8</v>
      </c>
      <c r="C11306" t="s" s="12">
        <v>8</v>
      </c>
      <c r="D11306" s="15" cm="1">
        <f t="array" ref="D11306">SUM(D11302:D11305)</f>
        <v>76500</v>
      </c>
      <c r="E11306" s="15" cm="1">
        <f t="array" ref="E11306">SUM(E11302:E11305)</f>
        <v>76500</v>
      </c>
      <c r="F11306" s="16" cm="1">
        <f t="array" ref="F11306">SUM(F11302:F11305)</f>
        <v>0</v>
      </c>
      <c r="G11306" s="16" cm="1">
        <f t="array" ref="G11306">SUM(G11302:G11305)</f>
        <v>0</v>
      </c>
      <c r="H11306" s="16" cm="1">
        <f t="array" ref="H11306">SUM(H11302:H11305)</f>
        <v>0</v>
      </c>
      <c r="I11306" s="16" cm="1">
        <f t="array" ref="I11306">SUM(I11302:I11305)</f>
        <v>0</v>
      </c>
    </row>
    <row r="11307" ht="20.35" customHeight="1">
      <c r="A11307" s="10">
        <v>45898</v>
      </c>
      <c r="B11307" t="s" s="11">
        <v>1156</v>
      </c>
      <c r="C11307" t="s" s="12">
        <v>1454</v>
      </c>
      <c r="D11307" s="17"/>
      <c r="E11307" s="17"/>
      <c r="F11307" s="18"/>
      <c r="G11307" s="18"/>
      <c r="H11307" s="18"/>
      <c r="I11307" s="18">
        <v>98</v>
      </c>
    </row>
    <row r="11308" ht="20.35" customHeight="1">
      <c r="A11308" s="10">
        <v>45898</v>
      </c>
      <c r="B11308" t="s" s="11">
        <v>1357</v>
      </c>
      <c r="C11308" t="s" s="12">
        <v>1454</v>
      </c>
      <c r="D11308" s="13"/>
      <c r="E11308" s="13"/>
      <c r="F11308" s="14"/>
      <c r="G11308" s="14"/>
      <c r="H11308" s="14">
        <v>98</v>
      </c>
      <c r="I11308" s="14"/>
    </row>
    <row r="11309" ht="20.7" customHeight="1">
      <c r="A11309" s="10">
        <v>45898</v>
      </c>
      <c r="B11309" t="s" s="11">
        <v>8</v>
      </c>
      <c r="C11309" t="s" s="12">
        <v>8</v>
      </c>
      <c r="D11309" s="15" cm="1">
        <f t="array" ref="D11309">SUM(D11307:D11308)</f>
        <v>0</v>
      </c>
      <c r="E11309" s="15" cm="1">
        <f t="array" ref="E11309">SUM(E11307:E11308)</f>
        <v>0</v>
      </c>
      <c r="F11309" s="16" cm="1">
        <f t="array" ref="F11309">SUM(F11307:F11308)</f>
        <v>0</v>
      </c>
      <c r="G11309" s="16" cm="1">
        <f t="array" ref="G11309">SUM(G11307:G11308)</f>
        <v>0</v>
      </c>
      <c r="H11309" s="16" cm="1">
        <f t="array" ref="H11309">SUM(H11307:H11308)</f>
        <v>98</v>
      </c>
      <c r="I11309" s="16" cm="1">
        <f t="array" ref="I11309">SUM(I11307:I11308)</f>
        <v>98</v>
      </c>
    </row>
    <row r="11310" ht="20.65" customHeight="1">
      <c r="A11310" s="10">
        <v>45899</v>
      </c>
      <c r="B11310" t="s" s="11">
        <v>814</v>
      </c>
      <c r="C11310" t="s" s="12">
        <v>820</v>
      </c>
      <c r="D11310" s="17">
        <v>50</v>
      </c>
      <c r="E11310" s="17"/>
      <c r="F11310" s="18"/>
      <c r="G11310" s="18"/>
      <c r="H11310" s="18"/>
      <c r="I11310" s="18"/>
    </row>
    <row r="11311" ht="20.65" customHeight="1">
      <c r="A11311" s="10">
        <v>45899</v>
      </c>
      <c r="B11311" t="s" s="11">
        <v>7</v>
      </c>
      <c r="C11311" t="s" s="12">
        <v>820</v>
      </c>
      <c r="D11311" s="13"/>
      <c r="E11311" s="13">
        <v>50</v>
      </c>
      <c r="F11311" s="14"/>
      <c r="G11311" s="14"/>
      <c r="H11311" s="14"/>
      <c r="I11311" s="14"/>
    </row>
    <row r="11312" ht="20.7" customHeight="1">
      <c r="A11312" s="10">
        <v>45899</v>
      </c>
      <c r="B11312" t="s" s="11">
        <v>8</v>
      </c>
      <c r="C11312" t="s" s="12">
        <v>8</v>
      </c>
      <c r="D11312" s="15" cm="1">
        <f t="array" ref="D11312">SUM(D11310:D11311)</f>
        <v>50</v>
      </c>
      <c r="E11312" s="15" cm="1">
        <f t="array" ref="E11312">SUM(E11310:E11311)</f>
        <v>50</v>
      </c>
      <c r="F11312" s="16" cm="1">
        <f t="array" ref="F11312">SUM(F11310:F11311)</f>
        <v>0</v>
      </c>
      <c r="G11312" s="16" cm="1">
        <f t="array" ref="G11312">SUM(G11310:G11311)</f>
        <v>0</v>
      </c>
      <c r="H11312" s="16" cm="1">
        <f t="array" ref="H11312">SUM(H11310:H11311)</f>
        <v>0</v>
      </c>
      <c r="I11312" s="16" cm="1">
        <f t="array" ref="I11312">SUM(I11310:I11311)</f>
        <v>0</v>
      </c>
    </row>
    <row r="11313" ht="20.35" customHeight="1">
      <c r="A11313" s="10">
        <v>45899</v>
      </c>
      <c r="B11313" t="s" s="11">
        <v>89</v>
      </c>
      <c r="C11313" t="s" s="12">
        <v>695</v>
      </c>
      <c r="D11313" s="17"/>
      <c r="E11313" s="17">
        <v>6000</v>
      </c>
      <c r="F11313" s="18"/>
      <c r="G11313" s="18"/>
      <c r="H11313" s="18"/>
      <c r="I11313" s="18"/>
    </row>
    <row r="11314" ht="20.35" customHeight="1">
      <c r="A11314" s="10">
        <v>45899</v>
      </c>
      <c r="B11314" t="s" s="11">
        <v>16</v>
      </c>
      <c r="C11314" t="s" s="12">
        <v>695</v>
      </c>
      <c r="D11314" s="13">
        <v>6000</v>
      </c>
      <c r="E11314" s="13"/>
      <c r="F11314" s="14"/>
      <c r="G11314" s="14"/>
      <c r="H11314" s="14"/>
      <c r="I11314" s="14"/>
    </row>
    <row r="11315" ht="20.7" customHeight="1">
      <c r="A11315" s="10">
        <v>45899</v>
      </c>
      <c r="B11315" t="s" s="11">
        <v>8</v>
      </c>
      <c r="C11315" t="s" s="12">
        <v>8</v>
      </c>
      <c r="D11315" s="15" cm="1">
        <f t="array" ref="D11315">SUM(D11313:D11314)</f>
        <v>6000</v>
      </c>
      <c r="E11315" s="15" cm="1">
        <f t="array" ref="E11315">SUM(E11313:E11314)</f>
        <v>6000</v>
      </c>
      <c r="F11315" s="16" cm="1">
        <f t="array" ref="F11315">SUM(F11313:F11314)</f>
        <v>0</v>
      </c>
      <c r="G11315" s="16" cm="1">
        <f t="array" ref="G11315">SUM(G11313:G11314)</f>
        <v>0</v>
      </c>
      <c r="H11315" s="16" cm="1">
        <f t="array" ref="H11315">SUM(H11313:H11314)</f>
        <v>0</v>
      </c>
      <c r="I11315" s="16" cm="1">
        <f t="array" ref="I11315">SUM(I11313:I11314)</f>
        <v>0</v>
      </c>
    </row>
    <row r="11316" ht="20.65" customHeight="1">
      <c r="A11316" s="10">
        <v>45900</v>
      </c>
      <c r="B11316" t="s" s="11">
        <v>814</v>
      </c>
      <c r="C11316" t="s" s="12">
        <v>820</v>
      </c>
      <c r="D11316" s="17">
        <v>50</v>
      </c>
      <c r="E11316" s="17"/>
      <c r="F11316" s="18"/>
      <c r="G11316" s="18"/>
      <c r="H11316" s="18"/>
      <c r="I11316" s="18"/>
    </row>
    <row r="11317" ht="20.65" customHeight="1">
      <c r="A11317" s="10">
        <v>45900</v>
      </c>
      <c r="B11317" t="s" s="11">
        <v>7</v>
      </c>
      <c r="C11317" t="s" s="12">
        <v>820</v>
      </c>
      <c r="D11317" s="13"/>
      <c r="E11317" s="13">
        <v>50</v>
      </c>
      <c r="F11317" s="14"/>
      <c r="G11317" s="14"/>
      <c r="H11317" s="14"/>
      <c r="I11317" s="14"/>
    </row>
    <row r="11318" ht="20.7" customHeight="1">
      <c r="A11318" s="10">
        <v>45900</v>
      </c>
      <c r="B11318" t="s" s="11">
        <v>8</v>
      </c>
      <c r="C11318" t="s" s="12">
        <v>8</v>
      </c>
      <c r="D11318" s="15" cm="1">
        <f t="array" ref="D11318">SUM(D11316:D11317)</f>
        <v>50</v>
      </c>
      <c r="E11318" s="15" cm="1">
        <f t="array" ref="E11318">SUM(E11316:E11317)</f>
        <v>50</v>
      </c>
      <c r="F11318" s="16" cm="1">
        <f t="array" ref="F11318">SUM(F11316:F11317)</f>
        <v>0</v>
      </c>
      <c r="G11318" s="16" cm="1">
        <f t="array" ref="G11318">SUM(G11316:G11317)</f>
        <v>0</v>
      </c>
      <c r="H11318" s="16" cm="1">
        <f t="array" ref="H11318">SUM(H11316:H11317)</f>
        <v>0</v>
      </c>
      <c r="I11318" s="16" cm="1">
        <f t="array" ref="I11318">SUM(I11316:I11317)</f>
        <v>0</v>
      </c>
    </row>
    <row r="11319" ht="20.65" customHeight="1">
      <c r="A11319" s="10">
        <v>45900</v>
      </c>
      <c r="B11319" t="s" s="11">
        <v>89</v>
      </c>
      <c r="C11319" t="s" s="12">
        <v>1455</v>
      </c>
      <c r="D11319" s="17"/>
      <c r="E11319" s="17">
        <v>78100</v>
      </c>
      <c r="F11319" s="18"/>
      <c r="G11319" s="18"/>
      <c r="H11319" s="18"/>
      <c r="I11319" s="18"/>
    </row>
    <row r="11320" ht="20.35" customHeight="1">
      <c r="A11320" s="10">
        <v>45900</v>
      </c>
      <c r="B11320" t="s" s="11">
        <v>12</v>
      </c>
      <c r="C11320" t="s" s="12">
        <v>1455</v>
      </c>
      <c r="D11320" s="19">
        <v>19525</v>
      </c>
      <c r="E11320" s="19"/>
      <c r="F11320" s="20"/>
      <c r="G11320" s="20"/>
      <c r="H11320" s="20"/>
      <c r="I11320" s="20"/>
    </row>
    <row r="11321" ht="20.35" customHeight="1">
      <c r="A11321" s="10">
        <v>45900</v>
      </c>
      <c r="B11321" t="s" s="11">
        <v>10</v>
      </c>
      <c r="C11321" t="s" s="12">
        <v>1455</v>
      </c>
      <c r="D11321" s="19">
        <v>19525</v>
      </c>
      <c r="E11321" s="19"/>
      <c r="F11321" s="20"/>
      <c r="G11321" s="20"/>
      <c r="H11321" s="20"/>
      <c r="I11321" s="20"/>
    </row>
    <row r="11322" ht="20.65" customHeight="1">
      <c r="A11322" s="10">
        <v>45900</v>
      </c>
      <c r="B11322" t="s" s="11">
        <v>89</v>
      </c>
      <c r="C11322" t="s" s="12">
        <v>1455</v>
      </c>
      <c r="D11322" s="13">
        <v>39050</v>
      </c>
      <c r="E11322" s="13"/>
      <c r="F11322" s="14"/>
      <c r="G11322" s="14"/>
      <c r="H11322" s="14"/>
      <c r="I11322" s="14"/>
    </row>
    <row r="11323" ht="20.7" customHeight="1">
      <c r="A11323" s="10">
        <v>45900</v>
      </c>
      <c r="B11323" t="s" s="11">
        <v>8</v>
      </c>
      <c r="C11323" t="s" s="12">
        <v>8</v>
      </c>
      <c r="D11323" s="15" cm="1">
        <f t="array" ref="D11323">SUM(D11319:D11322)</f>
        <v>78100</v>
      </c>
      <c r="E11323" s="15" cm="1">
        <f t="array" ref="E11323">SUM(E11319:E11322)</f>
        <v>78100</v>
      </c>
      <c r="F11323" s="16" cm="1">
        <f t="array" ref="F11323">SUM(F11319:F11322)</f>
        <v>0</v>
      </c>
      <c r="G11323" s="16" cm="1">
        <f t="array" ref="G11323">SUM(G11319:G11322)</f>
        <v>0</v>
      </c>
      <c r="H11323" s="16" cm="1">
        <f t="array" ref="H11323">SUM(H11319:H11322)</f>
        <v>0</v>
      </c>
      <c r="I11323" s="16" cm="1">
        <f t="array" ref="I11323">SUM(I11319:I11322)</f>
        <v>0</v>
      </c>
    </row>
    <row r="11324" ht="20.35" customHeight="1">
      <c r="A11324" s="10">
        <v>45900</v>
      </c>
      <c r="B11324" t="s" s="11">
        <v>1156</v>
      </c>
      <c r="C11324" t="s" s="12">
        <v>1454</v>
      </c>
      <c r="D11324" s="17"/>
      <c r="E11324" s="17"/>
      <c r="F11324" s="18"/>
      <c r="G11324" s="18"/>
      <c r="H11324" s="18"/>
      <c r="I11324" s="18">
        <v>100</v>
      </c>
    </row>
    <row r="11325" ht="20.35" customHeight="1">
      <c r="A11325" s="10">
        <v>45900</v>
      </c>
      <c r="B11325" t="s" s="11">
        <v>1357</v>
      </c>
      <c r="C11325" t="s" s="12">
        <v>1454</v>
      </c>
      <c r="D11325" s="13"/>
      <c r="E11325" s="13"/>
      <c r="F11325" s="14"/>
      <c r="G11325" s="14"/>
      <c r="H11325" s="14">
        <v>100</v>
      </c>
      <c r="I11325" s="14"/>
    </row>
    <row r="11326" ht="20.7" customHeight="1">
      <c r="A11326" s="10">
        <v>45900</v>
      </c>
      <c r="B11326" t="s" s="11">
        <v>8</v>
      </c>
      <c r="C11326" t="s" s="12">
        <v>8</v>
      </c>
      <c r="D11326" s="15" cm="1">
        <f t="array" ref="D11326">SUM(D11324:D11325)</f>
        <v>0</v>
      </c>
      <c r="E11326" s="15" cm="1">
        <f t="array" ref="E11326">SUM(E11324:E11325)</f>
        <v>0</v>
      </c>
      <c r="F11326" s="16" cm="1">
        <f t="array" ref="F11326">SUM(F11324:F11325)</f>
        <v>0</v>
      </c>
      <c r="G11326" s="16" cm="1">
        <f t="array" ref="G11326">SUM(G11324:G11325)</f>
        <v>0</v>
      </c>
      <c r="H11326" s="16" cm="1">
        <f t="array" ref="H11326">SUM(H11324:H11325)</f>
        <v>100</v>
      </c>
      <c r="I11326" s="16" cm="1">
        <f t="array" ref="I11326">SUM(I11324:I11325)</f>
        <v>100</v>
      </c>
    </row>
    <row r="11327" ht="20.65" customHeight="1">
      <c r="A11327" s="10">
        <v>45900</v>
      </c>
      <c r="B11327" t="s" s="11">
        <v>91</v>
      </c>
      <c r="C11327" t="s" s="12">
        <v>767</v>
      </c>
      <c r="D11327" s="17"/>
      <c r="E11327" s="17">
        <v>1</v>
      </c>
      <c r="F11327" s="18"/>
      <c r="G11327" s="18"/>
      <c r="H11327" s="18"/>
      <c r="I11327" s="18"/>
    </row>
    <row r="11328" ht="20.65" customHeight="1">
      <c r="A11328" s="10">
        <v>45900</v>
      </c>
      <c r="B11328" t="s" s="11">
        <v>107</v>
      </c>
      <c r="C11328" t="s" s="12">
        <v>767</v>
      </c>
      <c r="D11328" s="13">
        <v>1</v>
      </c>
      <c r="E11328" s="13"/>
      <c r="F11328" s="14"/>
      <c r="G11328" s="14"/>
      <c r="H11328" s="14"/>
      <c r="I11328" s="14"/>
    </row>
    <row r="11329" ht="20.7" customHeight="1">
      <c r="A11329" s="10">
        <v>45900</v>
      </c>
      <c r="B11329" t="s" s="11">
        <v>8</v>
      </c>
      <c r="C11329" t="s" s="12">
        <v>8</v>
      </c>
      <c r="D11329" s="15" cm="1">
        <f t="array" ref="D11329">SUM(D11327:D11328)</f>
        <v>1</v>
      </c>
      <c r="E11329" s="15" cm="1">
        <f t="array" ref="E11329">SUM(E11327:E11328)</f>
        <v>1</v>
      </c>
      <c r="F11329" s="16" cm="1">
        <f t="array" ref="F11329">SUM(F11327:F11328)</f>
        <v>0</v>
      </c>
      <c r="G11329" s="16" cm="1">
        <f t="array" ref="G11329">SUM(G11327:G11328)</f>
        <v>0</v>
      </c>
      <c r="H11329" s="16" cm="1">
        <f t="array" ref="H11329">SUM(H11327:H11328)</f>
        <v>0</v>
      </c>
      <c r="I11329" s="16" cm="1">
        <f t="array" ref="I11329">SUM(I11327:I11328)</f>
        <v>0</v>
      </c>
    </row>
    <row r="11330" ht="20.65" customHeight="1">
      <c r="A11330" s="10">
        <v>45900</v>
      </c>
      <c r="B11330" t="s" s="11">
        <v>28</v>
      </c>
      <c r="C11330" t="s" s="12">
        <v>1456</v>
      </c>
      <c r="D11330" s="17"/>
      <c r="E11330" s="17">
        <v>51000</v>
      </c>
      <c r="F11330" s="18"/>
      <c r="G11330" s="18"/>
      <c r="H11330" s="18"/>
      <c r="I11330" s="18"/>
    </row>
    <row r="11331" ht="20.35" customHeight="1">
      <c r="A11331" s="10">
        <v>45900</v>
      </c>
      <c r="B11331" t="s" s="11">
        <v>89</v>
      </c>
      <c r="C11331" t="s" s="12">
        <v>1456</v>
      </c>
      <c r="D11331" s="19">
        <v>34000</v>
      </c>
      <c r="E11331" s="19"/>
      <c r="F11331" s="20"/>
      <c r="G11331" s="20"/>
      <c r="H11331" s="20"/>
      <c r="I11331" s="20"/>
    </row>
    <row r="11332" ht="20.65" customHeight="1">
      <c r="A11332" s="10">
        <v>45900</v>
      </c>
      <c r="B11332" t="s" s="11">
        <v>16</v>
      </c>
      <c r="C11332" t="s" s="12">
        <v>1456</v>
      </c>
      <c r="D11332" s="13">
        <v>17000</v>
      </c>
      <c r="E11332" s="13"/>
      <c r="F11332" s="14"/>
      <c r="G11332" s="14"/>
      <c r="H11332" s="14"/>
      <c r="I11332" s="14"/>
    </row>
    <row r="11333" ht="20.7" customHeight="1">
      <c r="A11333" s="10">
        <v>45900</v>
      </c>
      <c r="B11333" t="s" s="11">
        <v>8</v>
      </c>
      <c r="C11333" t="s" s="12">
        <v>8</v>
      </c>
      <c r="D11333" s="15" cm="1">
        <f t="array" ref="D11333">SUM(D11330:D11332)</f>
        <v>51000</v>
      </c>
      <c r="E11333" s="15" cm="1">
        <f t="array" ref="E11333">SUM(E11330:E11332)</f>
        <v>51000</v>
      </c>
      <c r="F11333" s="16" cm="1">
        <f t="array" ref="F11333">SUM(F11330:F11332)</f>
        <v>0</v>
      </c>
      <c r="G11333" s="16" cm="1">
        <f t="array" ref="G11333">SUM(G11330:G11332)</f>
        <v>0</v>
      </c>
      <c r="H11333" s="16" cm="1">
        <f t="array" ref="H11333">SUM(H11330:H11332)</f>
        <v>0</v>
      </c>
      <c r="I11333" s="16" cm="1">
        <f t="array" ref="I11333">SUM(I11330:I11332)</f>
        <v>0</v>
      </c>
    </row>
    <row r="11334" ht="20.35" customHeight="1">
      <c r="A11334" s="10">
        <v>45900</v>
      </c>
      <c r="B11334" t="s" s="11">
        <v>89</v>
      </c>
      <c r="C11334" t="s" s="12">
        <v>695</v>
      </c>
      <c r="D11334" s="17"/>
      <c r="E11334" s="17">
        <v>4900</v>
      </c>
      <c r="F11334" s="18"/>
      <c r="G11334" s="18"/>
      <c r="H11334" s="18"/>
      <c r="I11334" s="18"/>
    </row>
    <row r="11335" ht="20.35" customHeight="1">
      <c r="A11335" s="10">
        <v>45900</v>
      </c>
      <c r="B11335" t="s" s="11">
        <v>16</v>
      </c>
      <c r="C11335" t="s" s="12">
        <v>695</v>
      </c>
      <c r="D11335" s="13">
        <v>4900</v>
      </c>
      <c r="E11335" s="13"/>
      <c r="F11335" s="14"/>
      <c r="G11335" s="14"/>
      <c r="H11335" s="14"/>
      <c r="I11335" s="14"/>
    </row>
    <row r="11336" ht="20.7" customHeight="1">
      <c r="A11336" s="10">
        <v>45900</v>
      </c>
      <c r="B11336" t="s" s="11">
        <v>8</v>
      </c>
      <c r="C11336" t="s" s="12">
        <v>8</v>
      </c>
      <c r="D11336" s="15" cm="1">
        <f t="array" ref="D11336">SUM(D11334:D11335)</f>
        <v>4900</v>
      </c>
      <c r="E11336" s="15" cm="1">
        <f t="array" ref="E11336">SUM(E11334:E11335)</f>
        <v>4900</v>
      </c>
      <c r="F11336" s="16" cm="1">
        <f t="array" ref="F11336">SUM(F11334:F11335)</f>
        <v>0</v>
      </c>
      <c r="G11336" s="16" cm="1">
        <f t="array" ref="G11336">SUM(G11334:G11335)</f>
        <v>0</v>
      </c>
      <c r="H11336" s="16" cm="1">
        <f t="array" ref="H11336">SUM(H11334:H11335)</f>
        <v>0</v>
      </c>
      <c r="I11336" s="16" cm="1">
        <f t="array" ref="I11336">SUM(I11334:I11335)</f>
        <v>0</v>
      </c>
    </row>
    <row r="11337" ht="20.35" customHeight="1">
      <c r="A11337" s="10">
        <v>45900</v>
      </c>
      <c r="B11337" t="s" s="11">
        <v>1329</v>
      </c>
      <c r="C11337" t="s" s="12">
        <v>1457</v>
      </c>
      <c r="D11337" s="17"/>
      <c r="E11337" s="17"/>
      <c r="F11337" s="18"/>
      <c r="G11337" s="18">
        <v>129</v>
      </c>
      <c r="H11337" s="18"/>
      <c r="I11337" s="18"/>
    </row>
    <row r="11338" ht="20.05" customHeight="1">
      <c r="A11338" s="10">
        <v>45900</v>
      </c>
      <c r="B11338" t="s" s="11">
        <v>44</v>
      </c>
      <c r="C11338" t="s" s="12">
        <v>1457</v>
      </c>
      <c r="D11338" s="19"/>
      <c r="E11338" s="19"/>
      <c r="F11338" s="20">
        <v>129</v>
      </c>
      <c r="G11338" s="20"/>
      <c r="H11338" s="20"/>
      <c r="I11338" s="20"/>
    </row>
    <row r="11339" ht="20.05" customHeight="1">
      <c r="A11339" s="10">
        <v>45900</v>
      </c>
      <c r="B11339" t="s" s="11">
        <v>28</v>
      </c>
      <c r="C11339" t="s" s="12">
        <v>1457</v>
      </c>
      <c r="D11339" s="19">
        <v>37718</v>
      </c>
      <c r="E11339" s="19"/>
      <c r="F11339" s="20"/>
      <c r="G11339" s="20"/>
      <c r="H11339" s="20"/>
      <c r="I11339" s="20"/>
    </row>
    <row r="11340" ht="20.35" customHeight="1">
      <c r="A11340" s="10">
        <v>45900</v>
      </c>
      <c r="B11340" t="s" s="11">
        <v>46</v>
      </c>
      <c r="C11340" t="s" s="12">
        <v>1457</v>
      </c>
      <c r="D11340" s="13"/>
      <c r="E11340" s="13">
        <v>37718</v>
      </c>
      <c r="F11340" s="14"/>
      <c r="G11340" s="14"/>
      <c r="H11340" s="14"/>
      <c r="I11340" s="14"/>
    </row>
    <row r="11341" ht="20.7" customHeight="1">
      <c r="A11341" s="10">
        <v>45900</v>
      </c>
      <c r="B11341" t="s" s="11">
        <v>8</v>
      </c>
      <c r="C11341" t="s" s="12">
        <v>8</v>
      </c>
      <c r="D11341" s="15" cm="1">
        <f t="array" ref="D11341">SUM(D11337:D11340)</f>
        <v>37718</v>
      </c>
      <c r="E11341" s="15" cm="1">
        <f t="array" ref="E11341">SUM(E11337:E11340)</f>
        <v>37718</v>
      </c>
      <c r="F11341" s="16" cm="1">
        <f t="array" ref="F11341">SUM(F11337:F11340)</f>
        <v>129</v>
      </c>
      <c r="G11341" s="16" cm="1">
        <f t="array" ref="G11341">SUM(G11337:G11340)</f>
        <v>129</v>
      </c>
      <c r="H11341" s="16" cm="1">
        <f t="array" ref="H11341">SUM(H11337:H11340)</f>
        <v>0</v>
      </c>
      <c r="I11341" s="16" cm="1">
        <f t="array" ref="I11341">SUM(I11337:I11340)</f>
        <v>0</v>
      </c>
    </row>
    <row r="11342" ht="20.35" customHeight="1">
      <c r="A11342" s="10">
        <v>45900</v>
      </c>
      <c r="B11342" t="s" s="11">
        <v>28</v>
      </c>
      <c r="C11342" t="s" s="12">
        <v>1205</v>
      </c>
      <c r="D11342" s="17"/>
      <c r="E11342" s="17">
        <v>10000</v>
      </c>
      <c r="F11342" s="18"/>
      <c r="G11342" s="18"/>
      <c r="H11342" s="18"/>
      <c r="I11342" s="18"/>
    </row>
    <row r="11343" ht="20.35" customHeight="1">
      <c r="A11343" s="10">
        <v>45900</v>
      </c>
      <c r="B11343" t="s" s="11">
        <v>10</v>
      </c>
      <c r="C11343" t="s" s="12">
        <v>1205</v>
      </c>
      <c r="D11343" s="13">
        <v>10000</v>
      </c>
      <c r="E11343" s="13"/>
      <c r="F11343" s="14"/>
      <c r="G11343" s="14"/>
      <c r="H11343" s="14"/>
      <c r="I11343" s="14"/>
    </row>
    <row r="11344" ht="20.7" customHeight="1">
      <c r="A11344" s="10">
        <v>45900</v>
      </c>
      <c r="B11344" t="s" s="11">
        <v>8</v>
      </c>
      <c r="C11344" t="s" s="12">
        <v>8</v>
      </c>
      <c r="D11344" s="15" cm="1">
        <f t="array" ref="D11344">SUM(D11342:D11343)</f>
        <v>10000</v>
      </c>
      <c r="E11344" s="15" cm="1">
        <f t="array" ref="E11344">SUM(E11342:E11343)</f>
        <v>10000</v>
      </c>
      <c r="F11344" s="16" cm="1">
        <f t="array" ref="F11344">SUM(F11342:F11343)</f>
        <v>0</v>
      </c>
      <c r="G11344" s="16" cm="1">
        <f t="array" ref="G11344">SUM(G11342:G11343)</f>
        <v>0</v>
      </c>
      <c r="H11344" s="16" cm="1">
        <f t="array" ref="H11344">SUM(H11342:H11343)</f>
        <v>0</v>
      </c>
      <c r="I11344" s="16" cm="1">
        <f t="array" ref="I11344">SUM(I11342:I11343)</f>
        <v>0</v>
      </c>
    </row>
    <row r="11345" ht="21.25" customHeight="1">
      <c r="A11345" s="10">
        <v>45901</v>
      </c>
      <c r="B11345" t="s" s="11">
        <v>97</v>
      </c>
      <c r="C11345" t="s" s="12">
        <v>313</v>
      </c>
      <c r="D11345" s="17"/>
      <c r="E11345" s="17">
        <v>800000</v>
      </c>
      <c r="F11345" s="18"/>
      <c r="G11345" s="18"/>
      <c r="H11345" s="18"/>
      <c r="I11345" s="18"/>
    </row>
    <row r="11346" ht="21.25" customHeight="1">
      <c r="A11346" s="10">
        <v>45901</v>
      </c>
      <c r="B11346" t="s" s="11">
        <v>99</v>
      </c>
      <c r="C11346" t="s" s="12">
        <v>313</v>
      </c>
      <c r="D11346" s="13">
        <v>800000</v>
      </c>
      <c r="E11346" s="13"/>
      <c r="F11346" s="14"/>
      <c r="G11346" s="14"/>
      <c r="H11346" s="14"/>
      <c r="I11346" s="14"/>
    </row>
    <row r="11347" ht="20.7" customHeight="1">
      <c r="A11347" s="10">
        <v>45901</v>
      </c>
      <c r="B11347" t="s" s="11">
        <v>8</v>
      </c>
      <c r="C11347" t="s" s="12">
        <v>8</v>
      </c>
      <c r="D11347" s="15" cm="1">
        <f t="array" ref="D11347">SUM(D11345:D11346)</f>
        <v>800000</v>
      </c>
      <c r="E11347" s="15" cm="1">
        <f t="array" ref="E11347">SUM(E11345:E11346)</f>
        <v>800000</v>
      </c>
      <c r="F11347" s="16" cm="1">
        <f t="array" ref="F11347">SUM(F11345:F11346)</f>
        <v>0</v>
      </c>
      <c r="G11347" s="16" cm="1">
        <f t="array" ref="G11347">SUM(G11345:G11346)</f>
        <v>0</v>
      </c>
      <c r="H11347" s="16" cm="1">
        <f t="array" ref="H11347">SUM(H11345:H11346)</f>
        <v>0</v>
      </c>
      <c r="I11347" s="16" cm="1">
        <f t="array" ref="I11347">SUM(I11345:I11346)</f>
        <v>0</v>
      </c>
    </row>
    <row r="11348" ht="21.25" customHeight="1">
      <c r="A11348" s="10">
        <v>45901</v>
      </c>
      <c r="B11348" t="s" s="11">
        <v>106</v>
      </c>
      <c r="C11348" t="s" s="12">
        <v>1458</v>
      </c>
      <c r="D11348" s="17"/>
      <c r="E11348" s="17">
        <v>17500</v>
      </c>
      <c r="F11348" s="18"/>
      <c r="G11348" s="18"/>
      <c r="H11348" s="18"/>
      <c r="I11348" s="18"/>
    </row>
    <row r="11349" ht="21.25" customHeight="1">
      <c r="A11349" s="10">
        <v>45901</v>
      </c>
      <c r="B11349" t="s" s="11">
        <v>10</v>
      </c>
      <c r="C11349" t="s" s="12">
        <v>1458</v>
      </c>
      <c r="D11349" s="13">
        <v>17500</v>
      </c>
      <c r="E11349" s="13"/>
      <c r="F11349" s="14"/>
      <c r="G11349" s="14"/>
      <c r="H11349" s="14"/>
      <c r="I11349" s="14"/>
    </row>
    <row r="11350" ht="20.7" customHeight="1">
      <c r="A11350" s="10">
        <v>45901</v>
      </c>
      <c r="B11350" t="s" s="11">
        <v>8</v>
      </c>
      <c r="C11350" t="s" s="12">
        <v>8</v>
      </c>
      <c r="D11350" s="15" cm="1">
        <f t="array" ref="D11350">SUM(D11348:D11349)</f>
        <v>17500</v>
      </c>
      <c r="E11350" s="15" cm="1">
        <f t="array" ref="E11350">SUM(E11348:E11349)</f>
        <v>17500</v>
      </c>
      <c r="F11350" s="16" cm="1">
        <f t="array" ref="F11350">SUM(F11348:F11349)</f>
        <v>0</v>
      </c>
      <c r="G11350" s="16" cm="1">
        <f t="array" ref="G11350">SUM(G11348:G11349)</f>
        <v>0</v>
      </c>
      <c r="H11350" s="16" cm="1">
        <f t="array" ref="H11350">SUM(H11348:H11349)</f>
        <v>0</v>
      </c>
      <c r="I11350" s="16" cm="1">
        <f t="array" ref="I11350">SUM(I11348:I11349)</f>
        <v>0</v>
      </c>
    </row>
    <row r="11351" ht="20.65" customHeight="1">
      <c r="A11351" s="10">
        <v>45901</v>
      </c>
      <c r="B11351" t="s" s="11">
        <v>814</v>
      </c>
      <c r="C11351" t="s" s="12">
        <v>820</v>
      </c>
      <c r="D11351" s="17">
        <v>50</v>
      </c>
      <c r="E11351" s="17"/>
      <c r="F11351" s="18"/>
      <c r="G11351" s="18"/>
      <c r="H11351" s="18"/>
      <c r="I11351" s="18"/>
    </row>
    <row r="11352" ht="20.65" customHeight="1">
      <c r="A11352" s="10">
        <v>45901</v>
      </c>
      <c r="B11352" t="s" s="11">
        <v>7</v>
      </c>
      <c r="C11352" t="s" s="12">
        <v>820</v>
      </c>
      <c r="D11352" s="13"/>
      <c r="E11352" s="13">
        <v>50</v>
      </c>
      <c r="F11352" s="14"/>
      <c r="G11352" s="14"/>
      <c r="H11352" s="14"/>
      <c r="I11352" s="14"/>
    </row>
    <row r="11353" ht="20.7" customHeight="1">
      <c r="A11353" s="10">
        <v>45901</v>
      </c>
      <c r="B11353" t="s" s="11">
        <v>8</v>
      </c>
      <c r="C11353" t="s" s="12">
        <v>8</v>
      </c>
      <c r="D11353" s="15" cm="1">
        <f t="array" ref="D11353">SUM(D11351:D11352)</f>
        <v>50</v>
      </c>
      <c r="E11353" s="15" cm="1">
        <f t="array" ref="E11353">SUM(E11351:E11352)</f>
        <v>50</v>
      </c>
      <c r="F11353" s="16" cm="1">
        <f t="array" ref="F11353">SUM(F11351:F11352)</f>
        <v>0</v>
      </c>
      <c r="G11353" s="16" cm="1">
        <f t="array" ref="G11353">SUM(G11351:G11352)</f>
        <v>0</v>
      </c>
      <c r="H11353" s="16" cm="1">
        <f t="array" ref="H11353">SUM(H11351:H11352)</f>
        <v>0</v>
      </c>
      <c r="I11353" s="16" cm="1">
        <f t="array" ref="I11353">SUM(I11351:I11352)</f>
        <v>0</v>
      </c>
    </row>
    <row r="11354" ht="20.35" customHeight="1">
      <c r="A11354" s="10">
        <v>45901</v>
      </c>
      <c r="B11354" t="s" s="11">
        <v>28</v>
      </c>
      <c r="C11354" t="s" s="12">
        <v>961</v>
      </c>
      <c r="D11354" s="17">
        <v>50000</v>
      </c>
      <c r="E11354" s="17"/>
      <c r="F11354" s="18"/>
      <c r="G11354" s="18"/>
      <c r="H11354" s="18"/>
      <c r="I11354" s="18"/>
    </row>
    <row r="11355" ht="20.05" customHeight="1">
      <c r="A11355" s="10">
        <v>45901</v>
      </c>
      <c r="B11355" t="s" s="11">
        <v>89</v>
      </c>
      <c r="C11355" t="s" s="12">
        <v>961</v>
      </c>
      <c r="D11355" s="19"/>
      <c r="E11355" s="19">
        <v>34000</v>
      </c>
      <c r="F11355" s="20"/>
      <c r="G11355" s="20"/>
      <c r="H11355" s="20"/>
      <c r="I11355" s="20"/>
    </row>
    <row r="11356" ht="20.35" customHeight="1">
      <c r="A11356" s="10">
        <v>45901</v>
      </c>
      <c r="B11356" t="s" s="11">
        <v>21</v>
      </c>
      <c r="C11356" t="s" s="12">
        <v>961</v>
      </c>
      <c r="D11356" s="13"/>
      <c r="E11356" s="13">
        <v>16000</v>
      </c>
      <c r="F11356" s="14"/>
      <c r="G11356" s="14"/>
      <c r="H11356" s="14"/>
      <c r="I11356" s="14"/>
    </row>
    <row r="11357" ht="20.7" customHeight="1">
      <c r="A11357" s="10">
        <v>45901</v>
      </c>
      <c r="B11357" t="s" s="11">
        <v>8</v>
      </c>
      <c r="C11357" t="s" s="12">
        <v>8</v>
      </c>
      <c r="D11357" s="15" cm="1">
        <f t="array" ref="D11357">SUM(D11354:D11356)</f>
        <v>50000</v>
      </c>
      <c r="E11357" s="15" cm="1">
        <f t="array" ref="E11357">SUM(E11354:E11356)</f>
        <v>50000</v>
      </c>
      <c r="F11357" s="16" cm="1">
        <f t="array" ref="F11357">SUM(F11354:F11356)</f>
        <v>0</v>
      </c>
      <c r="G11357" s="16" cm="1">
        <f t="array" ref="G11357">SUM(G11354:G11356)</f>
        <v>0</v>
      </c>
      <c r="H11357" s="16" cm="1">
        <f t="array" ref="H11357">SUM(H11354:H11356)</f>
        <v>0</v>
      </c>
      <c r="I11357" s="16" cm="1">
        <f t="array" ref="I11357">SUM(I11354:I11356)</f>
        <v>0</v>
      </c>
    </row>
    <row r="11358" ht="20.35" customHeight="1">
      <c r="A11358" s="10">
        <v>45901</v>
      </c>
      <c r="B11358" t="s" s="11">
        <v>89</v>
      </c>
      <c r="C11358" t="s" s="12">
        <v>695</v>
      </c>
      <c r="D11358" s="17"/>
      <c r="E11358" s="17">
        <v>5200</v>
      </c>
      <c r="F11358" s="18"/>
      <c r="G11358" s="18"/>
      <c r="H11358" s="18"/>
      <c r="I11358" s="18"/>
    </row>
    <row r="11359" ht="20.35" customHeight="1">
      <c r="A11359" s="10">
        <v>45901</v>
      </c>
      <c r="B11359" t="s" s="11">
        <v>16</v>
      </c>
      <c r="C11359" t="s" s="12">
        <v>695</v>
      </c>
      <c r="D11359" s="13">
        <v>5200</v>
      </c>
      <c r="E11359" s="13"/>
      <c r="F11359" s="14"/>
      <c r="G11359" s="14"/>
      <c r="H11359" s="14"/>
      <c r="I11359" s="14"/>
    </row>
    <row r="11360" ht="20.7" customHeight="1">
      <c r="A11360" s="10">
        <v>45901</v>
      </c>
      <c r="B11360" t="s" s="11">
        <v>8</v>
      </c>
      <c r="C11360" t="s" s="12">
        <v>8</v>
      </c>
      <c r="D11360" s="15" cm="1">
        <f t="array" ref="D11360">SUM(D11358:D11359)</f>
        <v>5200</v>
      </c>
      <c r="E11360" s="15" cm="1">
        <f t="array" ref="E11360">SUM(E11358:E11359)</f>
        <v>5200</v>
      </c>
      <c r="F11360" s="16" cm="1">
        <f t="array" ref="F11360">SUM(F11358:F11359)</f>
        <v>0</v>
      </c>
      <c r="G11360" s="16" cm="1">
        <f t="array" ref="G11360">SUM(G11358:G11359)</f>
        <v>0</v>
      </c>
      <c r="H11360" s="16" cm="1">
        <f t="array" ref="H11360">SUM(H11358:H11359)</f>
        <v>0</v>
      </c>
      <c r="I11360" s="16" cm="1">
        <f t="array" ref="I11360">SUM(I11358:I11359)</f>
        <v>0</v>
      </c>
    </row>
    <row r="11361" ht="20.65" customHeight="1">
      <c r="A11361" s="10">
        <v>45902</v>
      </c>
      <c r="B11361" t="s" s="11">
        <v>814</v>
      </c>
      <c r="C11361" t="s" s="12">
        <v>820</v>
      </c>
      <c r="D11361" s="17">
        <v>50</v>
      </c>
      <c r="E11361" s="17"/>
      <c r="F11361" s="18"/>
      <c r="G11361" s="18"/>
      <c r="H11361" s="18"/>
      <c r="I11361" s="18"/>
    </row>
    <row r="11362" ht="20.65" customHeight="1">
      <c r="A11362" s="10">
        <v>45902</v>
      </c>
      <c r="B11362" t="s" s="11">
        <v>7</v>
      </c>
      <c r="C11362" t="s" s="12">
        <v>820</v>
      </c>
      <c r="D11362" s="13"/>
      <c r="E11362" s="13">
        <v>50</v>
      </c>
      <c r="F11362" s="14"/>
      <c r="G11362" s="14"/>
      <c r="H11362" s="14"/>
      <c r="I11362" s="14"/>
    </row>
    <row r="11363" ht="20.7" customHeight="1">
      <c r="A11363" s="10">
        <v>45902</v>
      </c>
      <c r="B11363" t="s" s="11">
        <v>8</v>
      </c>
      <c r="C11363" t="s" s="12">
        <v>8</v>
      </c>
      <c r="D11363" s="15" cm="1">
        <f t="array" ref="D11363">SUM(D11361:D11362)</f>
        <v>50</v>
      </c>
      <c r="E11363" s="15" cm="1">
        <f t="array" ref="E11363">SUM(E11361:E11362)</f>
        <v>50</v>
      </c>
      <c r="F11363" s="16" cm="1">
        <f t="array" ref="F11363">SUM(F11361:F11362)</f>
        <v>0</v>
      </c>
      <c r="G11363" s="16" cm="1">
        <f t="array" ref="G11363">SUM(G11361:G11362)</f>
        <v>0</v>
      </c>
      <c r="H11363" s="16" cm="1">
        <f t="array" ref="H11363">SUM(H11361:H11362)</f>
        <v>0</v>
      </c>
      <c r="I11363" s="16" cm="1">
        <f t="array" ref="I11363">SUM(I11361:I11362)</f>
        <v>0</v>
      </c>
    </row>
    <row r="11364" ht="20.65" customHeight="1">
      <c r="A11364" s="10">
        <v>45903</v>
      </c>
      <c r="B11364" t="s" s="11">
        <v>814</v>
      </c>
      <c r="C11364" t="s" s="12">
        <v>820</v>
      </c>
      <c r="D11364" s="17">
        <v>50</v>
      </c>
      <c r="E11364" s="17"/>
      <c r="F11364" s="18"/>
      <c r="G11364" s="18"/>
      <c r="H11364" s="18"/>
      <c r="I11364" s="18"/>
    </row>
    <row r="11365" ht="20.65" customHeight="1">
      <c r="A11365" s="10">
        <v>45903</v>
      </c>
      <c r="B11365" t="s" s="11">
        <v>7</v>
      </c>
      <c r="C11365" t="s" s="12">
        <v>820</v>
      </c>
      <c r="D11365" s="13"/>
      <c r="E11365" s="13">
        <v>50</v>
      </c>
      <c r="F11365" s="14"/>
      <c r="G11365" s="14"/>
      <c r="H11365" s="14"/>
      <c r="I11365" s="14"/>
    </row>
    <row r="11366" ht="20.7" customHeight="1">
      <c r="A11366" s="10">
        <v>45903</v>
      </c>
      <c r="B11366" t="s" s="11">
        <v>8</v>
      </c>
      <c r="C11366" t="s" s="12">
        <v>8</v>
      </c>
      <c r="D11366" s="15" cm="1">
        <f t="array" ref="D11366">SUM(D11364:D11365)</f>
        <v>50</v>
      </c>
      <c r="E11366" s="15" cm="1">
        <f t="array" ref="E11366">SUM(E11364:E11365)</f>
        <v>50</v>
      </c>
      <c r="F11366" s="16" cm="1">
        <f t="array" ref="F11366">SUM(F11364:F11365)</f>
        <v>0</v>
      </c>
      <c r="G11366" s="16" cm="1">
        <f t="array" ref="G11366">SUM(G11364:G11365)</f>
        <v>0</v>
      </c>
      <c r="H11366" s="16" cm="1">
        <f t="array" ref="H11366">SUM(H11364:H11365)</f>
        <v>0</v>
      </c>
      <c r="I11366" s="16" cm="1">
        <f t="array" ref="I11366">SUM(I11364:I11365)</f>
        <v>0</v>
      </c>
    </row>
    <row r="11367" ht="21.25" customHeight="1">
      <c r="A11367" s="10">
        <v>45903</v>
      </c>
      <c r="B11367" t="s" s="11">
        <v>121</v>
      </c>
      <c r="C11367" t="s" s="12">
        <v>324</v>
      </c>
      <c r="D11367" s="17"/>
      <c r="E11367" s="17">
        <v>12000</v>
      </c>
      <c r="F11367" s="18"/>
      <c r="G11367" s="18"/>
      <c r="H11367" s="18"/>
      <c r="I11367" s="18"/>
    </row>
    <row r="11368" ht="21.25" customHeight="1">
      <c r="A11368" s="10">
        <v>45903</v>
      </c>
      <c r="B11368" t="s" s="11">
        <v>16</v>
      </c>
      <c r="C11368" t="s" s="12">
        <v>324</v>
      </c>
      <c r="D11368" s="13">
        <v>12000</v>
      </c>
      <c r="E11368" s="13"/>
      <c r="F11368" s="14"/>
      <c r="G11368" s="14"/>
      <c r="H11368" s="14"/>
      <c r="I11368" s="14"/>
    </row>
    <row r="11369" ht="20.7" customHeight="1">
      <c r="A11369" s="10">
        <v>45903</v>
      </c>
      <c r="B11369" t="s" s="11">
        <v>8</v>
      </c>
      <c r="C11369" t="s" s="12">
        <v>8</v>
      </c>
      <c r="D11369" s="15" cm="1">
        <f t="array" ref="D11369">SUM(D11367:D11368)</f>
        <v>12000</v>
      </c>
      <c r="E11369" s="15" cm="1">
        <f t="array" ref="E11369">SUM(E11367:E11368)</f>
        <v>12000</v>
      </c>
      <c r="F11369" s="16" cm="1">
        <f t="array" ref="F11369">SUM(F11367:F11368)</f>
        <v>0</v>
      </c>
      <c r="G11369" s="16" cm="1">
        <f t="array" ref="G11369">SUM(G11367:G11368)</f>
        <v>0</v>
      </c>
      <c r="H11369" s="16" cm="1">
        <f t="array" ref="H11369">SUM(H11367:H11368)</f>
        <v>0</v>
      </c>
      <c r="I11369" s="16" cm="1">
        <f t="array" ref="I11369">SUM(I11367:I11368)</f>
        <v>0</v>
      </c>
    </row>
    <row r="11370" ht="21.25" customHeight="1">
      <c r="A11370" s="10">
        <v>45903</v>
      </c>
      <c r="B11370" t="s" s="11">
        <v>121</v>
      </c>
      <c r="C11370" t="s" s="12">
        <v>324</v>
      </c>
      <c r="D11370" s="17"/>
      <c r="E11370" s="17">
        <v>13950</v>
      </c>
      <c r="F11370" s="18"/>
      <c r="G11370" s="18"/>
      <c r="H11370" s="18"/>
      <c r="I11370" s="18"/>
    </row>
    <row r="11371" ht="21.25" customHeight="1">
      <c r="A11371" s="10">
        <v>45903</v>
      </c>
      <c r="B11371" t="s" s="11">
        <v>16</v>
      </c>
      <c r="C11371" t="s" s="12">
        <v>324</v>
      </c>
      <c r="D11371" s="13">
        <v>13950</v>
      </c>
      <c r="E11371" s="13"/>
      <c r="F11371" s="14"/>
      <c r="G11371" s="14"/>
      <c r="H11371" s="14"/>
      <c r="I11371" s="14"/>
    </row>
    <row r="11372" ht="20.7" customHeight="1">
      <c r="A11372" s="10">
        <v>45903</v>
      </c>
      <c r="B11372" t="s" s="11">
        <v>8</v>
      </c>
      <c r="C11372" t="s" s="12">
        <v>8</v>
      </c>
      <c r="D11372" s="15" cm="1">
        <f t="array" ref="D11372">SUM(D11370:D11371)</f>
        <v>13950</v>
      </c>
      <c r="E11372" s="15" cm="1">
        <f t="array" ref="E11372">SUM(E11370:E11371)</f>
        <v>13950</v>
      </c>
      <c r="F11372" s="16" cm="1">
        <f t="array" ref="F11372">SUM(F11370:F11371)</f>
        <v>0</v>
      </c>
      <c r="G11372" s="16" cm="1">
        <f t="array" ref="G11372">SUM(G11370:G11371)</f>
        <v>0</v>
      </c>
      <c r="H11372" s="16" cm="1">
        <f t="array" ref="H11372">SUM(H11370:H11371)</f>
        <v>0</v>
      </c>
      <c r="I11372" s="16" cm="1">
        <f t="array" ref="I11372">SUM(I11370:I11371)</f>
        <v>0</v>
      </c>
    </row>
    <row r="11373" ht="20.35" customHeight="1">
      <c r="A11373" s="10">
        <v>45903</v>
      </c>
      <c r="B11373" t="s" s="11">
        <v>89</v>
      </c>
      <c r="C11373" t="s" s="12">
        <v>890</v>
      </c>
      <c r="D11373" s="17"/>
      <c r="E11373" s="17">
        <v>1000</v>
      </c>
      <c r="F11373" s="18"/>
      <c r="G11373" s="18"/>
      <c r="H11373" s="18"/>
      <c r="I11373" s="18"/>
    </row>
    <row r="11374" ht="20.35" customHeight="1">
      <c r="A11374" s="10">
        <v>45903</v>
      </c>
      <c r="B11374" t="s" s="11">
        <v>10</v>
      </c>
      <c r="C11374" t="s" s="12">
        <v>890</v>
      </c>
      <c r="D11374" s="13">
        <v>1000</v>
      </c>
      <c r="E11374" s="13"/>
      <c r="F11374" s="14"/>
      <c r="G11374" s="14"/>
      <c r="H11374" s="14"/>
      <c r="I11374" s="14"/>
    </row>
    <row r="11375" ht="20.7" customHeight="1">
      <c r="A11375" s="10">
        <v>45903</v>
      </c>
      <c r="B11375" t="s" s="11">
        <v>8</v>
      </c>
      <c r="C11375" t="s" s="12">
        <v>8</v>
      </c>
      <c r="D11375" s="15" cm="1">
        <f t="array" ref="D11375">SUM(D11373:D11374)</f>
        <v>1000</v>
      </c>
      <c r="E11375" s="15" cm="1">
        <f t="array" ref="E11375">SUM(E11373:E11374)</f>
        <v>1000</v>
      </c>
      <c r="F11375" s="16" cm="1">
        <f t="array" ref="F11375">SUM(F11373:F11374)</f>
        <v>0</v>
      </c>
      <c r="G11375" s="16" cm="1">
        <f t="array" ref="G11375">SUM(G11373:G11374)</f>
        <v>0</v>
      </c>
      <c r="H11375" s="16" cm="1">
        <f t="array" ref="H11375">SUM(H11373:H11374)</f>
        <v>0</v>
      </c>
      <c r="I11375" s="16" cm="1">
        <f t="array" ref="I11375">SUM(I11373:I11374)</f>
        <v>0</v>
      </c>
    </row>
    <row r="11376" ht="20.35" customHeight="1">
      <c r="A11376" s="10">
        <v>45903</v>
      </c>
      <c r="B11376" t="s" s="11">
        <v>89</v>
      </c>
      <c r="C11376" t="s" s="12">
        <v>890</v>
      </c>
      <c r="D11376" s="17"/>
      <c r="E11376" s="17">
        <v>280</v>
      </c>
      <c r="F11376" s="18"/>
      <c r="G11376" s="18"/>
      <c r="H11376" s="18"/>
      <c r="I11376" s="18"/>
    </row>
    <row r="11377" ht="20.35" customHeight="1">
      <c r="A11377" s="10">
        <v>45903</v>
      </c>
      <c r="B11377" t="s" s="11">
        <v>10</v>
      </c>
      <c r="C11377" t="s" s="12">
        <v>890</v>
      </c>
      <c r="D11377" s="13">
        <v>280</v>
      </c>
      <c r="E11377" s="13"/>
      <c r="F11377" s="14"/>
      <c r="G11377" s="14"/>
      <c r="H11377" s="14"/>
      <c r="I11377" s="14"/>
    </row>
    <row r="11378" ht="20.7" customHeight="1">
      <c r="A11378" s="10">
        <v>45903</v>
      </c>
      <c r="B11378" t="s" s="11">
        <v>8</v>
      </c>
      <c r="C11378" t="s" s="12">
        <v>8</v>
      </c>
      <c r="D11378" s="15" cm="1">
        <f t="array" ref="D11378">SUM(D11376:D11377)</f>
        <v>280</v>
      </c>
      <c r="E11378" s="15" cm="1">
        <f t="array" ref="E11378">SUM(E11376:E11377)</f>
        <v>280</v>
      </c>
      <c r="F11378" s="16" cm="1">
        <f t="array" ref="F11378">SUM(F11376:F11377)</f>
        <v>0</v>
      </c>
      <c r="G11378" s="16" cm="1">
        <f t="array" ref="G11378">SUM(G11376:G11377)</f>
        <v>0</v>
      </c>
      <c r="H11378" s="16" cm="1">
        <f t="array" ref="H11378">SUM(H11376:H11377)</f>
        <v>0</v>
      </c>
      <c r="I11378" s="16" cm="1">
        <f t="array" ref="I11378">SUM(I11376:I11377)</f>
        <v>0</v>
      </c>
    </row>
    <row r="11379" ht="20.35" customHeight="1">
      <c r="A11379" s="10">
        <v>45903</v>
      </c>
      <c r="B11379" t="s" s="11">
        <v>89</v>
      </c>
      <c r="C11379" t="s" s="12">
        <v>890</v>
      </c>
      <c r="D11379" s="17"/>
      <c r="E11379" s="17">
        <v>500</v>
      </c>
      <c r="F11379" s="18"/>
      <c r="G11379" s="18"/>
      <c r="H11379" s="18"/>
      <c r="I11379" s="18"/>
    </row>
    <row r="11380" ht="20.35" customHeight="1">
      <c r="A11380" s="10">
        <v>45903</v>
      </c>
      <c r="B11380" t="s" s="11">
        <v>10</v>
      </c>
      <c r="C11380" t="s" s="12">
        <v>890</v>
      </c>
      <c r="D11380" s="13">
        <v>500</v>
      </c>
      <c r="E11380" s="13"/>
      <c r="F11380" s="14"/>
      <c r="G11380" s="14"/>
      <c r="H11380" s="14"/>
      <c r="I11380" s="14"/>
    </row>
    <row r="11381" ht="20.7" customHeight="1">
      <c r="A11381" s="10">
        <v>45903</v>
      </c>
      <c r="B11381" t="s" s="11">
        <v>8</v>
      </c>
      <c r="C11381" t="s" s="12">
        <v>8</v>
      </c>
      <c r="D11381" s="15" cm="1">
        <f t="array" ref="D11381">SUM(D11379:D11380)</f>
        <v>500</v>
      </c>
      <c r="E11381" s="15" cm="1">
        <f t="array" ref="E11381">SUM(E11379:E11380)</f>
        <v>500</v>
      </c>
      <c r="F11381" s="16" cm="1">
        <f t="array" ref="F11381">SUM(F11379:F11380)</f>
        <v>0</v>
      </c>
      <c r="G11381" s="16" cm="1">
        <f t="array" ref="G11381">SUM(G11379:G11380)</f>
        <v>0</v>
      </c>
      <c r="H11381" s="16" cm="1">
        <f t="array" ref="H11381">SUM(H11379:H11380)</f>
        <v>0</v>
      </c>
      <c r="I11381" s="16" cm="1">
        <f t="array" ref="I11381">SUM(I11379:I11380)</f>
        <v>0</v>
      </c>
    </row>
    <row r="11382" ht="20.35" customHeight="1">
      <c r="A11382" s="10">
        <v>45903</v>
      </c>
      <c r="B11382" t="s" s="11">
        <v>89</v>
      </c>
      <c r="C11382" t="s" s="12">
        <v>890</v>
      </c>
      <c r="D11382" s="17"/>
      <c r="E11382" s="17">
        <v>70</v>
      </c>
      <c r="F11382" s="18"/>
      <c r="G11382" s="18"/>
      <c r="H11382" s="18"/>
      <c r="I11382" s="18"/>
    </row>
    <row r="11383" ht="20.35" customHeight="1">
      <c r="A11383" s="10">
        <v>45903</v>
      </c>
      <c r="B11383" t="s" s="11">
        <v>10</v>
      </c>
      <c r="C11383" t="s" s="12">
        <v>890</v>
      </c>
      <c r="D11383" s="13">
        <v>70</v>
      </c>
      <c r="E11383" s="13"/>
      <c r="F11383" s="14"/>
      <c r="G11383" s="14"/>
      <c r="H11383" s="14"/>
      <c r="I11383" s="14"/>
    </row>
    <row r="11384" ht="20.7" customHeight="1">
      <c r="A11384" s="10">
        <v>45903</v>
      </c>
      <c r="B11384" t="s" s="11">
        <v>8</v>
      </c>
      <c r="C11384" t="s" s="12">
        <v>8</v>
      </c>
      <c r="D11384" s="15" cm="1">
        <f t="array" ref="D11384">SUM(D11382:D11383)</f>
        <v>70</v>
      </c>
      <c r="E11384" s="15" cm="1">
        <f t="array" ref="E11384">SUM(E11382:E11383)</f>
        <v>70</v>
      </c>
      <c r="F11384" s="16" cm="1">
        <f t="array" ref="F11384">SUM(F11382:F11383)</f>
        <v>0</v>
      </c>
      <c r="G11384" s="16" cm="1">
        <f t="array" ref="G11384">SUM(G11382:G11383)</f>
        <v>0</v>
      </c>
      <c r="H11384" s="16" cm="1">
        <f t="array" ref="H11384">SUM(H11382:H11383)</f>
        <v>0</v>
      </c>
      <c r="I11384" s="16" cm="1">
        <f t="array" ref="I11384">SUM(I11382:I11383)</f>
        <v>0</v>
      </c>
    </row>
    <row r="11385" ht="20.35" customHeight="1">
      <c r="A11385" s="10">
        <v>45903</v>
      </c>
      <c r="B11385" t="s" s="11">
        <v>89</v>
      </c>
      <c r="C11385" t="s" s="12">
        <v>890</v>
      </c>
      <c r="D11385" s="17"/>
      <c r="E11385" s="17">
        <v>1000</v>
      </c>
      <c r="F11385" s="18"/>
      <c r="G11385" s="18"/>
      <c r="H11385" s="18"/>
      <c r="I11385" s="18"/>
    </row>
    <row r="11386" ht="20.35" customHeight="1">
      <c r="A11386" s="10">
        <v>45903</v>
      </c>
      <c r="B11386" t="s" s="11">
        <v>10</v>
      </c>
      <c r="C11386" t="s" s="12">
        <v>890</v>
      </c>
      <c r="D11386" s="13">
        <v>1000</v>
      </c>
      <c r="E11386" s="13"/>
      <c r="F11386" s="14"/>
      <c r="G11386" s="14"/>
      <c r="H11386" s="14"/>
      <c r="I11386" s="14"/>
    </row>
    <row r="11387" ht="20.7" customHeight="1">
      <c r="A11387" s="10">
        <v>45903</v>
      </c>
      <c r="B11387" t="s" s="11">
        <v>8</v>
      </c>
      <c r="C11387" t="s" s="12">
        <v>8</v>
      </c>
      <c r="D11387" s="15" cm="1">
        <f t="array" ref="D11387">SUM(D11385:D11386)</f>
        <v>1000</v>
      </c>
      <c r="E11387" s="15" cm="1">
        <f t="array" ref="E11387">SUM(E11385:E11386)</f>
        <v>1000</v>
      </c>
      <c r="F11387" s="16" cm="1">
        <f t="array" ref="F11387">SUM(F11385:F11386)</f>
        <v>0</v>
      </c>
      <c r="G11387" s="16" cm="1">
        <f t="array" ref="G11387">SUM(G11385:G11386)</f>
        <v>0</v>
      </c>
      <c r="H11387" s="16" cm="1">
        <f t="array" ref="H11387">SUM(H11385:H11386)</f>
        <v>0</v>
      </c>
      <c r="I11387" s="16" cm="1">
        <f t="array" ref="I11387">SUM(I11385:I11386)</f>
        <v>0</v>
      </c>
    </row>
    <row r="11388" ht="20.65" customHeight="1">
      <c r="A11388" s="10">
        <v>45904</v>
      </c>
      <c r="B11388" t="s" s="11">
        <v>814</v>
      </c>
      <c r="C11388" t="s" s="12">
        <v>820</v>
      </c>
      <c r="D11388" s="17">
        <v>50</v>
      </c>
      <c r="E11388" s="17"/>
      <c r="F11388" s="18"/>
      <c r="G11388" s="18"/>
      <c r="H11388" s="18"/>
      <c r="I11388" s="18"/>
    </row>
    <row r="11389" ht="20.65" customHeight="1">
      <c r="A11389" s="10">
        <v>45904</v>
      </c>
      <c r="B11389" t="s" s="11">
        <v>7</v>
      </c>
      <c r="C11389" t="s" s="12">
        <v>820</v>
      </c>
      <c r="D11389" s="13"/>
      <c r="E11389" s="13">
        <v>50</v>
      </c>
      <c r="F11389" s="14"/>
      <c r="G11389" s="14"/>
      <c r="H11389" s="14"/>
      <c r="I11389" s="14"/>
    </row>
    <row r="11390" ht="20.7" customHeight="1">
      <c r="A11390" s="10">
        <v>45904</v>
      </c>
      <c r="B11390" t="s" s="11">
        <v>8</v>
      </c>
      <c r="C11390" t="s" s="12">
        <v>8</v>
      </c>
      <c r="D11390" s="15" cm="1">
        <f t="array" ref="D11390">SUM(D11388:D11389)</f>
        <v>50</v>
      </c>
      <c r="E11390" s="15" cm="1">
        <f t="array" ref="E11390">SUM(E11388:E11389)</f>
        <v>50</v>
      </c>
      <c r="F11390" s="16" cm="1">
        <f t="array" ref="F11390">SUM(F11388:F11389)</f>
        <v>0</v>
      </c>
      <c r="G11390" s="16" cm="1">
        <f t="array" ref="G11390">SUM(G11388:G11389)</f>
        <v>0</v>
      </c>
      <c r="H11390" s="16" cm="1">
        <f t="array" ref="H11390">SUM(H11388:H11389)</f>
        <v>0</v>
      </c>
      <c r="I11390" s="16" cm="1">
        <f t="array" ref="I11390">SUM(I11388:I11389)</f>
        <v>0</v>
      </c>
    </row>
    <row r="11391" ht="20.35" customHeight="1">
      <c r="A11391" s="10">
        <v>45904</v>
      </c>
      <c r="B11391" t="s" s="11">
        <v>89</v>
      </c>
      <c r="C11391" t="s" s="12">
        <v>695</v>
      </c>
      <c r="D11391" s="17"/>
      <c r="E11391" s="17">
        <v>6100</v>
      </c>
      <c r="F11391" s="18"/>
      <c r="G11391" s="18"/>
      <c r="H11391" s="18"/>
      <c r="I11391" s="18"/>
    </row>
    <row r="11392" ht="20.35" customHeight="1">
      <c r="A11392" s="10">
        <v>45904</v>
      </c>
      <c r="B11392" t="s" s="11">
        <v>16</v>
      </c>
      <c r="C11392" t="s" s="12">
        <v>695</v>
      </c>
      <c r="D11392" s="13">
        <v>6100</v>
      </c>
      <c r="E11392" s="13"/>
      <c r="F11392" s="14"/>
      <c r="G11392" s="14"/>
      <c r="H11392" s="14"/>
      <c r="I11392" s="14"/>
    </row>
    <row r="11393" ht="20.7" customHeight="1">
      <c r="A11393" s="10">
        <v>45904</v>
      </c>
      <c r="B11393" t="s" s="11">
        <v>8</v>
      </c>
      <c r="C11393" t="s" s="12">
        <v>8</v>
      </c>
      <c r="D11393" s="15" cm="1">
        <f t="array" ref="D11393">SUM(D11391:D11392)</f>
        <v>6100</v>
      </c>
      <c r="E11393" s="15" cm="1">
        <f t="array" ref="E11393">SUM(E11391:E11392)</f>
        <v>6100</v>
      </c>
      <c r="F11393" s="16" cm="1">
        <f t="array" ref="F11393">SUM(F11391:F11392)</f>
        <v>0</v>
      </c>
      <c r="G11393" s="16" cm="1">
        <f t="array" ref="G11393">SUM(G11391:G11392)</f>
        <v>0</v>
      </c>
      <c r="H11393" s="16" cm="1">
        <f t="array" ref="H11393">SUM(H11391:H11392)</f>
        <v>0</v>
      </c>
      <c r="I11393" s="16" cm="1">
        <f t="array" ref="I11393">SUM(I11391:I11392)</f>
        <v>0</v>
      </c>
    </row>
    <row r="11394" ht="20.65" customHeight="1">
      <c r="A11394" s="10">
        <v>45904</v>
      </c>
      <c r="B11394" t="s" s="11">
        <v>89</v>
      </c>
      <c r="C11394" t="s" s="12">
        <v>1443</v>
      </c>
      <c r="D11394" s="17"/>
      <c r="E11394" s="17">
        <v>2500</v>
      </c>
      <c r="F11394" s="18"/>
      <c r="G11394" s="18"/>
      <c r="H11394" s="18"/>
      <c r="I11394" s="18"/>
    </row>
    <row r="11395" ht="20.65" customHeight="1">
      <c r="A11395" s="10">
        <v>45904</v>
      </c>
      <c r="B11395" t="s" s="11">
        <v>12</v>
      </c>
      <c r="C11395" t="s" s="12">
        <v>1443</v>
      </c>
      <c r="D11395" s="13">
        <v>2500</v>
      </c>
      <c r="E11395" s="13"/>
      <c r="F11395" s="14"/>
      <c r="G11395" s="14"/>
      <c r="H11395" s="14"/>
      <c r="I11395" s="14"/>
    </row>
    <row r="11396" ht="20.7" customHeight="1">
      <c r="A11396" s="10">
        <v>45904</v>
      </c>
      <c r="B11396" t="s" s="11">
        <v>8</v>
      </c>
      <c r="C11396" t="s" s="12">
        <v>8</v>
      </c>
      <c r="D11396" s="15" cm="1">
        <f t="array" ref="D11396">SUM(D11394:D11395)</f>
        <v>2500</v>
      </c>
      <c r="E11396" s="15" cm="1">
        <f t="array" ref="E11396">SUM(E11394:E11395)</f>
        <v>2500</v>
      </c>
      <c r="F11396" s="16" cm="1">
        <f t="array" ref="F11396">SUM(F11394:F11395)</f>
        <v>0</v>
      </c>
      <c r="G11396" s="16" cm="1">
        <f t="array" ref="G11396">SUM(G11394:G11395)</f>
        <v>0</v>
      </c>
      <c r="H11396" s="16" cm="1">
        <f t="array" ref="H11396">SUM(H11394:H11395)</f>
        <v>0</v>
      </c>
      <c r="I11396" s="16" cm="1">
        <f t="array" ref="I11396">SUM(I11394:I11395)</f>
        <v>0</v>
      </c>
    </row>
    <row r="11397" ht="20.65" customHeight="1">
      <c r="A11397" s="10">
        <v>45905</v>
      </c>
      <c r="B11397" t="s" s="11">
        <v>814</v>
      </c>
      <c r="C11397" t="s" s="12">
        <v>820</v>
      </c>
      <c r="D11397" s="17">
        <v>50</v>
      </c>
      <c r="E11397" s="17"/>
      <c r="F11397" s="18"/>
      <c r="G11397" s="18"/>
      <c r="H11397" s="18"/>
      <c r="I11397" s="18"/>
    </row>
    <row r="11398" ht="20.65" customHeight="1">
      <c r="A11398" s="10">
        <v>45905</v>
      </c>
      <c r="B11398" t="s" s="11">
        <v>7</v>
      </c>
      <c r="C11398" t="s" s="12">
        <v>820</v>
      </c>
      <c r="D11398" s="13"/>
      <c r="E11398" s="13">
        <v>50</v>
      </c>
      <c r="F11398" s="14"/>
      <c r="G11398" s="14"/>
      <c r="H11398" s="14"/>
      <c r="I11398" s="14"/>
    </row>
    <row r="11399" ht="20.7" customHeight="1">
      <c r="A11399" s="10">
        <v>45905</v>
      </c>
      <c r="B11399" t="s" s="11">
        <v>8</v>
      </c>
      <c r="C11399" t="s" s="12">
        <v>8</v>
      </c>
      <c r="D11399" s="15" cm="1">
        <f t="array" ref="D11399">SUM(D11397:D11398)</f>
        <v>50</v>
      </c>
      <c r="E11399" s="15" cm="1">
        <f t="array" ref="E11399">SUM(E11397:E11398)</f>
        <v>50</v>
      </c>
      <c r="F11399" s="16" cm="1">
        <f t="array" ref="F11399">SUM(F11397:F11398)</f>
        <v>0</v>
      </c>
      <c r="G11399" s="16" cm="1">
        <f t="array" ref="G11399">SUM(G11397:G11398)</f>
        <v>0</v>
      </c>
      <c r="H11399" s="16" cm="1">
        <f t="array" ref="H11399">SUM(H11397:H11398)</f>
        <v>0</v>
      </c>
      <c r="I11399" s="16" cm="1">
        <f t="array" ref="I11399">SUM(I11397:I11398)</f>
        <v>0</v>
      </c>
    </row>
    <row r="11400" ht="20.65" customHeight="1">
      <c r="A11400" s="10">
        <v>45906</v>
      </c>
      <c r="B11400" t="s" s="11">
        <v>814</v>
      </c>
      <c r="C11400" t="s" s="12">
        <v>820</v>
      </c>
      <c r="D11400" s="17">
        <v>50</v>
      </c>
      <c r="E11400" s="17"/>
      <c r="F11400" s="18"/>
      <c r="G11400" s="18"/>
      <c r="H11400" s="18"/>
      <c r="I11400" s="18"/>
    </row>
    <row r="11401" ht="20.65" customHeight="1">
      <c r="A11401" s="10">
        <v>45906</v>
      </c>
      <c r="B11401" t="s" s="11">
        <v>7</v>
      </c>
      <c r="C11401" t="s" s="12">
        <v>820</v>
      </c>
      <c r="D11401" s="13"/>
      <c r="E11401" s="13">
        <v>50</v>
      </c>
      <c r="F11401" s="14"/>
      <c r="G11401" s="14"/>
      <c r="H11401" s="14"/>
      <c r="I11401" s="14"/>
    </row>
    <row r="11402" ht="20.7" customHeight="1">
      <c r="A11402" s="10">
        <v>45906</v>
      </c>
      <c r="B11402" t="s" s="11">
        <v>8</v>
      </c>
      <c r="C11402" t="s" s="12">
        <v>8</v>
      </c>
      <c r="D11402" s="15" cm="1">
        <f t="array" ref="D11402">SUM(D11400:D11401)</f>
        <v>50</v>
      </c>
      <c r="E11402" s="15" cm="1">
        <f t="array" ref="E11402">SUM(E11400:E11401)</f>
        <v>50</v>
      </c>
      <c r="F11402" s="16" cm="1">
        <f t="array" ref="F11402">SUM(F11400:F11401)</f>
        <v>0</v>
      </c>
      <c r="G11402" s="16" cm="1">
        <f t="array" ref="G11402">SUM(G11400:G11401)</f>
        <v>0</v>
      </c>
      <c r="H11402" s="16" cm="1">
        <f t="array" ref="H11402">SUM(H11400:H11401)</f>
        <v>0</v>
      </c>
      <c r="I11402" s="16" cm="1">
        <f t="array" ref="I11402">SUM(I11400:I11401)</f>
        <v>0</v>
      </c>
    </row>
    <row r="11403" ht="20.65" customHeight="1">
      <c r="A11403" s="10">
        <v>45907</v>
      </c>
      <c r="B11403" t="s" s="11">
        <v>814</v>
      </c>
      <c r="C11403" t="s" s="12">
        <v>820</v>
      </c>
      <c r="D11403" s="17">
        <v>50</v>
      </c>
      <c r="E11403" s="17"/>
      <c r="F11403" s="18"/>
      <c r="G11403" s="18"/>
      <c r="H11403" s="18"/>
      <c r="I11403" s="18"/>
    </row>
    <row r="11404" ht="20.65" customHeight="1">
      <c r="A11404" s="10">
        <v>45907</v>
      </c>
      <c r="B11404" t="s" s="11">
        <v>7</v>
      </c>
      <c r="C11404" t="s" s="12">
        <v>820</v>
      </c>
      <c r="D11404" s="13"/>
      <c r="E11404" s="13">
        <v>50</v>
      </c>
      <c r="F11404" s="14"/>
      <c r="G11404" s="14"/>
      <c r="H11404" s="14"/>
      <c r="I11404" s="14"/>
    </row>
    <row r="11405" ht="20.7" customHeight="1">
      <c r="A11405" s="10">
        <v>45907</v>
      </c>
      <c r="B11405" t="s" s="11">
        <v>8</v>
      </c>
      <c r="C11405" t="s" s="12">
        <v>8</v>
      </c>
      <c r="D11405" s="15" cm="1">
        <f t="array" ref="D11405">SUM(D11403:D11404)</f>
        <v>50</v>
      </c>
      <c r="E11405" s="15" cm="1">
        <f t="array" ref="E11405">SUM(E11403:E11404)</f>
        <v>50</v>
      </c>
      <c r="F11405" s="16" cm="1">
        <f t="array" ref="F11405">SUM(F11403:F11404)</f>
        <v>0</v>
      </c>
      <c r="G11405" s="16" cm="1">
        <f t="array" ref="G11405">SUM(G11403:G11404)</f>
        <v>0</v>
      </c>
      <c r="H11405" s="16" cm="1">
        <f t="array" ref="H11405">SUM(H11403:H11404)</f>
        <v>0</v>
      </c>
      <c r="I11405" s="16" cm="1">
        <f t="array" ref="I11405">SUM(I11403:I11404)</f>
        <v>0</v>
      </c>
    </row>
    <row r="11406" ht="20.35" customHeight="1">
      <c r="A11406" s="10">
        <v>45907</v>
      </c>
      <c r="B11406" t="s" s="11">
        <v>21</v>
      </c>
      <c r="C11406" t="s" s="12">
        <v>1459</v>
      </c>
      <c r="D11406" s="17"/>
      <c r="E11406" s="17">
        <v>46480</v>
      </c>
      <c r="F11406" s="18"/>
      <c r="G11406" s="18"/>
      <c r="H11406" s="18"/>
      <c r="I11406" s="18"/>
    </row>
    <row r="11407" ht="20.35" customHeight="1">
      <c r="A11407" s="10">
        <v>45907</v>
      </c>
      <c r="B11407" t="s" s="11">
        <v>89</v>
      </c>
      <c r="C11407" t="s" s="12">
        <v>1459</v>
      </c>
      <c r="D11407" s="13">
        <v>46480</v>
      </c>
      <c r="E11407" s="13"/>
      <c r="F11407" s="14"/>
      <c r="G11407" s="14"/>
      <c r="H11407" s="14"/>
      <c r="I11407" s="14"/>
    </row>
    <row r="11408" ht="20.7" customHeight="1">
      <c r="A11408" s="10">
        <v>45907</v>
      </c>
      <c r="B11408" t="s" s="11">
        <v>8</v>
      </c>
      <c r="C11408" t="s" s="12">
        <v>8</v>
      </c>
      <c r="D11408" s="15" cm="1">
        <f t="array" ref="D11408">SUM(D11406:D11407)</f>
        <v>46480</v>
      </c>
      <c r="E11408" s="15" cm="1">
        <f t="array" ref="E11408">SUM(E11406:E11407)</f>
        <v>46480</v>
      </c>
      <c r="F11408" s="16" cm="1">
        <f t="array" ref="F11408">SUM(F11406:F11407)</f>
        <v>0</v>
      </c>
      <c r="G11408" s="16" cm="1">
        <f t="array" ref="G11408">SUM(G11406:G11407)</f>
        <v>0</v>
      </c>
      <c r="H11408" s="16" cm="1">
        <f t="array" ref="H11408">SUM(H11406:H11407)</f>
        <v>0</v>
      </c>
      <c r="I11408" s="16" cm="1">
        <f t="array" ref="I11408">SUM(I11406:I11407)</f>
        <v>0</v>
      </c>
    </row>
    <row r="11409" ht="20.35" customHeight="1">
      <c r="A11409" s="10">
        <v>45907</v>
      </c>
      <c r="B11409" t="s" s="11">
        <v>89</v>
      </c>
      <c r="C11409" t="s" s="12">
        <v>1460</v>
      </c>
      <c r="D11409" s="17"/>
      <c r="E11409" s="17">
        <v>46480</v>
      </c>
      <c r="F11409" s="18"/>
      <c r="G11409" s="18"/>
      <c r="H11409" s="18"/>
      <c r="I11409" s="18"/>
    </row>
    <row r="11410" ht="20.35" customHeight="1">
      <c r="A11410" s="10">
        <v>45907</v>
      </c>
      <c r="B11410" t="s" s="11">
        <v>89</v>
      </c>
      <c r="C11410" t="s" s="12">
        <v>1460</v>
      </c>
      <c r="D11410" s="13">
        <v>46480</v>
      </c>
      <c r="E11410" s="13"/>
      <c r="F11410" s="14"/>
      <c r="G11410" s="14"/>
      <c r="H11410" s="14"/>
      <c r="I11410" s="14"/>
    </row>
    <row r="11411" ht="20.7" customHeight="1">
      <c r="A11411" s="10">
        <v>45907</v>
      </c>
      <c r="B11411" t="s" s="11">
        <v>8</v>
      </c>
      <c r="C11411" t="s" s="12">
        <v>8</v>
      </c>
      <c r="D11411" s="15" cm="1">
        <f t="array" ref="D11411">SUM(D11409:D11410)</f>
        <v>46480</v>
      </c>
      <c r="E11411" s="15" cm="1">
        <f t="array" ref="E11411">SUM(E11409:E11410)</f>
        <v>46480</v>
      </c>
      <c r="F11411" s="16" cm="1">
        <f t="array" ref="F11411">SUM(F11409:F11410)</f>
        <v>0</v>
      </c>
      <c r="G11411" s="16" cm="1">
        <f t="array" ref="G11411">SUM(G11409:G11410)</f>
        <v>0</v>
      </c>
      <c r="H11411" s="16" cm="1">
        <f t="array" ref="H11411">SUM(H11409:H11410)</f>
        <v>0</v>
      </c>
      <c r="I11411" s="16" cm="1">
        <f t="array" ref="I11411">SUM(I11409:I11410)</f>
        <v>0</v>
      </c>
    </row>
    <row r="11412" ht="20.65" customHeight="1">
      <c r="A11412" s="10">
        <v>45908</v>
      </c>
      <c r="B11412" t="s" s="11">
        <v>814</v>
      </c>
      <c r="C11412" t="s" s="12">
        <v>820</v>
      </c>
      <c r="D11412" s="17">
        <v>50</v>
      </c>
      <c r="E11412" s="17"/>
      <c r="F11412" s="18"/>
      <c r="G11412" s="18"/>
      <c r="H11412" s="18"/>
      <c r="I11412" s="18"/>
    </row>
    <row r="11413" ht="20.65" customHeight="1">
      <c r="A11413" s="10">
        <v>45908</v>
      </c>
      <c r="B11413" t="s" s="11">
        <v>7</v>
      </c>
      <c r="C11413" t="s" s="12">
        <v>820</v>
      </c>
      <c r="D11413" s="13"/>
      <c r="E11413" s="13">
        <v>50</v>
      </c>
      <c r="F11413" s="14"/>
      <c r="G11413" s="14"/>
      <c r="H11413" s="14"/>
      <c r="I11413" s="14"/>
    </row>
    <row r="11414" ht="20.7" customHeight="1">
      <c r="A11414" s="10">
        <v>45908</v>
      </c>
      <c r="B11414" t="s" s="11">
        <v>8</v>
      </c>
      <c r="C11414" t="s" s="12">
        <v>8</v>
      </c>
      <c r="D11414" s="15" cm="1">
        <f t="array" ref="D11414">SUM(D11412:D11413)</f>
        <v>50</v>
      </c>
      <c r="E11414" s="15" cm="1">
        <f t="array" ref="E11414">SUM(E11412:E11413)</f>
        <v>50</v>
      </c>
      <c r="F11414" s="16" cm="1">
        <f t="array" ref="F11414">SUM(F11412:F11413)</f>
        <v>0</v>
      </c>
      <c r="G11414" s="16" cm="1">
        <f t="array" ref="G11414">SUM(G11412:G11413)</f>
        <v>0</v>
      </c>
      <c r="H11414" s="16" cm="1">
        <f t="array" ref="H11414">SUM(H11412:H11413)</f>
        <v>0</v>
      </c>
      <c r="I11414" s="16" cm="1">
        <f t="array" ref="I11414">SUM(I11412:I11413)</f>
        <v>0</v>
      </c>
    </row>
    <row r="11415" ht="20.35" customHeight="1">
      <c r="A11415" s="10">
        <v>45908</v>
      </c>
      <c r="B11415" t="s" s="11">
        <v>89</v>
      </c>
      <c r="C11415" t="s" s="12">
        <v>890</v>
      </c>
      <c r="D11415" s="17"/>
      <c r="E11415" s="17">
        <v>210</v>
      </c>
      <c r="F11415" s="18"/>
      <c r="G11415" s="18"/>
      <c r="H11415" s="18"/>
      <c r="I11415" s="18"/>
    </row>
    <row r="11416" ht="20.35" customHeight="1">
      <c r="A11416" s="10">
        <v>45908</v>
      </c>
      <c r="B11416" t="s" s="11">
        <v>10</v>
      </c>
      <c r="C11416" t="s" s="12">
        <v>890</v>
      </c>
      <c r="D11416" s="13">
        <v>210</v>
      </c>
      <c r="E11416" s="13"/>
      <c r="F11416" s="14"/>
      <c r="G11416" s="14"/>
      <c r="H11416" s="14"/>
      <c r="I11416" s="14"/>
    </row>
    <row r="11417" ht="20.7" customHeight="1">
      <c r="A11417" s="10">
        <v>45908</v>
      </c>
      <c r="B11417" t="s" s="11">
        <v>8</v>
      </c>
      <c r="C11417" t="s" s="12">
        <v>8</v>
      </c>
      <c r="D11417" s="15" cm="1">
        <f t="array" ref="D11417">SUM(D11415:D11416)</f>
        <v>210</v>
      </c>
      <c r="E11417" s="15" cm="1">
        <f t="array" ref="E11417">SUM(E11415:E11416)</f>
        <v>210</v>
      </c>
      <c r="F11417" s="16" cm="1">
        <f t="array" ref="F11417">SUM(F11415:F11416)</f>
        <v>0</v>
      </c>
      <c r="G11417" s="16" cm="1">
        <f t="array" ref="G11417">SUM(G11415:G11416)</f>
        <v>0</v>
      </c>
      <c r="H11417" s="16" cm="1">
        <f t="array" ref="H11417">SUM(H11415:H11416)</f>
        <v>0</v>
      </c>
      <c r="I11417" s="16" cm="1">
        <f t="array" ref="I11417">SUM(I11415:I11416)</f>
        <v>0</v>
      </c>
    </row>
    <row r="11418" ht="20.35" customHeight="1">
      <c r="A11418" s="10">
        <v>45908</v>
      </c>
      <c r="B11418" t="s" s="11">
        <v>89</v>
      </c>
      <c r="C11418" t="s" s="12">
        <v>53</v>
      </c>
      <c r="D11418" s="17"/>
      <c r="E11418" s="17">
        <v>6200</v>
      </c>
      <c r="F11418" s="18"/>
      <c r="G11418" s="18"/>
      <c r="H11418" s="18"/>
      <c r="I11418" s="18"/>
    </row>
    <row r="11419" ht="20.35" customHeight="1">
      <c r="A11419" s="10">
        <v>45908</v>
      </c>
      <c r="B11419" t="s" s="11">
        <v>12</v>
      </c>
      <c r="C11419" t="s" s="12">
        <v>53</v>
      </c>
      <c r="D11419" s="13">
        <v>6200</v>
      </c>
      <c r="E11419" s="13"/>
      <c r="F11419" s="14"/>
      <c r="G11419" s="14"/>
      <c r="H11419" s="14"/>
      <c r="I11419" s="14"/>
    </row>
    <row r="11420" ht="20.7" customHeight="1">
      <c r="A11420" s="10">
        <v>45908</v>
      </c>
      <c r="B11420" t="s" s="11">
        <v>8</v>
      </c>
      <c r="C11420" t="s" s="12">
        <v>8</v>
      </c>
      <c r="D11420" s="15" cm="1">
        <f t="array" ref="D11420">SUM(D11418:D11419)</f>
        <v>6200</v>
      </c>
      <c r="E11420" s="15" cm="1">
        <f t="array" ref="E11420">SUM(E11418:E11419)</f>
        <v>6200</v>
      </c>
      <c r="F11420" s="16" cm="1">
        <f t="array" ref="F11420">SUM(F11418:F11419)</f>
        <v>0</v>
      </c>
      <c r="G11420" s="16" cm="1">
        <f t="array" ref="G11420">SUM(G11418:G11419)</f>
        <v>0</v>
      </c>
      <c r="H11420" s="16" cm="1">
        <f t="array" ref="H11420">SUM(H11418:H11419)</f>
        <v>0</v>
      </c>
      <c r="I11420" s="16" cm="1">
        <f t="array" ref="I11420">SUM(I11418:I11419)</f>
        <v>0</v>
      </c>
    </row>
    <row r="11421" ht="20.65" customHeight="1">
      <c r="A11421" s="10">
        <v>45909</v>
      </c>
      <c r="B11421" t="s" s="11">
        <v>814</v>
      </c>
      <c r="C11421" t="s" s="12">
        <v>820</v>
      </c>
      <c r="D11421" s="17">
        <v>50</v>
      </c>
      <c r="E11421" s="17"/>
      <c r="F11421" s="18"/>
      <c r="G11421" s="18"/>
      <c r="H11421" s="18"/>
      <c r="I11421" s="18"/>
    </row>
    <row r="11422" ht="20.65" customHeight="1">
      <c r="A11422" s="10">
        <v>45909</v>
      </c>
      <c r="B11422" t="s" s="11">
        <v>7</v>
      </c>
      <c r="C11422" t="s" s="12">
        <v>820</v>
      </c>
      <c r="D11422" s="13"/>
      <c r="E11422" s="13">
        <v>50</v>
      </c>
      <c r="F11422" s="14"/>
      <c r="G11422" s="14"/>
      <c r="H11422" s="14"/>
      <c r="I11422" s="14"/>
    </row>
    <row r="11423" ht="20.7" customHeight="1">
      <c r="A11423" s="10">
        <v>45909</v>
      </c>
      <c r="B11423" t="s" s="11">
        <v>8</v>
      </c>
      <c r="C11423" t="s" s="12">
        <v>8</v>
      </c>
      <c r="D11423" s="15" cm="1">
        <f t="array" ref="D11423">SUM(D11421:D11422)</f>
        <v>50</v>
      </c>
      <c r="E11423" s="15" cm="1">
        <f t="array" ref="E11423">SUM(E11421:E11422)</f>
        <v>50</v>
      </c>
      <c r="F11423" s="16" cm="1">
        <f t="array" ref="F11423">SUM(F11421:F11422)</f>
        <v>0</v>
      </c>
      <c r="G11423" s="16" cm="1">
        <f t="array" ref="G11423">SUM(G11421:G11422)</f>
        <v>0</v>
      </c>
      <c r="H11423" s="16" cm="1">
        <f t="array" ref="H11423">SUM(H11421:H11422)</f>
        <v>0</v>
      </c>
      <c r="I11423" s="16" cm="1">
        <f t="array" ref="I11423">SUM(I11421:I11422)</f>
        <v>0</v>
      </c>
    </row>
    <row r="11424" ht="20.65" customHeight="1">
      <c r="A11424" s="10">
        <v>45910</v>
      </c>
      <c r="B11424" t="s" s="11">
        <v>814</v>
      </c>
      <c r="C11424" t="s" s="12">
        <v>820</v>
      </c>
      <c r="D11424" s="17">
        <v>50</v>
      </c>
      <c r="E11424" s="17"/>
      <c r="F11424" s="18"/>
      <c r="G11424" s="18"/>
      <c r="H11424" s="18"/>
      <c r="I11424" s="18"/>
    </row>
    <row r="11425" ht="20.65" customHeight="1">
      <c r="A11425" s="10">
        <v>45910</v>
      </c>
      <c r="B11425" t="s" s="11">
        <v>7</v>
      </c>
      <c r="C11425" t="s" s="12">
        <v>820</v>
      </c>
      <c r="D11425" s="13"/>
      <c r="E11425" s="13">
        <v>50</v>
      </c>
      <c r="F11425" s="14"/>
      <c r="G11425" s="14"/>
      <c r="H11425" s="14"/>
      <c r="I11425" s="14"/>
    </row>
    <row r="11426" ht="20.7" customHeight="1">
      <c r="A11426" s="10">
        <v>45910</v>
      </c>
      <c r="B11426" t="s" s="11">
        <v>8</v>
      </c>
      <c r="C11426" t="s" s="12">
        <v>8</v>
      </c>
      <c r="D11426" s="15" cm="1">
        <f t="array" ref="D11426">SUM(D11424:D11425)</f>
        <v>50</v>
      </c>
      <c r="E11426" s="15" cm="1">
        <f t="array" ref="E11426">SUM(E11424:E11425)</f>
        <v>50</v>
      </c>
      <c r="F11426" s="16" cm="1">
        <f t="array" ref="F11426">SUM(F11424:F11425)</f>
        <v>0</v>
      </c>
      <c r="G11426" s="16" cm="1">
        <f t="array" ref="G11426">SUM(G11424:G11425)</f>
        <v>0</v>
      </c>
      <c r="H11426" s="16" cm="1">
        <f t="array" ref="H11426">SUM(H11424:H11425)</f>
        <v>0</v>
      </c>
      <c r="I11426" s="16" cm="1">
        <f t="array" ref="I11426">SUM(I11424:I11425)</f>
        <v>0</v>
      </c>
    </row>
    <row r="11427" ht="21.25" customHeight="1">
      <c r="A11427" s="10">
        <v>45910</v>
      </c>
      <c r="B11427" t="s" s="11">
        <v>21</v>
      </c>
      <c r="C11427" t="s" s="12">
        <v>1461</v>
      </c>
      <c r="D11427" s="17"/>
      <c r="E11427" s="17">
        <v>75440</v>
      </c>
      <c r="F11427" s="18"/>
      <c r="G11427" s="18"/>
      <c r="H11427" s="18"/>
      <c r="I11427" s="18"/>
    </row>
    <row r="11428" ht="21.25" customHeight="1">
      <c r="A11428" s="10">
        <v>45910</v>
      </c>
      <c r="B11428" t="s" s="11">
        <v>91</v>
      </c>
      <c r="C11428" t="s" s="12">
        <v>1461</v>
      </c>
      <c r="D11428" s="13">
        <v>75440</v>
      </c>
      <c r="E11428" s="13"/>
      <c r="F11428" s="14"/>
      <c r="G11428" s="14"/>
      <c r="H11428" s="14"/>
      <c r="I11428" s="14"/>
    </row>
    <row r="11429" ht="20.7" customHeight="1">
      <c r="A11429" s="10">
        <v>45910</v>
      </c>
      <c r="B11429" t="s" s="11">
        <v>8</v>
      </c>
      <c r="C11429" t="s" s="12">
        <v>8</v>
      </c>
      <c r="D11429" s="15" cm="1">
        <f t="array" ref="D11429">SUM(D11427:D11428)</f>
        <v>75440</v>
      </c>
      <c r="E11429" s="15" cm="1">
        <f t="array" ref="E11429">SUM(E11427:E11428)</f>
        <v>75440</v>
      </c>
      <c r="F11429" s="16" cm="1">
        <f t="array" ref="F11429">SUM(F11427:F11428)</f>
        <v>0</v>
      </c>
      <c r="G11429" s="16" cm="1">
        <f t="array" ref="G11429">SUM(G11427:G11428)</f>
        <v>0</v>
      </c>
      <c r="H11429" s="16" cm="1">
        <f t="array" ref="H11429">SUM(H11427:H11428)</f>
        <v>0</v>
      </c>
      <c r="I11429" s="16" cm="1">
        <f t="array" ref="I11429">SUM(I11427:I11428)</f>
        <v>0</v>
      </c>
    </row>
    <row r="11430" ht="21.25" customHeight="1">
      <c r="A11430" s="10">
        <v>45910</v>
      </c>
      <c r="B11430" t="s" s="11">
        <v>21</v>
      </c>
      <c r="C11430" t="s" s="12">
        <v>1461</v>
      </c>
      <c r="D11430" s="17"/>
      <c r="E11430" s="17">
        <v>17100</v>
      </c>
      <c r="F11430" s="18"/>
      <c r="G11430" s="18"/>
      <c r="H11430" s="18"/>
      <c r="I11430" s="18"/>
    </row>
    <row r="11431" ht="21.25" customHeight="1">
      <c r="A11431" s="10">
        <v>45910</v>
      </c>
      <c r="B11431" t="s" s="11">
        <v>91</v>
      </c>
      <c r="C11431" t="s" s="12">
        <v>1461</v>
      </c>
      <c r="D11431" s="13">
        <v>17100</v>
      </c>
      <c r="E11431" s="13"/>
      <c r="F11431" s="14"/>
      <c r="G11431" s="14"/>
      <c r="H11431" s="14"/>
      <c r="I11431" s="14"/>
    </row>
    <row r="11432" ht="20.7" customHeight="1">
      <c r="A11432" s="10">
        <v>45910</v>
      </c>
      <c r="B11432" t="s" s="11">
        <v>8</v>
      </c>
      <c r="C11432" t="s" s="12">
        <v>8</v>
      </c>
      <c r="D11432" s="15" cm="1">
        <f t="array" ref="D11432">SUM(D11430:D11431)</f>
        <v>17100</v>
      </c>
      <c r="E11432" s="15" cm="1">
        <f t="array" ref="E11432">SUM(E11430:E11431)</f>
        <v>17100</v>
      </c>
      <c r="F11432" s="16" cm="1">
        <f t="array" ref="F11432">SUM(F11430:F11431)</f>
        <v>0</v>
      </c>
      <c r="G11432" s="16" cm="1">
        <f t="array" ref="G11432">SUM(G11430:G11431)</f>
        <v>0</v>
      </c>
      <c r="H11432" s="16" cm="1">
        <f t="array" ref="H11432">SUM(H11430:H11431)</f>
        <v>0</v>
      </c>
      <c r="I11432" s="16" cm="1">
        <f t="array" ref="I11432">SUM(I11430:I11431)</f>
        <v>0</v>
      </c>
    </row>
    <row r="11433" ht="21.25" customHeight="1">
      <c r="A11433" s="10">
        <v>45910</v>
      </c>
      <c r="B11433" t="s" s="11">
        <v>121</v>
      </c>
      <c r="C11433" t="s" s="12">
        <v>433</v>
      </c>
      <c r="D11433" s="17"/>
      <c r="E11433" s="17">
        <v>4500</v>
      </c>
      <c r="F11433" s="18"/>
      <c r="G11433" s="18"/>
      <c r="H11433" s="18"/>
      <c r="I11433" s="18"/>
    </row>
    <row r="11434" ht="21.25" customHeight="1">
      <c r="A11434" s="10">
        <v>45910</v>
      </c>
      <c r="B11434" t="s" s="11">
        <v>16</v>
      </c>
      <c r="C11434" t="s" s="12">
        <v>433</v>
      </c>
      <c r="D11434" s="13">
        <v>4500</v>
      </c>
      <c r="E11434" s="13"/>
      <c r="F11434" s="14"/>
      <c r="G11434" s="14"/>
      <c r="H11434" s="14"/>
      <c r="I11434" s="14"/>
    </row>
    <row r="11435" ht="20.7" customHeight="1">
      <c r="A11435" s="10">
        <v>45910</v>
      </c>
      <c r="B11435" t="s" s="11">
        <v>8</v>
      </c>
      <c r="C11435" t="s" s="12">
        <v>8</v>
      </c>
      <c r="D11435" s="15" cm="1">
        <f t="array" ref="D11435">SUM(D11433:D11434)</f>
        <v>4500</v>
      </c>
      <c r="E11435" s="15" cm="1">
        <f t="array" ref="E11435">SUM(E11433:E11434)</f>
        <v>4500</v>
      </c>
      <c r="F11435" s="16" cm="1">
        <f t="array" ref="F11435">SUM(F11433:F11434)</f>
        <v>0</v>
      </c>
      <c r="G11435" s="16" cm="1">
        <f t="array" ref="G11435">SUM(G11433:G11434)</f>
        <v>0</v>
      </c>
      <c r="H11435" s="16" cm="1">
        <f t="array" ref="H11435">SUM(H11433:H11434)</f>
        <v>0</v>
      </c>
      <c r="I11435" s="16" cm="1">
        <f t="array" ref="I11435">SUM(I11433:I11434)</f>
        <v>0</v>
      </c>
    </row>
    <row r="11436" ht="21.25" customHeight="1">
      <c r="A11436" s="10">
        <v>45910</v>
      </c>
      <c r="B11436" t="s" s="11">
        <v>121</v>
      </c>
      <c r="C11436" t="s" s="12">
        <v>433</v>
      </c>
      <c r="D11436" s="17"/>
      <c r="E11436" s="17">
        <v>4800</v>
      </c>
      <c r="F11436" s="18"/>
      <c r="G11436" s="18"/>
      <c r="H11436" s="18"/>
      <c r="I11436" s="18"/>
    </row>
    <row r="11437" ht="21.25" customHeight="1">
      <c r="A11437" s="10">
        <v>45910</v>
      </c>
      <c r="B11437" t="s" s="11">
        <v>16</v>
      </c>
      <c r="C11437" t="s" s="12">
        <v>433</v>
      </c>
      <c r="D11437" s="13">
        <v>4800</v>
      </c>
      <c r="E11437" s="13"/>
      <c r="F11437" s="14"/>
      <c r="G11437" s="14"/>
      <c r="H11437" s="14"/>
      <c r="I11437" s="14"/>
    </row>
    <row r="11438" ht="20.7" customHeight="1">
      <c r="A11438" s="10">
        <v>45910</v>
      </c>
      <c r="B11438" t="s" s="11">
        <v>8</v>
      </c>
      <c r="C11438" t="s" s="12">
        <v>8</v>
      </c>
      <c r="D11438" s="15" cm="1">
        <f t="array" ref="D11438">SUM(D11436:D11437)</f>
        <v>4800</v>
      </c>
      <c r="E11438" s="15" cm="1">
        <f t="array" ref="E11438">SUM(E11436:E11437)</f>
        <v>4800</v>
      </c>
      <c r="F11438" s="16" cm="1">
        <f t="array" ref="F11438">SUM(F11436:F11437)</f>
        <v>0</v>
      </c>
      <c r="G11438" s="16" cm="1">
        <f t="array" ref="G11438">SUM(G11436:G11437)</f>
        <v>0</v>
      </c>
      <c r="H11438" s="16" cm="1">
        <f t="array" ref="H11438">SUM(H11436:H11437)</f>
        <v>0</v>
      </c>
      <c r="I11438" s="16" cm="1">
        <f t="array" ref="I11438">SUM(I11436:I11437)</f>
        <v>0</v>
      </c>
    </row>
    <row r="11439" ht="20.65" customHeight="1">
      <c r="A11439" s="10">
        <v>45911</v>
      </c>
      <c r="B11439" t="s" s="11">
        <v>814</v>
      </c>
      <c r="C11439" t="s" s="12">
        <v>820</v>
      </c>
      <c r="D11439" s="17">
        <v>50</v>
      </c>
      <c r="E11439" s="17"/>
      <c r="F11439" s="18"/>
      <c r="G11439" s="18"/>
      <c r="H11439" s="18"/>
      <c r="I11439" s="18"/>
    </row>
    <row r="11440" ht="20.65" customHeight="1">
      <c r="A11440" s="10">
        <v>45911</v>
      </c>
      <c r="B11440" t="s" s="11">
        <v>7</v>
      </c>
      <c r="C11440" t="s" s="12">
        <v>820</v>
      </c>
      <c r="D11440" s="13"/>
      <c r="E11440" s="13">
        <v>50</v>
      </c>
      <c r="F11440" s="14"/>
      <c r="G11440" s="14"/>
      <c r="H11440" s="14"/>
      <c r="I11440" s="14"/>
    </row>
    <row r="11441" ht="20.7" customHeight="1">
      <c r="A11441" s="10">
        <v>45911</v>
      </c>
      <c r="B11441" t="s" s="11">
        <v>8</v>
      </c>
      <c r="C11441" t="s" s="12">
        <v>8</v>
      </c>
      <c r="D11441" s="15" cm="1">
        <f t="array" ref="D11441">SUM(D11439:D11440)</f>
        <v>50</v>
      </c>
      <c r="E11441" s="15" cm="1">
        <f t="array" ref="E11441">SUM(E11439:E11440)</f>
        <v>50</v>
      </c>
      <c r="F11441" s="16" cm="1">
        <f t="array" ref="F11441">SUM(F11439:F11440)</f>
        <v>0</v>
      </c>
      <c r="G11441" s="16" cm="1">
        <f t="array" ref="G11441">SUM(G11439:G11440)</f>
        <v>0</v>
      </c>
      <c r="H11441" s="16" cm="1">
        <f t="array" ref="H11441">SUM(H11439:H11440)</f>
        <v>0</v>
      </c>
      <c r="I11441" s="16" cm="1">
        <f t="array" ref="I11441">SUM(I11439:I11440)</f>
        <v>0</v>
      </c>
    </row>
    <row r="11442" ht="20.35" customHeight="1">
      <c r="A11442" s="10">
        <v>45911</v>
      </c>
      <c r="B11442" t="s" s="11">
        <v>21</v>
      </c>
      <c r="C11442" t="s" s="12">
        <v>1462</v>
      </c>
      <c r="D11442" s="17"/>
      <c r="E11442" s="17">
        <v>300000</v>
      </c>
      <c r="F11442" s="18"/>
      <c r="G11442" s="18"/>
      <c r="H11442" s="18"/>
      <c r="I11442" s="18"/>
    </row>
    <row r="11443" ht="20.35" customHeight="1">
      <c r="A11443" s="10">
        <v>45911</v>
      </c>
      <c r="B11443" t="s" s="11">
        <v>107</v>
      </c>
      <c r="C11443" t="s" s="12">
        <v>1462</v>
      </c>
      <c r="D11443" s="13">
        <v>300000</v>
      </c>
      <c r="E11443" s="13"/>
      <c r="F11443" s="14"/>
      <c r="G11443" s="14"/>
      <c r="H11443" s="14"/>
      <c r="I11443" s="14"/>
    </row>
    <row r="11444" ht="20.7" customHeight="1">
      <c r="A11444" s="10">
        <v>45911</v>
      </c>
      <c r="B11444" t="s" s="11">
        <v>8</v>
      </c>
      <c r="C11444" t="s" s="12">
        <v>8</v>
      </c>
      <c r="D11444" s="15" cm="1">
        <f t="array" ref="D11444">SUM(D11442:D11443)</f>
        <v>300000</v>
      </c>
      <c r="E11444" s="15" cm="1">
        <f t="array" ref="E11444">SUM(E11442:E11443)</f>
        <v>300000</v>
      </c>
      <c r="F11444" s="16" cm="1">
        <f t="array" ref="F11444">SUM(F11442:F11443)</f>
        <v>0</v>
      </c>
      <c r="G11444" s="16" cm="1">
        <f t="array" ref="G11444">SUM(G11442:G11443)</f>
        <v>0</v>
      </c>
      <c r="H11444" s="16" cm="1">
        <f t="array" ref="H11444">SUM(H11442:H11443)</f>
        <v>0</v>
      </c>
      <c r="I11444" s="16" cm="1">
        <f t="array" ref="I11444">SUM(I11442:I11443)</f>
        <v>0</v>
      </c>
    </row>
    <row r="11445" ht="20.65" customHeight="1">
      <c r="A11445" s="10">
        <v>45912</v>
      </c>
      <c r="B11445" t="s" s="11">
        <v>814</v>
      </c>
      <c r="C11445" t="s" s="12">
        <v>820</v>
      </c>
      <c r="D11445" s="17">
        <v>50</v>
      </c>
      <c r="E11445" s="17"/>
      <c r="F11445" s="18"/>
      <c r="G11445" s="18"/>
      <c r="H11445" s="18"/>
      <c r="I11445" s="18"/>
    </row>
    <row r="11446" ht="20.65" customHeight="1">
      <c r="A11446" s="10">
        <v>45912</v>
      </c>
      <c r="B11446" t="s" s="11">
        <v>7</v>
      </c>
      <c r="C11446" t="s" s="12">
        <v>820</v>
      </c>
      <c r="D11446" s="13"/>
      <c r="E11446" s="13">
        <v>50</v>
      </c>
      <c r="F11446" s="14"/>
      <c r="G11446" s="14"/>
      <c r="H11446" s="14"/>
      <c r="I11446" s="14"/>
    </row>
    <row r="11447" ht="20.7" customHeight="1">
      <c r="A11447" s="10">
        <v>45912</v>
      </c>
      <c r="B11447" t="s" s="11">
        <v>8</v>
      </c>
      <c r="C11447" t="s" s="12">
        <v>8</v>
      </c>
      <c r="D11447" s="15" cm="1">
        <f t="array" ref="D11447">SUM(D11445:D11446)</f>
        <v>50</v>
      </c>
      <c r="E11447" s="15" cm="1">
        <f t="array" ref="E11447">SUM(E11445:E11446)</f>
        <v>50</v>
      </c>
      <c r="F11447" s="16" cm="1">
        <f t="array" ref="F11447">SUM(F11445:F11446)</f>
        <v>0</v>
      </c>
      <c r="G11447" s="16" cm="1">
        <f t="array" ref="G11447">SUM(G11445:G11446)</f>
        <v>0</v>
      </c>
      <c r="H11447" s="16" cm="1">
        <f t="array" ref="H11447">SUM(H11445:H11446)</f>
        <v>0</v>
      </c>
      <c r="I11447" s="16" cm="1">
        <f t="array" ref="I11447">SUM(I11445:I11446)</f>
        <v>0</v>
      </c>
    </row>
    <row r="11448" ht="21.25" customHeight="1">
      <c r="A11448" s="10">
        <v>45912</v>
      </c>
      <c r="B11448" t="s" s="11">
        <v>107</v>
      </c>
      <c r="C11448" t="s" s="12">
        <v>1375</v>
      </c>
      <c r="D11448" s="17"/>
      <c r="E11448" s="17">
        <v>10000</v>
      </c>
      <c r="F11448" s="18"/>
      <c r="G11448" s="18"/>
      <c r="H11448" s="18"/>
      <c r="I11448" s="18"/>
    </row>
    <row r="11449" ht="21.25" customHeight="1">
      <c r="A11449" s="10">
        <v>45912</v>
      </c>
      <c r="B11449" t="s" s="11">
        <v>1126</v>
      </c>
      <c r="C11449" t="s" s="12">
        <v>1375</v>
      </c>
      <c r="D11449" s="13">
        <v>10000</v>
      </c>
      <c r="E11449" s="13"/>
      <c r="F11449" s="14"/>
      <c r="G11449" s="14"/>
      <c r="H11449" s="14"/>
      <c r="I11449" s="14"/>
    </row>
    <row r="11450" ht="20.7" customHeight="1">
      <c r="A11450" s="10">
        <v>45912</v>
      </c>
      <c r="B11450" t="s" s="11">
        <v>8</v>
      </c>
      <c r="C11450" t="s" s="12">
        <v>8</v>
      </c>
      <c r="D11450" s="15" cm="1">
        <f t="array" ref="D11450">SUM(D11448:D11449)</f>
        <v>10000</v>
      </c>
      <c r="E11450" s="15" cm="1">
        <f t="array" ref="E11450">SUM(E11448:E11449)</f>
        <v>10000</v>
      </c>
      <c r="F11450" s="16" cm="1">
        <f t="array" ref="F11450">SUM(F11448:F11449)</f>
        <v>0</v>
      </c>
      <c r="G11450" s="16" cm="1">
        <f t="array" ref="G11450">SUM(G11448:G11449)</f>
        <v>0</v>
      </c>
      <c r="H11450" s="16" cm="1">
        <f t="array" ref="H11450">SUM(H11448:H11449)</f>
        <v>0</v>
      </c>
      <c r="I11450" s="16" cm="1">
        <f t="array" ref="I11450">SUM(I11448:I11449)</f>
        <v>0</v>
      </c>
    </row>
    <row r="11451" ht="21.25" customHeight="1">
      <c r="A11451" s="10">
        <v>45912</v>
      </c>
      <c r="B11451" t="s" s="11">
        <v>107</v>
      </c>
      <c r="C11451" t="s" s="12">
        <v>1384</v>
      </c>
      <c r="D11451" s="17"/>
      <c r="E11451" s="17">
        <v>10000</v>
      </c>
      <c r="F11451" s="18"/>
      <c r="G11451" s="18"/>
      <c r="H11451" s="18"/>
      <c r="I11451" s="18"/>
    </row>
    <row r="11452" ht="21.25" customHeight="1">
      <c r="A11452" s="10">
        <v>45912</v>
      </c>
      <c r="B11452" t="s" s="11">
        <v>1240</v>
      </c>
      <c r="C11452" t="s" s="12">
        <v>1384</v>
      </c>
      <c r="D11452" s="13">
        <v>10000</v>
      </c>
      <c r="E11452" s="13"/>
      <c r="F11452" s="14"/>
      <c r="G11452" s="14"/>
      <c r="H11452" s="14"/>
      <c r="I11452" s="14"/>
    </row>
    <row r="11453" ht="20.7" customHeight="1">
      <c r="A11453" s="10">
        <v>45912</v>
      </c>
      <c r="B11453" t="s" s="11">
        <v>8</v>
      </c>
      <c r="C11453" t="s" s="12">
        <v>8</v>
      </c>
      <c r="D11453" s="15" cm="1">
        <f t="array" ref="D11453">SUM(D11451:D11452)</f>
        <v>10000</v>
      </c>
      <c r="E11453" s="15" cm="1">
        <f t="array" ref="E11453">SUM(E11451:E11452)</f>
        <v>10000</v>
      </c>
      <c r="F11453" s="16" cm="1">
        <f t="array" ref="F11453">SUM(F11451:F11452)</f>
        <v>0</v>
      </c>
      <c r="G11453" s="16" cm="1">
        <f t="array" ref="G11453">SUM(G11451:G11452)</f>
        <v>0</v>
      </c>
      <c r="H11453" s="16" cm="1">
        <f t="array" ref="H11453">SUM(H11451:H11452)</f>
        <v>0</v>
      </c>
      <c r="I11453" s="16" cm="1">
        <f t="array" ref="I11453">SUM(I11451:I11452)</f>
        <v>0</v>
      </c>
    </row>
    <row r="11454" ht="20.35" customHeight="1">
      <c r="A11454" s="10">
        <v>45912</v>
      </c>
      <c r="B11454" t="s" s="11">
        <v>107</v>
      </c>
      <c r="C11454" t="s" s="12">
        <v>68</v>
      </c>
      <c r="D11454" s="17"/>
      <c r="E11454" s="17">
        <v>2500</v>
      </c>
      <c r="F11454" s="18"/>
      <c r="G11454" s="18"/>
      <c r="H11454" s="18"/>
      <c r="I11454" s="18"/>
    </row>
    <row r="11455" ht="20.35" customHeight="1">
      <c r="A11455" s="10">
        <v>45912</v>
      </c>
      <c r="B11455" t="s" s="11">
        <v>10</v>
      </c>
      <c r="C11455" t="s" s="12">
        <v>68</v>
      </c>
      <c r="D11455" s="13">
        <v>2500</v>
      </c>
      <c r="E11455" s="13"/>
      <c r="F11455" s="14"/>
      <c r="G11455" s="14"/>
      <c r="H11455" s="14"/>
      <c r="I11455" s="14"/>
    </row>
    <row r="11456" ht="20.7" customHeight="1">
      <c r="A11456" s="10">
        <v>45912</v>
      </c>
      <c r="B11456" t="s" s="11">
        <v>8</v>
      </c>
      <c r="C11456" t="s" s="12">
        <v>8</v>
      </c>
      <c r="D11456" s="15" cm="1">
        <f t="array" ref="D11456">SUM(D11454:D11455)</f>
        <v>2500</v>
      </c>
      <c r="E11456" s="15" cm="1">
        <f t="array" ref="E11456">SUM(E11454:E11455)</f>
        <v>2500</v>
      </c>
      <c r="F11456" s="16" cm="1">
        <f t="array" ref="F11456">SUM(F11454:F11455)</f>
        <v>0</v>
      </c>
      <c r="G11456" s="16" cm="1">
        <f t="array" ref="G11456">SUM(G11454:G11455)</f>
        <v>0</v>
      </c>
      <c r="H11456" s="16" cm="1">
        <f t="array" ref="H11456">SUM(H11454:H11455)</f>
        <v>0</v>
      </c>
      <c r="I11456" s="16" cm="1">
        <f t="array" ref="I11456">SUM(I11454:I11455)</f>
        <v>0</v>
      </c>
    </row>
    <row r="11457" ht="21.25" customHeight="1">
      <c r="A11457" s="10">
        <v>45912</v>
      </c>
      <c r="B11457" t="s" s="11">
        <v>107</v>
      </c>
      <c r="C11457" t="s" s="12">
        <v>253</v>
      </c>
      <c r="D11457" s="17"/>
      <c r="E11457" s="17">
        <v>7890</v>
      </c>
      <c r="F11457" s="18"/>
      <c r="G11457" s="18"/>
      <c r="H11457" s="18"/>
      <c r="I11457" s="18"/>
    </row>
    <row r="11458" ht="21.25" customHeight="1">
      <c r="A11458" s="10">
        <v>45912</v>
      </c>
      <c r="B11458" t="s" s="11">
        <v>10</v>
      </c>
      <c r="C11458" t="s" s="12">
        <v>253</v>
      </c>
      <c r="D11458" s="13">
        <v>7890</v>
      </c>
      <c r="E11458" s="13"/>
      <c r="F11458" s="14"/>
      <c r="G11458" s="14"/>
      <c r="H11458" s="14"/>
      <c r="I11458" s="14"/>
    </row>
    <row r="11459" ht="20.7" customHeight="1">
      <c r="A11459" s="10">
        <v>45912</v>
      </c>
      <c r="B11459" t="s" s="11">
        <v>8</v>
      </c>
      <c r="C11459" t="s" s="12">
        <v>8</v>
      </c>
      <c r="D11459" s="15" cm="1">
        <f t="array" ref="D11459">SUM(D11457:D11458)</f>
        <v>7890</v>
      </c>
      <c r="E11459" s="15" cm="1">
        <f t="array" ref="E11459">SUM(E11457:E11458)</f>
        <v>7890</v>
      </c>
      <c r="F11459" s="16" cm="1">
        <f t="array" ref="F11459">SUM(F11457:F11458)</f>
        <v>0</v>
      </c>
      <c r="G11459" s="16" cm="1">
        <f t="array" ref="G11459">SUM(G11457:G11458)</f>
        <v>0</v>
      </c>
      <c r="H11459" s="16" cm="1">
        <f t="array" ref="H11459">SUM(H11457:H11458)</f>
        <v>0</v>
      </c>
      <c r="I11459" s="16" cm="1">
        <f t="array" ref="I11459">SUM(I11457:I11458)</f>
        <v>0</v>
      </c>
    </row>
    <row r="11460" ht="20.65" customHeight="1">
      <c r="A11460" s="10">
        <v>45912</v>
      </c>
      <c r="B11460" t="s" s="11">
        <v>89</v>
      </c>
      <c r="C11460" t="s" s="12">
        <v>1024</v>
      </c>
      <c r="D11460" s="17"/>
      <c r="E11460" s="17">
        <v>12500</v>
      </c>
      <c r="F11460" s="18"/>
      <c r="G11460" s="18"/>
      <c r="H11460" s="18"/>
      <c r="I11460" s="18"/>
    </row>
    <row r="11461" ht="20.65" customHeight="1">
      <c r="A11461" s="10">
        <v>45912</v>
      </c>
      <c r="B11461" t="s" s="11">
        <v>12</v>
      </c>
      <c r="C11461" t="s" s="12">
        <v>1024</v>
      </c>
      <c r="D11461" s="13">
        <v>12500</v>
      </c>
      <c r="E11461" s="13"/>
      <c r="F11461" s="14"/>
      <c r="G11461" s="14"/>
      <c r="H11461" s="14"/>
      <c r="I11461" s="14"/>
    </row>
    <row r="11462" ht="20.7" customHeight="1">
      <c r="A11462" s="10">
        <v>45912</v>
      </c>
      <c r="B11462" t="s" s="11">
        <v>8</v>
      </c>
      <c r="C11462" t="s" s="12">
        <v>8</v>
      </c>
      <c r="D11462" s="15" cm="1">
        <f t="array" ref="D11462">SUM(D11460:D11461)</f>
        <v>12500</v>
      </c>
      <c r="E11462" s="15" cm="1">
        <f t="array" ref="E11462">SUM(E11460:E11461)</f>
        <v>12500</v>
      </c>
      <c r="F11462" s="16" cm="1">
        <f t="array" ref="F11462">SUM(F11460:F11461)</f>
        <v>0</v>
      </c>
      <c r="G11462" s="16" cm="1">
        <f t="array" ref="G11462">SUM(G11460:G11461)</f>
        <v>0</v>
      </c>
      <c r="H11462" s="16" cm="1">
        <f t="array" ref="H11462">SUM(H11460:H11461)</f>
        <v>0</v>
      </c>
      <c r="I11462" s="16" cm="1">
        <f t="array" ref="I11462">SUM(I11460:I11461)</f>
        <v>0</v>
      </c>
    </row>
    <row r="11463" ht="20.35" customHeight="1">
      <c r="A11463" s="10">
        <v>45912</v>
      </c>
      <c r="B11463" t="s" s="11">
        <v>21</v>
      </c>
      <c r="C11463" t="s" s="12">
        <v>1463</v>
      </c>
      <c r="D11463" s="17"/>
      <c r="E11463" s="17">
        <v>5000</v>
      </c>
      <c r="F11463" s="18"/>
      <c r="G11463" s="18"/>
      <c r="H11463" s="18"/>
      <c r="I11463" s="18"/>
    </row>
    <row r="11464" ht="20.35" customHeight="1">
      <c r="A11464" s="10">
        <v>45912</v>
      </c>
      <c r="B11464" t="s" s="11">
        <v>89</v>
      </c>
      <c r="C11464" t="s" s="12">
        <v>1463</v>
      </c>
      <c r="D11464" s="13">
        <v>5000</v>
      </c>
      <c r="E11464" s="13"/>
      <c r="F11464" s="14"/>
      <c r="G11464" s="14"/>
      <c r="H11464" s="14"/>
      <c r="I11464" s="14"/>
    </row>
    <row r="11465" ht="20.7" customHeight="1">
      <c r="A11465" s="10">
        <v>45912</v>
      </c>
      <c r="B11465" t="s" s="11">
        <v>8</v>
      </c>
      <c r="C11465" t="s" s="12">
        <v>8</v>
      </c>
      <c r="D11465" s="15" cm="1">
        <f t="array" ref="D11465">SUM(D11463:D11464)</f>
        <v>5000</v>
      </c>
      <c r="E11465" s="15" cm="1">
        <f t="array" ref="E11465">SUM(E11463:E11464)</f>
        <v>5000</v>
      </c>
      <c r="F11465" s="16" cm="1">
        <f t="array" ref="F11465">SUM(F11463:F11464)</f>
        <v>0</v>
      </c>
      <c r="G11465" s="16" cm="1">
        <f t="array" ref="G11465">SUM(G11463:G11464)</f>
        <v>0</v>
      </c>
      <c r="H11465" s="16" cm="1">
        <f t="array" ref="H11465">SUM(H11463:H11464)</f>
        <v>0</v>
      </c>
      <c r="I11465" s="16" cm="1">
        <f t="array" ref="I11465">SUM(I11463:I11464)</f>
        <v>0</v>
      </c>
    </row>
    <row r="11466" ht="20.35" customHeight="1">
      <c r="A11466" s="10">
        <v>45913</v>
      </c>
      <c r="B11466" t="s" s="11">
        <v>21</v>
      </c>
      <c r="C11466" t="s" s="12">
        <v>1462</v>
      </c>
      <c r="D11466" s="17"/>
      <c r="E11466" s="17">
        <v>10000</v>
      </c>
      <c r="F11466" s="18"/>
      <c r="G11466" s="18"/>
      <c r="H11466" s="18"/>
      <c r="I11466" s="18"/>
    </row>
    <row r="11467" ht="20.35" customHeight="1">
      <c r="A11467" s="10">
        <v>45913</v>
      </c>
      <c r="B11467" t="s" s="11">
        <v>89</v>
      </c>
      <c r="C11467" t="s" s="12">
        <v>1462</v>
      </c>
      <c r="D11467" s="13">
        <v>10000</v>
      </c>
      <c r="E11467" s="13"/>
      <c r="F11467" s="14"/>
      <c r="G11467" s="14"/>
      <c r="H11467" s="14"/>
      <c r="I11467" s="14"/>
    </row>
    <row r="11468" ht="20.7" customHeight="1">
      <c r="A11468" s="10">
        <v>45913</v>
      </c>
      <c r="B11468" t="s" s="11">
        <v>8</v>
      </c>
      <c r="C11468" t="s" s="12">
        <v>8</v>
      </c>
      <c r="D11468" s="15" cm="1">
        <f t="array" ref="D11468">SUM(D11466:D11467)</f>
        <v>10000</v>
      </c>
      <c r="E11468" s="15" cm="1">
        <f t="array" ref="E11468">SUM(E11466:E11467)</f>
        <v>10000</v>
      </c>
      <c r="F11468" s="16" cm="1">
        <f t="array" ref="F11468">SUM(F11466:F11467)</f>
        <v>0</v>
      </c>
      <c r="G11468" s="16" cm="1">
        <f t="array" ref="G11468">SUM(G11466:G11467)</f>
        <v>0</v>
      </c>
      <c r="H11468" s="16" cm="1">
        <f t="array" ref="H11468">SUM(H11466:H11467)</f>
        <v>0</v>
      </c>
      <c r="I11468" s="16" cm="1">
        <f t="array" ref="I11468">SUM(I11466:I11467)</f>
        <v>0</v>
      </c>
    </row>
    <row r="11469" ht="20.65" customHeight="1">
      <c r="A11469" s="10">
        <v>45913</v>
      </c>
      <c r="B11469" t="s" s="11">
        <v>814</v>
      </c>
      <c r="C11469" t="s" s="12">
        <v>820</v>
      </c>
      <c r="D11469" s="17">
        <v>50</v>
      </c>
      <c r="E11469" s="17"/>
      <c r="F11469" s="18"/>
      <c r="G11469" s="18"/>
      <c r="H11469" s="18"/>
      <c r="I11469" s="18"/>
    </row>
    <row r="11470" ht="20.65" customHeight="1">
      <c r="A11470" s="10">
        <v>45913</v>
      </c>
      <c r="B11470" t="s" s="11">
        <v>7</v>
      </c>
      <c r="C11470" t="s" s="12">
        <v>820</v>
      </c>
      <c r="D11470" s="13"/>
      <c r="E11470" s="13">
        <v>50</v>
      </c>
      <c r="F11470" s="14"/>
      <c r="G11470" s="14"/>
      <c r="H11470" s="14"/>
      <c r="I11470" s="14"/>
    </row>
    <row r="11471" ht="20.7" customHeight="1">
      <c r="A11471" s="10">
        <v>45913</v>
      </c>
      <c r="B11471" t="s" s="11">
        <v>8</v>
      </c>
      <c r="C11471" t="s" s="12">
        <v>8</v>
      </c>
      <c r="D11471" s="15" cm="1">
        <f t="array" ref="D11471">SUM(D11469:D11470)</f>
        <v>50</v>
      </c>
      <c r="E11471" s="15" cm="1">
        <f t="array" ref="E11471">SUM(E11469:E11470)</f>
        <v>50</v>
      </c>
      <c r="F11471" s="16" cm="1">
        <f t="array" ref="F11471">SUM(F11469:F11470)</f>
        <v>0</v>
      </c>
      <c r="G11471" s="16" cm="1">
        <f t="array" ref="G11471">SUM(G11469:G11470)</f>
        <v>0</v>
      </c>
      <c r="H11471" s="16" cm="1">
        <f t="array" ref="H11471">SUM(H11469:H11470)</f>
        <v>0</v>
      </c>
      <c r="I11471" s="16" cm="1">
        <f t="array" ref="I11471">SUM(I11469:I11470)</f>
        <v>0</v>
      </c>
    </row>
    <row r="11472" ht="20.65" customHeight="1">
      <c r="A11472" s="10">
        <v>45914</v>
      </c>
      <c r="B11472" t="s" s="11">
        <v>814</v>
      </c>
      <c r="C11472" t="s" s="12">
        <v>820</v>
      </c>
      <c r="D11472" s="17">
        <v>50</v>
      </c>
      <c r="E11472" s="17"/>
      <c r="F11472" s="18"/>
      <c r="G11472" s="18"/>
      <c r="H11472" s="18"/>
      <c r="I11472" s="18"/>
    </row>
    <row r="11473" ht="20.65" customHeight="1">
      <c r="A11473" s="10">
        <v>45914</v>
      </c>
      <c r="B11473" t="s" s="11">
        <v>7</v>
      </c>
      <c r="C11473" t="s" s="12">
        <v>820</v>
      </c>
      <c r="D11473" s="13"/>
      <c r="E11473" s="13">
        <v>50</v>
      </c>
      <c r="F11473" s="14"/>
      <c r="G11473" s="14"/>
      <c r="H11473" s="14"/>
      <c r="I11473" s="14"/>
    </row>
    <row r="11474" ht="20.7" customHeight="1">
      <c r="A11474" s="10">
        <v>45914</v>
      </c>
      <c r="B11474" t="s" s="11">
        <v>8</v>
      </c>
      <c r="C11474" t="s" s="12">
        <v>8</v>
      </c>
      <c r="D11474" s="15" cm="1">
        <f t="array" ref="D11474">SUM(D11472:D11473)</f>
        <v>50</v>
      </c>
      <c r="E11474" s="15" cm="1">
        <f t="array" ref="E11474">SUM(E11472:E11473)</f>
        <v>50</v>
      </c>
      <c r="F11474" s="16" cm="1">
        <f t="array" ref="F11474">SUM(F11472:F11473)</f>
        <v>0</v>
      </c>
      <c r="G11474" s="16" cm="1">
        <f t="array" ref="G11474">SUM(G11472:G11473)</f>
        <v>0</v>
      </c>
      <c r="H11474" s="16" cm="1">
        <f t="array" ref="H11474">SUM(H11472:H11473)</f>
        <v>0</v>
      </c>
      <c r="I11474" s="16" cm="1">
        <f t="array" ref="I11474">SUM(I11472:I11473)</f>
        <v>0</v>
      </c>
    </row>
    <row r="11475" ht="20.35" customHeight="1">
      <c r="A11475" s="10">
        <v>45914</v>
      </c>
      <c r="B11475" t="s" s="11">
        <v>89</v>
      </c>
      <c r="C11475" t="s" s="12">
        <v>182</v>
      </c>
      <c r="D11475" s="17"/>
      <c r="E11475" s="17">
        <v>17600</v>
      </c>
      <c r="F11475" s="18"/>
      <c r="G11475" s="18"/>
      <c r="H11475" s="18"/>
      <c r="I11475" s="18"/>
    </row>
    <row r="11476" ht="20.35" customHeight="1">
      <c r="A11476" s="10">
        <v>45914</v>
      </c>
      <c r="B11476" t="s" s="11">
        <v>10</v>
      </c>
      <c r="C11476" t="s" s="12">
        <v>182</v>
      </c>
      <c r="D11476" s="13">
        <v>17600</v>
      </c>
      <c r="E11476" s="13"/>
      <c r="F11476" s="14"/>
      <c r="G11476" s="14"/>
      <c r="H11476" s="14"/>
      <c r="I11476" s="14"/>
    </row>
    <row r="11477" ht="20.7" customHeight="1">
      <c r="A11477" s="10">
        <v>45914</v>
      </c>
      <c r="B11477" t="s" s="11">
        <v>8</v>
      </c>
      <c r="C11477" t="s" s="12">
        <v>8</v>
      </c>
      <c r="D11477" s="15" cm="1">
        <f t="array" ref="D11477">SUM(D11475:D11476)</f>
        <v>17600</v>
      </c>
      <c r="E11477" s="15" cm="1">
        <f t="array" ref="E11477">SUM(E11475:E11476)</f>
        <v>17600</v>
      </c>
      <c r="F11477" s="16" cm="1">
        <f t="array" ref="F11477">SUM(F11475:F11476)</f>
        <v>0</v>
      </c>
      <c r="G11477" s="16" cm="1">
        <f t="array" ref="G11477">SUM(G11475:G11476)</f>
        <v>0</v>
      </c>
      <c r="H11477" s="16" cm="1">
        <f t="array" ref="H11477">SUM(H11475:H11476)</f>
        <v>0</v>
      </c>
      <c r="I11477" s="16" cm="1">
        <f t="array" ref="I11477">SUM(I11475:I11476)</f>
        <v>0</v>
      </c>
    </row>
    <row r="11478" ht="20.35" customHeight="1">
      <c r="A11478" s="10">
        <v>45914</v>
      </c>
      <c r="B11478" t="s" s="11">
        <v>28</v>
      </c>
      <c r="C11478" t="s" s="12">
        <v>1464</v>
      </c>
      <c r="D11478" s="17"/>
      <c r="E11478" s="17">
        <v>18000</v>
      </c>
      <c r="F11478" s="18"/>
      <c r="G11478" s="18"/>
      <c r="H11478" s="18"/>
      <c r="I11478" s="18"/>
    </row>
    <row r="11479" ht="20.35" customHeight="1">
      <c r="A11479" s="10">
        <v>45914</v>
      </c>
      <c r="B11479" t="s" s="11">
        <v>89</v>
      </c>
      <c r="C11479" t="s" s="12">
        <v>1464</v>
      </c>
      <c r="D11479" s="13">
        <v>18000</v>
      </c>
      <c r="E11479" s="13"/>
      <c r="F11479" s="14"/>
      <c r="G11479" s="14"/>
      <c r="H11479" s="14"/>
      <c r="I11479" s="14"/>
    </row>
    <row r="11480" ht="20.7" customHeight="1">
      <c r="A11480" s="10">
        <v>45914</v>
      </c>
      <c r="B11480" t="s" s="11">
        <v>8</v>
      </c>
      <c r="C11480" t="s" s="12">
        <v>8</v>
      </c>
      <c r="D11480" s="15" cm="1">
        <f t="array" ref="D11480">SUM(D11478:D11479)</f>
        <v>18000</v>
      </c>
      <c r="E11480" s="15" cm="1">
        <f t="array" ref="E11480">SUM(E11478:E11479)</f>
        <v>18000</v>
      </c>
      <c r="F11480" s="16" cm="1">
        <f t="array" ref="F11480">SUM(F11478:F11479)</f>
        <v>0</v>
      </c>
      <c r="G11480" s="16" cm="1">
        <f t="array" ref="G11480">SUM(G11478:G11479)</f>
        <v>0</v>
      </c>
      <c r="H11480" s="16" cm="1">
        <f t="array" ref="H11480">SUM(H11478:H11479)</f>
        <v>0</v>
      </c>
      <c r="I11480" s="16" cm="1">
        <f t="array" ref="I11480">SUM(I11478:I11479)</f>
        <v>0</v>
      </c>
    </row>
    <row r="11481" ht="20.65" customHeight="1">
      <c r="A11481" s="10">
        <v>45915</v>
      </c>
      <c r="B11481" t="s" s="11">
        <v>814</v>
      </c>
      <c r="C11481" t="s" s="12">
        <v>820</v>
      </c>
      <c r="D11481" s="17">
        <v>50</v>
      </c>
      <c r="E11481" s="17"/>
      <c r="F11481" s="18"/>
      <c r="G11481" s="18"/>
      <c r="H11481" s="18"/>
      <c r="I11481" s="18"/>
    </row>
    <row r="11482" ht="20.65" customHeight="1">
      <c r="A11482" s="10">
        <v>45915</v>
      </c>
      <c r="B11482" t="s" s="11">
        <v>7</v>
      </c>
      <c r="C11482" t="s" s="12">
        <v>820</v>
      </c>
      <c r="D11482" s="13"/>
      <c r="E11482" s="13">
        <v>50</v>
      </c>
      <c r="F11482" s="14"/>
      <c r="G11482" s="14"/>
      <c r="H11482" s="14"/>
      <c r="I11482" s="14"/>
    </row>
    <row r="11483" ht="20.7" customHeight="1">
      <c r="A11483" s="10">
        <v>45915</v>
      </c>
      <c r="B11483" t="s" s="11">
        <v>8</v>
      </c>
      <c r="C11483" t="s" s="12">
        <v>8</v>
      </c>
      <c r="D11483" s="15" cm="1">
        <f t="array" ref="D11483">SUM(D11481:D11482)</f>
        <v>50</v>
      </c>
      <c r="E11483" s="15" cm="1">
        <f t="array" ref="E11483">SUM(E11481:E11482)</f>
        <v>50</v>
      </c>
      <c r="F11483" s="16" cm="1">
        <f t="array" ref="F11483">SUM(F11481:F11482)</f>
        <v>0</v>
      </c>
      <c r="G11483" s="16" cm="1">
        <f t="array" ref="G11483">SUM(G11481:G11482)</f>
        <v>0</v>
      </c>
      <c r="H11483" s="16" cm="1">
        <f t="array" ref="H11483">SUM(H11481:H11482)</f>
        <v>0</v>
      </c>
      <c r="I11483" s="16" cm="1">
        <f t="array" ref="I11483">SUM(I11481:I11482)</f>
        <v>0</v>
      </c>
    </row>
    <row r="11484" ht="20.35" customHeight="1">
      <c r="A11484" s="10">
        <v>45915</v>
      </c>
      <c r="B11484" t="s" s="11">
        <v>89</v>
      </c>
      <c r="C11484" t="s" s="12">
        <v>1464</v>
      </c>
      <c r="D11484" s="17"/>
      <c r="E11484" s="17">
        <v>18000</v>
      </c>
      <c r="F11484" s="18"/>
      <c r="G11484" s="18"/>
      <c r="H11484" s="18"/>
      <c r="I11484" s="18"/>
    </row>
    <row r="11485" ht="20.35" customHeight="1">
      <c r="A11485" s="10">
        <v>45915</v>
      </c>
      <c r="B11485" t="s" s="11">
        <v>107</v>
      </c>
      <c r="C11485" t="s" s="12">
        <v>1464</v>
      </c>
      <c r="D11485" s="13">
        <v>18000</v>
      </c>
      <c r="E11485" s="13"/>
      <c r="F11485" s="14"/>
      <c r="G11485" s="14"/>
      <c r="H11485" s="14"/>
      <c r="I11485" s="14"/>
    </row>
    <row r="11486" ht="20.7" customHeight="1">
      <c r="A11486" s="10">
        <v>45915</v>
      </c>
      <c r="B11486" t="s" s="11">
        <v>8</v>
      </c>
      <c r="C11486" t="s" s="12">
        <v>8</v>
      </c>
      <c r="D11486" s="15" cm="1">
        <f t="array" ref="D11486">SUM(D11484:D11485)</f>
        <v>18000</v>
      </c>
      <c r="E11486" s="15" cm="1">
        <f t="array" ref="E11486">SUM(E11484:E11485)</f>
        <v>18000</v>
      </c>
      <c r="F11486" s="16" cm="1">
        <f t="array" ref="F11486">SUM(F11484:F11485)</f>
        <v>0</v>
      </c>
      <c r="G11486" s="16" cm="1">
        <f t="array" ref="G11486">SUM(G11484:G11485)</f>
        <v>0</v>
      </c>
      <c r="H11486" s="16" cm="1">
        <f t="array" ref="H11486">SUM(H11484:H11485)</f>
        <v>0</v>
      </c>
      <c r="I11486" s="16" cm="1">
        <f t="array" ref="I11486">SUM(I11484:I11485)</f>
        <v>0</v>
      </c>
    </row>
    <row r="11487" ht="20.35" customHeight="1">
      <c r="A11487" s="10">
        <v>45915</v>
      </c>
      <c r="B11487" t="s" s="11">
        <v>107</v>
      </c>
      <c r="C11487" t="s" s="12">
        <v>1424</v>
      </c>
      <c r="D11487" s="17"/>
      <c r="E11487" s="17">
        <v>268386</v>
      </c>
      <c r="F11487" s="18"/>
      <c r="G11487" s="18"/>
      <c r="H11487" s="18"/>
      <c r="I11487" s="18"/>
    </row>
    <row r="11488" ht="20.35" customHeight="1">
      <c r="A11488" s="10">
        <v>45915</v>
      </c>
      <c r="B11488" t="s" s="11">
        <v>10</v>
      </c>
      <c r="C11488" t="s" s="12">
        <v>1424</v>
      </c>
      <c r="D11488" s="13">
        <v>268386</v>
      </c>
      <c r="E11488" s="13"/>
      <c r="F11488" s="14"/>
      <c r="G11488" s="14"/>
      <c r="H11488" s="14"/>
      <c r="I11488" s="14"/>
    </row>
    <row r="11489" ht="20.7" customHeight="1">
      <c r="A11489" s="10">
        <v>45915</v>
      </c>
      <c r="B11489" t="s" s="11">
        <v>8</v>
      </c>
      <c r="C11489" t="s" s="12">
        <v>8</v>
      </c>
      <c r="D11489" s="15" cm="1">
        <f t="array" ref="D11489">SUM(D11487:D11488)</f>
        <v>268386</v>
      </c>
      <c r="E11489" s="15" cm="1">
        <f t="array" ref="E11489">SUM(E11487:E11488)</f>
        <v>268386</v>
      </c>
      <c r="F11489" s="16" cm="1">
        <f t="array" ref="F11489">SUM(F11487:F11488)</f>
        <v>0</v>
      </c>
      <c r="G11489" s="16" cm="1">
        <f t="array" ref="G11489">SUM(G11487:G11488)</f>
        <v>0</v>
      </c>
      <c r="H11489" s="16" cm="1">
        <f t="array" ref="H11489">SUM(H11487:H11488)</f>
        <v>0</v>
      </c>
      <c r="I11489" s="16" cm="1">
        <f t="array" ref="I11489">SUM(I11487:I11488)</f>
        <v>0</v>
      </c>
    </row>
    <row r="11490" ht="20.65" customHeight="1">
      <c r="A11490" s="10">
        <v>45915</v>
      </c>
      <c r="B11490" t="s" s="11">
        <v>89</v>
      </c>
      <c r="C11490" t="s" s="12">
        <v>1465</v>
      </c>
      <c r="D11490" s="17"/>
      <c r="E11490" s="17">
        <v>6000</v>
      </c>
      <c r="F11490" s="18"/>
      <c r="G11490" s="18"/>
      <c r="H11490" s="18"/>
      <c r="I11490" s="18"/>
    </row>
    <row r="11491" ht="20.65" customHeight="1">
      <c r="A11491" s="10">
        <v>45915</v>
      </c>
      <c r="B11491" t="s" s="11">
        <v>12</v>
      </c>
      <c r="C11491" t="s" s="12">
        <v>1465</v>
      </c>
      <c r="D11491" s="13">
        <v>6000</v>
      </c>
      <c r="E11491" s="13"/>
      <c r="F11491" s="14"/>
      <c r="G11491" s="14"/>
      <c r="H11491" s="14"/>
      <c r="I11491" s="14"/>
    </row>
    <row r="11492" ht="20.7" customHeight="1">
      <c r="A11492" s="10">
        <v>45915</v>
      </c>
      <c r="B11492" t="s" s="11">
        <v>8</v>
      </c>
      <c r="C11492" t="s" s="12">
        <v>8</v>
      </c>
      <c r="D11492" s="15" cm="1">
        <f t="array" ref="D11492">SUM(D11490:D11491)</f>
        <v>6000</v>
      </c>
      <c r="E11492" s="15" cm="1">
        <f t="array" ref="E11492">SUM(E11490:E11491)</f>
        <v>6000</v>
      </c>
      <c r="F11492" s="16" cm="1">
        <f t="array" ref="F11492">SUM(F11490:F11491)</f>
        <v>0</v>
      </c>
      <c r="G11492" s="16" cm="1">
        <f t="array" ref="G11492">SUM(G11490:G11491)</f>
        <v>0</v>
      </c>
      <c r="H11492" s="16" cm="1">
        <f t="array" ref="H11492">SUM(H11490:H11491)</f>
        <v>0</v>
      </c>
      <c r="I11492" s="16" cm="1">
        <f t="array" ref="I11492">SUM(I11490:I11491)</f>
        <v>0</v>
      </c>
    </row>
    <row r="11493" ht="20.65" customHeight="1">
      <c r="A11493" s="10">
        <v>45916</v>
      </c>
      <c r="B11493" t="s" s="11">
        <v>814</v>
      </c>
      <c r="C11493" t="s" s="12">
        <v>820</v>
      </c>
      <c r="D11493" s="17">
        <v>50</v>
      </c>
      <c r="E11493" s="17"/>
      <c r="F11493" s="18"/>
      <c r="G11493" s="18"/>
      <c r="H11493" s="18"/>
      <c r="I11493" s="18"/>
    </row>
    <row r="11494" ht="20.65" customHeight="1">
      <c r="A11494" s="10">
        <v>45916</v>
      </c>
      <c r="B11494" t="s" s="11">
        <v>7</v>
      </c>
      <c r="C11494" t="s" s="12">
        <v>820</v>
      </c>
      <c r="D11494" s="13"/>
      <c r="E11494" s="13">
        <v>50</v>
      </c>
      <c r="F11494" s="14"/>
      <c r="G11494" s="14"/>
      <c r="H11494" s="14"/>
      <c r="I11494" s="14"/>
    </row>
    <row r="11495" ht="20.7" customHeight="1">
      <c r="A11495" s="10">
        <v>45916</v>
      </c>
      <c r="B11495" t="s" s="11">
        <v>8</v>
      </c>
      <c r="C11495" t="s" s="12">
        <v>8</v>
      </c>
      <c r="D11495" s="15" cm="1">
        <f t="array" ref="D11495">SUM(D11493:D11494)</f>
        <v>50</v>
      </c>
      <c r="E11495" s="15" cm="1">
        <f t="array" ref="E11495">SUM(E11493:E11494)</f>
        <v>50</v>
      </c>
      <c r="F11495" s="16" cm="1">
        <f t="array" ref="F11495">SUM(F11493:F11494)</f>
        <v>0</v>
      </c>
      <c r="G11495" s="16" cm="1">
        <f t="array" ref="G11495">SUM(G11493:G11494)</f>
        <v>0</v>
      </c>
      <c r="H11495" s="16" cm="1">
        <f t="array" ref="H11495">SUM(H11493:H11494)</f>
        <v>0</v>
      </c>
      <c r="I11495" s="16" cm="1">
        <f t="array" ref="I11495">SUM(I11493:I11494)</f>
        <v>0</v>
      </c>
    </row>
    <row r="11496" ht="21.25" customHeight="1">
      <c r="A11496" s="10">
        <v>45916</v>
      </c>
      <c r="B11496" t="s" s="11">
        <v>107</v>
      </c>
      <c r="C11496" t="s" s="12">
        <v>1466</v>
      </c>
      <c r="D11496" s="17">
        <v>150000</v>
      </c>
      <c r="E11496" s="17"/>
      <c r="F11496" s="18"/>
      <c r="G11496" s="18"/>
      <c r="H11496" s="18"/>
      <c r="I11496" s="18"/>
    </row>
    <row r="11497" ht="21.25" customHeight="1">
      <c r="A11497" s="10">
        <v>45916</v>
      </c>
      <c r="B11497" t="s" s="11">
        <v>91</v>
      </c>
      <c r="C11497" t="s" s="12">
        <v>1466</v>
      </c>
      <c r="D11497" s="13"/>
      <c r="E11497" s="13">
        <v>150000</v>
      </c>
      <c r="F11497" s="14"/>
      <c r="G11497" s="14"/>
      <c r="H11497" s="14"/>
      <c r="I11497" s="14"/>
    </row>
    <row r="11498" ht="20.7" customHeight="1">
      <c r="A11498" s="10">
        <v>45916</v>
      </c>
      <c r="B11498" t="s" s="11">
        <v>8</v>
      </c>
      <c r="C11498" t="s" s="12">
        <v>8</v>
      </c>
      <c r="D11498" s="15" cm="1">
        <f t="array" ref="D11498">SUM(D11496:D11497)</f>
        <v>150000</v>
      </c>
      <c r="E11498" s="15" cm="1">
        <f t="array" ref="E11498">SUM(E11496:E11497)</f>
        <v>150000</v>
      </c>
      <c r="F11498" s="16" cm="1">
        <f t="array" ref="F11498">SUM(F11496:F11497)</f>
        <v>0</v>
      </c>
      <c r="G11498" s="16" cm="1">
        <f t="array" ref="G11498">SUM(G11496:G11497)</f>
        <v>0</v>
      </c>
      <c r="H11498" s="16" cm="1">
        <f t="array" ref="H11498">SUM(H11496:H11497)</f>
        <v>0</v>
      </c>
      <c r="I11498" s="16" cm="1">
        <f t="array" ref="I11498">SUM(I11496:I11497)</f>
        <v>0</v>
      </c>
    </row>
    <row r="11499" ht="20.35" customHeight="1">
      <c r="A11499" s="10">
        <v>45916</v>
      </c>
      <c r="B11499" t="s" s="11">
        <v>107</v>
      </c>
      <c r="C11499" t="s" s="12">
        <v>13</v>
      </c>
      <c r="D11499" s="17"/>
      <c r="E11499" s="17">
        <v>8900</v>
      </c>
      <c r="F11499" s="18"/>
      <c r="G11499" s="18"/>
      <c r="H11499" s="18"/>
      <c r="I11499" s="18"/>
    </row>
    <row r="11500" ht="20.35" customHeight="1">
      <c r="A11500" s="10">
        <v>45916</v>
      </c>
      <c r="B11500" t="s" s="11">
        <v>10</v>
      </c>
      <c r="C11500" t="s" s="12">
        <v>13</v>
      </c>
      <c r="D11500" s="13">
        <v>8900</v>
      </c>
      <c r="E11500" s="13"/>
      <c r="F11500" s="14"/>
      <c r="G11500" s="14"/>
      <c r="H11500" s="14"/>
      <c r="I11500" s="14"/>
    </row>
    <row r="11501" ht="20.7" customHeight="1">
      <c r="A11501" s="10">
        <v>45916</v>
      </c>
      <c r="B11501" t="s" s="11">
        <v>8</v>
      </c>
      <c r="C11501" t="s" s="12">
        <v>8</v>
      </c>
      <c r="D11501" s="15" cm="1">
        <f t="array" ref="D11501">SUM(D11499:D11500)</f>
        <v>8900</v>
      </c>
      <c r="E11501" s="15" cm="1">
        <f t="array" ref="E11501">SUM(E11499:E11500)</f>
        <v>8900</v>
      </c>
      <c r="F11501" s="16" cm="1">
        <f t="array" ref="F11501">SUM(F11499:F11500)</f>
        <v>0</v>
      </c>
      <c r="G11501" s="16" cm="1">
        <f t="array" ref="G11501">SUM(G11499:G11500)</f>
        <v>0</v>
      </c>
      <c r="H11501" s="16" cm="1">
        <f t="array" ref="H11501">SUM(H11499:H11500)</f>
        <v>0</v>
      </c>
      <c r="I11501" s="16" cm="1">
        <f t="array" ref="I11501">SUM(I11499:I11500)</f>
        <v>0</v>
      </c>
    </row>
    <row r="11502" ht="20.65" customHeight="1">
      <c r="A11502" s="10">
        <v>45917</v>
      </c>
      <c r="B11502" t="s" s="11">
        <v>814</v>
      </c>
      <c r="C11502" t="s" s="12">
        <v>820</v>
      </c>
      <c r="D11502" s="17">
        <v>50</v>
      </c>
      <c r="E11502" s="17"/>
      <c r="F11502" s="18"/>
      <c r="G11502" s="18"/>
      <c r="H11502" s="18"/>
      <c r="I11502" s="18"/>
    </row>
    <row r="11503" ht="20.65" customHeight="1">
      <c r="A11503" s="10">
        <v>45917</v>
      </c>
      <c r="B11503" t="s" s="11">
        <v>7</v>
      </c>
      <c r="C11503" t="s" s="12">
        <v>820</v>
      </c>
      <c r="D11503" s="13"/>
      <c r="E11503" s="13">
        <v>50</v>
      </c>
      <c r="F11503" s="14"/>
      <c r="G11503" s="14"/>
      <c r="H11503" s="14"/>
      <c r="I11503" s="14"/>
    </row>
    <row r="11504" ht="20.7" customHeight="1">
      <c r="A11504" s="10">
        <v>45917</v>
      </c>
      <c r="B11504" t="s" s="11">
        <v>8</v>
      </c>
      <c r="C11504" t="s" s="12">
        <v>8</v>
      </c>
      <c r="D11504" s="15" cm="1">
        <f t="array" ref="D11504">SUM(D11502:D11503)</f>
        <v>50</v>
      </c>
      <c r="E11504" s="15" cm="1">
        <f t="array" ref="E11504">SUM(E11502:E11503)</f>
        <v>50</v>
      </c>
      <c r="F11504" s="16" cm="1">
        <f t="array" ref="F11504">SUM(F11502:F11503)</f>
        <v>0</v>
      </c>
      <c r="G11504" s="16" cm="1">
        <f t="array" ref="G11504">SUM(G11502:G11503)</f>
        <v>0</v>
      </c>
      <c r="H11504" s="16" cm="1">
        <f t="array" ref="H11504">SUM(H11502:H11503)</f>
        <v>0</v>
      </c>
      <c r="I11504" s="16" cm="1">
        <f t="array" ref="I11504">SUM(I11502:I11503)</f>
        <v>0</v>
      </c>
    </row>
    <row r="11505" ht="20.35" customHeight="1">
      <c r="A11505" s="10">
        <v>45917</v>
      </c>
      <c r="B11505" t="s" s="11">
        <v>89</v>
      </c>
      <c r="C11505" t="s" s="12">
        <v>1426</v>
      </c>
      <c r="D11505" s="17"/>
      <c r="E11505" s="17">
        <v>4300</v>
      </c>
      <c r="F11505" s="18"/>
      <c r="G11505" s="18"/>
      <c r="H11505" s="18"/>
      <c r="I11505" s="18"/>
    </row>
    <row r="11506" ht="20.35" customHeight="1">
      <c r="A11506" s="10">
        <v>45917</v>
      </c>
      <c r="B11506" t="s" s="11">
        <v>12</v>
      </c>
      <c r="C11506" t="s" s="12">
        <v>1426</v>
      </c>
      <c r="D11506" s="13">
        <v>4300</v>
      </c>
      <c r="E11506" s="13"/>
      <c r="F11506" s="14"/>
      <c r="G11506" s="14"/>
      <c r="H11506" s="14"/>
      <c r="I11506" s="14"/>
    </row>
    <row r="11507" ht="20.7" customHeight="1">
      <c r="A11507" s="10">
        <v>45917</v>
      </c>
      <c r="B11507" t="s" s="11">
        <v>8</v>
      </c>
      <c r="C11507" t="s" s="12">
        <v>8</v>
      </c>
      <c r="D11507" s="15" cm="1">
        <f t="array" ref="D11507">SUM(D11505:D11506)</f>
        <v>4300</v>
      </c>
      <c r="E11507" s="15" cm="1">
        <f t="array" ref="E11507">SUM(E11505:E11506)</f>
        <v>4300</v>
      </c>
      <c r="F11507" s="16" cm="1">
        <f t="array" ref="F11507">SUM(F11505:F11506)</f>
        <v>0</v>
      </c>
      <c r="G11507" s="16" cm="1">
        <f t="array" ref="G11507">SUM(G11505:G11506)</f>
        <v>0</v>
      </c>
      <c r="H11507" s="16" cm="1">
        <f t="array" ref="H11507">SUM(H11505:H11506)</f>
        <v>0</v>
      </c>
      <c r="I11507" s="16" cm="1">
        <f t="array" ref="I11507">SUM(I11505:I11506)</f>
        <v>0</v>
      </c>
    </row>
    <row r="11508" ht="20.65" customHeight="1">
      <c r="A11508" s="10">
        <v>45917</v>
      </c>
      <c r="B11508" t="s" s="11">
        <v>89</v>
      </c>
      <c r="C11508" t="s" s="12">
        <v>1467</v>
      </c>
      <c r="D11508" s="17"/>
      <c r="E11508" s="17">
        <v>4200</v>
      </c>
      <c r="F11508" s="18"/>
      <c r="G11508" s="18"/>
      <c r="H11508" s="18"/>
      <c r="I11508" s="18"/>
    </row>
    <row r="11509" ht="20.65" customHeight="1">
      <c r="A11509" s="10">
        <v>45917</v>
      </c>
      <c r="B11509" t="s" s="11">
        <v>10</v>
      </c>
      <c r="C11509" t="s" s="12">
        <v>1467</v>
      </c>
      <c r="D11509" s="13">
        <v>4200</v>
      </c>
      <c r="E11509" s="13"/>
      <c r="F11509" s="14"/>
      <c r="G11509" s="14"/>
      <c r="H11509" s="14"/>
      <c r="I11509" s="14"/>
    </row>
    <row r="11510" ht="20.7" customHeight="1">
      <c r="A11510" s="10">
        <v>45917</v>
      </c>
      <c r="B11510" t="s" s="11">
        <v>8</v>
      </c>
      <c r="C11510" t="s" s="12">
        <v>8</v>
      </c>
      <c r="D11510" s="15" cm="1">
        <f t="array" ref="D11510">SUM(D11508:D11509)</f>
        <v>4200</v>
      </c>
      <c r="E11510" s="15" cm="1">
        <f t="array" ref="E11510">SUM(E11508:E11509)</f>
        <v>4200</v>
      </c>
      <c r="F11510" s="16" cm="1">
        <f t="array" ref="F11510">SUM(F11508:F11509)</f>
        <v>0</v>
      </c>
      <c r="G11510" s="16" cm="1">
        <f t="array" ref="G11510">SUM(G11508:G11509)</f>
        <v>0</v>
      </c>
      <c r="H11510" s="16" cm="1">
        <f t="array" ref="H11510">SUM(H11508:H11509)</f>
        <v>0</v>
      </c>
      <c r="I11510" s="16" cm="1">
        <f t="array" ref="I11510">SUM(I11508:I11509)</f>
        <v>0</v>
      </c>
    </row>
    <row r="11511" ht="20.65" customHeight="1">
      <c r="A11511" s="10">
        <v>45917</v>
      </c>
      <c r="B11511" t="s" s="11">
        <v>89</v>
      </c>
      <c r="C11511" t="s" s="12">
        <v>1443</v>
      </c>
      <c r="D11511" s="17"/>
      <c r="E11511" s="17">
        <v>2500</v>
      </c>
      <c r="F11511" s="18"/>
      <c r="G11511" s="18"/>
      <c r="H11511" s="18"/>
      <c r="I11511" s="18"/>
    </row>
    <row r="11512" ht="20.65" customHeight="1">
      <c r="A11512" s="10">
        <v>45917</v>
      </c>
      <c r="B11512" t="s" s="11">
        <v>12</v>
      </c>
      <c r="C11512" t="s" s="12">
        <v>1443</v>
      </c>
      <c r="D11512" s="13">
        <v>2500</v>
      </c>
      <c r="E11512" s="13"/>
      <c r="F11512" s="14"/>
      <c r="G11512" s="14"/>
      <c r="H11512" s="14"/>
      <c r="I11512" s="14"/>
    </row>
    <row r="11513" ht="20.7" customHeight="1">
      <c r="A11513" s="10">
        <v>45917</v>
      </c>
      <c r="B11513" t="s" s="11">
        <v>8</v>
      </c>
      <c r="C11513" t="s" s="12">
        <v>8</v>
      </c>
      <c r="D11513" s="15" cm="1">
        <f t="array" ref="D11513">SUM(D11511:D11512)</f>
        <v>2500</v>
      </c>
      <c r="E11513" s="15" cm="1">
        <f t="array" ref="E11513">SUM(E11511:E11512)</f>
        <v>2500</v>
      </c>
      <c r="F11513" s="16" cm="1">
        <f t="array" ref="F11513">SUM(F11511:F11512)</f>
        <v>0</v>
      </c>
      <c r="G11513" s="16" cm="1">
        <f t="array" ref="G11513">SUM(G11511:G11512)</f>
        <v>0</v>
      </c>
      <c r="H11513" s="16" cm="1">
        <f t="array" ref="H11513">SUM(H11511:H11512)</f>
        <v>0</v>
      </c>
      <c r="I11513" s="16" cm="1">
        <f t="array" ref="I11513">SUM(I11511:I11512)</f>
        <v>0</v>
      </c>
    </row>
    <row r="11514" ht="20.35" customHeight="1">
      <c r="A11514" s="10">
        <v>45917</v>
      </c>
      <c r="B11514" t="s" s="11">
        <v>28</v>
      </c>
      <c r="C11514" t="s" s="12">
        <v>1201</v>
      </c>
      <c r="D11514" s="17"/>
      <c r="E11514" s="17">
        <v>36518</v>
      </c>
      <c r="F11514" s="18"/>
      <c r="G11514" s="18"/>
      <c r="H11514" s="18"/>
      <c r="I11514" s="18"/>
    </row>
    <row r="11515" ht="20.35" customHeight="1">
      <c r="A11515" s="10">
        <v>45917</v>
      </c>
      <c r="B11515" t="s" s="11">
        <v>10</v>
      </c>
      <c r="C11515" t="s" s="12">
        <v>1201</v>
      </c>
      <c r="D11515" s="13">
        <v>36518</v>
      </c>
      <c r="E11515" s="13"/>
      <c r="F11515" s="14"/>
      <c r="G11515" s="14"/>
      <c r="H11515" s="14"/>
      <c r="I11515" s="14"/>
    </row>
    <row r="11516" ht="20.7" customHeight="1">
      <c r="A11516" s="10">
        <v>45917</v>
      </c>
      <c r="B11516" t="s" s="11">
        <v>8</v>
      </c>
      <c r="C11516" t="s" s="12">
        <v>8</v>
      </c>
      <c r="D11516" s="15" cm="1">
        <f t="array" ref="D11516">SUM(D11514:D11515)</f>
        <v>36518</v>
      </c>
      <c r="E11516" s="15" cm="1">
        <f t="array" ref="E11516">SUM(E11514:E11515)</f>
        <v>36518</v>
      </c>
      <c r="F11516" s="16" cm="1">
        <f t="array" ref="F11516">SUM(F11514:F11515)</f>
        <v>0</v>
      </c>
      <c r="G11516" s="16" cm="1">
        <f t="array" ref="G11516">SUM(G11514:G11515)</f>
        <v>0</v>
      </c>
      <c r="H11516" s="16" cm="1">
        <f t="array" ref="H11516">SUM(H11514:H11515)</f>
        <v>0</v>
      </c>
      <c r="I11516" s="16" cm="1">
        <f t="array" ref="I11516">SUM(I11514:I11515)</f>
        <v>0</v>
      </c>
    </row>
    <row r="11517" ht="20.35" customHeight="1">
      <c r="A11517" s="10">
        <v>45917</v>
      </c>
      <c r="B11517" t="s" s="11">
        <v>89</v>
      </c>
      <c r="C11517" t="s" s="12">
        <v>1468</v>
      </c>
      <c r="D11517" s="17"/>
      <c r="E11517" s="17">
        <v>83742</v>
      </c>
      <c r="F11517" s="18"/>
      <c r="G11517" s="18"/>
      <c r="H11517" s="18"/>
      <c r="I11517" s="18"/>
    </row>
    <row r="11518" ht="20.35" customHeight="1">
      <c r="A11518" s="10">
        <v>45917</v>
      </c>
      <c r="B11518" t="s" s="11">
        <v>21</v>
      </c>
      <c r="C11518" t="s" s="12">
        <v>1468</v>
      </c>
      <c r="D11518" s="13">
        <v>83742</v>
      </c>
      <c r="E11518" s="13"/>
      <c r="F11518" s="14"/>
      <c r="G11518" s="14"/>
      <c r="H11518" s="14"/>
      <c r="I11518" s="14"/>
    </row>
    <row r="11519" ht="20.7" customHeight="1">
      <c r="A11519" s="10">
        <v>45917</v>
      </c>
      <c r="B11519" t="s" s="11">
        <v>8</v>
      </c>
      <c r="C11519" t="s" s="12">
        <v>8</v>
      </c>
      <c r="D11519" s="15" cm="1">
        <f t="array" ref="D11519">SUM(D11517:D11518)</f>
        <v>83742</v>
      </c>
      <c r="E11519" s="15" cm="1">
        <f t="array" ref="E11519">SUM(E11517:E11518)</f>
        <v>83742</v>
      </c>
      <c r="F11519" s="16" cm="1">
        <f t="array" ref="F11519">SUM(F11517:F11518)</f>
        <v>0</v>
      </c>
      <c r="G11519" s="16" cm="1">
        <f t="array" ref="G11519">SUM(G11517:G11518)</f>
        <v>0</v>
      </c>
      <c r="H11519" s="16" cm="1">
        <f t="array" ref="H11519">SUM(H11517:H11518)</f>
        <v>0</v>
      </c>
      <c r="I11519" s="16" cm="1">
        <f t="array" ref="I11519">SUM(I11517:I11518)</f>
        <v>0</v>
      </c>
    </row>
    <row r="11520" ht="20.35" customHeight="1">
      <c r="A11520" s="10">
        <v>45917</v>
      </c>
      <c r="B11520" t="s" s="11">
        <v>89</v>
      </c>
      <c r="C11520" t="s" s="12">
        <v>1469</v>
      </c>
      <c r="D11520" s="17"/>
      <c r="E11520" s="17">
        <v>8250</v>
      </c>
      <c r="F11520" s="18"/>
      <c r="G11520" s="18"/>
      <c r="H11520" s="18"/>
      <c r="I11520" s="18"/>
    </row>
    <row r="11521" ht="20.35" customHeight="1">
      <c r="A11521" s="10">
        <v>45917</v>
      </c>
      <c r="B11521" t="s" s="11">
        <v>21</v>
      </c>
      <c r="C11521" t="s" s="12">
        <v>1469</v>
      </c>
      <c r="D11521" s="13">
        <v>8250</v>
      </c>
      <c r="E11521" s="13"/>
      <c r="F11521" s="14"/>
      <c r="G11521" s="14"/>
      <c r="H11521" s="14"/>
      <c r="I11521" s="14"/>
    </row>
    <row r="11522" ht="20.7" customHeight="1">
      <c r="A11522" s="10">
        <v>45917</v>
      </c>
      <c r="B11522" t="s" s="11">
        <v>8</v>
      </c>
      <c r="C11522" t="s" s="12">
        <v>8</v>
      </c>
      <c r="D11522" s="15" cm="1">
        <f t="array" ref="D11522">SUM(D11520:D11521)</f>
        <v>8250</v>
      </c>
      <c r="E11522" s="15" cm="1">
        <f t="array" ref="E11522">SUM(E11520:E11521)</f>
        <v>8250</v>
      </c>
      <c r="F11522" s="16" cm="1">
        <f t="array" ref="F11522">SUM(F11520:F11521)</f>
        <v>0</v>
      </c>
      <c r="G11522" s="16" cm="1">
        <f t="array" ref="G11522">SUM(G11520:G11521)</f>
        <v>0</v>
      </c>
      <c r="H11522" s="16" cm="1">
        <f t="array" ref="H11522">SUM(H11520:H11521)</f>
        <v>0</v>
      </c>
      <c r="I11522" s="16" cm="1">
        <f t="array" ref="I11522">SUM(I11520:I11521)</f>
        <v>0</v>
      </c>
    </row>
    <row r="11523" ht="21.25" customHeight="1">
      <c r="A11523" s="10">
        <v>45917</v>
      </c>
      <c r="B11523" t="s" s="11">
        <v>121</v>
      </c>
      <c r="C11523" t="s" s="12">
        <v>433</v>
      </c>
      <c r="D11523" s="17"/>
      <c r="E11523" s="17">
        <v>11500</v>
      </c>
      <c r="F11523" s="18"/>
      <c r="G11523" s="18"/>
      <c r="H11523" s="18"/>
      <c r="I11523" s="18"/>
    </row>
    <row r="11524" ht="21.25" customHeight="1">
      <c r="A11524" s="10">
        <v>45917</v>
      </c>
      <c r="B11524" t="s" s="11">
        <v>16</v>
      </c>
      <c r="C11524" t="s" s="12">
        <v>433</v>
      </c>
      <c r="D11524" s="13">
        <v>11500</v>
      </c>
      <c r="E11524" s="13"/>
      <c r="F11524" s="14"/>
      <c r="G11524" s="14"/>
      <c r="H11524" s="14"/>
      <c r="I11524" s="14"/>
    </row>
    <row r="11525" ht="20.7" customHeight="1">
      <c r="A11525" s="10">
        <v>45917</v>
      </c>
      <c r="B11525" t="s" s="11">
        <v>8</v>
      </c>
      <c r="C11525" t="s" s="12">
        <v>8</v>
      </c>
      <c r="D11525" s="15" cm="1">
        <f t="array" ref="D11525">SUM(D11523:D11524)</f>
        <v>11500</v>
      </c>
      <c r="E11525" s="15" cm="1">
        <f t="array" ref="E11525">SUM(E11523:E11524)</f>
        <v>11500</v>
      </c>
      <c r="F11525" s="16" cm="1">
        <f t="array" ref="F11525">SUM(F11523:F11524)</f>
        <v>0</v>
      </c>
      <c r="G11525" s="16" cm="1">
        <f t="array" ref="G11525">SUM(G11523:G11524)</f>
        <v>0</v>
      </c>
      <c r="H11525" s="16" cm="1">
        <f t="array" ref="H11525">SUM(H11523:H11524)</f>
        <v>0</v>
      </c>
      <c r="I11525" s="16" cm="1">
        <f t="array" ref="I11525">SUM(I11523:I11524)</f>
        <v>0</v>
      </c>
    </row>
    <row r="11526" ht="20.65" customHeight="1">
      <c r="A11526" s="10">
        <v>45918</v>
      </c>
      <c r="B11526" t="s" s="11">
        <v>89</v>
      </c>
      <c r="C11526" t="s" s="12">
        <v>1443</v>
      </c>
      <c r="D11526" s="17"/>
      <c r="E11526" s="17">
        <v>2500</v>
      </c>
      <c r="F11526" s="18"/>
      <c r="G11526" s="18"/>
      <c r="H11526" s="18"/>
      <c r="I11526" s="18"/>
    </row>
    <row r="11527" ht="20.65" customHeight="1">
      <c r="A11527" s="10">
        <v>45918</v>
      </c>
      <c r="B11527" t="s" s="11">
        <v>12</v>
      </c>
      <c r="C11527" t="s" s="12">
        <v>1443</v>
      </c>
      <c r="D11527" s="13">
        <v>2500</v>
      </c>
      <c r="E11527" s="13"/>
      <c r="F11527" s="14"/>
      <c r="G11527" s="14"/>
      <c r="H11527" s="14"/>
      <c r="I11527" s="14"/>
    </row>
    <row r="11528" ht="20.7" customHeight="1">
      <c r="A11528" s="10">
        <v>45918</v>
      </c>
      <c r="B11528" t="s" s="11">
        <v>8</v>
      </c>
      <c r="C11528" t="s" s="12">
        <v>8</v>
      </c>
      <c r="D11528" s="15" cm="1">
        <f t="array" ref="D11528">SUM(D11526:D11527)</f>
        <v>2500</v>
      </c>
      <c r="E11528" s="15" cm="1">
        <f t="array" ref="E11528">SUM(E11526:E11527)</f>
        <v>2500</v>
      </c>
      <c r="F11528" s="16" cm="1">
        <f t="array" ref="F11528">SUM(F11526:F11527)</f>
        <v>0</v>
      </c>
      <c r="G11528" s="16" cm="1">
        <f t="array" ref="G11528">SUM(G11526:G11527)</f>
        <v>0</v>
      </c>
      <c r="H11528" s="16" cm="1">
        <f t="array" ref="H11528">SUM(H11526:H11527)</f>
        <v>0</v>
      </c>
      <c r="I11528" s="16" cm="1">
        <f t="array" ref="I11528">SUM(I11526:I11527)</f>
        <v>0</v>
      </c>
    </row>
    <row r="11529" ht="20.65" customHeight="1">
      <c r="A11529" s="10">
        <v>45918</v>
      </c>
      <c r="B11529" t="s" s="11">
        <v>814</v>
      </c>
      <c r="C11529" t="s" s="12">
        <v>820</v>
      </c>
      <c r="D11529" s="17">
        <v>50</v>
      </c>
      <c r="E11529" s="17"/>
      <c r="F11529" s="18"/>
      <c r="G11529" s="18"/>
      <c r="H11529" s="18"/>
      <c r="I11529" s="18"/>
    </row>
    <row r="11530" ht="20.65" customHeight="1">
      <c r="A11530" s="10">
        <v>45918</v>
      </c>
      <c r="B11530" t="s" s="11">
        <v>7</v>
      </c>
      <c r="C11530" t="s" s="12">
        <v>820</v>
      </c>
      <c r="D11530" s="13"/>
      <c r="E11530" s="13">
        <v>50</v>
      </c>
      <c r="F11530" s="14"/>
      <c r="G11530" s="14"/>
      <c r="H11530" s="14"/>
      <c r="I11530" s="14"/>
    </row>
    <row r="11531" ht="20.7" customHeight="1">
      <c r="A11531" s="10">
        <v>45918</v>
      </c>
      <c r="B11531" t="s" s="11">
        <v>8</v>
      </c>
      <c r="C11531" t="s" s="12">
        <v>8</v>
      </c>
      <c r="D11531" s="15" cm="1">
        <f t="array" ref="D11531">SUM(D11529:D11530)</f>
        <v>50</v>
      </c>
      <c r="E11531" s="15" cm="1">
        <f t="array" ref="E11531">SUM(E11529:E11530)</f>
        <v>50</v>
      </c>
      <c r="F11531" s="16" cm="1">
        <f t="array" ref="F11531">SUM(F11529:F11530)</f>
        <v>0</v>
      </c>
      <c r="G11531" s="16" cm="1">
        <f t="array" ref="G11531">SUM(G11529:G11530)</f>
        <v>0</v>
      </c>
      <c r="H11531" s="16" cm="1">
        <f t="array" ref="H11531">SUM(H11529:H11530)</f>
        <v>0</v>
      </c>
      <c r="I11531" s="16" cm="1">
        <f t="array" ref="I11531">SUM(I11529:I11530)</f>
        <v>0</v>
      </c>
    </row>
    <row r="11532" ht="20.65" customHeight="1">
      <c r="A11532" s="10">
        <v>45919</v>
      </c>
      <c r="B11532" t="s" s="11">
        <v>107</v>
      </c>
      <c r="C11532" t="s" s="12">
        <v>1470</v>
      </c>
      <c r="D11532" s="17"/>
      <c r="E11532" s="17">
        <v>16700</v>
      </c>
      <c r="F11532" s="18"/>
      <c r="G11532" s="18"/>
      <c r="H11532" s="18"/>
      <c r="I11532" s="18"/>
    </row>
    <row r="11533" ht="20.65" customHeight="1">
      <c r="A11533" s="10">
        <v>45919</v>
      </c>
      <c r="B11533" t="s" s="11">
        <v>12</v>
      </c>
      <c r="C11533" t="s" s="12">
        <v>1470</v>
      </c>
      <c r="D11533" s="13">
        <v>16700</v>
      </c>
      <c r="E11533" s="13"/>
      <c r="F11533" s="14"/>
      <c r="G11533" s="14"/>
      <c r="H11533" s="14"/>
      <c r="I11533" s="14"/>
    </row>
    <row r="11534" ht="20.7" customHeight="1">
      <c r="A11534" s="10">
        <v>45919</v>
      </c>
      <c r="B11534" t="s" s="11">
        <v>8</v>
      </c>
      <c r="C11534" t="s" s="12">
        <v>8</v>
      </c>
      <c r="D11534" s="15" cm="1">
        <f t="array" ref="D11534">SUM(D11532:D11533)</f>
        <v>16700</v>
      </c>
      <c r="E11534" s="15" cm="1">
        <f t="array" ref="E11534">SUM(E11532:E11533)</f>
        <v>16700</v>
      </c>
      <c r="F11534" s="16" cm="1">
        <f t="array" ref="F11534">SUM(F11532:F11533)</f>
        <v>0</v>
      </c>
      <c r="G11534" s="16" cm="1">
        <f t="array" ref="G11534">SUM(G11532:G11533)</f>
        <v>0</v>
      </c>
      <c r="H11534" s="16" cm="1">
        <f t="array" ref="H11534">SUM(H11532:H11533)</f>
        <v>0</v>
      </c>
      <c r="I11534" s="16" cm="1">
        <f t="array" ref="I11534">SUM(I11532:I11533)</f>
        <v>0</v>
      </c>
    </row>
    <row r="11535" ht="20.65" customHeight="1">
      <c r="A11535" s="10">
        <v>45919</v>
      </c>
      <c r="B11535" t="s" s="11">
        <v>814</v>
      </c>
      <c r="C11535" t="s" s="12">
        <v>820</v>
      </c>
      <c r="D11535" s="17">
        <v>50</v>
      </c>
      <c r="E11535" s="17"/>
      <c r="F11535" s="18"/>
      <c r="G11535" s="18"/>
      <c r="H11535" s="18"/>
      <c r="I11535" s="18"/>
    </row>
    <row r="11536" ht="20.65" customHeight="1">
      <c r="A11536" s="10">
        <v>45919</v>
      </c>
      <c r="B11536" t="s" s="11">
        <v>7</v>
      </c>
      <c r="C11536" t="s" s="12">
        <v>820</v>
      </c>
      <c r="D11536" s="13"/>
      <c r="E11536" s="13">
        <v>50</v>
      </c>
      <c r="F11536" s="14"/>
      <c r="G11536" s="14"/>
      <c r="H11536" s="14"/>
      <c r="I11536" s="14"/>
    </row>
    <row r="11537" ht="20.7" customHeight="1">
      <c r="A11537" s="10">
        <v>45919</v>
      </c>
      <c r="B11537" t="s" s="11">
        <v>8</v>
      </c>
      <c r="C11537" t="s" s="12">
        <v>8</v>
      </c>
      <c r="D11537" s="15" cm="1">
        <f t="array" ref="D11537">SUM(D11535:D11536)</f>
        <v>50</v>
      </c>
      <c r="E11537" s="15" cm="1">
        <f t="array" ref="E11537">SUM(E11535:E11536)</f>
        <v>50</v>
      </c>
      <c r="F11537" s="16" cm="1">
        <f t="array" ref="F11537">SUM(F11535:F11536)</f>
        <v>0</v>
      </c>
      <c r="G11537" s="16" cm="1">
        <f t="array" ref="G11537">SUM(G11535:G11536)</f>
        <v>0</v>
      </c>
      <c r="H11537" s="16" cm="1">
        <f t="array" ref="H11537">SUM(H11535:H11536)</f>
        <v>0</v>
      </c>
      <c r="I11537" s="16" cm="1">
        <f t="array" ref="I11537">SUM(I11535:I11536)</f>
        <v>0</v>
      </c>
    </row>
    <row r="11538" ht="21.25" customHeight="1">
      <c r="A11538" s="10">
        <v>45919</v>
      </c>
      <c r="B11538" t="s" s="11">
        <v>107</v>
      </c>
      <c r="C11538" t="s" s="12">
        <v>1471</v>
      </c>
      <c r="D11538" s="17"/>
      <c r="E11538" s="17">
        <v>25000</v>
      </c>
      <c r="F11538" s="18"/>
      <c r="G11538" s="18"/>
      <c r="H11538" s="18"/>
      <c r="I11538" s="18"/>
    </row>
    <row r="11539" ht="20.9" customHeight="1">
      <c r="A11539" s="10">
        <v>45919</v>
      </c>
      <c r="B11539" t="s" s="11">
        <v>10</v>
      </c>
      <c r="C11539" t="s" s="12">
        <v>1471</v>
      </c>
      <c r="D11539" s="19">
        <v>12500</v>
      </c>
      <c r="E11539" s="19"/>
      <c r="F11539" s="20"/>
      <c r="G11539" s="20"/>
      <c r="H11539" s="20"/>
      <c r="I11539" s="20"/>
    </row>
    <row r="11540" ht="21.25" customHeight="1">
      <c r="A11540" s="10">
        <v>45919</v>
      </c>
      <c r="B11540" t="s" s="11">
        <v>12</v>
      </c>
      <c r="C11540" t="s" s="12">
        <v>1471</v>
      </c>
      <c r="D11540" s="13">
        <v>12500</v>
      </c>
      <c r="E11540" s="13"/>
      <c r="F11540" s="14"/>
      <c r="G11540" s="14"/>
      <c r="H11540" s="14"/>
      <c r="I11540" s="14"/>
    </row>
    <row r="11541" ht="20.7" customHeight="1">
      <c r="A11541" s="10">
        <v>45919</v>
      </c>
      <c r="B11541" t="s" s="11">
        <v>8</v>
      </c>
      <c r="C11541" t="s" s="12">
        <v>8</v>
      </c>
      <c r="D11541" s="15" cm="1">
        <f t="array" ref="D11541">SUM(D11538:D11540)</f>
        <v>25000</v>
      </c>
      <c r="E11541" s="15" cm="1">
        <f t="array" ref="E11541">SUM(E11538:E11540)</f>
        <v>25000</v>
      </c>
      <c r="F11541" s="16" cm="1">
        <f t="array" ref="F11541">SUM(F11538:F11540)</f>
        <v>0</v>
      </c>
      <c r="G11541" s="16" cm="1">
        <f t="array" ref="G11541">SUM(G11538:G11540)</f>
        <v>0</v>
      </c>
      <c r="H11541" s="16" cm="1">
        <f t="array" ref="H11541">SUM(H11538:H11540)</f>
        <v>0</v>
      </c>
      <c r="I11541" s="16" cm="1">
        <f t="array" ref="I11541">SUM(I11538:I11540)</f>
        <v>0</v>
      </c>
    </row>
    <row r="11542" ht="21.25" customHeight="1">
      <c r="A11542" s="10">
        <v>45919</v>
      </c>
      <c r="B11542" t="s" s="11">
        <v>21</v>
      </c>
      <c r="C11542" t="s" s="12">
        <v>1472</v>
      </c>
      <c r="D11542" s="17"/>
      <c r="E11542" s="17">
        <v>2400</v>
      </c>
      <c r="F11542" s="18"/>
      <c r="G11542" s="18"/>
      <c r="H11542" s="18"/>
      <c r="I11542" s="18"/>
    </row>
    <row r="11543" ht="21.25" customHeight="1">
      <c r="A11543" s="10">
        <v>45919</v>
      </c>
      <c r="B11543" t="s" s="11">
        <v>12</v>
      </c>
      <c r="C11543" t="s" s="12">
        <v>1472</v>
      </c>
      <c r="D11543" s="13">
        <v>2400</v>
      </c>
      <c r="E11543" s="13"/>
      <c r="F11543" s="14"/>
      <c r="G11543" s="14"/>
      <c r="H11543" s="14"/>
      <c r="I11543" s="14"/>
    </row>
    <row r="11544" ht="20.7" customHeight="1">
      <c r="A11544" s="10">
        <v>45919</v>
      </c>
      <c r="B11544" t="s" s="11">
        <v>8</v>
      </c>
      <c r="C11544" t="s" s="12">
        <v>8</v>
      </c>
      <c r="D11544" s="15" cm="1">
        <f t="array" ref="D11544">SUM(D11542:D11543)</f>
        <v>2400</v>
      </c>
      <c r="E11544" s="15" cm="1">
        <f t="array" ref="E11544">SUM(E11542:E11543)</f>
        <v>2400</v>
      </c>
      <c r="F11544" s="16" cm="1">
        <f t="array" ref="F11544">SUM(F11542:F11543)</f>
        <v>0</v>
      </c>
      <c r="G11544" s="16" cm="1">
        <f t="array" ref="G11544">SUM(G11542:G11543)</f>
        <v>0</v>
      </c>
      <c r="H11544" s="16" cm="1">
        <f t="array" ref="H11544">SUM(H11542:H11543)</f>
        <v>0</v>
      </c>
      <c r="I11544" s="16" cm="1">
        <f t="array" ref="I11544">SUM(I11542:I11543)</f>
        <v>0</v>
      </c>
    </row>
    <row r="11545" ht="20.65" customHeight="1">
      <c r="A11545" s="10">
        <v>45920</v>
      </c>
      <c r="B11545" t="s" s="11">
        <v>121</v>
      </c>
      <c r="C11545" t="s" s="12">
        <v>820</v>
      </c>
      <c r="D11545" s="17">
        <v>40</v>
      </c>
      <c r="E11545" s="17"/>
      <c r="F11545" s="18"/>
      <c r="G11545" s="18"/>
      <c r="H11545" s="18"/>
      <c r="I11545" s="18"/>
    </row>
    <row r="11546" ht="20.65" customHeight="1">
      <c r="A11546" s="10">
        <v>45920</v>
      </c>
      <c r="B11546" t="s" s="11">
        <v>7</v>
      </c>
      <c r="C11546" t="s" s="12">
        <v>820</v>
      </c>
      <c r="D11546" s="13"/>
      <c r="E11546" s="13">
        <v>40</v>
      </c>
      <c r="F11546" s="14"/>
      <c r="G11546" s="14"/>
      <c r="H11546" s="14"/>
      <c r="I11546" s="14"/>
    </row>
    <row r="11547" ht="20.7" customHeight="1">
      <c r="A11547" s="10">
        <v>45920</v>
      </c>
      <c r="B11547" t="s" s="11">
        <v>8</v>
      </c>
      <c r="C11547" t="s" s="12">
        <v>8</v>
      </c>
      <c r="D11547" s="15" cm="1">
        <f t="array" ref="D11547">SUM(D11545:D11546)</f>
        <v>40</v>
      </c>
      <c r="E11547" s="15" cm="1">
        <f t="array" ref="E11547">SUM(E11545:E11546)</f>
        <v>40</v>
      </c>
      <c r="F11547" s="16" cm="1">
        <f t="array" ref="F11547">SUM(F11545:F11546)</f>
        <v>0</v>
      </c>
      <c r="G11547" s="16" cm="1">
        <f t="array" ref="G11547">SUM(G11545:G11546)</f>
        <v>0</v>
      </c>
      <c r="H11547" s="16" cm="1">
        <f t="array" ref="H11547">SUM(H11545:H11546)</f>
        <v>0</v>
      </c>
      <c r="I11547" s="16" cm="1">
        <f t="array" ref="I11547">SUM(I11545:I11546)</f>
        <v>0</v>
      </c>
    </row>
    <row r="11548" ht="20.65" customHeight="1">
      <c r="A11548" s="10">
        <v>45920</v>
      </c>
      <c r="B11548" t="s" s="11">
        <v>107</v>
      </c>
      <c r="C11548" t="s" s="12">
        <v>820</v>
      </c>
      <c r="D11548" s="17">
        <v>28</v>
      </c>
      <c r="E11548" s="17"/>
      <c r="F11548" s="18"/>
      <c r="G11548" s="18"/>
      <c r="H11548" s="18"/>
      <c r="I11548" s="18"/>
    </row>
    <row r="11549" ht="20.65" customHeight="1">
      <c r="A11549" s="10">
        <v>45920</v>
      </c>
      <c r="B11549" t="s" s="11">
        <v>7</v>
      </c>
      <c r="C11549" t="s" s="12">
        <v>820</v>
      </c>
      <c r="D11549" s="13"/>
      <c r="E11549" s="13">
        <v>28</v>
      </c>
      <c r="F11549" s="14"/>
      <c r="G11549" s="14"/>
      <c r="H11549" s="14"/>
      <c r="I11549" s="14"/>
    </row>
    <row r="11550" ht="20.7" customHeight="1">
      <c r="A11550" s="10">
        <v>45920</v>
      </c>
      <c r="B11550" t="s" s="11">
        <v>8</v>
      </c>
      <c r="C11550" t="s" s="12">
        <v>8</v>
      </c>
      <c r="D11550" s="15" cm="1">
        <f t="array" ref="D11550">SUM(D11548:D11549)</f>
        <v>28</v>
      </c>
      <c r="E11550" s="15" cm="1">
        <f t="array" ref="E11550">SUM(E11548:E11549)</f>
        <v>28</v>
      </c>
      <c r="F11550" s="16" cm="1">
        <f t="array" ref="F11550">SUM(F11548:F11549)</f>
        <v>0</v>
      </c>
      <c r="G11550" s="16" cm="1">
        <f t="array" ref="G11550">SUM(G11548:G11549)</f>
        <v>0</v>
      </c>
      <c r="H11550" s="16" cm="1">
        <f t="array" ref="H11550">SUM(H11548:H11549)</f>
        <v>0</v>
      </c>
      <c r="I11550" s="16" cm="1">
        <f t="array" ref="I11550">SUM(I11548:I11549)</f>
        <v>0</v>
      </c>
    </row>
    <row r="11551" ht="20.65" customHeight="1">
      <c r="A11551" s="10">
        <v>45920</v>
      </c>
      <c r="B11551" t="s" s="11">
        <v>814</v>
      </c>
      <c r="C11551" t="s" s="12">
        <v>820</v>
      </c>
      <c r="D11551" s="17">
        <v>50</v>
      </c>
      <c r="E11551" s="17"/>
      <c r="F11551" s="18"/>
      <c r="G11551" s="18"/>
      <c r="H11551" s="18"/>
      <c r="I11551" s="18"/>
    </row>
    <row r="11552" ht="20.65" customHeight="1">
      <c r="A11552" s="10">
        <v>45920</v>
      </c>
      <c r="B11552" t="s" s="11">
        <v>7</v>
      </c>
      <c r="C11552" t="s" s="12">
        <v>820</v>
      </c>
      <c r="D11552" s="13"/>
      <c r="E11552" s="13">
        <v>50</v>
      </c>
      <c r="F11552" s="14"/>
      <c r="G11552" s="14"/>
      <c r="H11552" s="14"/>
      <c r="I11552" s="14"/>
    </row>
    <row r="11553" ht="20.7" customHeight="1">
      <c r="A11553" s="10">
        <v>45920</v>
      </c>
      <c r="B11553" t="s" s="11">
        <v>8</v>
      </c>
      <c r="C11553" t="s" s="12">
        <v>8</v>
      </c>
      <c r="D11553" s="15" cm="1">
        <f t="array" ref="D11553">SUM(D11551:D11552)</f>
        <v>50</v>
      </c>
      <c r="E11553" s="15" cm="1">
        <f t="array" ref="E11553">SUM(E11551:E11552)</f>
        <v>50</v>
      </c>
      <c r="F11553" s="16" cm="1">
        <f t="array" ref="F11553">SUM(F11551:F11552)</f>
        <v>0</v>
      </c>
      <c r="G11553" s="16" cm="1">
        <f t="array" ref="G11553">SUM(G11551:G11552)</f>
        <v>0</v>
      </c>
      <c r="H11553" s="16" cm="1">
        <f t="array" ref="H11553">SUM(H11551:H11552)</f>
        <v>0</v>
      </c>
      <c r="I11553" s="16" cm="1">
        <f t="array" ref="I11553">SUM(I11551:I11552)</f>
        <v>0</v>
      </c>
    </row>
    <row r="11554" ht="20.35" customHeight="1">
      <c r="A11554" s="10">
        <v>45920</v>
      </c>
      <c r="B11554" t="s" s="11">
        <v>107</v>
      </c>
      <c r="C11554" t="s" s="12">
        <v>54</v>
      </c>
      <c r="D11554" s="17"/>
      <c r="E11554" s="17">
        <v>3300</v>
      </c>
      <c r="F11554" s="18"/>
      <c r="G11554" s="18"/>
      <c r="H11554" s="18"/>
      <c r="I11554" s="18"/>
    </row>
    <row r="11555" ht="20.35" customHeight="1">
      <c r="A11555" s="10">
        <v>45920</v>
      </c>
      <c r="B11555" t="s" s="11">
        <v>10</v>
      </c>
      <c r="C11555" t="s" s="12">
        <v>54</v>
      </c>
      <c r="D11555" s="13">
        <v>3300</v>
      </c>
      <c r="E11555" s="13"/>
      <c r="F11555" s="14"/>
      <c r="G11555" s="14"/>
      <c r="H11555" s="14"/>
      <c r="I11555" s="14"/>
    </row>
    <row r="11556" ht="20.7" customHeight="1">
      <c r="A11556" s="10">
        <v>45920</v>
      </c>
      <c r="B11556" t="s" s="11">
        <v>8</v>
      </c>
      <c r="C11556" t="s" s="12">
        <v>8</v>
      </c>
      <c r="D11556" s="15" cm="1">
        <f t="array" ref="D11556">SUM(D11554:D11555)</f>
        <v>3300</v>
      </c>
      <c r="E11556" s="15" cm="1">
        <f t="array" ref="E11556">SUM(E11554:E11555)</f>
        <v>3300</v>
      </c>
      <c r="F11556" s="16" cm="1">
        <f t="array" ref="F11556">SUM(F11554:F11555)</f>
        <v>0</v>
      </c>
      <c r="G11556" s="16" cm="1">
        <f t="array" ref="G11556">SUM(G11554:G11555)</f>
        <v>0</v>
      </c>
      <c r="H11556" s="16" cm="1">
        <f t="array" ref="H11556">SUM(H11554:H11555)</f>
        <v>0</v>
      </c>
      <c r="I11556" s="16" cm="1">
        <f t="array" ref="I11556">SUM(I11554:I11555)</f>
        <v>0</v>
      </c>
    </row>
    <row r="11557" ht="21.25" customHeight="1">
      <c r="A11557" s="10">
        <v>45920</v>
      </c>
      <c r="B11557" t="s" s="11">
        <v>107</v>
      </c>
      <c r="C11557" t="s" s="12">
        <v>1473</v>
      </c>
      <c r="D11557" s="17"/>
      <c r="E11557" s="17">
        <v>24500</v>
      </c>
      <c r="F11557" s="18"/>
      <c r="G11557" s="18"/>
      <c r="H11557" s="18"/>
      <c r="I11557" s="18"/>
    </row>
    <row r="11558" ht="20.9" customHeight="1">
      <c r="A11558" s="10">
        <v>45920</v>
      </c>
      <c r="B11558" t="s" s="11">
        <v>10</v>
      </c>
      <c r="C11558" t="s" s="12">
        <v>1473</v>
      </c>
      <c r="D11558" s="19">
        <v>12250</v>
      </c>
      <c r="E11558" s="19"/>
      <c r="F11558" s="20"/>
      <c r="G11558" s="20"/>
      <c r="H11558" s="20"/>
      <c r="I11558" s="20"/>
    </row>
    <row r="11559" ht="21.25" customHeight="1">
      <c r="A11559" s="10">
        <v>45920</v>
      </c>
      <c r="B11559" t="s" s="11">
        <v>12</v>
      </c>
      <c r="C11559" t="s" s="12">
        <v>1473</v>
      </c>
      <c r="D11559" s="13">
        <v>12250</v>
      </c>
      <c r="E11559" s="13"/>
      <c r="F11559" s="14"/>
      <c r="G11559" s="14"/>
      <c r="H11559" s="14"/>
      <c r="I11559" s="14"/>
    </row>
    <row r="11560" ht="20.7" customHeight="1">
      <c r="A11560" s="10">
        <v>45920</v>
      </c>
      <c r="B11560" t="s" s="11">
        <v>8</v>
      </c>
      <c r="C11560" t="s" s="12">
        <v>8</v>
      </c>
      <c r="D11560" s="15" cm="1">
        <f t="array" ref="D11560">SUM(D11557:D11559)</f>
        <v>24500</v>
      </c>
      <c r="E11560" s="15" cm="1">
        <f t="array" ref="E11560">SUM(E11557:E11559)</f>
        <v>24500</v>
      </c>
      <c r="F11560" s="16" cm="1">
        <f t="array" ref="F11560">SUM(F11557:F11559)</f>
        <v>0</v>
      </c>
      <c r="G11560" s="16" cm="1">
        <f t="array" ref="G11560">SUM(G11557:G11559)</f>
        <v>0</v>
      </c>
      <c r="H11560" s="16" cm="1">
        <f t="array" ref="H11560">SUM(H11557:H11559)</f>
        <v>0</v>
      </c>
      <c r="I11560" s="16" cm="1">
        <f t="array" ref="I11560">SUM(I11557:I11559)</f>
        <v>0</v>
      </c>
    </row>
    <row r="11561" ht="21.25" customHeight="1">
      <c r="A11561" s="10">
        <v>45920</v>
      </c>
      <c r="B11561" t="s" s="11">
        <v>107</v>
      </c>
      <c r="C11561" t="s" s="12">
        <v>1472</v>
      </c>
      <c r="D11561" s="17"/>
      <c r="E11561" s="17">
        <v>28300</v>
      </c>
      <c r="F11561" s="18"/>
      <c r="G11561" s="18"/>
      <c r="H11561" s="18"/>
      <c r="I11561" s="18"/>
    </row>
    <row r="11562" ht="21.25" customHeight="1">
      <c r="A11562" s="10">
        <v>45920</v>
      </c>
      <c r="B11562" t="s" s="11">
        <v>12</v>
      </c>
      <c r="C11562" t="s" s="12">
        <v>1472</v>
      </c>
      <c r="D11562" s="13">
        <v>28300</v>
      </c>
      <c r="E11562" s="13"/>
      <c r="F11562" s="14"/>
      <c r="G11562" s="14"/>
      <c r="H11562" s="14"/>
      <c r="I11562" s="14"/>
    </row>
    <row r="11563" ht="20.7" customHeight="1">
      <c r="A11563" s="10">
        <v>45920</v>
      </c>
      <c r="B11563" t="s" s="11">
        <v>8</v>
      </c>
      <c r="C11563" t="s" s="12">
        <v>8</v>
      </c>
      <c r="D11563" s="15" cm="1">
        <f t="array" ref="D11563">SUM(D11561:D11562)</f>
        <v>28300</v>
      </c>
      <c r="E11563" s="15" cm="1">
        <f t="array" ref="E11563">SUM(E11561:E11562)</f>
        <v>28300</v>
      </c>
      <c r="F11563" s="16" cm="1">
        <f t="array" ref="F11563">SUM(F11561:F11562)</f>
        <v>0</v>
      </c>
      <c r="G11563" s="16" cm="1">
        <f t="array" ref="G11563">SUM(G11561:G11562)</f>
        <v>0</v>
      </c>
      <c r="H11563" s="16" cm="1">
        <f t="array" ref="H11563">SUM(H11561:H11562)</f>
        <v>0</v>
      </c>
      <c r="I11563" s="16" cm="1">
        <f t="array" ref="I11563">SUM(I11561:I11562)</f>
        <v>0</v>
      </c>
    </row>
    <row r="11564" ht="20.65" customHeight="1">
      <c r="A11564" s="10">
        <v>45921</v>
      </c>
      <c r="B11564" t="s" s="11">
        <v>814</v>
      </c>
      <c r="C11564" t="s" s="12">
        <v>820</v>
      </c>
      <c r="D11564" s="17">
        <v>50</v>
      </c>
      <c r="E11564" s="17"/>
      <c r="F11564" s="18"/>
      <c r="G11564" s="18"/>
      <c r="H11564" s="18"/>
      <c r="I11564" s="18"/>
    </row>
    <row r="11565" ht="20.65" customHeight="1">
      <c r="A11565" s="10">
        <v>45921</v>
      </c>
      <c r="B11565" t="s" s="11">
        <v>7</v>
      </c>
      <c r="C11565" t="s" s="12">
        <v>820</v>
      </c>
      <c r="D11565" s="13"/>
      <c r="E11565" s="13">
        <v>50</v>
      </c>
      <c r="F11565" s="14"/>
      <c r="G11565" s="14"/>
      <c r="H11565" s="14"/>
      <c r="I11565" s="14"/>
    </row>
    <row r="11566" ht="20.7" customHeight="1">
      <c r="A11566" s="10">
        <v>45921</v>
      </c>
      <c r="B11566" t="s" s="11">
        <v>8</v>
      </c>
      <c r="C11566" t="s" s="12">
        <v>8</v>
      </c>
      <c r="D11566" s="15" cm="1">
        <f t="array" ref="D11566">SUM(D11564:D11565)</f>
        <v>50</v>
      </c>
      <c r="E11566" s="15" cm="1">
        <f t="array" ref="E11566">SUM(E11564:E11565)</f>
        <v>50</v>
      </c>
      <c r="F11566" s="16" cm="1">
        <f t="array" ref="F11566">SUM(F11564:F11565)</f>
        <v>0</v>
      </c>
      <c r="G11566" s="16" cm="1">
        <f t="array" ref="G11566">SUM(G11564:G11565)</f>
        <v>0</v>
      </c>
      <c r="H11566" s="16" cm="1">
        <f t="array" ref="H11566">SUM(H11564:H11565)</f>
        <v>0</v>
      </c>
      <c r="I11566" s="16" cm="1">
        <f t="array" ref="I11566">SUM(I11564:I11565)</f>
        <v>0</v>
      </c>
    </row>
    <row r="11567" ht="20.65" customHeight="1">
      <c r="A11567" s="10">
        <v>45921</v>
      </c>
      <c r="B11567" t="s" s="11">
        <v>107</v>
      </c>
      <c r="C11567" t="s" s="12">
        <v>1474</v>
      </c>
      <c r="D11567" s="17"/>
      <c r="E11567" s="17">
        <v>23300</v>
      </c>
      <c r="F11567" s="18"/>
      <c r="G11567" s="18"/>
      <c r="H11567" s="18"/>
      <c r="I11567" s="18"/>
    </row>
    <row r="11568" ht="20.65" customHeight="1">
      <c r="A11568" s="10">
        <v>45921</v>
      </c>
      <c r="B11568" t="s" s="11">
        <v>12</v>
      </c>
      <c r="C11568" t="s" s="12">
        <v>1474</v>
      </c>
      <c r="D11568" s="13">
        <v>23300</v>
      </c>
      <c r="E11568" s="13"/>
      <c r="F11568" s="14"/>
      <c r="G11568" s="14"/>
      <c r="H11568" s="14"/>
      <c r="I11568" s="14"/>
    </row>
    <row r="11569" ht="20.7" customHeight="1">
      <c r="A11569" s="10">
        <v>45921</v>
      </c>
      <c r="B11569" t="s" s="11">
        <v>8</v>
      </c>
      <c r="C11569" t="s" s="12">
        <v>8</v>
      </c>
      <c r="D11569" s="15" cm="1">
        <f t="array" ref="D11569">SUM(D11567:D11568)</f>
        <v>23300</v>
      </c>
      <c r="E11569" s="15" cm="1">
        <f t="array" ref="E11569">SUM(E11567:E11568)</f>
        <v>23300</v>
      </c>
      <c r="F11569" s="16" cm="1">
        <f t="array" ref="F11569">SUM(F11567:F11568)</f>
        <v>0</v>
      </c>
      <c r="G11569" s="16" cm="1">
        <f t="array" ref="G11569">SUM(G11567:G11568)</f>
        <v>0</v>
      </c>
      <c r="H11569" s="16" cm="1">
        <f t="array" ref="H11569">SUM(H11567:H11568)</f>
        <v>0</v>
      </c>
      <c r="I11569" s="16" cm="1">
        <f t="array" ref="I11569">SUM(I11567:I11568)</f>
        <v>0</v>
      </c>
    </row>
    <row r="11570" ht="20.35" customHeight="1">
      <c r="A11570" s="10">
        <v>45921</v>
      </c>
      <c r="B11570" t="s" s="11">
        <v>89</v>
      </c>
      <c r="C11570" t="s" s="12">
        <v>1475</v>
      </c>
      <c r="D11570" s="17"/>
      <c r="E11570" s="17">
        <v>17699</v>
      </c>
      <c r="F11570" s="18"/>
      <c r="G11570" s="18"/>
      <c r="H11570" s="18"/>
      <c r="I11570" s="18"/>
    </row>
    <row r="11571" ht="20.35" customHeight="1">
      <c r="A11571" s="10">
        <v>45921</v>
      </c>
      <c r="B11571" t="s" s="11">
        <v>91</v>
      </c>
      <c r="C11571" t="s" s="12">
        <v>1475</v>
      </c>
      <c r="D11571" s="13">
        <v>17699</v>
      </c>
      <c r="E11571" s="13"/>
      <c r="F11571" s="14"/>
      <c r="G11571" s="14"/>
      <c r="H11571" s="14"/>
      <c r="I11571" s="14"/>
    </row>
    <row r="11572" ht="20.7" customHeight="1">
      <c r="A11572" s="10">
        <v>45921</v>
      </c>
      <c r="B11572" t="s" s="11">
        <v>8</v>
      </c>
      <c r="C11572" t="s" s="12">
        <v>8</v>
      </c>
      <c r="D11572" s="15" cm="1">
        <f t="array" ref="D11572">SUM(D11570:D11571)</f>
        <v>17699</v>
      </c>
      <c r="E11572" s="15" cm="1">
        <f t="array" ref="E11572">SUM(E11570:E11571)</f>
        <v>17699</v>
      </c>
      <c r="F11572" s="16" cm="1">
        <f t="array" ref="F11572">SUM(F11570:F11571)</f>
        <v>0</v>
      </c>
      <c r="G11572" s="16" cm="1">
        <f t="array" ref="G11572">SUM(G11570:G11571)</f>
        <v>0</v>
      </c>
      <c r="H11572" s="16" cm="1">
        <f t="array" ref="H11572">SUM(H11570:H11571)</f>
        <v>0</v>
      </c>
      <c r="I11572" s="16" cm="1">
        <f t="array" ref="I11572">SUM(I11570:I11571)</f>
        <v>0</v>
      </c>
    </row>
    <row r="11573" ht="20.35" customHeight="1">
      <c r="A11573" s="10">
        <v>45921</v>
      </c>
      <c r="B11573" t="s" s="11">
        <v>21</v>
      </c>
      <c r="C11573" t="s" s="12">
        <v>1476</v>
      </c>
      <c r="D11573" s="17"/>
      <c r="E11573" s="17">
        <v>9357</v>
      </c>
      <c r="F11573" s="18"/>
      <c r="G11573" s="18"/>
      <c r="H11573" s="18"/>
      <c r="I11573" s="18"/>
    </row>
    <row r="11574" ht="20.35" customHeight="1">
      <c r="A11574" s="10">
        <v>45921</v>
      </c>
      <c r="B11574" t="s" s="11">
        <v>91</v>
      </c>
      <c r="C11574" t="s" s="12">
        <v>1476</v>
      </c>
      <c r="D11574" s="13">
        <v>9357</v>
      </c>
      <c r="E11574" s="13"/>
      <c r="F11574" s="14"/>
      <c r="G11574" s="14"/>
      <c r="H11574" s="14"/>
      <c r="I11574" s="14"/>
    </row>
    <row r="11575" ht="20.7" customHeight="1">
      <c r="A11575" s="10">
        <v>45921</v>
      </c>
      <c r="B11575" t="s" s="11">
        <v>8</v>
      </c>
      <c r="C11575" t="s" s="12">
        <v>8</v>
      </c>
      <c r="D11575" s="15" cm="1">
        <f t="array" ref="D11575">SUM(D11573:D11574)</f>
        <v>9357</v>
      </c>
      <c r="E11575" s="15" cm="1">
        <f t="array" ref="E11575">SUM(E11573:E11574)</f>
        <v>9357</v>
      </c>
      <c r="F11575" s="16" cm="1">
        <f t="array" ref="F11575">SUM(F11573:F11574)</f>
        <v>0</v>
      </c>
      <c r="G11575" s="16" cm="1">
        <f t="array" ref="G11575">SUM(G11573:G11574)</f>
        <v>0</v>
      </c>
      <c r="H11575" s="16" cm="1">
        <f t="array" ref="H11575">SUM(H11573:H11574)</f>
        <v>0</v>
      </c>
      <c r="I11575" s="16" cm="1">
        <f t="array" ref="I11575">SUM(I11573:I11574)</f>
        <v>0</v>
      </c>
    </row>
    <row r="11576" ht="20.65" customHeight="1">
      <c r="A11576" s="10">
        <v>45922</v>
      </c>
      <c r="B11576" t="s" s="11">
        <v>814</v>
      </c>
      <c r="C11576" t="s" s="12">
        <v>820</v>
      </c>
      <c r="D11576" s="17">
        <v>50</v>
      </c>
      <c r="E11576" s="17"/>
      <c r="F11576" s="18"/>
      <c r="G11576" s="18"/>
      <c r="H11576" s="18"/>
      <c r="I11576" s="18"/>
    </row>
    <row r="11577" ht="20.65" customHeight="1">
      <c r="A11577" s="10">
        <v>45922</v>
      </c>
      <c r="B11577" t="s" s="11">
        <v>7</v>
      </c>
      <c r="C11577" t="s" s="12">
        <v>820</v>
      </c>
      <c r="D11577" s="13"/>
      <c r="E11577" s="13">
        <v>50</v>
      </c>
      <c r="F11577" s="14"/>
      <c r="G11577" s="14"/>
      <c r="H11577" s="14"/>
      <c r="I11577" s="14"/>
    </row>
    <row r="11578" ht="20.7" customHeight="1">
      <c r="A11578" s="10">
        <v>45922</v>
      </c>
      <c r="B11578" t="s" s="11">
        <v>8</v>
      </c>
      <c r="C11578" t="s" s="12">
        <v>8</v>
      </c>
      <c r="D11578" s="15" cm="1">
        <f t="array" ref="D11578">SUM(D11576:D11577)</f>
        <v>50</v>
      </c>
      <c r="E11578" s="15" cm="1">
        <f t="array" ref="E11578">SUM(E11576:E11577)</f>
        <v>50</v>
      </c>
      <c r="F11578" s="16" cm="1">
        <f t="array" ref="F11578">SUM(F11576:F11577)</f>
        <v>0</v>
      </c>
      <c r="G11578" s="16" cm="1">
        <f t="array" ref="G11578">SUM(G11576:G11577)</f>
        <v>0</v>
      </c>
      <c r="H11578" s="16" cm="1">
        <f t="array" ref="H11578">SUM(H11576:H11577)</f>
        <v>0</v>
      </c>
      <c r="I11578" s="16" cm="1">
        <f t="array" ref="I11578">SUM(I11576:I11577)</f>
        <v>0</v>
      </c>
    </row>
    <row r="11579" ht="20.65" customHeight="1">
      <c r="A11579" s="10">
        <v>45922</v>
      </c>
      <c r="B11579" t="s" s="11">
        <v>107</v>
      </c>
      <c r="C11579" t="s" s="12">
        <v>820</v>
      </c>
      <c r="D11579" s="17">
        <v>1250</v>
      </c>
      <c r="E11579" s="17"/>
      <c r="F11579" s="18"/>
      <c r="G11579" s="18"/>
      <c r="H11579" s="18"/>
      <c r="I11579" s="18"/>
    </row>
    <row r="11580" ht="20.65" customHeight="1">
      <c r="A11580" s="10">
        <v>45922</v>
      </c>
      <c r="B11580" t="s" s="11">
        <v>10</v>
      </c>
      <c r="C11580" t="s" s="12">
        <v>820</v>
      </c>
      <c r="D11580" s="13"/>
      <c r="E11580" s="13">
        <v>1250</v>
      </c>
      <c r="F11580" s="14"/>
      <c r="G11580" s="14"/>
      <c r="H11580" s="14"/>
      <c r="I11580" s="14"/>
    </row>
    <row r="11581" ht="20.7" customHeight="1">
      <c r="A11581" s="10">
        <v>45922</v>
      </c>
      <c r="B11581" t="s" s="11">
        <v>8</v>
      </c>
      <c r="C11581" t="s" s="12">
        <v>8</v>
      </c>
      <c r="D11581" s="15" cm="1">
        <f t="array" ref="D11581">SUM(D11579:D11580)</f>
        <v>1250</v>
      </c>
      <c r="E11581" s="15" cm="1">
        <f t="array" ref="E11581">SUM(E11579:E11580)</f>
        <v>1250</v>
      </c>
      <c r="F11581" s="16" cm="1">
        <f t="array" ref="F11581">SUM(F11579:F11580)</f>
        <v>0</v>
      </c>
      <c r="G11581" s="16" cm="1">
        <f t="array" ref="G11581">SUM(G11579:G11580)</f>
        <v>0</v>
      </c>
      <c r="H11581" s="16" cm="1">
        <f t="array" ref="H11581">SUM(H11579:H11580)</f>
        <v>0</v>
      </c>
      <c r="I11581" s="16" cm="1">
        <f t="array" ref="I11581">SUM(I11579:I11580)</f>
        <v>0</v>
      </c>
    </row>
    <row r="11582" ht="20.35" customHeight="1">
      <c r="A11582" s="10">
        <v>45922</v>
      </c>
      <c r="B11582" t="s" s="11">
        <v>107</v>
      </c>
      <c r="C11582" t="s" s="12">
        <v>1312</v>
      </c>
      <c r="D11582" s="17"/>
      <c r="E11582" s="17">
        <v>31970</v>
      </c>
      <c r="F11582" s="18"/>
      <c r="G11582" s="18"/>
      <c r="H11582" s="18"/>
      <c r="I11582" s="18"/>
    </row>
    <row r="11583" ht="20.35" customHeight="1">
      <c r="A11583" s="10">
        <v>45922</v>
      </c>
      <c r="B11583" t="s" s="11">
        <v>10</v>
      </c>
      <c r="C11583" t="s" s="12">
        <v>1312</v>
      </c>
      <c r="D11583" s="13">
        <v>31970</v>
      </c>
      <c r="E11583" s="13"/>
      <c r="F11583" s="14"/>
      <c r="G11583" s="14"/>
      <c r="H11583" s="14"/>
      <c r="I11583" s="14"/>
    </row>
    <row r="11584" ht="20.7" customHeight="1">
      <c r="A11584" s="10">
        <v>45922</v>
      </c>
      <c r="B11584" t="s" s="11">
        <v>8</v>
      </c>
      <c r="C11584" t="s" s="12">
        <v>8</v>
      </c>
      <c r="D11584" s="15" cm="1">
        <f t="array" ref="D11584">SUM(D11582:D11583)</f>
        <v>31970</v>
      </c>
      <c r="E11584" s="15" cm="1">
        <f t="array" ref="E11584">SUM(E11582:E11583)</f>
        <v>31970</v>
      </c>
      <c r="F11584" s="16" cm="1">
        <f t="array" ref="F11584">SUM(F11582:F11583)</f>
        <v>0</v>
      </c>
      <c r="G11584" s="16" cm="1">
        <f t="array" ref="G11584">SUM(G11582:G11583)</f>
        <v>0</v>
      </c>
      <c r="H11584" s="16" cm="1">
        <f t="array" ref="H11584">SUM(H11582:H11583)</f>
        <v>0</v>
      </c>
      <c r="I11584" s="16" cm="1">
        <f t="array" ref="I11584">SUM(I11582:I11583)</f>
        <v>0</v>
      </c>
    </row>
    <row r="11585" ht="20.65" customHeight="1">
      <c r="A11585" s="10">
        <v>45923</v>
      </c>
      <c r="B11585" t="s" s="11">
        <v>814</v>
      </c>
      <c r="C11585" t="s" s="12">
        <v>820</v>
      </c>
      <c r="D11585" s="17">
        <v>50</v>
      </c>
      <c r="E11585" s="17"/>
      <c r="F11585" s="18"/>
      <c r="G11585" s="18"/>
      <c r="H11585" s="18"/>
      <c r="I11585" s="18"/>
    </row>
    <row r="11586" ht="20.65" customHeight="1">
      <c r="A11586" s="10">
        <v>45923</v>
      </c>
      <c r="B11586" t="s" s="11">
        <v>7</v>
      </c>
      <c r="C11586" t="s" s="12">
        <v>820</v>
      </c>
      <c r="D11586" s="13"/>
      <c r="E11586" s="13">
        <v>50</v>
      </c>
      <c r="F11586" s="14"/>
      <c r="G11586" s="14"/>
      <c r="H11586" s="14"/>
      <c r="I11586" s="14"/>
    </row>
    <row r="11587" ht="20.7" customHeight="1">
      <c r="A11587" s="10">
        <v>45923</v>
      </c>
      <c r="B11587" t="s" s="11">
        <v>8</v>
      </c>
      <c r="C11587" t="s" s="12">
        <v>8</v>
      </c>
      <c r="D11587" s="15" cm="1">
        <f t="array" ref="D11587">SUM(D11585:D11586)</f>
        <v>50</v>
      </c>
      <c r="E11587" s="15" cm="1">
        <f t="array" ref="E11587">SUM(E11585:E11586)</f>
        <v>50</v>
      </c>
      <c r="F11587" s="16" cm="1">
        <f t="array" ref="F11587">SUM(F11585:F11586)</f>
        <v>0</v>
      </c>
      <c r="G11587" s="16" cm="1">
        <f t="array" ref="G11587">SUM(G11585:G11586)</f>
        <v>0</v>
      </c>
      <c r="H11587" s="16" cm="1">
        <f t="array" ref="H11587">SUM(H11585:H11586)</f>
        <v>0</v>
      </c>
      <c r="I11587" s="16" cm="1">
        <f t="array" ref="I11587">SUM(I11585:I11586)</f>
        <v>0</v>
      </c>
    </row>
    <row r="11588" ht="21.25" customHeight="1">
      <c r="A11588" s="10">
        <v>45923</v>
      </c>
      <c r="B11588" t="s" s="11">
        <v>107</v>
      </c>
      <c r="C11588" t="s" s="12">
        <v>1472</v>
      </c>
      <c r="D11588" s="17"/>
      <c r="E11588" s="17">
        <v>2400</v>
      </c>
      <c r="F11588" s="18"/>
      <c r="G11588" s="18"/>
      <c r="H11588" s="18"/>
      <c r="I11588" s="18"/>
    </row>
    <row r="11589" ht="21.25" customHeight="1">
      <c r="A11589" s="10">
        <v>45923</v>
      </c>
      <c r="B11589" t="s" s="11">
        <v>12</v>
      </c>
      <c r="C11589" t="s" s="12">
        <v>1472</v>
      </c>
      <c r="D11589" s="13">
        <v>2400</v>
      </c>
      <c r="E11589" s="13"/>
      <c r="F11589" s="14"/>
      <c r="G11589" s="14"/>
      <c r="H11589" s="14"/>
      <c r="I11589" s="14"/>
    </row>
    <row r="11590" ht="20.7" customHeight="1">
      <c r="A11590" s="10">
        <v>45923</v>
      </c>
      <c r="B11590" t="s" s="11">
        <v>8</v>
      </c>
      <c r="C11590" t="s" s="12">
        <v>8</v>
      </c>
      <c r="D11590" s="15" cm="1">
        <f t="array" ref="D11590">SUM(D11588:D11589)</f>
        <v>2400</v>
      </c>
      <c r="E11590" s="15" cm="1">
        <f t="array" ref="E11590">SUM(E11588:E11589)</f>
        <v>2400</v>
      </c>
      <c r="F11590" s="16" cm="1">
        <f t="array" ref="F11590">SUM(F11588:F11589)</f>
        <v>0</v>
      </c>
      <c r="G11590" s="16" cm="1">
        <f t="array" ref="G11590">SUM(G11588:G11589)</f>
        <v>0</v>
      </c>
      <c r="H11590" s="16" cm="1">
        <f t="array" ref="H11590">SUM(H11588:H11589)</f>
        <v>0</v>
      </c>
      <c r="I11590" s="16" cm="1">
        <f t="array" ref="I11590">SUM(I11588:I11589)</f>
        <v>0</v>
      </c>
    </row>
    <row r="11591" ht="20.35" customHeight="1">
      <c r="A11591" s="10">
        <v>45923</v>
      </c>
      <c r="B11591" t="s" s="11">
        <v>99</v>
      </c>
      <c r="C11591" t="s" s="12">
        <v>1477</v>
      </c>
      <c r="D11591" s="17"/>
      <c r="E11591" s="17">
        <v>4800000</v>
      </c>
      <c r="F11591" s="18"/>
      <c r="G11591" s="18"/>
      <c r="H11591" s="18"/>
      <c r="I11591" s="18"/>
    </row>
    <row r="11592" ht="20.35" customHeight="1">
      <c r="A11592" s="10">
        <v>45923</v>
      </c>
      <c r="B11592" t="s" s="11">
        <v>107</v>
      </c>
      <c r="C11592" t="s" s="12">
        <v>1477</v>
      </c>
      <c r="D11592" s="13">
        <v>4800000</v>
      </c>
      <c r="E11592" s="13"/>
      <c r="F11592" s="14"/>
      <c r="G11592" s="14"/>
      <c r="H11592" s="14"/>
      <c r="I11592" s="14"/>
    </row>
    <row r="11593" ht="20.7" customHeight="1">
      <c r="A11593" s="10">
        <v>45923</v>
      </c>
      <c r="B11593" t="s" s="11">
        <v>8</v>
      </c>
      <c r="C11593" t="s" s="12">
        <v>8</v>
      </c>
      <c r="D11593" s="15" cm="1">
        <f t="array" ref="D11593">SUM(D11591:D11592)</f>
        <v>4800000</v>
      </c>
      <c r="E11593" s="15" cm="1">
        <f t="array" ref="E11593">SUM(E11591:E11592)</f>
        <v>4800000</v>
      </c>
      <c r="F11593" s="16" cm="1">
        <f t="array" ref="F11593">SUM(F11591:F11592)</f>
        <v>0</v>
      </c>
      <c r="G11593" s="16" cm="1">
        <f t="array" ref="G11593">SUM(G11591:G11592)</f>
        <v>0</v>
      </c>
      <c r="H11593" s="16" cm="1">
        <f t="array" ref="H11593">SUM(H11591:H11592)</f>
        <v>0</v>
      </c>
      <c r="I11593" s="16" cm="1">
        <f t="array" ref="I11593">SUM(I11591:I11592)</f>
        <v>0</v>
      </c>
    </row>
    <row r="11594" ht="20.35" customHeight="1">
      <c r="A11594" s="10">
        <v>45923</v>
      </c>
      <c r="B11594" t="s" s="11">
        <v>39</v>
      </c>
      <c r="C11594" t="s" s="12">
        <v>64</v>
      </c>
      <c r="D11594" s="17"/>
      <c r="E11594" s="17"/>
      <c r="F11594" s="18">
        <v>50</v>
      </c>
      <c r="G11594" s="18"/>
      <c r="H11594" s="18"/>
      <c r="I11594" s="18"/>
    </row>
    <row r="11595" ht="20.35" customHeight="1">
      <c r="A11595" s="10">
        <v>45923</v>
      </c>
      <c r="B11595" t="s" s="11">
        <v>41</v>
      </c>
      <c r="C11595" t="s" s="12">
        <v>64</v>
      </c>
      <c r="D11595" s="13"/>
      <c r="E11595" s="13"/>
      <c r="F11595" s="14"/>
      <c r="G11595" s="14">
        <v>50</v>
      </c>
      <c r="H11595" s="14"/>
      <c r="I11595" s="14"/>
    </row>
    <row r="11596" ht="20.7" customHeight="1">
      <c r="A11596" s="10">
        <v>45923</v>
      </c>
      <c r="B11596" t="s" s="11">
        <v>8</v>
      </c>
      <c r="C11596" t="s" s="12">
        <v>8</v>
      </c>
      <c r="D11596" s="15" cm="1">
        <f t="array" ref="D11596">SUM(D11594:D11595)</f>
        <v>0</v>
      </c>
      <c r="E11596" s="15" cm="1">
        <f t="array" ref="E11596">SUM(E11594:E11595)</f>
        <v>0</v>
      </c>
      <c r="F11596" s="16" cm="1">
        <f t="array" ref="F11596">SUM(F11594:F11595)</f>
        <v>50</v>
      </c>
      <c r="G11596" s="16" cm="1">
        <f t="array" ref="G11596">SUM(G11594:G11595)</f>
        <v>50</v>
      </c>
      <c r="H11596" s="16" cm="1">
        <f t="array" ref="H11596">SUM(H11594:H11595)</f>
        <v>0</v>
      </c>
      <c r="I11596" s="16" cm="1">
        <f t="array" ref="I11596">SUM(I11594:I11595)</f>
        <v>0</v>
      </c>
    </row>
    <row r="11597" ht="21.25" customHeight="1">
      <c r="A11597" s="10">
        <v>45923</v>
      </c>
      <c r="B11597" t="s" s="11">
        <v>107</v>
      </c>
      <c r="C11597" t="s" s="12">
        <v>1478</v>
      </c>
      <c r="D11597" s="17"/>
      <c r="E11597" s="17">
        <v>22000</v>
      </c>
      <c r="F11597" s="18"/>
      <c r="G11597" s="18"/>
      <c r="H11597" s="18"/>
      <c r="I11597" s="18"/>
    </row>
    <row r="11598" ht="20.9" customHeight="1">
      <c r="A11598" s="10">
        <v>45923</v>
      </c>
      <c r="B11598" t="s" s="11">
        <v>10</v>
      </c>
      <c r="C11598" t="s" s="12">
        <v>1478</v>
      </c>
      <c r="D11598" s="19">
        <v>12000</v>
      </c>
      <c r="E11598" s="19"/>
      <c r="F11598" s="20"/>
      <c r="G11598" s="20"/>
      <c r="H11598" s="20"/>
      <c r="I11598" s="20"/>
    </row>
    <row r="11599" ht="21.25" customHeight="1">
      <c r="A11599" s="10">
        <v>45923</v>
      </c>
      <c r="B11599" t="s" s="11">
        <v>12</v>
      </c>
      <c r="C11599" t="s" s="12">
        <v>1478</v>
      </c>
      <c r="D11599" s="13">
        <v>10000</v>
      </c>
      <c r="E11599" s="13"/>
      <c r="F11599" s="14"/>
      <c r="G11599" s="14"/>
      <c r="H11599" s="14"/>
      <c r="I11599" s="14"/>
    </row>
    <row r="11600" ht="20.7" customHeight="1">
      <c r="A11600" s="10">
        <v>45923</v>
      </c>
      <c r="B11600" t="s" s="11">
        <v>8</v>
      </c>
      <c r="C11600" t="s" s="12">
        <v>8</v>
      </c>
      <c r="D11600" s="15" cm="1">
        <f t="array" ref="D11600">SUM(D11597:D11599)</f>
        <v>22000</v>
      </c>
      <c r="E11600" s="15" cm="1">
        <f t="array" ref="E11600">SUM(E11597:E11599)</f>
        <v>22000</v>
      </c>
      <c r="F11600" s="16" cm="1">
        <f t="array" ref="F11600">SUM(F11597:F11599)</f>
        <v>0</v>
      </c>
      <c r="G11600" s="16" cm="1">
        <f t="array" ref="G11600">SUM(G11597:G11599)</f>
        <v>0</v>
      </c>
      <c r="H11600" s="16" cm="1">
        <f t="array" ref="H11600">SUM(H11597:H11599)</f>
        <v>0</v>
      </c>
      <c r="I11600" s="16" cm="1">
        <f t="array" ref="I11600">SUM(I11597:I11599)</f>
        <v>0</v>
      </c>
    </row>
    <row r="11601" ht="20.65" customHeight="1">
      <c r="A11601" s="10">
        <v>45924</v>
      </c>
      <c r="B11601" t="s" s="11">
        <v>814</v>
      </c>
      <c r="C11601" t="s" s="12">
        <v>820</v>
      </c>
      <c r="D11601" s="17">
        <v>50</v>
      </c>
      <c r="E11601" s="17"/>
      <c r="F11601" s="18"/>
      <c r="G11601" s="18"/>
      <c r="H11601" s="18"/>
      <c r="I11601" s="18"/>
    </row>
    <row r="11602" ht="20.65" customHeight="1">
      <c r="A11602" s="10">
        <v>45924</v>
      </c>
      <c r="B11602" t="s" s="11">
        <v>7</v>
      </c>
      <c r="C11602" t="s" s="12">
        <v>820</v>
      </c>
      <c r="D11602" s="13"/>
      <c r="E11602" s="13">
        <v>50</v>
      </c>
      <c r="F11602" s="14"/>
      <c r="G11602" s="14"/>
      <c r="H11602" s="14"/>
      <c r="I11602" s="14"/>
    </row>
    <row r="11603" ht="20.7" customHeight="1">
      <c r="A11603" s="10">
        <v>45924</v>
      </c>
      <c r="B11603" t="s" s="11">
        <v>8</v>
      </c>
      <c r="C11603" t="s" s="12">
        <v>8</v>
      </c>
      <c r="D11603" s="15" cm="1">
        <f t="array" ref="D11603">SUM(D11601:D11602)</f>
        <v>50</v>
      </c>
      <c r="E11603" s="15" cm="1">
        <f t="array" ref="E11603">SUM(E11601:E11602)</f>
        <v>50</v>
      </c>
      <c r="F11603" s="16" cm="1">
        <f t="array" ref="F11603">SUM(F11601:F11602)</f>
        <v>0</v>
      </c>
      <c r="G11603" s="16" cm="1">
        <f t="array" ref="G11603">SUM(G11601:G11602)</f>
        <v>0</v>
      </c>
      <c r="H11603" s="16" cm="1">
        <f t="array" ref="H11603">SUM(H11601:H11602)</f>
        <v>0</v>
      </c>
      <c r="I11603" s="16" cm="1">
        <f t="array" ref="I11603">SUM(I11601:I11602)</f>
        <v>0</v>
      </c>
    </row>
    <row r="11604" ht="20.65" customHeight="1">
      <c r="A11604" s="10">
        <v>45924</v>
      </c>
      <c r="B11604" t="s" s="11">
        <v>107</v>
      </c>
      <c r="C11604" t="s" s="12">
        <v>1479</v>
      </c>
      <c r="D11604" s="17"/>
      <c r="E11604" s="17">
        <v>12000</v>
      </c>
      <c r="F11604" s="18"/>
      <c r="G11604" s="18"/>
      <c r="H11604" s="18"/>
      <c r="I11604" s="18"/>
    </row>
    <row r="11605" ht="20.65" customHeight="1">
      <c r="A11605" s="10">
        <v>45924</v>
      </c>
      <c r="B11605" t="s" s="11">
        <v>12</v>
      </c>
      <c r="C11605" t="s" s="12">
        <v>1479</v>
      </c>
      <c r="D11605" s="13">
        <v>12000</v>
      </c>
      <c r="E11605" s="13"/>
      <c r="F11605" s="14"/>
      <c r="G11605" s="14"/>
      <c r="H11605" s="14"/>
      <c r="I11605" s="14"/>
    </row>
    <row r="11606" ht="20.7" customHeight="1">
      <c r="A11606" s="10">
        <v>45924</v>
      </c>
      <c r="B11606" t="s" s="11">
        <v>8</v>
      </c>
      <c r="C11606" t="s" s="12">
        <v>8</v>
      </c>
      <c r="D11606" s="15" cm="1">
        <f t="array" ref="D11606">SUM(D11604:D11605)</f>
        <v>12000</v>
      </c>
      <c r="E11606" s="15" cm="1">
        <f t="array" ref="E11606">SUM(E11604:E11605)</f>
        <v>12000</v>
      </c>
      <c r="F11606" s="16" cm="1">
        <f t="array" ref="F11606">SUM(F11604:F11605)</f>
        <v>0</v>
      </c>
      <c r="G11606" s="16" cm="1">
        <f t="array" ref="G11606">SUM(G11604:G11605)</f>
        <v>0</v>
      </c>
      <c r="H11606" s="16" cm="1">
        <f t="array" ref="H11606">SUM(H11604:H11605)</f>
        <v>0</v>
      </c>
      <c r="I11606" s="16" cm="1">
        <f t="array" ref="I11606">SUM(I11604:I11605)</f>
        <v>0</v>
      </c>
    </row>
    <row r="11607" ht="21.25" customHeight="1">
      <c r="A11607" s="10">
        <v>45924</v>
      </c>
      <c r="B11607" t="s" s="11">
        <v>121</v>
      </c>
      <c r="C11607" t="s" s="12">
        <v>433</v>
      </c>
      <c r="D11607" s="17"/>
      <c r="E11607" s="17">
        <v>3000</v>
      </c>
      <c r="F11607" s="18"/>
      <c r="G11607" s="18"/>
      <c r="H11607" s="18"/>
      <c r="I11607" s="18"/>
    </row>
    <row r="11608" ht="21.25" customHeight="1">
      <c r="A11608" s="10">
        <v>45924</v>
      </c>
      <c r="B11608" t="s" s="11">
        <v>16</v>
      </c>
      <c r="C11608" t="s" s="12">
        <v>433</v>
      </c>
      <c r="D11608" s="13">
        <v>3000</v>
      </c>
      <c r="E11608" s="13"/>
      <c r="F11608" s="14"/>
      <c r="G11608" s="14"/>
      <c r="H11608" s="14"/>
      <c r="I11608" s="14"/>
    </row>
    <row r="11609" ht="20.7" customHeight="1">
      <c r="A11609" s="10">
        <v>45924</v>
      </c>
      <c r="B11609" t="s" s="11">
        <v>8</v>
      </c>
      <c r="C11609" t="s" s="12">
        <v>8</v>
      </c>
      <c r="D11609" s="15" cm="1">
        <f t="array" ref="D11609">SUM(D11607:D11608)</f>
        <v>3000</v>
      </c>
      <c r="E11609" s="15" cm="1">
        <f t="array" ref="E11609">SUM(E11607:E11608)</f>
        <v>3000</v>
      </c>
      <c r="F11609" s="16" cm="1">
        <f t="array" ref="F11609">SUM(F11607:F11608)</f>
        <v>0</v>
      </c>
      <c r="G11609" s="16" cm="1">
        <f t="array" ref="G11609">SUM(G11607:G11608)</f>
        <v>0</v>
      </c>
      <c r="H11609" s="16" cm="1">
        <f t="array" ref="H11609">SUM(H11607:H11608)</f>
        <v>0</v>
      </c>
      <c r="I11609" s="16" cm="1">
        <f t="array" ref="I11609">SUM(I11607:I11608)</f>
        <v>0</v>
      </c>
    </row>
    <row r="11610" ht="20.65" customHeight="1">
      <c r="A11610" s="10">
        <v>45925</v>
      </c>
      <c r="B11610" t="s" s="11">
        <v>814</v>
      </c>
      <c r="C11610" t="s" s="12">
        <v>820</v>
      </c>
      <c r="D11610" s="17">
        <v>50</v>
      </c>
      <c r="E11610" s="17"/>
      <c r="F11610" s="18"/>
      <c r="G11610" s="18"/>
      <c r="H11610" s="18"/>
      <c r="I11610" s="18"/>
    </row>
    <row r="11611" ht="20.65" customHeight="1">
      <c r="A11611" s="10">
        <v>45925</v>
      </c>
      <c r="B11611" t="s" s="11">
        <v>7</v>
      </c>
      <c r="C11611" t="s" s="12">
        <v>820</v>
      </c>
      <c r="D11611" s="13"/>
      <c r="E11611" s="13">
        <v>50</v>
      </c>
      <c r="F11611" s="14"/>
      <c r="G11611" s="14"/>
      <c r="H11611" s="14"/>
      <c r="I11611" s="14"/>
    </row>
    <row r="11612" ht="20.7" customHeight="1">
      <c r="A11612" s="10">
        <v>45925</v>
      </c>
      <c r="B11612" t="s" s="11">
        <v>8</v>
      </c>
      <c r="C11612" t="s" s="12">
        <v>8</v>
      </c>
      <c r="D11612" s="15" cm="1">
        <f t="array" ref="D11612">SUM(D11610:D11611)</f>
        <v>50</v>
      </c>
      <c r="E11612" s="15" cm="1">
        <f t="array" ref="E11612">SUM(E11610:E11611)</f>
        <v>50</v>
      </c>
      <c r="F11612" s="16" cm="1">
        <f t="array" ref="F11612">SUM(F11610:F11611)</f>
        <v>0</v>
      </c>
      <c r="G11612" s="16" cm="1">
        <f t="array" ref="G11612">SUM(G11610:G11611)</f>
        <v>0</v>
      </c>
      <c r="H11612" s="16" cm="1">
        <f t="array" ref="H11612">SUM(H11610:H11611)</f>
        <v>0</v>
      </c>
      <c r="I11612" s="16" cm="1">
        <f t="array" ref="I11612">SUM(I11610:I11611)</f>
        <v>0</v>
      </c>
    </row>
    <row r="11613" ht="20.35" customHeight="1">
      <c r="A11613" s="10">
        <v>45925</v>
      </c>
      <c r="B11613" t="s" s="11">
        <v>107</v>
      </c>
      <c r="C11613" t="s" s="12">
        <v>1438</v>
      </c>
      <c r="D11613" s="17"/>
      <c r="E11613" s="17">
        <v>16500</v>
      </c>
      <c r="F11613" s="18"/>
      <c r="G11613" s="18"/>
      <c r="H11613" s="18"/>
      <c r="I11613" s="18"/>
    </row>
    <row r="11614" ht="20.35" customHeight="1">
      <c r="A11614" s="10">
        <v>45925</v>
      </c>
      <c r="B11614" t="s" s="11">
        <v>74</v>
      </c>
      <c r="C11614" t="s" s="12">
        <v>1438</v>
      </c>
      <c r="D11614" s="13">
        <v>16500</v>
      </c>
      <c r="E11614" s="13"/>
      <c r="F11614" s="14"/>
      <c r="G11614" s="14"/>
      <c r="H11614" s="14"/>
      <c r="I11614" s="14"/>
    </row>
    <row r="11615" ht="20.7" customHeight="1">
      <c r="A11615" s="10">
        <v>45925</v>
      </c>
      <c r="B11615" t="s" s="11">
        <v>8</v>
      </c>
      <c r="C11615" t="s" s="12">
        <v>8</v>
      </c>
      <c r="D11615" s="15" cm="1">
        <f t="array" ref="D11615">SUM(D11613:D11614)</f>
        <v>16500</v>
      </c>
      <c r="E11615" s="15" cm="1">
        <f t="array" ref="E11615">SUM(E11613:E11614)</f>
        <v>16500</v>
      </c>
      <c r="F11615" s="16" cm="1">
        <f t="array" ref="F11615">SUM(F11613:F11614)</f>
        <v>0</v>
      </c>
      <c r="G11615" s="16" cm="1">
        <f t="array" ref="G11615">SUM(G11613:G11614)</f>
        <v>0</v>
      </c>
      <c r="H11615" s="16" cm="1">
        <f t="array" ref="H11615">SUM(H11613:H11614)</f>
        <v>0</v>
      </c>
      <c r="I11615" s="16" cm="1">
        <f t="array" ref="I11615">SUM(I11613:I11614)</f>
        <v>0</v>
      </c>
    </row>
    <row r="11616" ht="21.25" customHeight="1">
      <c r="A11616" s="10">
        <v>45925</v>
      </c>
      <c r="B11616" t="s" s="11">
        <v>121</v>
      </c>
      <c r="C11616" t="s" s="12">
        <v>1439</v>
      </c>
      <c r="D11616" s="17"/>
      <c r="E11616" s="17">
        <v>10000</v>
      </c>
      <c r="F11616" s="18"/>
      <c r="G11616" s="18"/>
      <c r="H11616" s="18"/>
      <c r="I11616" s="18"/>
    </row>
    <row r="11617" ht="21.25" customHeight="1">
      <c r="A11617" s="10">
        <v>45925</v>
      </c>
      <c r="B11617" t="s" s="11">
        <v>786</v>
      </c>
      <c r="C11617" t="s" s="12">
        <v>1439</v>
      </c>
      <c r="D11617" s="13">
        <v>10000</v>
      </c>
      <c r="E11617" s="13"/>
      <c r="F11617" s="14"/>
      <c r="G11617" s="14"/>
      <c r="H11617" s="14"/>
      <c r="I11617" s="14"/>
    </row>
    <row r="11618" ht="20.7" customHeight="1">
      <c r="A11618" s="10">
        <v>45925</v>
      </c>
      <c r="B11618" t="s" s="11">
        <v>8</v>
      </c>
      <c r="C11618" t="s" s="12">
        <v>8</v>
      </c>
      <c r="D11618" s="15" cm="1">
        <f t="array" ref="D11618">SUM(D11616:D11617)</f>
        <v>10000</v>
      </c>
      <c r="E11618" s="15" cm="1">
        <f t="array" ref="E11618">SUM(E11616:E11617)</f>
        <v>10000</v>
      </c>
      <c r="F11618" s="16" cm="1">
        <f t="array" ref="F11618">SUM(F11616:F11617)</f>
        <v>0</v>
      </c>
      <c r="G11618" s="16" cm="1">
        <f t="array" ref="G11618">SUM(G11616:G11617)</f>
        <v>0</v>
      </c>
      <c r="H11618" s="16" cm="1">
        <f t="array" ref="H11618">SUM(H11616:H11617)</f>
        <v>0</v>
      </c>
      <c r="I11618" s="16" cm="1">
        <f t="array" ref="I11618">SUM(I11616:I11617)</f>
        <v>0</v>
      </c>
    </row>
    <row r="11619" ht="21.25" customHeight="1">
      <c r="A11619" s="10">
        <v>45925</v>
      </c>
      <c r="B11619" t="s" s="11">
        <v>121</v>
      </c>
      <c r="C11619" t="s" s="12">
        <v>1440</v>
      </c>
      <c r="D11619" s="17"/>
      <c r="E11619" s="17">
        <v>10000</v>
      </c>
      <c r="F11619" s="18"/>
      <c r="G11619" s="18"/>
      <c r="H11619" s="18"/>
      <c r="I11619" s="18"/>
    </row>
    <row r="11620" ht="21.25" customHeight="1">
      <c r="A11620" s="10">
        <v>45925</v>
      </c>
      <c r="B11620" t="s" s="11">
        <v>788</v>
      </c>
      <c r="C11620" t="s" s="12">
        <v>1440</v>
      </c>
      <c r="D11620" s="13">
        <v>10000</v>
      </c>
      <c r="E11620" s="13"/>
      <c r="F11620" s="14"/>
      <c r="G11620" s="14"/>
      <c r="H11620" s="14"/>
      <c r="I11620" s="14"/>
    </row>
    <row r="11621" ht="20.7" customHeight="1">
      <c r="A11621" s="10">
        <v>45925</v>
      </c>
      <c r="B11621" t="s" s="11">
        <v>8</v>
      </c>
      <c r="C11621" t="s" s="12">
        <v>8</v>
      </c>
      <c r="D11621" s="15" cm="1">
        <f t="array" ref="D11621">SUM(D11619:D11620)</f>
        <v>10000</v>
      </c>
      <c r="E11621" s="15" cm="1">
        <f t="array" ref="E11621">SUM(E11619:E11620)</f>
        <v>10000</v>
      </c>
      <c r="F11621" s="16" cm="1">
        <f t="array" ref="F11621">SUM(F11619:F11620)</f>
        <v>0</v>
      </c>
      <c r="G11621" s="16" cm="1">
        <f t="array" ref="G11621">SUM(G11619:G11620)</f>
        <v>0</v>
      </c>
      <c r="H11621" s="16" cm="1">
        <f t="array" ref="H11621">SUM(H11619:H11620)</f>
        <v>0</v>
      </c>
      <c r="I11621" s="16" cm="1">
        <f t="array" ref="I11621">SUM(I11619:I11620)</f>
        <v>0</v>
      </c>
    </row>
    <row r="11622" ht="21.25" customHeight="1">
      <c r="A11622" s="10">
        <v>45925</v>
      </c>
      <c r="B11622" t="s" s="11">
        <v>121</v>
      </c>
      <c r="C11622" t="s" s="12">
        <v>1441</v>
      </c>
      <c r="D11622" s="17"/>
      <c r="E11622" s="17">
        <v>10000</v>
      </c>
      <c r="F11622" s="18"/>
      <c r="G11622" s="18"/>
      <c r="H11622" s="18"/>
      <c r="I11622" s="18"/>
    </row>
    <row r="11623" ht="21.25" customHeight="1">
      <c r="A11623" s="10">
        <v>45925</v>
      </c>
      <c r="B11623" t="s" s="11">
        <v>1293</v>
      </c>
      <c r="C11623" t="s" s="12">
        <v>1441</v>
      </c>
      <c r="D11623" s="13">
        <v>10000</v>
      </c>
      <c r="E11623" s="13"/>
      <c r="F11623" s="14"/>
      <c r="G11623" s="14"/>
      <c r="H11623" s="14"/>
      <c r="I11623" s="14"/>
    </row>
    <row r="11624" ht="20.7" customHeight="1">
      <c r="A11624" s="10">
        <v>45925</v>
      </c>
      <c r="B11624" t="s" s="11">
        <v>8</v>
      </c>
      <c r="C11624" t="s" s="12">
        <v>8</v>
      </c>
      <c r="D11624" s="15" cm="1">
        <f t="array" ref="D11624">SUM(D11622:D11623)</f>
        <v>10000</v>
      </c>
      <c r="E11624" s="15" cm="1">
        <f t="array" ref="E11624">SUM(E11622:E11623)</f>
        <v>10000</v>
      </c>
      <c r="F11624" s="16" cm="1">
        <f t="array" ref="F11624">SUM(F11622:F11623)</f>
        <v>0</v>
      </c>
      <c r="G11624" s="16" cm="1">
        <f t="array" ref="G11624">SUM(G11622:G11623)</f>
        <v>0</v>
      </c>
      <c r="H11624" s="16" cm="1">
        <f t="array" ref="H11624">SUM(H11622:H11623)</f>
        <v>0</v>
      </c>
      <c r="I11624" s="16" cm="1">
        <f t="array" ref="I11624">SUM(I11622:I11623)</f>
        <v>0</v>
      </c>
    </row>
    <row r="11625" ht="21.25" customHeight="1">
      <c r="A11625" s="10">
        <v>45925</v>
      </c>
      <c r="B11625" t="s" s="11">
        <v>107</v>
      </c>
      <c r="C11625" t="s" s="12">
        <v>1480</v>
      </c>
      <c r="D11625" s="17"/>
      <c r="E11625" s="17">
        <v>10000</v>
      </c>
      <c r="F11625" s="18"/>
      <c r="G11625" s="18"/>
      <c r="H11625" s="18"/>
      <c r="I11625" s="18"/>
    </row>
    <row r="11626" ht="21.25" customHeight="1">
      <c r="A11626" s="10">
        <v>45925</v>
      </c>
      <c r="B11626" t="s" s="11">
        <v>1240</v>
      </c>
      <c r="C11626" t="s" s="12">
        <v>1480</v>
      </c>
      <c r="D11626" s="13">
        <v>10000</v>
      </c>
      <c r="E11626" s="13"/>
      <c r="F11626" s="14"/>
      <c r="G11626" s="14"/>
      <c r="H11626" s="14"/>
      <c r="I11626" s="14"/>
    </row>
    <row r="11627" ht="20.7" customHeight="1">
      <c r="A11627" s="10">
        <v>45925</v>
      </c>
      <c r="B11627" t="s" s="11">
        <v>8</v>
      </c>
      <c r="C11627" t="s" s="12">
        <v>8</v>
      </c>
      <c r="D11627" s="15" cm="1">
        <f t="array" ref="D11627">SUM(D11625:D11626)</f>
        <v>10000</v>
      </c>
      <c r="E11627" s="15" cm="1">
        <f t="array" ref="E11627">SUM(E11625:E11626)</f>
        <v>10000</v>
      </c>
      <c r="F11627" s="16" cm="1">
        <f t="array" ref="F11627">SUM(F11625:F11626)</f>
        <v>0</v>
      </c>
      <c r="G11627" s="16" cm="1">
        <f t="array" ref="G11627">SUM(G11625:G11626)</f>
        <v>0</v>
      </c>
      <c r="H11627" s="16" cm="1">
        <f t="array" ref="H11627">SUM(H11625:H11626)</f>
        <v>0</v>
      </c>
      <c r="I11627" s="16" cm="1">
        <f t="array" ref="I11627">SUM(I11625:I11626)</f>
        <v>0</v>
      </c>
    </row>
    <row r="11628" ht="20.35" customHeight="1">
      <c r="A11628" s="10">
        <v>45925</v>
      </c>
      <c r="B11628" t="s" s="11">
        <v>107</v>
      </c>
      <c r="C11628" t="s" s="12">
        <v>890</v>
      </c>
      <c r="D11628" s="17"/>
      <c r="E11628" s="17">
        <v>250</v>
      </c>
      <c r="F11628" s="18"/>
      <c r="G11628" s="18"/>
      <c r="H11628" s="18"/>
      <c r="I11628" s="18"/>
    </row>
    <row r="11629" ht="20.35" customHeight="1">
      <c r="A11629" s="10">
        <v>45925</v>
      </c>
      <c r="B11629" t="s" s="11">
        <v>10</v>
      </c>
      <c r="C11629" t="s" s="12">
        <v>890</v>
      </c>
      <c r="D11629" s="13">
        <v>250</v>
      </c>
      <c r="E11629" s="13"/>
      <c r="F11629" s="14"/>
      <c r="G11629" s="14"/>
      <c r="H11629" s="14"/>
      <c r="I11629" s="14"/>
    </row>
    <row r="11630" ht="20.7" customHeight="1">
      <c r="A11630" s="10">
        <v>45925</v>
      </c>
      <c r="B11630" t="s" s="11">
        <v>8</v>
      </c>
      <c r="C11630" t="s" s="12">
        <v>8</v>
      </c>
      <c r="D11630" s="15" cm="1">
        <f t="array" ref="D11630">SUM(D11628:D11629)</f>
        <v>250</v>
      </c>
      <c r="E11630" s="15" cm="1">
        <f t="array" ref="E11630">SUM(E11628:E11629)</f>
        <v>250</v>
      </c>
      <c r="F11630" s="16" cm="1">
        <f t="array" ref="F11630">SUM(F11628:F11629)</f>
        <v>0</v>
      </c>
      <c r="G11630" s="16" cm="1">
        <f t="array" ref="G11630">SUM(G11628:G11629)</f>
        <v>0</v>
      </c>
      <c r="H11630" s="16" cm="1">
        <f t="array" ref="H11630">SUM(H11628:H11629)</f>
        <v>0</v>
      </c>
      <c r="I11630" s="16" cm="1">
        <f t="array" ref="I11630">SUM(I11628:I11629)</f>
        <v>0</v>
      </c>
    </row>
    <row r="11631" ht="20.35" customHeight="1">
      <c r="A11631" s="10">
        <v>45925</v>
      </c>
      <c r="B11631" t="s" s="11">
        <v>107</v>
      </c>
      <c r="C11631" t="s" s="12">
        <v>890</v>
      </c>
      <c r="D11631" s="17"/>
      <c r="E11631" s="17">
        <v>250</v>
      </c>
      <c r="F11631" s="18"/>
      <c r="G11631" s="18"/>
      <c r="H11631" s="18"/>
      <c r="I11631" s="18"/>
    </row>
    <row r="11632" ht="20.35" customHeight="1">
      <c r="A11632" s="10">
        <v>45925</v>
      </c>
      <c r="B11632" t="s" s="11">
        <v>10</v>
      </c>
      <c r="C11632" t="s" s="12">
        <v>890</v>
      </c>
      <c r="D11632" s="13">
        <v>250</v>
      </c>
      <c r="E11632" s="13"/>
      <c r="F11632" s="14"/>
      <c r="G11632" s="14"/>
      <c r="H11632" s="14"/>
      <c r="I11632" s="14"/>
    </row>
    <row r="11633" ht="20.7" customHeight="1">
      <c r="A11633" s="10">
        <v>45925</v>
      </c>
      <c r="B11633" t="s" s="11">
        <v>8</v>
      </c>
      <c r="C11633" t="s" s="12">
        <v>8</v>
      </c>
      <c r="D11633" s="15" cm="1">
        <f t="array" ref="D11633">SUM(D11631:D11632)</f>
        <v>250</v>
      </c>
      <c r="E11633" s="15" cm="1">
        <f t="array" ref="E11633">SUM(E11631:E11632)</f>
        <v>250</v>
      </c>
      <c r="F11633" s="16" cm="1">
        <f t="array" ref="F11633">SUM(F11631:F11632)</f>
        <v>0</v>
      </c>
      <c r="G11633" s="16" cm="1">
        <f t="array" ref="G11633">SUM(G11631:G11632)</f>
        <v>0</v>
      </c>
      <c r="H11633" s="16" cm="1">
        <f t="array" ref="H11633">SUM(H11631:H11632)</f>
        <v>0</v>
      </c>
      <c r="I11633" s="16" cm="1">
        <f t="array" ref="I11633">SUM(I11631:I11632)</f>
        <v>0</v>
      </c>
    </row>
    <row r="11634" ht="20.35" customHeight="1">
      <c r="A11634" s="10">
        <v>45925</v>
      </c>
      <c r="B11634" t="s" s="11">
        <v>107</v>
      </c>
      <c r="C11634" t="s" s="12">
        <v>890</v>
      </c>
      <c r="D11634" s="17"/>
      <c r="E11634" s="17">
        <v>250</v>
      </c>
      <c r="F11634" s="18"/>
      <c r="G11634" s="18"/>
      <c r="H11634" s="18"/>
      <c r="I11634" s="18"/>
    </row>
    <row r="11635" ht="20.35" customHeight="1">
      <c r="A11635" s="10">
        <v>45925</v>
      </c>
      <c r="B11635" t="s" s="11">
        <v>10</v>
      </c>
      <c r="C11635" t="s" s="12">
        <v>890</v>
      </c>
      <c r="D11635" s="13">
        <v>250</v>
      </c>
      <c r="E11635" s="13"/>
      <c r="F11635" s="14"/>
      <c r="G11635" s="14"/>
      <c r="H11635" s="14"/>
      <c r="I11635" s="14"/>
    </row>
    <row r="11636" ht="20.7" customHeight="1">
      <c r="A11636" s="10">
        <v>45925</v>
      </c>
      <c r="B11636" t="s" s="11">
        <v>8</v>
      </c>
      <c r="C11636" t="s" s="12">
        <v>8</v>
      </c>
      <c r="D11636" s="15" cm="1">
        <f t="array" ref="D11636">SUM(D11634:D11635)</f>
        <v>250</v>
      </c>
      <c r="E11636" s="15" cm="1">
        <f t="array" ref="E11636">SUM(E11634:E11635)</f>
        <v>250</v>
      </c>
      <c r="F11636" s="16" cm="1">
        <f t="array" ref="F11636">SUM(F11634:F11635)</f>
        <v>0</v>
      </c>
      <c r="G11636" s="16" cm="1">
        <f t="array" ref="G11636">SUM(G11634:G11635)</f>
        <v>0</v>
      </c>
      <c r="H11636" s="16" cm="1">
        <f t="array" ref="H11636">SUM(H11634:H11635)</f>
        <v>0</v>
      </c>
      <c r="I11636" s="16" cm="1">
        <f t="array" ref="I11636">SUM(I11634:I11635)</f>
        <v>0</v>
      </c>
    </row>
    <row r="11637" ht="20.35" customHeight="1">
      <c r="A11637" s="10">
        <v>45925</v>
      </c>
      <c r="B11637" t="s" s="11">
        <v>107</v>
      </c>
      <c r="C11637" t="s" s="12">
        <v>890</v>
      </c>
      <c r="D11637" s="17"/>
      <c r="E11637" s="17">
        <v>250</v>
      </c>
      <c r="F11637" s="18"/>
      <c r="G11637" s="18"/>
      <c r="H11637" s="18"/>
      <c r="I11637" s="18"/>
    </row>
    <row r="11638" ht="20.35" customHeight="1">
      <c r="A11638" s="10">
        <v>45925</v>
      </c>
      <c r="B11638" t="s" s="11">
        <v>10</v>
      </c>
      <c r="C11638" t="s" s="12">
        <v>890</v>
      </c>
      <c r="D11638" s="13">
        <v>250</v>
      </c>
      <c r="E11638" s="13"/>
      <c r="F11638" s="14"/>
      <c r="G11638" s="14"/>
      <c r="H11638" s="14"/>
      <c r="I11638" s="14"/>
    </row>
    <row r="11639" ht="20.7" customHeight="1">
      <c r="A11639" s="10">
        <v>45925</v>
      </c>
      <c r="B11639" t="s" s="11">
        <v>8</v>
      </c>
      <c r="C11639" t="s" s="12">
        <v>8</v>
      </c>
      <c r="D11639" s="15" cm="1">
        <f t="array" ref="D11639">SUM(D11637:D11638)</f>
        <v>250</v>
      </c>
      <c r="E11639" s="15" cm="1">
        <f t="array" ref="E11639">SUM(E11637:E11638)</f>
        <v>250</v>
      </c>
      <c r="F11639" s="16" cm="1">
        <f t="array" ref="F11639">SUM(F11637:F11638)</f>
        <v>0</v>
      </c>
      <c r="G11639" s="16" cm="1">
        <f t="array" ref="G11639">SUM(G11637:G11638)</f>
        <v>0</v>
      </c>
      <c r="H11639" s="16" cm="1">
        <f t="array" ref="H11639">SUM(H11637:H11638)</f>
        <v>0</v>
      </c>
      <c r="I11639" s="16" cm="1">
        <f t="array" ref="I11639">SUM(I11637:I11638)</f>
        <v>0</v>
      </c>
    </row>
    <row r="11640" ht="20.35" customHeight="1">
      <c r="A11640" s="10">
        <v>45925</v>
      </c>
      <c r="B11640" t="s" s="11">
        <v>107</v>
      </c>
      <c r="C11640" t="s" s="12">
        <v>1481</v>
      </c>
      <c r="D11640" s="17"/>
      <c r="E11640" s="17">
        <v>3156398</v>
      </c>
      <c r="F11640" s="18"/>
      <c r="G11640" s="18"/>
      <c r="H11640" s="18"/>
      <c r="I11640" s="18"/>
    </row>
    <row r="11641" ht="20.05" customHeight="1">
      <c r="A11641" s="10">
        <v>45925</v>
      </c>
      <c r="B11641" t="s" s="11">
        <v>21</v>
      </c>
      <c r="C11641" t="s" s="12">
        <v>1482</v>
      </c>
      <c r="D11641" s="19">
        <v>2000000</v>
      </c>
      <c r="E11641" s="19"/>
      <c r="F11641" s="20"/>
      <c r="G11641" s="20"/>
      <c r="H11641" s="20"/>
      <c r="I11641" s="20"/>
    </row>
    <row r="11642" ht="20.05" customHeight="1">
      <c r="A11642" s="10">
        <v>45925</v>
      </c>
      <c r="B11642" t="s" s="11">
        <v>21</v>
      </c>
      <c r="C11642" t="s" s="12">
        <v>420</v>
      </c>
      <c r="D11642" s="19">
        <v>321198</v>
      </c>
      <c r="E11642" s="19"/>
      <c r="F11642" s="20"/>
      <c r="G11642" s="20"/>
      <c r="H11642" s="20"/>
      <c r="I11642" s="20"/>
    </row>
    <row r="11643" ht="20.05" customHeight="1">
      <c r="A11643" s="10">
        <v>45925</v>
      </c>
      <c r="B11643" t="s" s="11">
        <v>28</v>
      </c>
      <c r="C11643" t="s" s="12">
        <v>1483</v>
      </c>
      <c r="D11643" s="19">
        <v>100000</v>
      </c>
      <c r="E11643" s="19"/>
      <c r="F11643" s="20"/>
      <c r="G11643" s="20"/>
      <c r="H11643" s="20"/>
      <c r="I11643" s="20"/>
    </row>
    <row r="11644" ht="20.05" customHeight="1">
      <c r="A11644" s="10">
        <v>45925</v>
      </c>
      <c r="B11644" t="s" s="11">
        <v>89</v>
      </c>
      <c r="C11644" t="s" s="12">
        <v>1484</v>
      </c>
      <c r="D11644" s="19">
        <v>124949</v>
      </c>
      <c r="E11644" s="19"/>
      <c r="F11644" s="20"/>
      <c r="G11644" s="20"/>
      <c r="H11644" s="20"/>
      <c r="I11644" s="20"/>
    </row>
    <row r="11645" ht="20.05" customHeight="1">
      <c r="A11645" s="10">
        <v>45925</v>
      </c>
      <c r="B11645" t="s" s="11">
        <v>1485</v>
      </c>
      <c r="C11645" t="s" s="12">
        <v>1486</v>
      </c>
      <c r="D11645" s="19">
        <v>90333</v>
      </c>
      <c r="E11645" s="19"/>
      <c r="F11645" s="20"/>
      <c r="G11645" s="20"/>
      <c r="H11645" s="20"/>
      <c r="I11645" s="20"/>
    </row>
    <row r="11646" ht="20.05" customHeight="1">
      <c r="A11646" s="10">
        <v>45925</v>
      </c>
      <c r="B11646" t="s" s="11">
        <v>10</v>
      </c>
      <c r="C11646" t="s" s="12">
        <v>1481</v>
      </c>
      <c r="D11646" s="19">
        <v>463591</v>
      </c>
      <c r="E11646" s="19"/>
      <c r="F11646" s="20"/>
      <c r="G11646" s="20"/>
      <c r="H11646" s="20"/>
      <c r="I11646" s="20"/>
    </row>
    <row r="11647" ht="20.35" customHeight="1">
      <c r="A11647" s="10">
        <v>45925</v>
      </c>
      <c r="B11647" t="s" s="11">
        <v>84</v>
      </c>
      <c r="C11647" t="s" s="12">
        <v>595</v>
      </c>
      <c r="D11647" s="13">
        <v>56327</v>
      </c>
      <c r="E11647" s="13"/>
      <c r="F11647" s="14"/>
      <c r="G11647" s="14"/>
      <c r="H11647" s="14"/>
      <c r="I11647" s="14"/>
    </row>
    <row r="11648" ht="20.7" customHeight="1">
      <c r="A11648" s="10">
        <v>45925</v>
      </c>
      <c r="B11648" t="s" s="11">
        <v>8</v>
      </c>
      <c r="C11648" t="s" s="12">
        <v>8</v>
      </c>
      <c r="D11648" s="15" cm="1">
        <f t="array" ref="D11648">SUM(D11640:D11647)</f>
        <v>3156398</v>
      </c>
      <c r="E11648" s="15" cm="1">
        <f t="array" ref="E11648">SUM(E11640:E11647)</f>
        <v>3156398</v>
      </c>
      <c r="F11648" s="16" cm="1">
        <f t="array" ref="F11648">SUM(F11640:F11647)</f>
        <v>0</v>
      </c>
      <c r="G11648" s="16" cm="1">
        <f t="array" ref="G11648">SUM(G11640:G11647)</f>
        <v>0</v>
      </c>
      <c r="H11648" s="16" cm="1">
        <f t="array" ref="H11648">SUM(H11640:H11647)</f>
        <v>0</v>
      </c>
      <c r="I11648" s="16" cm="1">
        <f t="array" ref="I11648">SUM(I11640:I11647)</f>
        <v>0</v>
      </c>
    </row>
    <row r="11649" ht="20.35" customHeight="1">
      <c r="A11649" s="10">
        <v>45925</v>
      </c>
      <c r="B11649" t="s" s="11">
        <v>1357</v>
      </c>
      <c r="C11649" t="s" s="12">
        <v>1487</v>
      </c>
      <c r="D11649" s="17"/>
      <c r="E11649" s="17"/>
      <c r="F11649" s="18"/>
      <c r="G11649" s="18"/>
      <c r="H11649" s="18">
        <v>2307</v>
      </c>
      <c r="I11649" s="18"/>
    </row>
    <row r="11650" ht="20.35" customHeight="1">
      <c r="A11650" s="10">
        <v>45925</v>
      </c>
      <c r="B11650" t="s" s="11">
        <v>1156</v>
      </c>
      <c r="C11650" t="s" s="12">
        <v>1487</v>
      </c>
      <c r="D11650" s="13"/>
      <c r="E11650" s="13"/>
      <c r="F11650" s="14"/>
      <c r="G11650" s="14"/>
      <c r="H11650" s="14"/>
      <c r="I11650" s="14">
        <v>2307</v>
      </c>
    </row>
    <row r="11651" ht="20.7" customHeight="1">
      <c r="A11651" s="10">
        <v>45925</v>
      </c>
      <c r="B11651" t="s" s="11">
        <v>8</v>
      </c>
      <c r="C11651" t="s" s="12">
        <v>8</v>
      </c>
      <c r="D11651" s="15" cm="1">
        <f t="array" ref="D11651">SUM(D11649:D11650)</f>
        <v>0</v>
      </c>
      <c r="E11651" s="15" cm="1">
        <f t="array" ref="E11651">SUM(E11649:E11650)</f>
        <v>0</v>
      </c>
      <c r="F11651" s="16" cm="1">
        <f t="array" ref="F11651">SUM(F11649:F11650)</f>
        <v>0</v>
      </c>
      <c r="G11651" s="16" cm="1">
        <f t="array" ref="G11651">SUM(G11649:G11650)</f>
        <v>0</v>
      </c>
      <c r="H11651" s="16" cm="1">
        <f t="array" ref="H11651">SUM(H11649:H11650)</f>
        <v>2307</v>
      </c>
      <c r="I11651" s="16" cm="1">
        <f t="array" ref="I11651">SUM(I11649:I11650)</f>
        <v>2307</v>
      </c>
    </row>
    <row r="11652" ht="20.35" customHeight="1">
      <c r="A11652" s="10">
        <v>45925</v>
      </c>
      <c r="B11652" t="s" s="11">
        <v>28</v>
      </c>
      <c r="C11652" t="s" s="12">
        <v>1488</v>
      </c>
      <c r="D11652" s="17"/>
      <c r="E11652" s="17">
        <v>38000</v>
      </c>
      <c r="F11652" s="18"/>
      <c r="G11652" s="18"/>
      <c r="H11652" s="18"/>
      <c r="I11652" s="18"/>
    </row>
    <row r="11653" ht="20.35" customHeight="1">
      <c r="A11653" s="10">
        <v>45925</v>
      </c>
      <c r="B11653" t="s" s="11">
        <v>10</v>
      </c>
      <c r="C11653" t="s" s="12">
        <v>1488</v>
      </c>
      <c r="D11653" s="13">
        <v>38000</v>
      </c>
      <c r="E11653" s="13"/>
      <c r="F11653" s="14"/>
      <c r="G11653" s="14"/>
      <c r="H11653" s="14"/>
      <c r="I11653" s="14"/>
    </row>
    <row r="11654" ht="20.7" customHeight="1">
      <c r="A11654" s="10">
        <v>45925</v>
      </c>
      <c r="B11654" t="s" s="11">
        <v>8</v>
      </c>
      <c r="C11654" t="s" s="12">
        <v>8</v>
      </c>
      <c r="D11654" s="15" cm="1">
        <f t="array" ref="D11654">SUM(D11652:D11653)</f>
        <v>38000</v>
      </c>
      <c r="E11654" s="15" cm="1">
        <f t="array" ref="E11654">SUM(E11652:E11653)</f>
        <v>38000</v>
      </c>
      <c r="F11654" s="16" cm="1">
        <f t="array" ref="F11654">SUM(F11652:F11653)</f>
        <v>0</v>
      </c>
      <c r="G11654" s="16" cm="1">
        <f t="array" ref="G11654">SUM(G11652:G11653)</f>
        <v>0</v>
      </c>
      <c r="H11654" s="16" cm="1">
        <f t="array" ref="H11654">SUM(H11652:H11653)</f>
        <v>0</v>
      </c>
      <c r="I11654" s="16" cm="1">
        <f t="array" ref="I11654">SUM(I11652:I11653)</f>
        <v>0</v>
      </c>
    </row>
    <row r="11655" ht="20.35" customHeight="1">
      <c r="A11655" s="10">
        <v>45925</v>
      </c>
      <c r="B11655" t="s" s="11">
        <v>89</v>
      </c>
      <c r="C11655" t="s" s="12">
        <v>420</v>
      </c>
      <c r="D11655" s="17"/>
      <c r="E11655" s="17">
        <v>124949</v>
      </c>
      <c r="F11655" s="18"/>
      <c r="G11655" s="18"/>
      <c r="H11655" s="18"/>
      <c r="I11655" s="18"/>
    </row>
    <row r="11656" ht="20.35" customHeight="1">
      <c r="A11656" s="10">
        <v>45925</v>
      </c>
      <c r="B11656" t="s" s="11">
        <v>107</v>
      </c>
      <c r="C11656" t="s" s="12">
        <v>420</v>
      </c>
      <c r="D11656" s="13">
        <v>124949</v>
      </c>
      <c r="E11656" s="13"/>
      <c r="F11656" s="14"/>
      <c r="G11656" s="14"/>
      <c r="H11656" s="14"/>
      <c r="I11656" s="14"/>
    </row>
    <row r="11657" ht="20.7" customHeight="1">
      <c r="A11657" s="10">
        <v>45925</v>
      </c>
      <c r="B11657" t="s" s="11">
        <v>8</v>
      </c>
      <c r="C11657" t="s" s="12">
        <v>8</v>
      </c>
      <c r="D11657" s="15" cm="1">
        <f t="array" ref="D11657">SUM(D11655:D11656)</f>
        <v>124949</v>
      </c>
      <c r="E11657" s="15" cm="1">
        <f t="array" ref="E11657">SUM(E11655:E11656)</f>
        <v>124949</v>
      </c>
      <c r="F11657" s="16" cm="1">
        <f t="array" ref="F11657">SUM(F11655:F11656)</f>
        <v>0</v>
      </c>
      <c r="G11657" s="16" cm="1">
        <f t="array" ref="G11657">SUM(G11655:G11656)</f>
        <v>0</v>
      </c>
      <c r="H11657" s="16" cm="1">
        <f t="array" ref="H11657">SUM(H11655:H11656)</f>
        <v>0</v>
      </c>
      <c r="I11657" s="16" cm="1">
        <f t="array" ref="I11657">SUM(I11655:I11656)</f>
        <v>0</v>
      </c>
    </row>
    <row r="11658" ht="20.35" customHeight="1">
      <c r="A11658" s="10">
        <v>45925</v>
      </c>
      <c r="B11658" t="s" s="11">
        <v>39</v>
      </c>
      <c r="C11658" t="s" s="12">
        <v>64</v>
      </c>
      <c r="D11658" s="17"/>
      <c r="E11658" s="17"/>
      <c r="F11658" s="18">
        <v>1500</v>
      </c>
      <c r="G11658" s="18"/>
      <c r="H11658" s="18"/>
      <c r="I11658" s="18"/>
    </row>
    <row r="11659" ht="20.35" customHeight="1">
      <c r="A11659" s="10">
        <v>45925</v>
      </c>
      <c r="B11659" t="s" s="11">
        <v>41</v>
      </c>
      <c r="C11659" t="s" s="12">
        <v>64</v>
      </c>
      <c r="D11659" s="13"/>
      <c r="E11659" s="13"/>
      <c r="F11659" s="14"/>
      <c r="G11659" s="14">
        <v>1500</v>
      </c>
      <c r="H11659" s="14"/>
      <c r="I11659" s="14"/>
    </row>
    <row r="11660" ht="20.7" customHeight="1">
      <c r="A11660" s="10">
        <v>45925</v>
      </c>
      <c r="B11660" t="s" s="11">
        <v>8</v>
      </c>
      <c r="C11660" t="s" s="12">
        <v>8</v>
      </c>
      <c r="D11660" s="15" cm="1">
        <f t="array" ref="D11660">SUM(D11658:D11659)</f>
        <v>0</v>
      </c>
      <c r="E11660" s="15" cm="1">
        <f t="array" ref="E11660">SUM(E11658:E11659)</f>
        <v>0</v>
      </c>
      <c r="F11660" s="16" cm="1">
        <f t="array" ref="F11660">SUM(F11658:F11659)</f>
        <v>1500</v>
      </c>
      <c r="G11660" s="16" cm="1">
        <f t="array" ref="G11660">SUM(G11658:G11659)</f>
        <v>1500</v>
      </c>
      <c r="H11660" s="16" cm="1">
        <f t="array" ref="H11660">SUM(H11658:H11659)</f>
        <v>0</v>
      </c>
      <c r="I11660" s="16" cm="1">
        <f t="array" ref="I11660">SUM(I11658:I11659)</f>
        <v>0</v>
      </c>
    </row>
    <row r="11661" ht="20.35" customHeight="1">
      <c r="A11661" s="10">
        <v>45925</v>
      </c>
      <c r="B11661" t="s" s="11">
        <v>39</v>
      </c>
      <c r="C11661" t="s" s="12">
        <v>1489</v>
      </c>
      <c r="D11661" s="17"/>
      <c r="E11661" s="17"/>
      <c r="F11661" s="18"/>
      <c r="G11661" s="18">
        <v>1550</v>
      </c>
      <c r="H11661" s="18"/>
      <c r="I11661" s="18"/>
    </row>
    <row r="11662" ht="20.05" customHeight="1">
      <c r="A11662" s="10">
        <v>45925</v>
      </c>
      <c r="B11662" t="s" s="11">
        <v>898</v>
      </c>
      <c r="C11662" t="s" s="12">
        <v>1489</v>
      </c>
      <c r="D11662" s="19"/>
      <c r="E11662" s="19"/>
      <c r="F11662" s="20">
        <v>23.67</v>
      </c>
      <c r="G11662" s="20"/>
      <c r="H11662" s="20"/>
      <c r="I11662" s="20"/>
    </row>
    <row r="11663" ht="20.05" customHeight="1">
      <c r="A11663" s="10">
        <v>45925</v>
      </c>
      <c r="B11663" t="s" s="11">
        <v>44</v>
      </c>
      <c r="C11663" t="s" s="12">
        <v>1489</v>
      </c>
      <c r="D11663" s="19"/>
      <c r="E11663" s="19"/>
      <c r="F11663" s="20">
        <v>1526.33</v>
      </c>
      <c r="G11663" s="20"/>
      <c r="H11663" s="20"/>
      <c r="I11663" s="20"/>
    </row>
    <row r="11664" ht="20.05" customHeight="1">
      <c r="A11664" s="10">
        <v>45925</v>
      </c>
      <c r="B11664" t="s" s="11">
        <v>107</v>
      </c>
      <c r="C11664" t="s" s="12">
        <v>1489</v>
      </c>
      <c r="D11664" s="19">
        <v>510099</v>
      </c>
      <c r="E11664" s="19"/>
      <c r="F11664" s="20"/>
      <c r="G11664" s="20"/>
      <c r="H11664" s="20"/>
      <c r="I11664" s="20"/>
    </row>
    <row r="11665" ht="20.35" customHeight="1">
      <c r="A11665" s="10">
        <v>45925</v>
      </c>
      <c r="B11665" t="s" s="11">
        <v>46</v>
      </c>
      <c r="C11665" t="s" s="12">
        <v>1489</v>
      </c>
      <c r="D11665" s="13"/>
      <c r="E11665" s="13">
        <v>510099</v>
      </c>
      <c r="F11665" s="14"/>
      <c r="G11665" s="14"/>
      <c r="H11665" s="14"/>
      <c r="I11665" s="14"/>
    </row>
    <row r="11666" ht="20.7" customHeight="1">
      <c r="A11666" s="10">
        <v>45925</v>
      </c>
      <c r="B11666" t="s" s="11">
        <v>8</v>
      </c>
      <c r="C11666" t="s" s="12">
        <v>8</v>
      </c>
      <c r="D11666" s="15" cm="1">
        <f t="array" ref="D11666">SUM(D11661:D11665)</f>
        <v>510099</v>
      </c>
      <c r="E11666" s="15" cm="1">
        <f t="array" ref="E11666">SUM(E11661:E11665)</f>
        <v>510099</v>
      </c>
      <c r="F11666" s="16" cm="1">
        <f t="array" ref="F11666">SUM(F11661:F11665)</f>
        <v>1550</v>
      </c>
      <c r="G11666" s="16" cm="1">
        <f t="array" ref="G11666">SUM(G11661:G11665)</f>
        <v>1550</v>
      </c>
      <c r="H11666" s="16" cm="1">
        <f t="array" ref="H11666">SUM(H11661:H11665)</f>
        <v>0</v>
      </c>
      <c r="I11666" s="16" cm="1">
        <f t="array" ref="I11666">SUM(I11661:I11665)</f>
        <v>0</v>
      </c>
    </row>
    <row r="11667" ht="21.25" customHeight="1">
      <c r="A11667" s="10">
        <v>45926</v>
      </c>
      <c r="B11667" t="s" s="11">
        <v>107</v>
      </c>
      <c r="C11667" t="s" s="12">
        <v>1384</v>
      </c>
      <c r="D11667" s="17"/>
      <c r="E11667" s="17">
        <v>10000</v>
      </c>
      <c r="F11667" s="18"/>
      <c r="G11667" s="18"/>
      <c r="H11667" s="18"/>
      <c r="I11667" s="18"/>
    </row>
    <row r="11668" ht="21.25" customHeight="1">
      <c r="A11668" s="10">
        <v>45926</v>
      </c>
      <c r="B11668" t="s" s="11">
        <v>1240</v>
      </c>
      <c r="C11668" t="s" s="12">
        <v>1384</v>
      </c>
      <c r="D11668" s="13">
        <v>10000</v>
      </c>
      <c r="E11668" s="13"/>
      <c r="F11668" s="14"/>
      <c r="G11668" s="14"/>
      <c r="H11668" s="14"/>
      <c r="I11668" s="14"/>
    </row>
    <row r="11669" ht="20.7" customHeight="1">
      <c r="A11669" s="10">
        <v>45926</v>
      </c>
      <c r="B11669" t="s" s="11">
        <v>8</v>
      </c>
      <c r="C11669" t="s" s="12">
        <v>8</v>
      </c>
      <c r="D11669" s="15" cm="1">
        <f t="array" ref="D11669">SUM(D11667:D11668)</f>
        <v>10000</v>
      </c>
      <c r="E11669" s="15" cm="1">
        <f t="array" ref="E11669">SUM(E11667:E11668)</f>
        <v>10000</v>
      </c>
      <c r="F11669" s="16" cm="1">
        <f t="array" ref="F11669">SUM(F11667:F11668)</f>
        <v>0</v>
      </c>
      <c r="G11669" s="16" cm="1">
        <f t="array" ref="G11669">SUM(G11667:G11668)</f>
        <v>0</v>
      </c>
      <c r="H11669" s="16" cm="1">
        <f t="array" ref="H11669">SUM(H11667:H11668)</f>
        <v>0</v>
      </c>
      <c r="I11669" s="16" cm="1">
        <f t="array" ref="I11669">SUM(I11667:I11668)</f>
        <v>0</v>
      </c>
    </row>
    <row r="11670" ht="20.65" customHeight="1">
      <c r="A11670" s="10">
        <v>45926</v>
      </c>
      <c r="B11670" t="s" s="11">
        <v>814</v>
      </c>
      <c r="C11670" t="s" s="12">
        <v>820</v>
      </c>
      <c r="D11670" s="17">
        <v>50</v>
      </c>
      <c r="E11670" s="17"/>
      <c r="F11670" s="18"/>
      <c r="G11670" s="18"/>
      <c r="H11670" s="18"/>
      <c r="I11670" s="18"/>
    </row>
    <row r="11671" ht="20.65" customHeight="1">
      <c r="A11671" s="10">
        <v>45926</v>
      </c>
      <c r="B11671" t="s" s="11">
        <v>7</v>
      </c>
      <c r="C11671" t="s" s="12">
        <v>820</v>
      </c>
      <c r="D11671" s="13"/>
      <c r="E11671" s="13">
        <v>50</v>
      </c>
      <c r="F11671" s="14"/>
      <c r="G11671" s="14"/>
      <c r="H11671" s="14"/>
      <c r="I11671" s="14"/>
    </row>
    <row r="11672" ht="20.7" customHeight="1">
      <c r="A11672" s="10">
        <v>45926</v>
      </c>
      <c r="B11672" t="s" s="11">
        <v>8</v>
      </c>
      <c r="C11672" t="s" s="12">
        <v>8</v>
      </c>
      <c r="D11672" s="15" cm="1">
        <f t="array" ref="D11672">SUM(D11670:D11671)</f>
        <v>50</v>
      </c>
      <c r="E11672" s="15" cm="1">
        <f t="array" ref="E11672">SUM(E11670:E11671)</f>
        <v>50</v>
      </c>
      <c r="F11672" s="16" cm="1">
        <f t="array" ref="F11672">SUM(F11670:F11671)</f>
        <v>0</v>
      </c>
      <c r="G11672" s="16" cm="1">
        <f t="array" ref="G11672">SUM(G11670:G11671)</f>
        <v>0</v>
      </c>
      <c r="H11672" s="16" cm="1">
        <f t="array" ref="H11672">SUM(H11670:H11671)</f>
        <v>0</v>
      </c>
      <c r="I11672" s="16" cm="1">
        <f t="array" ref="I11672">SUM(I11670:I11671)</f>
        <v>0</v>
      </c>
    </row>
    <row r="11673" ht="20.35" customHeight="1">
      <c r="A11673" s="10">
        <v>45926</v>
      </c>
      <c r="B11673" t="s" s="11">
        <v>107</v>
      </c>
      <c r="C11673" t="s" s="12">
        <v>1490</v>
      </c>
      <c r="D11673" s="17"/>
      <c r="E11673" s="17">
        <v>1800</v>
      </c>
      <c r="F11673" s="18"/>
      <c r="G11673" s="18"/>
      <c r="H11673" s="18"/>
      <c r="I11673" s="18"/>
    </row>
    <row r="11674" ht="20.35" customHeight="1">
      <c r="A11674" s="10">
        <v>45926</v>
      </c>
      <c r="B11674" t="s" s="11">
        <v>12</v>
      </c>
      <c r="C11674" t="s" s="12">
        <v>1490</v>
      </c>
      <c r="D11674" s="13">
        <v>1800</v>
      </c>
      <c r="E11674" s="13"/>
      <c r="F11674" s="14"/>
      <c r="G11674" s="14"/>
      <c r="H11674" s="14"/>
      <c r="I11674" s="14"/>
    </row>
    <row r="11675" ht="20.7" customHeight="1">
      <c r="A11675" s="10">
        <v>45926</v>
      </c>
      <c r="B11675" t="s" s="11">
        <v>8</v>
      </c>
      <c r="C11675" t="s" s="12">
        <v>8</v>
      </c>
      <c r="D11675" s="15" cm="1">
        <f t="array" ref="D11675">SUM(D11673:D11674)</f>
        <v>1800</v>
      </c>
      <c r="E11675" s="15" cm="1">
        <f t="array" ref="E11675">SUM(E11673:E11674)</f>
        <v>1800</v>
      </c>
      <c r="F11675" s="16" cm="1">
        <f t="array" ref="F11675">SUM(F11673:F11674)</f>
        <v>0</v>
      </c>
      <c r="G11675" s="16" cm="1">
        <f t="array" ref="G11675">SUM(G11673:G11674)</f>
        <v>0</v>
      </c>
      <c r="H11675" s="16" cm="1">
        <f t="array" ref="H11675">SUM(H11673:H11674)</f>
        <v>0</v>
      </c>
      <c r="I11675" s="16" cm="1">
        <f t="array" ref="I11675">SUM(I11673:I11674)</f>
        <v>0</v>
      </c>
    </row>
    <row r="11676" ht="20.65" customHeight="1">
      <c r="A11676" s="10">
        <v>45926</v>
      </c>
      <c r="B11676" t="s" s="11">
        <v>107</v>
      </c>
      <c r="C11676" t="s" s="12">
        <v>1491</v>
      </c>
      <c r="D11676" s="17"/>
      <c r="E11676" s="17">
        <v>3500</v>
      </c>
      <c r="F11676" s="18"/>
      <c r="G11676" s="18"/>
      <c r="H11676" s="18"/>
      <c r="I11676" s="18"/>
    </row>
    <row r="11677" ht="20.65" customHeight="1">
      <c r="A11677" s="10">
        <v>45926</v>
      </c>
      <c r="B11677" t="s" s="11">
        <v>12</v>
      </c>
      <c r="C11677" t="s" s="12">
        <v>1491</v>
      </c>
      <c r="D11677" s="13">
        <v>3500</v>
      </c>
      <c r="E11677" s="13"/>
      <c r="F11677" s="14"/>
      <c r="G11677" s="14"/>
      <c r="H11677" s="14"/>
      <c r="I11677" s="14"/>
    </row>
    <row r="11678" ht="20.7" customHeight="1">
      <c r="A11678" s="10">
        <v>45926</v>
      </c>
      <c r="B11678" t="s" s="11">
        <v>8</v>
      </c>
      <c r="C11678" t="s" s="12">
        <v>8</v>
      </c>
      <c r="D11678" s="15" cm="1">
        <f t="array" ref="D11678">SUM(D11676:D11677)</f>
        <v>3500</v>
      </c>
      <c r="E11678" s="15" cm="1">
        <f t="array" ref="E11678">SUM(E11676:E11677)</f>
        <v>3500</v>
      </c>
      <c r="F11678" s="16" cm="1">
        <f t="array" ref="F11678">SUM(F11676:F11677)</f>
        <v>0</v>
      </c>
      <c r="G11678" s="16" cm="1">
        <f t="array" ref="G11678">SUM(G11676:G11677)</f>
        <v>0</v>
      </c>
      <c r="H11678" s="16" cm="1">
        <f t="array" ref="H11678">SUM(H11676:H11677)</f>
        <v>0</v>
      </c>
      <c r="I11678" s="16" cm="1">
        <f t="array" ref="I11678">SUM(I11676:I11677)</f>
        <v>0</v>
      </c>
    </row>
    <row r="11679" ht="20.35" customHeight="1">
      <c r="A11679" s="10">
        <v>45926</v>
      </c>
      <c r="B11679" t="s" s="11">
        <v>107</v>
      </c>
      <c r="C11679" t="s" s="12">
        <v>1490</v>
      </c>
      <c r="D11679" s="17"/>
      <c r="E11679" s="17">
        <v>900</v>
      </c>
      <c r="F11679" s="18"/>
      <c r="G11679" s="18"/>
      <c r="H11679" s="18"/>
      <c r="I11679" s="18"/>
    </row>
    <row r="11680" ht="20.35" customHeight="1">
      <c r="A11680" s="10">
        <v>45926</v>
      </c>
      <c r="B11680" t="s" s="11">
        <v>12</v>
      </c>
      <c r="C11680" t="s" s="12">
        <v>1490</v>
      </c>
      <c r="D11680" s="13">
        <v>900</v>
      </c>
      <c r="E11680" s="13"/>
      <c r="F11680" s="14"/>
      <c r="G11680" s="14"/>
      <c r="H11680" s="14"/>
      <c r="I11680" s="14"/>
    </row>
    <row r="11681" ht="20.7" customHeight="1">
      <c r="A11681" s="10">
        <v>45926</v>
      </c>
      <c r="B11681" t="s" s="11">
        <v>8</v>
      </c>
      <c r="C11681" t="s" s="12">
        <v>8</v>
      </c>
      <c r="D11681" s="15" cm="1">
        <f t="array" ref="D11681">SUM(D11679:D11680)</f>
        <v>900</v>
      </c>
      <c r="E11681" s="15" cm="1">
        <f t="array" ref="E11681">SUM(E11679:E11680)</f>
        <v>900</v>
      </c>
      <c r="F11681" s="16" cm="1">
        <f t="array" ref="F11681">SUM(F11679:F11680)</f>
        <v>0</v>
      </c>
      <c r="G11681" s="16" cm="1">
        <f t="array" ref="G11681">SUM(G11679:G11680)</f>
        <v>0</v>
      </c>
      <c r="H11681" s="16" cm="1">
        <f t="array" ref="H11681">SUM(H11679:H11680)</f>
        <v>0</v>
      </c>
      <c r="I11681" s="16" cm="1">
        <f t="array" ref="I11681">SUM(I11679:I11680)</f>
        <v>0</v>
      </c>
    </row>
    <row r="11682" ht="20.35" customHeight="1">
      <c r="A11682" s="10">
        <v>45926</v>
      </c>
      <c r="B11682" t="s" s="11">
        <v>107</v>
      </c>
      <c r="C11682" t="s" s="12">
        <v>1490</v>
      </c>
      <c r="D11682" s="17"/>
      <c r="E11682" s="17">
        <v>900</v>
      </c>
      <c r="F11682" s="18"/>
      <c r="G11682" s="18"/>
      <c r="H11682" s="18"/>
      <c r="I11682" s="18"/>
    </row>
    <row r="11683" ht="20.35" customHeight="1">
      <c r="A11683" s="10">
        <v>45926</v>
      </c>
      <c r="B11683" t="s" s="11">
        <v>12</v>
      </c>
      <c r="C11683" t="s" s="12">
        <v>1490</v>
      </c>
      <c r="D11683" s="13">
        <v>900</v>
      </c>
      <c r="E11683" s="13"/>
      <c r="F11683" s="14"/>
      <c r="G11683" s="14"/>
      <c r="H11683" s="14"/>
      <c r="I11683" s="14"/>
    </row>
    <row r="11684" ht="20.7" customHeight="1">
      <c r="A11684" s="10">
        <v>45926</v>
      </c>
      <c r="B11684" t="s" s="11">
        <v>8</v>
      </c>
      <c r="C11684" t="s" s="12">
        <v>8</v>
      </c>
      <c r="D11684" s="15" cm="1">
        <f t="array" ref="D11684">SUM(D11682:D11683)</f>
        <v>900</v>
      </c>
      <c r="E11684" s="15" cm="1">
        <f t="array" ref="E11684">SUM(E11682:E11683)</f>
        <v>900</v>
      </c>
      <c r="F11684" s="16" cm="1">
        <f t="array" ref="F11684">SUM(F11682:F11683)</f>
        <v>0</v>
      </c>
      <c r="G11684" s="16" cm="1">
        <f t="array" ref="G11684">SUM(G11682:G11683)</f>
        <v>0</v>
      </c>
      <c r="H11684" s="16" cm="1">
        <f t="array" ref="H11684">SUM(H11682:H11683)</f>
        <v>0</v>
      </c>
      <c r="I11684" s="16" cm="1">
        <f t="array" ref="I11684">SUM(I11682:I11683)</f>
        <v>0</v>
      </c>
    </row>
    <row r="11685" ht="20.35" customHeight="1">
      <c r="A11685" s="10">
        <v>45926</v>
      </c>
      <c r="B11685" t="s" s="11">
        <v>107</v>
      </c>
      <c r="C11685" t="s" s="12">
        <v>1490</v>
      </c>
      <c r="D11685" s="17"/>
      <c r="E11685" s="17">
        <v>900</v>
      </c>
      <c r="F11685" s="18"/>
      <c r="G11685" s="18"/>
      <c r="H11685" s="18"/>
      <c r="I11685" s="18"/>
    </row>
    <row r="11686" ht="20.35" customHeight="1">
      <c r="A11686" s="10">
        <v>45926</v>
      </c>
      <c r="B11686" t="s" s="11">
        <v>12</v>
      </c>
      <c r="C11686" t="s" s="12">
        <v>1490</v>
      </c>
      <c r="D11686" s="13">
        <v>900</v>
      </c>
      <c r="E11686" s="13"/>
      <c r="F11686" s="14"/>
      <c r="G11686" s="14"/>
      <c r="H11686" s="14"/>
      <c r="I11686" s="14"/>
    </row>
    <row r="11687" ht="20.7" customHeight="1">
      <c r="A11687" s="10">
        <v>45926</v>
      </c>
      <c r="B11687" t="s" s="11">
        <v>8</v>
      </c>
      <c r="C11687" t="s" s="12">
        <v>8</v>
      </c>
      <c r="D11687" s="15" cm="1">
        <f t="array" ref="D11687">SUM(D11685:D11686)</f>
        <v>900</v>
      </c>
      <c r="E11687" s="15" cm="1">
        <f t="array" ref="E11687">SUM(E11685:E11686)</f>
        <v>900</v>
      </c>
      <c r="F11687" s="16" cm="1">
        <f t="array" ref="F11687">SUM(F11685:F11686)</f>
        <v>0</v>
      </c>
      <c r="G11687" s="16" cm="1">
        <f t="array" ref="G11687">SUM(G11685:G11686)</f>
        <v>0</v>
      </c>
      <c r="H11687" s="16" cm="1">
        <f t="array" ref="H11687">SUM(H11685:H11686)</f>
        <v>0</v>
      </c>
      <c r="I11687" s="16" cm="1">
        <f t="array" ref="I11687">SUM(I11685:I11686)</f>
        <v>0</v>
      </c>
    </row>
    <row r="11688" ht="20.65" customHeight="1">
      <c r="A11688" s="10">
        <v>45927</v>
      </c>
      <c r="B11688" t="s" s="11">
        <v>814</v>
      </c>
      <c r="C11688" t="s" s="12">
        <v>820</v>
      </c>
      <c r="D11688" s="17">
        <v>50</v>
      </c>
      <c r="E11688" s="17"/>
      <c r="F11688" s="18"/>
      <c r="G11688" s="18"/>
      <c r="H11688" s="18"/>
      <c r="I11688" s="18"/>
    </row>
    <row r="11689" ht="20.65" customHeight="1">
      <c r="A11689" s="10">
        <v>45927</v>
      </c>
      <c r="B11689" t="s" s="11">
        <v>7</v>
      </c>
      <c r="C11689" t="s" s="12">
        <v>820</v>
      </c>
      <c r="D11689" s="13"/>
      <c r="E11689" s="13">
        <v>50</v>
      </c>
      <c r="F11689" s="14"/>
      <c r="G11689" s="14"/>
      <c r="H11689" s="14"/>
      <c r="I11689" s="14"/>
    </row>
    <row r="11690" ht="20.7" customHeight="1">
      <c r="A11690" s="10">
        <v>45927</v>
      </c>
      <c r="B11690" t="s" s="11">
        <v>8</v>
      </c>
      <c r="C11690" t="s" s="12">
        <v>8</v>
      </c>
      <c r="D11690" s="15" cm="1">
        <f t="array" ref="D11690">SUM(D11688:D11689)</f>
        <v>50</v>
      </c>
      <c r="E11690" s="15" cm="1">
        <f t="array" ref="E11690">SUM(E11688:E11689)</f>
        <v>50</v>
      </c>
      <c r="F11690" s="16" cm="1">
        <f t="array" ref="F11690">SUM(F11688:F11689)</f>
        <v>0</v>
      </c>
      <c r="G11690" s="16" cm="1">
        <f t="array" ref="G11690">SUM(G11688:G11689)</f>
        <v>0</v>
      </c>
      <c r="H11690" s="16" cm="1">
        <f t="array" ref="H11690">SUM(H11688:H11689)</f>
        <v>0</v>
      </c>
      <c r="I11690" s="16" cm="1">
        <f t="array" ref="I11690">SUM(I11688:I11689)</f>
        <v>0</v>
      </c>
    </row>
    <row r="11691" ht="20.65" customHeight="1">
      <c r="A11691" s="10">
        <v>45927</v>
      </c>
      <c r="B11691" t="s" s="11">
        <v>107</v>
      </c>
      <c r="C11691" t="s" s="12">
        <v>505</v>
      </c>
      <c r="D11691" s="17"/>
      <c r="E11691" s="17">
        <v>8600</v>
      </c>
      <c r="F11691" s="18"/>
      <c r="G11691" s="18"/>
      <c r="H11691" s="18"/>
      <c r="I11691" s="18"/>
    </row>
    <row r="11692" ht="20.65" customHeight="1">
      <c r="A11692" s="10">
        <v>45927</v>
      </c>
      <c r="B11692" t="s" s="11">
        <v>12</v>
      </c>
      <c r="C11692" t="s" s="12">
        <v>505</v>
      </c>
      <c r="D11692" s="13">
        <v>8600</v>
      </c>
      <c r="E11692" s="13"/>
      <c r="F11692" s="14"/>
      <c r="G11692" s="14"/>
      <c r="H11692" s="14"/>
      <c r="I11692" s="14"/>
    </row>
    <row r="11693" ht="20.7" customHeight="1">
      <c r="A11693" s="10">
        <v>45927</v>
      </c>
      <c r="B11693" t="s" s="11">
        <v>8</v>
      </c>
      <c r="C11693" t="s" s="12">
        <v>8</v>
      </c>
      <c r="D11693" s="15" cm="1">
        <f t="array" ref="D11693">SUM(D11691:D11692)</f>
        <v>8600</v>
      </c>
      <c r="E11693" s="15" cm="1">
        <f t="array" ref="E11693">SUM(E11691:E11692)</f>
        <v>8600</v>
      </c>
      <c r="F11693" s="16" cm="1">
        <f t="array" ref="F11693">SUM(F11691:F11692)</f>
        <v>0</v>
      </c>
      <c r="G11693" s="16" cm="1">
        <f t="array" ref="G11693">SUM(G11691:G11692)</f>
        <v>0</v>
      </c>
      <c r="H11693" s="16" cm="1">
        <f t="array" ref="H11693">SUM(H11691:H11692)</f>
        <v>0</v>
      </c>
      <c r="I11693" s="16" cm="1">
        <f t="array" ref="I11693">SUM(I11691:I11692)</f>
        <v>0</v>
      </c>
    </row>
    <row r="11694" ht="20.35" customHeight="1">
      <c r="A11694" s="10">
        <v>45928</v>
      </c>
      <c r="B11694" t="s" s="11">
        <v>107</v>
      </c>
      <c r="C11694" t="s" s="12">
        <v>695</v>
      </c>
      <c r="D11694" s="17"/>
      <c r="E11694" s="17">
        <v>5000</v>
      </c>
      <c r="F11694" s="18"/>
      <c r="G11694" s="18"/>
      <c r="H11694" s="18"/>
      <c r="I11694" s="18"/>
    </row>
    <row r="11695" ht="20.35" customHeight="1">
      <c r="A11695" s="10">
        <v>45928</v>
      </c>
      <c r="B11695" t="s" s="11">
        <v>16</v>
      </c>
      <c r="C11695" t="s" s="12">
        <v>695</v>
      </c>
      <c r="D11695" s="13">
        <v>5000</v>
      </c>
      <c r="E11695" s="13"/>
      <c r="F11695" s="14"/>
      <c r="G11695" s="14"/>
      <c r="H11695" s="14"/>
      <c r="I11695" s="14"/>
    </row>
    <row r="11696" ht="20.7" customHeight="1">
      <c r="A11696" s="10">
        <v>45928</v>
      </c>
      <c r="B11696" t="s" s="11">
        <v>8</v>
      </c>
      <c r="C11696" t="s" s="12">
        <v>8</v>
      </c>
      <c r="D11696" s="15" cm="1">
        <f t="array" ref="D11696">SUM(D11694:D11695)</f>
        <v>5000</v>
      </c>
      <c r="E11696" s="15" cm="1">
        <f t="array" ref="E11696">SUM(E11694:E11695)</f>
        <v>5000</v>
      </c>
      <c r="F11696" s="16" cm="1">
        <f t="array" ref="F11696">SUM(F11694:F11695)</f>
        <v>0</v>
      </c>
      <c r="G11696" s="16" cm="1">
        <f t="array" ref="G11696">SUM(G11694:G11695)</f>
        <v>0</v>
      </c>
      <c r="H11696" s="16" cm="1">
        <f t="array" ref="H11696">SUM(H11694:H11695)</f>
        <v>0</v>
      </c>
      <c r="I11696" s="16" cm="1">
        <f t="array" ref="I11696">SUM(I11694:I11695)</f>
        <v>0</v>
      </c>
    </row>
    <row r="11697" ht="20.35" customHeight="1">
      <c r="A11697" s="10">
        <v>45928</v>
      </c>
      <c r="B11697" t="s" s="11">
        <v>107</v>
      </c>
      <c r="C11697" t="s" s="12">
        <v>695</v>
      </c>
      <c r="D11697" s="17"/>
      <c r="E11697" s="17">
        <v>8200</v>
      </c>
      <c r="F11697" s="18"/>
      <c r="G11697" s="18"/>
      <c r="H11697" s="18"/>
      <c r="I11697" s="18"/>
    </row>
    <row r="11698" ht="20.35" customHeight="1">
      <c r="A11698" s="10">
        <v>45928</v>
      </c>
      <c r="B11698" t="s" s="11">
        <v>16</v>
      </c>
      <c r="C11698" t="s" s="12">
        <v>695</v>
      </c>
      <c r="D11698" s="13">
        <v>8200</v>
      </c>
      <c r="E11698" s="13"/>
      <c r="F11698" s="14"/>
      <c r="G11698" s="14"/>
      <c r="H11698" s="14"/>
      <c r="I11698" s="14"/>
    </row>
    <row r="11699" ht="20.7" customHeight="1">
      <c r="A11699" s="10">
        <v>45928</v>
      </c>
      <c r="B11699" t="s" s="11">
        <v>8</v>
      </c>
      <c r="C11699" t="s" s="12">
        <v>8</v>
      </c>
      <c r="D11699" s="15" cm="1">
        <f t="array" ref="D11699">SUM(D11697:D11698)</f>
        <v>8200</v>
      </c>
      <c r="E11699" s="15" cm="1">
        <f t="array" ref="E11699">SUM(E11697:E11698)</f>
        <v>8200</v>
      </c>
      <c r="F11699" s="16" cm="1">
        <f t="array" ref="F11699">SUM(F11697:F11698)</f>
        <v>0</v>
      </c>
      <c r="G11699" s="16" cm="1">
        <f t="array" ref="G11699">SUM(G11697:G11698)</f>
        <v>0</v>
      </c>
      <c r="H11699" s="16" cm="1">
        <f t="array" ref="H11699">SUM(H11697:H11698)</f>
        <v>0</v>
      </c>
      <c r="I11699" s="16" cm="1">
        <f t="array" ref="I11699">SUM(I11697:I11698)</f>
        <v>0</v>
      </c>
    </row>
    <row r="11700" ht="20.65" customHeight="1">
      <c r="A11700" s="10">
        <v>45928</v>
      </c>
      <c r="B11700" t="s" s="11">
        <v>814</v>
      </c>
      <c r="C11700" t="s" s="12">
        <v>820</v>
      </c>
      <c r="D11700" s="17">
        <v>50</v>
      </c>
      <c r="E11700" s="17"/>
      <c r="F11700" s="18"/>
      <c r="G11700" s="18"/>
      <c r="H11700" s="18"/>
      <c r="I11700" s="18"/>
    </row>
    <row r="11701" ht="20.65" customHeight="1">
      <c r="A11701" s="10">
        <v>45928</v>
      </c>
      <c r="B11701" t="s" s="11">
        <v>7</v>
      </c>
      <c r="C11701" t="s" s="12">
        <v>820</v>
      </c>
      <c r="D11701" s="13"/>
      <c r="E11701" s="13">
        <v>50</v>
      </c>
      <c r="F11701" s="14"/>
      <c r="G11701" s="14"/>
      <c r="H11701" s="14"/>
      <c r="I11701" s="14"/>
    </row>
    <row r="11702" ht="20.7" customHeight="1">
      <c r="A11702" s="10">
        <v>45928</v>
      </c>
      <c r="B11702" t="s" s="11">
        <v>8</v>
      </c>
      <c r="C11702" t="s" s="12">
        <v>8</v>
      </c>
      <c r="D11702" s="15" cm="1">
        <f t="array" ref="D11702">SUM(D11700:D11701)</f>
        <v>50</v>
      </c>
      <c r="E11702" s="15" cm="1">
        <f t="array" ref="E11702">SUM(E11700:E11701)</f>
        <v>50</v>
      </c>
      <c r="F11702" s="16" cm="1">
        <f t="array" ref="F11702">SUM(F11700:F11701)</f>
        <v>0</v>
      </c>
      <c r="G11702" s="16" cm="1">
        <f t="array" ref="G11702">SUM(G11700:G11701)</f>
        <v>0</v>
      </c>
      <c r="H11702" s="16" cm="1">
        <f t="array" ref="H11702">SUM(H11700:H11701)</f>
        <v>0</v>
      </c>
      <c r="I11702" s="16" cm="1">
        <f t="array" ref="I11702">SUM(I11700:I11701)</f>
        <v>0</v>
      </c>
    </row>
    <row r="11703" ht="20.35" customHeight="1">
      <c r="A11703" s="10">
        <v>45928</v>
      </c>
      <c r="B11703" t="s" s="11">
        <v>107</v>
      </c>
      <c r="C11703" t="s" s="12">
        <v>1492</v>
      </c>
      <c r="D11703" s="17"/>
      <c r="E11703" s="17">
        <v>5500</v>
      </c>
      <c r="F11703" s="18"/>
      <c r="G11703" s="18"/>
      <c r="H11703" s="18"/>
      <c r="I11703" s="18"/>
    </row>
    <row r="11704" ht="20.35" customHeight="1">
      <c r="A11704" s="10">
        <v>45928</v>
      </c>
      <c r="B11704" t="s" s="11">
        <v>12</v>
      </c>
      <c r="C11704" t="s" s="12">
        <v>1492</v>
      </c>
      <c r="D11704" s="13">
        <v>5500</v>
      </c>
      <c r="E11704" s="13"/>
      <c r="F11704" s="14"/>
      <c r="G11704" s="14"/>
      <c r="H11704" s="14"/>
      <c r="I11704" s="14"/>
    </row>
    <row r="11705" ht="20.7" customHeight="1">
      <c r="A11705" s="10">
        <v>45928</v>
      </c>
      <c r="B11705" t="s" s="11">
        <v>8</v>
      </c>
      <c r="C11705" t="s" s="12">
        <v>8</v>
      </c>
      <c r="D11705" s="15" cm="1">
        <f t="array" ref="D11705">SUM(D11703:D11704)</f>
        <v>5500</v>
      </c>
      <c r="E11705" s="15" cm="1">
        <f t="array" ref="E11705">SUM(E11703:E11704)</f>
        <v>5500</v>
      </c>
      <c r="F11705" s="16" cm="1">
        <f t="array" ref="F11705">SUM(F11703:F11704)</f>
        <v>0</v>
      </c>
      <c r="G11705" s="16" cm="1">
        <f t="array" ref="G11705">SUM(G11703:G11704)</f>
        <v>0</v>
      </c>
      <c r="H11705" s="16" cm="1">
        <f t="array" ref="H11705">SUM(H11703:H11704)</f>
        <v>0</v>
      </c>
      <c r="I11705" s="16" cm="1">
        <f t="array" ref="I11705">SUM(I11703:I11704)</f>
        <v>0</v>
      </c>
    </row>
    <row r="11706" ht="20.65" customHeight="1">
      <c r="A11706" s="10">
        <v>45929</v>
      </c>
      <c r="B11706" t="s" s="11">
        <v>814</v>
      </c>
      <c r="C11706" t="s" s="12">
        <v>820</v>
      </c>
      <c r="D11706" s="17">
        <v>50</v>
      </c>
      <c r="E11706" s="17"/>
      <c r="F11706" s="18"/>
      <c r="G11706" s="18"/>
      <c r="H11706" s="18"/>
      <c r="I11706" s="18"/>
    </row>
    <row r="11707" ht="20.65" customHeight="1">
      <c r="A11707" s="10">
        <v>45929</v>
      </c>
      <c r="B11707" t="s" s="11">
        <v>7</v>
      </c>
      <c r="C11707" t="s" s="12">
        <v>820</v>
      </c>
      <c r="D11707" s="13"/>
      <c r="E11707" s="13">
        <v>50</v>
      </c>
      <c r="F11707" s="14"/>
      <c r="G11707" s="14"/>
      <c r="H11707" s="14"/>
      <c r="I11707" s="14"/>
    </row>
    <row r="11708" ht="20.7" customHeight="1">
      <c r="A11708" s="10">
        <v>45929</v>
      </c>
      <c r="B11708" t="s" s="11">
        <v>8</v>
      </c>
      <c r="C11708" t="s" s="12">
        <v>8</v>
      </c>
      <c r="D11708" s="15" cm="1">
        <f t="array" ref="D11708">SUM(D11706:D11707)</f>
        <v>50</v>
      </c>
      <c r="E11708" s="15" cm="1">
        <f t="array" ref="E11708">SUM(E11706:E11707)</f>
        <v>50</v>
      </c>
      <c r="F11708" s="16" cm="1">
        <f t="array" ref="F11708">SUM(F11706:F11707)</f>
        <v>0</v>
      </c>
      <c r="G11708" s="16" cm="1">
        <f t="array" ref="G11708">SUM(G11706:G11707)</f>
        <v>0</v>
      </c>
      <c r="H11708" s="16" cm="1">
        <f t="array" ref="H11708">SUM(H11706:H11707)</f>
        <v>0</v>
      </c>
      <c r="I11708" s="16" cm="1">
        <f t="array" ref="I11708">SUM(I11706:I11707)</f>
        <v>0</v>
      </c>
    </row>
    <row r="11709" ht="20.65" customHeight="1">
      <c r="A11709" s="10">
        <v>45929</v>
      </c>
      <c r="B11709" t="s" s="11">
        <v>107</v>
      </c>
      <c r="C11709" t="s" s="12">
        <v>1443</v>
      </c>
      <c r="D11709" s="17"/>
      <c r="E11709" s="17">
        <v>1500</v>
      </c>
      <c r="F11709" s="18"/>
      <c r="G11709" s="18"/>
      <c r="H11709" s="18"/>
      <c r="I11709" s="18"/>
    </row>
    <row r="11710" ht="20.65" customHeight="1">
      <c r="A11710" s="10">
        <v>45929</v>
      </c>
      <c r="B11710" t="s" s="11">
        <v>12</v>
      </c>
      <c r="C11710" t="s" s="12">
        <v>1443</v>
      </c>
      <c r="D11710" s="13">
        <v>1500</v>
      </c>
      <c r="E11710" s="13"/>
      <c r="F11710" s="14"/>
      <c r="G11710" s="14"/>
      <c r="H11710" s="14"/>
      <c r="I11710" s="14"/>
    </row>
    <row r="11711" ht="20.7" customHeight="1">
      <c r="A11711" s="10">
        <v>45929</v>
      </c>
      <c r="B11711" t="s" s="11">
        <v>8</v>
      </c>
      <c r="C11711" t="s" s="12">
        <v>8</v>
      </c>
      <c r="D11711" s="15" cm="1">
        <f t="array" ref="D11711">SUM(D11709:D11710)</f>
        <v>1500</v>
      </c>
      <c r="E11711" s="15" cm="1">
        <f t="array" ref="E11711">SUM(E11709:E11710)</f>
        <v>1500</v>
      </c>
      <c r="F11711" s="16" cm="1">
        <f t="array" ref="F11711">SUM(F11709:F11710)</f>
        <v>0</v>
      </c>
      <c r="G11711" s="16" cm="1">
        <f t="array" ref="G11711">SUM(G11709:G11710)</f>
        <v>0</v>
      </c>
      <c r="H11711" s="16" cm="1">
        <f t="array" ref="H11711">SUM(H11709:H11710)</f>
        <v>0</v>
      </c>
      <c r="I11711" s="16" cm="1">
        <f t="array" ref="I11711">SUM(I11709:I11710)</f>
        <v>0</v>
      </c>
    </row>
    <row r="11712" ht="20.35" customHeight="1">
      <c r="A11712" s="10">
        <v>45929</v>
      </c>
      <c r="B11712" t="s" s="11">
        <v>107</v>
      </c>
      <c r="C11712" t="s" s="12">
        <v>1492</v>
      </c>
      <c r="D11712" s="17"/>
      <c r="E11712" s="17">
        <v>5500</v>
      </c>
      <c r="F11712" s="18"/>
      <c r="G11712" s="18"/>
      <c r="H11712" s="18"/>
      <c r="I11712" s="18"/>
    </row>
    <row r="11713" ht="20.35" customHeight="1">
      <c r="A11713" s="10">
        <v>45929</v>
      </c>
      <c r="B11713" t="s" s="11">
        <v>12</v>
      </c>
      <c r="C11713" t="s" s="12">
        <v>1492</v>
      </c>
      <c r="D11713" s="13">
        <v>5500</v>
      </c>
      <c r="E11713" s="13"/>
      <c r="F11713" s="14"/>
      <c r="G11713" s="14"/>
      <c r="H11713" s="14"/>
      <c r="I11713" s="14"/>
    </row>
    <row r="11714" ht="20.7" customHeight="1">
      <c r="A11714" s="10">
        <v>45929</v>
      </c>
      <c r="B11714" t="s" s="11">
        <v>8</v>
      </c>
      <c r="C11714" t="s" s="12">
        <v>8</v>
      </c>
      <c r="D11714" s="15" cm="1">
        <f t="array" ref="D11714">SUM(D11712:D11713)</f>
        <v>5500</v>
      </c>
      <c r="E11714" s="15" cm="1">
        <f t="array" ref="E11714">SUM(E11712:E11713)</f>
        <v>5500</v>
      </c>
      <c r="F11714" s="16" cm="1">
        <f t="array" ref="F11714">SUM(F11712:F11713)</f>
        <v>0</v>
      </c>
      <c r="G11714" s="16" cm="1">
        <f t="array" ref="G11714">SUM(G11712:G11713)</f>
        <v>0</v>
      </c>
      <c r="H11714" s="16" cm="1">
        <f t="array" ref="H11714">SUM(H11712:H11713)</f>
        <v>0</v>
      </c>
      <c r="I11714" s="16" cm="1">
        <f t="array" ref="I11714">SUM(I11712:I11713)</f>
        <v>0</v>
      </c>
    </row>
    <row r="11715" ht="20.65" customHeight="1">
      <c r="A11715" s="10">
        <v>45930</v>
      </c>
      <c r="B11715" t="s" s="11">
        <v>814</v>
      </c>
      <c r="C11715" t="s" s="12">
        <v>820</v>
      </c>
      <c r="D11715" s="17">
        <v>50</v>
      </c>
      <c r="E11715" s="17"/>
      <c r="F11715" s="18"/>
      <c r="G11715" s="18"/>
      <c r="H11715" s="18"/>
      <c r="I11715" s="18"/>
    </row>
    <row r="11716" ht="20.65" customHeight="1">
      <c r="A11716" s="10">
        <v>45930</v>
      </c>
      <c r="B11716" t="s" s="11">
        <v>7</v>
      </c>
      <c r="C11716" t="s" s="12">
        <v>820</v>
      </c>
      <c r="D11716" s="13"/>
      <c r="E11716" s="13">
        <v>50</v>
      </c>
      <c r="F11716" s="14"/>
      <c r="G11716" s="14"/>
      <c r="H11716" s="14"/>
      <c r="I11716" s="14"/>
    </row>
    <row r="11717" ht="20.7" customHeight="1">
      <c r="A11717" s="10">
        <v>45930</v>
      </c>
      <c r="B11717" t="s" s="11">
        <v>8</v>
      </c>
      <c r="C11717" t="s" s="12">
        <v>8</v>
      </c>
      <c r="D11717" s="15" cm="1">
        <f t="array" ref="D11717">SUM(D11715:D11716)</f>
        <v>50</v>
      </c>
      <c r="E11717" s="15" cm="1">
        <f t="array" ref="E11717">SUM(E11715:E11716)</f>
        <v>50</v>
      </c>
      <c r="F11717" s="16" cm="1">
        <f t="array" ref="F11717">SUM(F11715:F11716)</f>
        <v>0</v>
      </c>
      <c r="G11717" s="16" cm="1">
        <f t="array" ref="G11717">SUM(G11715:G11716)</f>
        <v>0</v>
      </c>
      <c r="H11717" s="16" cm="1">
        <f t="array" ref="H11717">SUM(H11715:H11716)</f>
        <v>0</v>
      </c>
      <c r="I11717" s="16" cm="1">
        <f t="array" ref="I11717">SUM(I11715:I11716)</f>
        <v>0</v>
      </c>
    </row>
    <row r="11718" ht="20.35" customHeight="1">
      <c r="A11718" s="10">
        <v>45930</v>
      </c>
      <c r="B11718" t="s" s="11">
        <v>107</v>
      </c>
      <c r="C11718" t="s" s="12">
        <v>890</v>
      </c>
      <c r="D11718" s="17"/>
      <c r="E11718" s="17">
        <v>300</v>
      </c>
      <c r="F11718" s="18"/>
      <c r="G11718" s="18"/>
      <c r="H11718" s="18"/>
      <c r="I11718" s="18"/>
    </row>
    <row r="11719" ht="20.35" customHeight="1">
      <c r="A11719" s="10">
        <v>45930</v>
      </c>
      <c r="B11719" t="s" s="11">
        <v>10</v>
      </c>
      <c r="C11719" t="s" s="12">
        <v>890</v>
      </c>
      <c r="D11719" s="13">
        <v>300</v>
      </c>
      <c r="E11719" s="13"/>
      <c r="F11719" s="14"/>
      <c r="G11719" s="14"/>
      <c r="H11719" s="14"/>
      <c r="I11719" s="14"/>
    </row>
    <row r="11720" ht="20.7" customHeight="1">
      <c r="A11720" s="10">
        <v>45930</v>
      </c>
      <c r="B11720" t="s" s="11">
        <v>8</v>
      </c>
      <c r="C11720" t="s" s="12">
        <v>8</v>
      </c>
      <c r="D11720" s="15" cm="1">
        <f t="array" ref="D11720">SUM(D11718:D11719)</f>
        <v>300</v>
      </c>
      <c r="E11720" s="15" cm="1">
        <f t="array" ref="E11720">SUM(E11718:E11719)</f>
        <v>300</v>
      </c>
      <c r="F11720" s="16" cm="1">
        <f t="array" ref="F11720">SUM(F11718:F11719)</f>
        <v>0</v>
      </c>
      <c r="G11720" s="16" cm="1">
        <f t="array" ref="G11720">SUM(G11718:G11719)</f>
        <v>0</v>
      </c>
      <c r="H11720" s="16" cm="1">
        <f t="array" ref="H11720">SUM(H11718:H11719)</f>
        <v>0</v>
      </c>
      <c r="I11720" s="16" cm="1">
        <f t="array" ref="I11720">SUM(I11718:I11719)</f>
        <v>0</v>
      </c>
    </row>
    <row r="11721" ht="20.65" customHeight="1">
      <c r="A11721" s="10">
        <v>45930</v>
      </c>
      <c r="B11721" t="s" s="11">
        <v>107</v>
      </c>
      <c r="C11721" t="s" s="12">
        <v>1493</v>
      </c>
      <c r="D11721" s="17"/>
      <c r="E11721" s="17">
        <v>8000</v>
      </c>
      <c r="F11721" s="18"/>
      <c r="G11721" s="18"/>
      <c r="H11721" s="18"/>
      <c r="I11721" s="18"/>
    </row>
    <row r="11722" ht="20.65" customHeight="1">
      <c r="A11722" s="10">
        <v>45930</v>
      </c>
      <c r="B11722" t="s" s="11">
        <v>10</v>
      </c>
      <c r="C11722" t="s" s="12">
        <v>1493</v>
      </c>
      <c r="D11722" s="13">
        <v>8000</v>
      </c>
      <c r="E11722" s="13"/>
      <c r="F11722" s="14"/>
      <c r="G11722" s="14"/>
      <c r="H11722" s="14"/>
      <c r="I11722" s="14"/>
    </row>
    <row r="11723" ht="20.7" customHeight="1">
      <c r="A11723" s="10">
        <v>45930</v>
      </c>
      <c r="B11723" t="s" s="11">
        <v>8</v>
      </c>
      <c r="C11723" t="s" s="12">
        <v>8</v>
      </c>
      <c r="D11723" s="15" cm="1">
        <f t="array" ref="D11723">SUM(D11721:D11722)</f>
        <v>8000</v>
      </c>
      <c r="E11723" s="15" cm="1">
        <f t="array" ref="E11723">SUM(E11721:E11722)</f>
        <v>8000</v>
      </c>
      <c r="F11723" s="16" cm="1">
        <f t="array" ref="F11723">SUM(F11721:F11722)</f>
        <v>0</v>
      </c>
      <c r="G11723" s="16" cm="1">
        <f t="array" ref="G11723">SUM(G11721:G11722)</f>
        <v>0</v>
      </c>
      <c r="H11723" s="16" cm="1">
        <f t="array" ref="H11723">SUM(H11721:H11722)</f>
        <v>0</v>
      </c>
      <c r="I11723" s="16" cm="1">
        <f t="array" ref="I11723">SUM(I11721:I11722)</f>
        <v>0</v>
      </c>
    </row>
    <row r="11724" ht="20.65" customHeight="1">
      <c r="A11724" s="10">
        <v>45930</v>
      </c>
      <c r="B11724" t="s" s="11">
        <v>107</v>
      </c>
      <c r="C11724" t="s" s="12">
        <v>1296</v>
      </c>
      <c r="D11724" s="17"/>
      <c r="E11724" s="17">
        <v>4000</v>
      </c>
      <c r="F11724" s="18"/>
      <c r="G11724" s="18"/>
      <c r="H11724" s="18"/>
      <c r="I11724" s="18"/>
    </row>
    <row r="11725" ht="20.65" customHeight="1">
      <c r="A11725" s="10">
        <v>45930</v>
      </c>
      <c r="B11725" t="s" s="11">
        <v>12</v>
      </c>
      <c r="C11725" t="s" s="12">
        <v>1296</v>
      </c>
      <c r="D11725" s="13">
        <v>4000</v>
      </c>
      <c r="E11725" s="13"/>
      <c r="F11725" s="14"/>
      <c r="G11725" s="14"/>
      <c r="H11725" s="14"/>
      <c r="I11725" s="14"/>
    </row>
    <row r="11726" ht="20.7" customHeight="1">
      <c r="A11726" s="10">
        <v>45930</v>
      </c>
      <c r="B11726" t="s" s="11">
        <v>8</v>
      </c>
      <c r="C11726" t="s" s="12">
        <v>8</v>
      </c>
      <c r="D11726" s="15" cm="1">
        <f t="array" ref="D11726">SUM(D11724:D11725)</f>
        <v>4000</v>
      </c>
      <c r="E11726" s="15" cm="1">
        <f t="array" ref="E11726">SUM(E11724:E11725)</f>
        <v>4000</v>
      </c>
      <c r="F11726" s="16" cm="1">
        <f t="array" ref="F11726">SUM(F11724:F11725)</f>
        <v>0</v>
      </c>
      <c r="G11726" s="16" cm="1">
        <f t="array" ref="G11726">SUM(G11724:G11725)</f>
        <v>0</v>
      </c>
      <c r="H11726" s="16" cm="1">
        <f t="array" ref="H11726">SUM(H11724:H11725)</f>
        <v>0</v>
      </c>
      <c r="I11726" s="16" cm="1">
        <f t="array" ref="I11726">SUM(I11724:I11725)</f>
        <v>0</v>
      </c>
    </row>
    <row r="11727" ht="20.35" customHeight="1">
      <c r="A11727" s="10">
        <v>45930</v>
      </c>
      <c r="B11727" t="s" s="11">
        <v>107</v>
      </c>
      <c r="C11727" t="s" s="12">
        <v>1321</v>
      </c>
      <c r="D11727" s="17">
        <v>303000</v>
      </c>
      <c r="E11727" s="17"/>
      <c r="F11727" s="18"/>
      <c r="G11727" s="18"/>
      <c r="H11727" s="18"/>
      <c r="I11727" s="18"/>
    </row>
    <row r="11728" ht="20.35" customHeight="1">
      <c r="A11728" s="10">
        <v>45930</v>
      </c>
      <c r="B11728" t="s" s="11">
        <v>91</v>
      </c>
      <c r="C11728" t="s" s="12">
        <v>1321</v>
      </c>
      <c r="D11728" s="13"/>
      <c r="E11728" s="13">
        <v>303000</v>
      </c>
      <c r="F11728" s="14"/>
      <c r="G11728" s="14"/>
      <c r="H11728" s="14"/>
      <c r="I11728" s="14"/>
    </row>
    <row r="11729" ht="20.7" customHeight="1">
      <c r="A11729" s="10">
        <v>45930</v>
      </c>
      <c r="B11729" t="s" s="11">
        <v>8</v>
      </c>
      <c r="C11729" t="s" s="12">
        <v>8</v>
      </c>
      <c r="D11729" s="15" cm="1">
        <f t="array" ref="D11729">SUM(D11727:D11728)</f>
        <v>303000</v>
      </c>
      <c r="E11729" s="15" cm="1">
        <f t="array" ref="E11729">SUM(E11727:E11728)</f>
        <v>303000</v>
      </c>
      <c r="F11729" s="16" cm="1">
        <f t="array" ref="F11729">SUM(F11727:F11728)</f>
        <v>0</v>
      </c>
      <c r="G11729" s="16" cm="1">
        <f t="array" ref="G11729">SUM(G11727:G11728)</f>
        <v>0</v>
      </c>
      <c r="H11729" s="16" cm="1">
        <f t="array" ref="H11729">SUM(H11727:H11728)</f>
        <v>0</v>
      </c>
      <c r="I11729" s="16" cm="1">
        <f t="array" ref="I11729">SUM(I11727:I11728)</f>
        <v>0</v>
      </c>
    </row>
    <row r="11730" ht="20.35" customHeight="1">
      <c r="A11730" s="10">
        <v>45930</v>
      </c>
      <c r="B11730" t="s" s="11">
        <v>107</v>
      </c>
      <c r="C11730" t="s" s="12">
        <v>1494</v>
      </c>
      <c r="D11730" s="17"/>
      <c r="E11730" s="17">
        <v>6700</v>
      </c>
      <c r="F11730" s="18"/>
      <c r="G11730" s="18"/>
      <c r="H11730" s="18"/>
      <c r="I11730" s="18"/>
    </row>
    <row r="11731" ht="20.35" customHeight="1">
      <c r="A11731" s="10">
        <v>45930</v>
      </c>
      <c r="B11731" t="s" s="11">
        <v>12</v>
      </c>
      <c r="C11731" t="s" s="12">
        <v>1494</v>
      </c>
      <c r="D11731" s="13">
        <v>6700</v>
      </c>
      <c r="E11731" s="13"/>
      <c r="F11731" s="14"/>
      <c r="G11731" s="14"/>
      <c r="H11731" s="14"/>
      <c r="I11731" s="14"/>
    </row>
    <row r="11732" ht="20.7" customHeight="1">
      <c r="A11732" s="10">
        <v>45930</v>
      </c>
      <c r="B11732" t="s" s="11">
        <v>8</v>
      </c>
      <c r="C11732" t="s" s="12">
        <v>8</v>
      </c>
      <c r="D11732" s="15" cm="1">
        <f t="array" ref="D11732">SUM(D11730:D11731)</f>
        <v>6700</v>
      </c>
      <c r="E11732" s="15" cm="1">
        <f t="array" ref="E11732">SUM(E11730:E11731)</f>
        <v>6700</v>
      </c>
      <c r="F11732" s="16" cm="1">
        <f t="array" ref="F11732">SUM(F11730:F11731)</f>
        <v>0</v>
      </c>
      <c r="G11732" s="16" cm="1">
        <f t="array" ref="G11732">SUM(G11730:G11731)</f>
        <v>0</v>
      </c>
      <c r="H11732" s="16" cm="1">
        <f t="array" ref="H11732">SUM(H11730:H11731)</f>
        <v>0</v>
      </c>
      <c r="I11732" s="16" cm="1">
        <f t="array" ref="I11732">SUM(I11730:I11731)</f>
        <v>0</v>
      </c>
    </row>
  </sheetData>
  <conditionalFormatting sqref="D4 F4 H4 D7 F7 H7 D10 F10 H10 D13 F13 H13 D16 F16 H16 D19 F19 H19 D22 F22 H22 D25 F25 H25 D29 F29 H29 D32 F32 H32 D35 F35 H35 D38 F38 H38 D41 F41 H41 D44 F44 H44 D47 F47 H47 D50 F50 H50 D53 F53 H53 D56 F56 H56 D59 F59 H59 D62 F62 H62 D65 F65 H65 D68 F68 H68 D71 F71 H71 D74 F74 H74 D77 F77 H77 D80 F80 H80 D86 F86 H86 D89 F89 H89 D92 F92 H92 D95 F95 H95 D98 F98 H98 D101 F101 H101 D104 F104 H104 D107 F107 H107 D110 F110 H110 D113 F113 H113 D116 F116 H116 D119 F119 H119 D122 F122 H122 D125 F125 H125 D129 F129 H129 D132 F132 H132 D136 F136 H136 D139 F139 H139 D143 F143 H143 D146 F146 H146 D149 F149 H149 D152 F152 H152 D155 F155 H155 D158 F158 H158 D161 F161 H161 D164 F164 H164 D167 F167 H167 D173 F173 H173 D176 F176 H176 D179 F179 H179 D182 F182 H182 D185 F185 H185 D189 F189 H189 D192 F192 H192 D198 F198 H198 D201 F201 H201 D204 F204 H204 D208 F208 H208 D211 F211 H211 D215 F215 H215 D218 F218 H218 D221 F221 H221 D224 F224 H224 D227 F227 H227 D230 F230 H230 D233 F233 H233 D236 F236 H236 D242 F242 H242 D245 F245 H245 D248 F248 H248 D251 F251 H251 D254 F254 H254 D257 F257 H257 D260 F260 H260 D263 F263 H263 D266 F266 H266 D269 F269 H269 D272 F272 H272 D275 F275 H275 D278 F278 H278 D281 F281 H281 D284 F284 H284 D287 F287 H287 D290 F290 H290 D293 F293 H293 D296 F296 H296 D299 F299 H299 D302 F302 H302 D305 F305 H305 D308 F308 H308 D311 F311 H311 D315 F315 H315 D318 F318 H318 D321 F321 H321 D324 F324 H324 D327 F327 H327 D330 F330 H330 D333 F333 H333 D336 F336 H336 D339 F339 H339 D343 F343 H343 D346 F346 H346 D349 F349 H349 D353 F353 H353 D356 F356 H356 D359 F359 H359 D363 F363 H363 D367 F367 H367 D370 F370 H370 D373 F373 H373 D377 F377 H377 D380 F380 H380 D383 F383 H383 D386 F386 H386 D389 F389 H389 D392 F392 H392 D395 F395 H395 D398 F398 H398 D401 F401 H401 D404 F404 H404 D408 F408 H408 D411 F411 H411 D417 F417 H417 D420 F420 H420 D423 F423 H423 D426 F426 H426 D430 F430 H430 D433 F433 H433 D436 F436 H436 D439 F439 H439 D442 F442 H442 D445 F445 H445 D448 F448 H448 D451 F451 H451 D454 F454 H454 D457 F457 H457 D460 F460 H460 D463 F463 H463 D466 F466 H466 D469 F469 H469 D472 F472 H472 D475 F475 H475 D479 F479 H479 D483 F483 H483 D487 F487 H487 D490 F490 H490 D493 F493 H493 D496 F496 H496 D499 F499 H499 D503 F503 H503 D506 F506 H506 D509 F509 H509 D512 F512 H512 D515 F515 H515 D518 F518 H518 D521 F521 H521 D524 F524 H524 D527 F527 H527 D531 F531 H531 D535 F535 H535 D539 F539 H539 D542 F542 H542 D546 F546 H546 D550 F550 H550 D554 F554 H554 D558 F558 H558 D561 F561 H561 D565 F565 H565 D568 F568 H568 D571 F571 H571 D575 F575 H575 D579 F579 H579 D582 F582 H582 D586 F586 H586 D590 F590 H590 D593 F593 H593 D596 F596 H596 D599 F599 H599 D602 F602 H602 D605 F605 H605 D608 F608 H608 D611 F611 H611 D614 F614 H614 D617 F617 H617 D620 F620 H620 D623 F623 H623 D626 F626 H626 D629 F629 H629 D632 F632 H632 D636 F636 H636 D640 F640 H640 D643 F643 H643 D646 F646 H646 D649 F649 H649 D652 F652 H652 D655 F655 H655 D658 F658 H658 D661 F661 H661 D667 F667 H667 D670 F670 H670 D673 F673 H673 D676 F676 H676 D679 F679 H679 D682 F682 H682 D685 F685 H685 D688 F688 H688 D692 F692 H692 D695 F695 H695 D698 F698 H698 D701 F701 H701 D704 F704 H704 D708 F708 H708 D711 F711 H711 D714 F714 H714 D717 F717 H717 D720 F720 H720 D723 F723 H723 D726 F726 H726 D729 F729 H729 D732 F732 H732 D735 F735 H735 D738 F738 H738 D741 F741 H741 D744 F744 H744 D747 F747 H747 D751 F751 H751 D754 F754 H754 D757 F757 H757 D760 F760 H760 D763 F763 H763 D766 F766 H766 D769 F769 H769 D772 F772 H772 D775 F775 H775 D778 F778 H778 D781 F781 H781 D785 F785 H785 D788 F788 H788 D791 F791 H791 D794 F794 H794 D798 F798 H798 D801 F801 H801 D804 F804 H804 D807 F807 H807 D810 F810 H810 D814 F814 H814 D817 F817 H817 D820 F820 H820 D823 F823 H823 D826 F826 H826 D829 F829 H829 D832 F832 H832 D835 F835 H835 D838 F838 H838 D841 F841 H841 D844 F844 H844 D847 F847 H847 D850 F850 H850 D853 F853 H853 D856 F856 H856 D859 F859 H859 D862 F862 H862 D866 F866 H866 D869 F869 H869 D873 F873 H873 D876 F876 H876 D879 F879 H879 D885 F885 H885 D889 F889 H889 D892 F892 H892 D895 F895 H895 D898 F898 H898 D901 F901 H901 D905 F905 H905 D909 F909 H909 D912 F912 H912 D915 F915 H915 D918 F918 H918 D922 F922 H922 D925 F925 H925 D928 F928 H928 D932 F932 H932 D935 F935 H935 D938 F938 H938 D941 F941 H941 D944 F944 H944 D947 F947 H947 D950 F950 H950 D953 F953 H953 D956 F956 H956 D959 F959 H959 D962 F962 H962 D965 F965 H965 D968 F968 H968 D971 F971 H971 D974 F974 H974 D980 F980 H980 D983 F983 H983 D986 F986 H986 D989 F989 H989 D992 F992 H992 D995 F995 H995 D1001 F1001 H1001 D1004 F1004 H1004 D1007 F1007 H1007 D1010 F1010 H1010 D1013 F1013 H1013 D1016 F1016 H1016 D1019 F1019 H1019 D1022 F1022 H1022 D1025 F1025 H1025 D1028 F1028 H1028 D1031 F1031 H1031 D1034 F1034 H1034 D1037 F1037 H1037 D1040 F1040 H1040 D1043 F1043 H1043 D1046 F1046 H1046 D1050 F1050 H1050 D1053 F1053 H1053 D1056 F1056 H1056 D1059 F1059 H1059 D1062 F1062 H1062 D1065 F1065 H1065 D1068 F1068 H1068 D1071 F1071 H1071 D1074 F1074 H1074 D1077 F1077 H1077 D1080 F1080 H1080 D1083 F1083 H1083 D1086 F1086 H1086 D1089 F1089 H1089 D1092 F1092 H1092 D1095 F1095 H1095 D1098 F1098 H1098 D1101 F1101 H1101 D1104 F1104 H1104 D1107 F1107 H1107 D1110 F1110 H1110 D1113 F1113 H1113 D1116 F1116 H1116 D1119 F1119 H1119 D1122 F1122 H1122 D1125 F1125 H1125 D1128 F1128 H1128 D1131 F1131 H1131 D1134 F1134 H1134 D1137 F1137 H1137 D1140 F1140 H1140 D1146 F1146 H1146 D1154 F1154 H1154 D1157 F1157 H1157 D1160 F1160 H1160 D1163 F1163 H1163 D1166 F1166 H1166 D1169 F1169 H1169 D1172 F1172 H1172 D1175 F1175 H1175 D1178 F1178 H1178 D1181 F1181 H1181 D1184 F1184 H1184 D1187 F1187 H1187 D1190 F1190 H1190 D1193 F1193 H1193 D1196 F1196 H1196 D1199 F1199 H1199 D1202 F1202 H1202 D1205 F1205 H1205 D1208 F1208 H1208 D1211 F1211 H1211 D1214 F1214 H1214 D1217 F1217 H1217 D1220 F1220 H1220 D1223 F1223 H1223 D1227 F1227 H1227 D1230 F1230 H1230 D1239 F1239 H1239 D1242 F1242 H1242 D1245 F1245 H1245 D1248 F1248 H1248 D1251 F1251 H1251 D1254 F1254 H1254 D1258 F1258 H1258 D1261 F1261 H1261 D1264 F1264 H1264 D1268 F1268 H1268 D1271 F1271 H1271 D1274 F1274 H1274 D1277 F1277 H1277 D1280 F1280 H1280 D1283 F1283 H1283 D1286 F1286 H1286 D1289 F1289 H1289 D1292 F1292 H1292 D1295 F1295 H1295 D1298 F1298 H1298 D1304 F1304 H1304 D1307 F1307 H1307 D1310 F1310 H1310 D1313 F1313 H1313 D1316 F1316 H1316 D1319 F1319 H1319 D1322 F1322 H1322 D1325 F1325 H1325 D1328 F1328 H1328 D1331 F1331 H1331 D1334 F1334 H1334 D1337 F1337 H1337 D1340 F1340 H1340 D1343 F1343 H1343 D1346 F1346 H1346 D1349 F1349 H1349 D1352 F1352 H1352 D1356 F1356 H1356 D1359 F1359 H1359 D1362 F1362 H1362 D1365 F1365 H1365 D1368 F1368 H1368 D1372 F1372 H1372 D1375 F1375 H1375 D1378 F1378 H1378 D1381 F1381 H1381 D1384 F1384 H1384 D1388 F1388 H1388 D1391 F1391 H1391 D1394 F1394 H1394 D1397 F1397 H1397 D1400 F1400 H1400 D1403 F1403 H1403 D1409 F1409 H1409 D1412 F1412 H1412 D1415 F1415 H1415 D1418 F1418 H1418 D1426 F1426 H1426 D1429 F1429 H1429 D1432 F1432 H1432 D1435 F1435 H1435 D1438 F1438 H1438 D1441 F1441 H1441 D1444 F1444 H1444 D1448 F1448 H1448 D1451 F1451 H1451 D1454 F1454 H1454 D1457 F1457 H1457 D1460 F1460 H1460 D1463 F1463 H1463 D1466 F1466 H1466 D1469 F1469 H1469 D1476 F1476 H1476 D1479 F1479 H1479 D1482 F1482 H1482 D1485 F1485 H1485 D1488 F1488 H1488 D1491 F1491 H1491 D1494 F1494 H1494 D1497 F1497 H1497 D1500 F1500 H1500 D1503 F1503 H1503 D1506 F1506 H1506 D1509 F1509 H1509 D1512 F1512 H1512 D1515 F1515 H1515 D1518 F1518 H1518 D1521 F1521 H1521 D1524 F1524 H1524 D1527 F1527 H1527 D1530 F1530 H1530 D1533 F1533 H1533 D1536 F1536 H1536 D1539 F1539 H1539 D1542 F1542 H1542 D1545 F1545 H1545 D1548 F1548 H1548 D1551 F1551 H1551 D1554 F1554 H1554 D1557 F1557 H1557 D1560 F1560 H1560 D1563 F1563 H1563 D1567 F1567 H1567 D1570 F1570 H1570 D1573 F1573 H1573 D1576 F1576 H1576 D1580 F1580 H1580 D1583 F1583 H1583 D1586 F1586 H1586 D1589 F1589 H1589 D1592 F1592 H1592 D1595 F1595 H1595 D1598 F1598 H1598 D1601 F1601 H1601 D1604 F1604 H1604 D1607 F1607 H1607 D1610 F1610 H1610 D1613 F1613 H1613 D1616 F1616 H1616 D1619 F1619 H1619 D1622 F1622 H1622 D1625 F1625 H1625 D1628 F1628 H1628 D1631 F1631 H1631 D1634 F1634 H1634 D1637 F1637 H1637 D1640 F1640 H1640 D1643 F1643 H1643 D1646 F1646 H1646 D1649 F1649 H1649 D1652 F1652 H1652 D1655 F1655 H1655 D1658 F1658 H1658 D1661 F1661 H1661 D1665 F1665 H1665 D1668 F1668 H1668 D1671 F1671 H1671 D1674 F1674 H1674 D1680 F1680 H1680 D1683 F1683 H1683 D1686 F1686 H1686 D1689 F1689 H1689 D1692 F1692 H1692 D1695 F1695 H1695 D1698 F1698 H1698 D1701 F1701 H1701 D1704 F1704 H1704 D1710 F1710 H1710 D1713 F1713 H1713 D1716 F1716 H1716 D1720 F1720 H1720 D1724 F1724 H1724 D1727 F1727 H1727 D1730 F1730 H1730 D1733 F1733 H1733 D1736 F1736 H1736 D1739 F1739 H1739 D1743 F1743 H1743 D1746 F1746 H1746 D1749 F1749 H1749 D1752 F1752 H1752 D1755 F1755 H1755 D1758 F1758 H1758 D1761 F1761 H1761 D1764 F1764 H1764 D1768 F1768 H1768 D1771 F1771 H1771 D1774 F1774 H1774 D1778 F1778 H1778 D1781 F1781 H1781 D1784 F1784 H1784 D1787 F1787 H1787 D1790 F1790 H1790 D1793 F1793 H1793 D1796 F1796 H1796 D1800 F1800 H1800 D1803 F1803 H1803 D1807 F1807 H1807 D1810 F1810 H1810 D1813 F1813 H1813 D1816 F1816 H1816 D1820 F1820 H1820 D1823 F1823 H1823 D1826 F1826 H1826 D1829 F1829 H1829 D1832 F1832 H1832 D1835 F1835 H1835 D1838 F1838 H1838 D1841 F1841 H1841 D1844 F1844 H1844 D1847 F1847 H1847 D1850 F1850 H1850 D1853 F1853 H1853 D1856 F1856 H1856 D1859 F1859 H1859 D1862 F1862 H1862 D1865 F1865 H1865 D1868 F1868 H1868 D1871 F1871 H1871 D1874 F1874 H1874 D1877 F1877 H1877 D1880 F1880 H1880 D1883 F1883 H1883 D1886 F1886 H1886 D1889 F1889 H1889 D1892 F1892 H1892 D1895 F1895 H1895 D1898 F1898 H1898 D1901 F1901 H1901 D1904 F1904 H1904 D1907 F1907 H1907 D1910 F1910 H1910 D1913 F1913 H1913 D1916 F1916 H1916 D1920 F1920 H1920 D1924 F1924 H1924 D1928 F1928 H1928 D1932 F1932 H1932 D1935 F1935 H1935 D1938 F1938 H1938 D1942 F1942 H1942 D1946 F1946 H1946 D1950 F1950 H1950 D1954 F1954 H1954 D1957 F1957 H1957 D1960 F1960 H1960 D1964 F1964 H1964 D1967 F1967 H1967 D1970 F1970 H1970 D1973 F1973 H1973 D1976 F1976 H1976 D1979 F1979 H1979 D1982 F1982 H1982 D1985 F1985 H1985 D1988 F1988 H1988 D1991 F1991 H1991 D1994 F1994 H1994 D1997 F1997 H1997 D2001 F2001 H2001 D2004 F2004 H2004 D2007 F2007 H2007 D2010 F2010 H2010 D2014 F2014 H2014 D2017 F2017 H2017 D2020 F2020 H2020 D2023 F2023 H2023 D2026 F2026 H2026 D2029 F2029 H2029 D2032 F2032 H2032 D2035 F2035 H2035 D2038 F2038 H2038 D2041 F2041 H2041 D2045 F2045 H2045 D2048 F2048 H2048 D2051 F2051 H2051 D2054 F2054 H2054 D2057 F2057 H2057 D2060 F2060 H2060 D2063 F2063 H2063 D2066 F2066 H2066 D2069 F2069 H2069 D2072 F2072 H2072 D2075 F2075 H2075 D2078 F2078 H2078 D2081 F2081 H2081 D2084 F2084 H2084 D2087 F2087 H2087 D2090 F2090 H2090 D2093 F2093 H2093 D2096 F2096 H2096 D2099 F2099 H2099 D2102 F2102 H2102 D2105 F2105 H2105 D2108 F2108 H2108 D2111 F2111 H2111 D2114 F2114 H2114 D2117 F2117 H2117 D2120 F2120 H2120 D2123 F2123 H2123 D2126 F2126 H2126 D2129 F2129 H2129 D2132 F2132 H2132 D2135 F2135 H2135 D2138 F2138 H2138 D2141 F2141 H2141 D2144 F2144 H2144 D2147 F2147 H2147 D2151 F2151 H2151 D2154 F2154 H2154 D2157 F2157 H2157 D2160 F2160 H2160 D2163 F2163 H2163 D2166 F2166 H2166 D2170 F2170 H2170 D2173 F2173 H2173 D2177 F2177 H2177 D2180 F2180 H2180 D2183 F2183 H2183 D2186 F2186 H2186 D2189 F2189 H2189 D2192 F2192 H2192 D2198 F2198 H2198 D2206 F2206 H2206 D2214 F2214 H2214 D2217 F2217 H2217 D2221 F2221 H2221 D2224 F2224 H2224 D2227 F2227 H2227 D2230 F2230 H2230 D2233 F2233 H2233 D2236 F2236 H2236 D2239 F2239 H2239 D2243 F2243 H2243 D2247 F2247 H2247 D2251 F2251 H2251 D2254 F2254 H2254 D2258 F2258 H2258 D2261 F2261 H2261 D2264 F2264 H2264 D2267 F2267 H2267 D2271 F2271 H2271 D2275 F2275 H2275 D2278 F2278 H2278 D2282 F2282 H2282 D2285 F2285 H2285 D2288 F2288 H2288 D2291 F2291 H2291 D2294 F2294 H2294 D2297 F2297 H2297 D2300 F2300 H2300 D2303 F2303 H2303 D2306 F2306 H2306 D2310 F2310 H2310 D2314 F2314 H2314 D2317 F2317 H2317 D2320 F2320 H2320 D2323 F2323 H2323 D2326 F2326 H2326 D2329 F2329 H2329 D2332 F2332 H2332 D2335 F2335 H2335 D2338 F2338 H2338 D2341 F2341 H2341 D2344 F2344 H2344 D2348 F2348 H2348 D2351 F2351 H2351 D2354 F2354 H2354 D2357 F2357 H2357 D2361 F2361 H2361 D2364 F2364 H2364 D2367 F2367 H2367 D2370 F2370 H2370 D2373 F2373 H2373 D2376 F2376 H2376 D2380 F2380 H2380 D2383 F2383 H2383 D2386 F2386 H2386 D2389 F2389 H2389 D2392 F2392 H2392 D2396 F2396 H2396 D2399 F2399 H2399 D2402 F2402 H2402 D2405 F2405 H2405 D2408 F2408 H2408 D2411 F2411 H2411 D2415 F2415 H2415 D2418 F2418 H2418 D2421 F2421 H2421 D2425 F2425 H2425 D2428 F2428 H2428 D2432 F2432 H2432 D2435 F2435 H2435 D2438 F2438 H2438 D2441 F2441 H2441 D2444 F2444 H2444 D2447 F2447 H2447 D2450 F2450 H2450 D2453 F2453 H2453 D2456 F2456 H2456 D2459 F2459 H2459 D2462 F2462 H2462 D2465 F2465 H2465 D2468 F2468 H2468 D2471 F2471 H2471 D2475 F2475 H2475 D2479 F2479 H2479 D2482 F2482 H2482 D2485 F2485 H2485 D2488 F2488 H2488 D2491 F2491 H2491 D2495 F2495 H2495 D2499 F2499 H2499 D2502 F2502 H2502 D2505 F2505 H2505 D2508 F2508 H2508 D2512 F2512 H2512 D2515 F2515 H2515 D2518 F2518 H2518 D2521 F2521 H2521 D2525 F2525 H2525 D2529 F2529 H2529 D2532 F2532 H2532 D2535 F2535 H2535 D2538 F2538 H2538 D2541 F2541 H2541 D2545 F2545 H2545 D2548 F2548 H2548 D2552 F2552 H2552 D2555 F2555 H2555 D2559 F2559 H2559 D2563 F2563 H2563 D2566 F2566 H2566 D2569 F2569 H2569 D2573 F2573 H2573 D2576 F2576 H2576 D2579 F2579 H2579 D2582 F2582 H2582 D2585 F2585 H2585 D2588 F2588 H2588 D2591 F2591 H2591 D2594 F2594 H2594 D2598 F2598 H2598 D2601 F2601 H2601 D2604 F2604 H2604 D2607 F2607 H2607 D2610 F2610 H2610 D2613 F2613 H2613 D2616 F2616 H2616 D2619 F2619 H2619 D2623 F2623 H2623 D2627 F2627 H2627 D2630 F2630 H2630 D2633 F2633 H2633 D2636 F2636 H2636 D2640 F2640 H2640 D2643 F2643 H2643 D2646 F2646 H2646 D2650 F2650 H2650 D2654 F2654 H2654 D2657 F2657 H2657 D2660 F2660 H2660 D2663 F2663 H2663 D2666 F2666 H2666 D2670 F2670 H2670 D2673 F2673 H2673 D2676 F2676 H2676 D2680 F2680 H2680 D2683 F2683 H2683 D2686 F2686 H2686 D2689 F2689 H2689 D2693 F2693 H2693 D2697 F2697 H2697 D2701 F2701 H2701 D2704 F2704 H2704 D2707 F2707 H2707 D2710 F2710 H2710 D2713 F2713 H2713 D2716 F2716 H2716 D2720 F2720 H2720 D2724 F2724 H2724 D2728 F2728 H2728 D2731 F2731 H2731 D2734 F2734 H2734 D2737 F2737 H2737 D2740 F2740 H2740 D2743 F2743 H2743 D2746 F2746 H2746 D2749 F2749 H2749 D2752 F2752 H2752 D2755 F2755 H2755 D2758 F2758 H2758 D2761 F2761 H2761 D2765 F2765 H2765 D2769 F2769 H2769 D2772 F2772 H2772 D2775 F2775 H2775 D2778 F2778 H2778 D2781 F2781 H2781 D2785 F2785 H2785 D2788 F2788 H2788 D2792 F2792 H2792 D2795 F2795 H2795 D2798 F2798 H2798 D2801 F2801 H2801 D2804 F2804 H2804 D2808 F2808 H2808 D2811 F2811 H2811 D2820 F2820 H2820 D2824 F2824 H2824 D2827 F2827 H2827 D2831 F2831 H2831 D2834 F2834 H2834 D2838 F2838 H2838 D2841 F2841 H2841 D2844 F2844 H2844 D2847 F2847 H2847 D2850 F2850 H2850 D2853 F2853 H2853 D2856 F2856 H2856 D2859 F2859 H2859 D2862 F2862 H2862 D2865 F2865 H2865 D2868 F2868 H2868 D2871 F2871 H2871 D2874 F2874 H2874 D2877 F2877 H2877 D2881 F2881 H2881 D2884 F2884 H2884 D2887 F2887 H2887 D2890 F2890 H2890 D2894 F2894 H2894 D2898 F2898 H2898 D2901 F2901 H2901 D2905 F2905 H2905 D2908 F2908 H2908 D2911 F2911 H2911 D2914 F2914 H2914 D2917 F2917 H2917 D2920 F2920 H2920 D2923 F2923 H2923 D2927 F2927 H2927 D2933 F2933 H2933 D2936 F2936 H2936 D2939 F2939 H2939 D2942 F2942 H2942 D2946 F2946 H2946 D2949 F2949 H2949 D2953 F2953 H2953 D2958 F2958 H2958 D2961 F2961 H2961 D2964 F2964 H2964 D2967 F2967 H2967 D2970 F2970 H2970 D2973 F2973 H2973 D2976 F2976 H2976 D2979 F2979 H2979 D2982 F2982 H2982 D2986 F2986 H2986 D2990 F2990 H2990 D2993 F2993 H2993 D2997 F2997 H2997 D3000 F3000 H3000 D3003 F3003 H3003 D3006 F3006 H3006 D3009 F3009 H3009 D3013 F3013 H3013 D3016 F3016 H3016 D3019 F3019 H3019 D3022 F3022 H3022 D3025 F3025 H3025 D3029 F3029 H3029 D3032 F3032 H3032 D3035 F3035 H3035 D3038 F3038 H3038 D3042 F3042 H3042 D3045 F3045 H3045 D3048 F3048 H3048 D3052 F3052 H3052 D3056 F3056 H3056 D3059 F3059 H3059 D3065 F3065 H3065 D3068 F3068 H3068 D3071 F3071 H3071 D3074 F3074 H3074 D3077 F3077 H3077 D3080 F3080 H3080 D3083 F3083 H3083 D3087 F3087 H3087 D3091 F3091 H3091 D3095 F3095 H3095 D3098 F3098 H3098 D3101 F3101 H3101 D3104 F3104 H3104 D3107 F3107 H3107 D3110 F3110 H3110 D3113 F3113 H3113 D3116 F3116 H3116 D3119 F3119 H3119 D3122 F3122 H3122 D3125 F3125 H3125 D3128 F3128 H3128 D3131 F3131 H3131 D3134 F3134 H3134 D3137 F3137 H3137 D3141 F3141 H3141 D3144 F3144 H3144 D3147 F3147 H3147 D3151 F3151 H3151 D3154 F3154 H3154 D3157 F3157 H3157 D3160 F3160 H3160 D3164 F3164 H3164 D3167 F3167 H3167 D3170 F3170 H3170 D3173 F3173 H3173 D3176 F3176 H3176 D3180 F3180 H3180 D3183 F3183 H3183 D3186 F3186 H3186 D3189 F3189 H3189 D3192 F3192 H3192 D3195 F3195 H3195 D3199 F3199 H3199 D3202 F3202 H3202 D3205 F3205 H3205 D3208 F3208 H3208 D3211 F3211 H3211 D3214 F3214 H3214 D3217 F3217 H3217 D3220 F3220 H3220 D3223 F3223 H3223 D3226 F3226 H3226 D3229 F3229 H3229 D3232 F3232 H3232 D3235 F3235 H3235 D3238 F3238 H3238 D3241 F3241 H3241 D3244 F3244 H3244 D3247 F3247 H3247 D3250 F3250 H3250 D3253 F3253 H3253 D3256 F3256 H3256 D3259 F3259 H3259 D3262 F3262 H3262 D3265 F3265 H3265 D3268 F3268 H3268 D3271 F3271 H3271 D3275 F3275 H3275 D3278 F3278 H3278 D3281 F3281 H3281 D3284 F3284 H3284 D3287 F3287 H3287 D3290 F3290 H3290 D3293 F3293 H3293 D3296 F3296 H3296 D3299 F3299 H3299 D3302 F3302 H3302 D3305 F3305 H3305 D3308 F3308 H3308 D3311 F3311 H3311 D3315 F3315 H3315 D3318 F3318 H3318 D3321 F3321 H3321 D3324 F3324 H3324 D3327 F3327 H3327 D3330 F3330 H3330 D3333 F3333 H3333 D3336 F3336 H3336 D3339 F3339 H3339 D3342 F3342 H3342 D3345 F3345 H3345 D3348 F3348 H3348 D3351 F3351 H3351 D3354 F3354 H3354 D3357 F3357 H3357 D3360 F3360 H3360 D3364 F3364 H3364 D3367 F3367 H3367 D3370 F3370 H3370 D3373 F3373 H3373 D3376 F3376 H3376 D3379 F3379 H3379 D3382 F3382 H3382 D3385 F3385 H3385 D3388 F3388 H3388 D3391 F3391 H3391 D3394 F3394 H3394 D3397 F3397 H3397 D3400 F3400 H3400 D3403 F3403 H3403 D3407 F3407 H3407 D3410 F3410 H3410 D3413 F3413 H3413 D3416 F3416 H3416 D3420 F3420 H3420 D3425 F3425 H3425 D3429 F3429 H3429 D3432 F3432 H3432 D3435 F3435 H3435 D3438 F3438 H3438 D3441 F3441 H3441 D3444 F3444 H3444 D3447 F3447 H3447 D3450 F3450 H3450 D3456 F3456 H3456 D3459 F3459 H3459 D3462 F3462 H3462 D3465 F3465 H3465 D3469 F3469 H3469 D3472 F3472 H3472 D3475 F3475 H3475 D3478 F3478 H3478 D3481 F3481 H3481 D3484 F3484 H3484 D3487 F3487 H3487 D3490 F3490 H3490 D3493 F3493 H3493 D3496 F3496 H3496 D3499 F3499 H3499 D3502 F3502 H3502 D3505 F3505 H3505 D3508 F3508 H3508 D3513 F3513 H3513 D3518 F3518 H3518 D3523 F3523 H3523 D3528 F3528 H3528 D3531 F3531 H3531 D3535 F3535 H3535 D3538 F3538 H3538 D3541 F3541 H3541 D3547 F3547 H3547 D3550 F3550 H3550 D3553 F3553 H3553 D3556 F3556 H3556 D3559 F3559 H3559 D3562 F3562 H3562 D3565 F3565 H3565 D3568 F3568 H3568 D3572 F3572 H3572 D3575 F3575 H3575 D3578 F3578 H3578 D3581 F3581 H3581 D3584 F3584 H3584 D3587 F3587 H3587 D3590 F3590 H3590 D3593 F3593 H3593 D3596 F3596 H3596 D3599 F3599 H3599 D3602 F3602 H3602 D3605 F3605 H3605 D3608 F3608 H3608 D3611 F3611 H3611 D3614 F3614 H3614 D3617 F3617 H3617 D3620 F3620 H3620 D3623 F3623 H3623 D3626 F3626 H3626 D3629 F3629 H3629 D3632 F3632 H3632 D3635 F3635 H3635 D3638 F3638 H3638 D3641 F3641 H3641 D3644 F3644 H3644 D3647 F3647 H3647 D3650 F3650 H3650 D3653 F3653 H3653 D3656 F3656 H3656 D3659 F3659 H3659 D3662 F3662 H3662 D3665 F3665 H3665 D3668 F3668 H3668 D3671 F3671 H3671 D3674 F3674 H3674 D3677 F3677 H3677 D3680 F3680 H3680 D3683 F3683 H3683 D3687 F3687 H3687 D3690 F3690 H3690 D3694 F3694 H3694 D3697 F3697 H3697 D3700 F3700 H3700 D3703 F3703 H3703 D3706 F3706 H3706 D3709 F3709 H3709 D3712 F3712 H3712 D3715 F3715 H3715 D3718 F3718 H3718 D3721 F3721 H3721 D3724 F3724 H3724 D3727 F3727 H3727 D3730 F3730 H3730 D3733 F3733 H3733 D3736 F3736 H3736 D3739 F3739 H3739 D3742 F3742 H3742 D3745 F3745 H3745 D3748 F3748 H3748 D3752 F3752 H3752 D3755 F3755 H3755 D3758 F3758 H3758 D3761 F3761 H3761 D3764 F3764 H3764 D3767 F3767 H3767 D3770 F3770 H3770 D3773 F3773 H3773 D3777 F3777 H3777 D3781 F3781 H3781 D3784 F3784 H3784 D3787 F3787 H3787 D3790 F3790 H3790 D3793 F3793 H3793 D3796 F3796 H3796 D3799 F3799 H3799 D3803 F3803 H3803 D3806 F3806 H3806 D3809 F3809 H3809 D3812 F3812 H3812 D3815 F3815 H3815 D3818 F3818 H3818 D3822 F3822 H3822 D3826 F3826 H3826 D3829 F3829 H3829 D3832 F3832 H3832 D3835 F3835 H3835 D3838 F3838 H3838 D3842 F3842 H3842 D3845 F3845 H3845 D3849 F3849 H3849 D3852 F3852 H3852 D3855 F3855 H3855 D3858 F3858 H3858 D3861 F3861 H3861 D3864 F3864 H3864 D3867 F3867 H3867 D3870 F3870 H3870 D3873 F3873 H3873 D3879 F3879 H3879 D3882 F3882 H3882 D3885 F3885 H3885 D3888 F3888 H3888 D3891 F3891 H3891 D3894 F3894 H3894 D3897 F3897 H3897 D3900 F3900 H3900 D3903 F3903 H3903 D3906 F3906 H3906 D3909 F3909 H3909 D3912 F3912 H3912 D3915 F3915 H3915 D3918 F3918 H3918 D3922 F3922 H3922 D3925 F3925 H3925 D3928 F3928 H3928 D3932 F3932 H3932 D3935 F3935 H3935 D3938 F3938 H3938 D3942 F3942 H3942 D3945 F3945 H3945 D3948 F3948 H3948 D3951 F3951 H3951 D3954 F3954 H3954 D3957 F3957 H3957 D3961 F3961 H3961 D3964 F3964 H3964 D3967 F3967 H3967 D3970 F3970 H3970 D3973 F3973 H3973 D3976 F3976 H3976 D3979 F3979 H3979 D3982 F3982 H3982 D3986 F3986 H3986 D3990 F3990 H3990 D3993 F3993 H3993 D3996 F3996 H3996 D3999 F3999 H3999 D4002 F4002 H4002 D4005 F4005 H4005 D4008 F4008 H4008 D4011 F4011 H4011 D4014 F4014 H4014 D4017 F4017 H4017 D4020 F4020 H4020 D4023 F4023 H4023 D4026 F4026 H4026 D4029 F4029 H4029 D4032 F4032 H4032 D4035 F4035 H4035 D4038 F4038 H4038 D4041 F4041 H4041 D4044 F4044 H4044 D4047 F4047 H4047 D4050 F4050 H4050 D4053 F4053 H4053 D4056 F4056 H4056 D4059 F4059 H4059 D4063 F4063 H4063 D4066 F4066 H4066 D4069 F4069 H4069 D4072 F4072 H4072 D4075 F4075 H4075 D4078 F4078 H4078 D4082 F4082 H4082 D4085 F4085 H4085 D4088 F4088 H4088 D4091 F4091 H4091 D4094 F4094 H4094 D4097 F4097 H4097 D4100 F4100 H4100 D4103 F4103 H4103 D4106 F4106 H4106 D4109 F4109 H4109 D4112 F4112 H4112 D4115 F4115 H4115 D4118 F4118 H4118 D4121 F4121 H4121 D4124 F4124 H4124 D4127 F4127 H4127 D4130 F4130 H4130 D4135 F4135 H4135 D4140 F4140 H4140 D4145 F4145 H4145 D4148 F4148 H4148 D4151 F4151 H4151 D4154 F4154 H4154 D4157 F4157 H4157 D4160 F4160 H4160 D4163 F4163 H4163 D4166 F4166 H4166 D4169 F4169 H4169 D4172 F4172 H4172 D4175 F4175 H4175 D4178 F4178 H4178 D4181 F4181 H4181 D4184 F4184 H4184 D4187 F4187 H4187 D4190 F4190 H4190 D4193 F4193 H4193 D4196 F4196 H4196 D4199 F4199 H4199 D4202 F4202 H4202 D4205 F4205 H4205 D4208 F4208 H4208 D4212 F4212 H4212 D4215 F4215 H4215 D4219 F4219 H4219 D4222 F4222 H4222 D4225 F4225 H4225 D4228 F4228 H4228 D4231 F4231 H4231 D4234 F4234 H4234 D4237 F4237 H4237 D4240 F4240 H4240 D4243 F4243 H4243 D4246 F4246 H4246 D4249 F4249 H4249 D4252 F4252 H4252 D4255 F4255 H4255 D4258 F4258 H4258 D4261 F4261 H4261 D4264 F4264 H4264 D4267 F4267 H4267 D4270 F4270 H4270 D4273 F4273 H4273 D4276 F4276 H4276 D4279 F4279 H4279 D4282 F4282 H4282 D4285 F4285 H4285 D4288 F4288 H4288 D4291 F4291 H4291 D4294 F4294 H4294 D4297 F4297 H4297 D4300 F4300 H4300 D4303 F4303 H4303 D4306 F4306 H4306 D4309 F4309 H4309 D4312 F4312 H4312 D4315 F4315 H4315 D4318 F4318 H4318 D4321 F4321 H4321 D4324 F4324 H4324 D4327 F4327 H4327 D4330 F4330 H4330 D4333 F4333 H4333 D4336 F4336 H4336 D4339 F4339 H4339 D4342 F4342 H4342 D4345 F4345 H4345 D4348 F4348 H4348 D4352 F4352 H4352 D4355 F4355 H4355 D4359 F4359 H4359 D4362 F4362 H4362 D4365 F4365 H4365 D4368 F4368 H4368 D4371 F4371 H4371 D4374 F4374 H4374 D4377 F4377 H4377 D4380 F4380 H4380 D4383 F4383 H4383 D4389 F4389 H4389 D4392 F4392 H4392 D4395 F4395 H4395 D4398 F4398 H4398 D4401 F4401 H4401 D4404 F4404 H4404 D4407 F4407 H4407 D4410 F4410 H4410 D4413 F4413 H4413 D4416 F4416 H4416 D4419 F4419 H4419 D4422 F4422 H4422 D4425 F4425 H4425 D4428 F4428 H4428 D4431 F4431 H4431 D4434 F4434 H4434 D4437 F4437 H4437 D4440 F4440 H4440 D4443 F4443 H4443 D4446 F4446 H4446 D4449 F4449 H4449 D4452 F4452 H4452 D4455 F4455 H4455 D4458 F4458 H4458 D4461 F4461 H4461 D4464 F4464 H4464 D4467 F4467 H4467 D4470 F4470 H4470 D4473 F4473 H4473 D4476 F4476 H4476 D4479 F4479 H4479 D4482 F4482 H4482 D4485 F4485 H4485 D4488 F4488 H4488 D4491 F4491 H4491 D4494 F4494 H4494 D4497 F4497 H4497 D4500 F4500 H4500 D4503 F4503 H4503 D4506 F4506 H4506 D4509 F4509 H4509 D4512 F4512 H4512 D4515 F4515 H4515 D4518 F4518 H4518 D4521 F4521 H4521 D4524 F4524 H4524 D4527 F4527 H4527 D4530 F4530 H4530 D4533 F4533 H4533 D4536 F4536 H4536 D4539 F4539 H4539 D4542 F4542 H4542 D4545 F4545 H4545 D4548 F4548 H4548 D4551 F4551 H4551 D4554 F4554 H4554 D4560 F4560 H4560 D4563 F4563 H4563 D4566 F4566 H4566 D4569 F4569 H4569 D4572 F4572 H4572 D4575 F4575 H4575 D4578 F4578 H4578 D4581 F4581 H4581 D4584 F4584 H4584 D4587 F4587 H4587 D4590 F4590 H4590 D4593 F4593 H4593 D4596 F4596 H4596 D4599 F4599 H4599 D4602 F4602 H4602 D4605 F4605 H4605 D4608 F4608 H4608 D4611 F4611 H4611 D4614 F4614 H4614 D4617 F4617 H4617 D4620 F4620 H4620 D4623 F4623 H4623 D4626 F4626 H4626 D4629 F4629 H4629 D4632 F4632 H4632 D4635 F4635 H4635 D4638 F4638 H4638 D4641 F4641 H4641 D4644 F4644 H4644 D4647 F4647 H4647 D4650 F4650 H4650 D4653 F4653 H4653 D4656 F4656 H4656 D4659 F4659 H4659 D4662 F4662 H4662 D4665 F4665 H4665 D4668 F4668 H4668 D4671 F4671 H4671 D4674 F4674 H4674 D4677 F4677 H4677 D4680 F4680 H4680 D4683 F4683 H4683 D4686 F4686 H4686 D4689 F4689 H4689 D4692 F4692 H4692 D4695 F4695 H4695 D4698 F4698 H4698 D4701 F4701 H4701 D4704 F4704 H4704 D4707 F4707 H4707 D4710 F4710 H4710 D4713 F4713 H4713 D4716 F4716 H4716 D4719 F4719 H4719 D4722 F4722 H4722 D4725 F4725 H4725 D4728 F4728 H4728 D4731 F4731 H4731 D4734 F4734 H4734 D4737 F4737 H4737 D4740 F4740 H4740 D4743 F4743 H4743 D4746 F4746 H4746 D4749 F4749 H4749 D4752 F4752 H4752 D4755 F4755 H4755 D4758 F4758 H4758 D4761 F4761 H4761 D4765 F4765 H4765 D4768 F4768 H4768 D4771 F4771 H4771 D4774 F4774 H4774 D4777 F4777 H4777 D4780 F4780 H4780 D4783 F4783 H4783 D4786 F4786 H4786 D4789 F4789 H4789 D4793 F4793 H4793 D4796 F4796 H4796 D4799 F4799 H4799 D4802 F4802 H4802 D4805 F4805 H4805 D4808 F4808 H4808 D4811 F4811 H4811 D4814 F4814 H4814 D4817 F4817 H4817 D4820 F4820 H4820 D4823 F4823 H4823 D4826 F4826 H4826 D4829 F4829 H4829 D4854 F4854 H4854 D4857 F4857 H4857 D4860 F4860 H4860 D4863 F4863 H4863 D4866 F4866 H4866 D4869 F4869 H4869 D4872 F4872 H4872 D4876 F4876 H4876 D4879 F4879 H4879 D4882 F4882 H4882 D4885 F4885 H4885 D4888 F4888 H4888 D4891 F4891 H4891 D4894 F4894 H4894 D4897 F4897 H4897 D4900 F4900 H4900 D4903 F4903 H4903 D4906 F4906 H4906 D4909 F4909 H4909 D4912 F4912 H4912 D4915 F4915 H4915 D4918 F4918 H4918 D4921 F4921 H4921 D4924 F4924 H4924 D4927 F4927 H4927 D4930 F4930 H4930 D4933 F4933 H4933 D4936 F4936 H4936 D4939 F4939 H4939 D4942 F4942 H4942 D4945 F4945 H4945 D4948 F4948 H4948 D4951 F4951 H4951 D4954 F4954 H4954 D4957 F4957 H4957 D4960 F4960 H4960 D4963 F4963 H4963 D4966 F4966 H4966 D4969 F4969 H4969 D4972 F4972 H4972 D4975 F4975 H4975 D4978 F4978 H4978 D4981 F4981 H4981 D4984 F4984 H4984 D4987 F4987 H4987 D4990 F4990 H4990 D4993 F4993 H4993 D4996 F4996 H4996 D4999 F4999 H4999 D5002 F5002 H5002 D5005 F5005 H5005 D5008 F5008 H5008 D5011 F5011 H5011 D5014 F5014 H5014 D5017 F5017 H5017 D5020 F5020 H5020 D5023 F5023 H5023 D5026 F5026 H5026 D5029 F5029 H5029 D5032 F5032 H5032 D5035 F5035 H5035 D5038 F5038 H5038 D5041 F5041 H5041 D5044 F5044 H5044 D5047 F5047 H5047 D5050 F5050 H5050 D5053 F5053 H5053 D5056 F5056 H5056 D5059 F5059 H5059 D5062 F5062 H5062 D5065 F5065 H5065 D5068 F5068 H5068 D5071 F5071 H5071 D5074 F5074 H5074 D5077 F5077 H5077 D5080 F5080 H5080 D5083 F5083 H5083 D5086 F5086 H5086 D5089 F5089 H5089 D5092 F5092 H5092 D5095 F5095 H5095 D5098 F5098 H5098 D5101 F5101 H5101 D5104 F5104 H5104 D5107 F5107 H5107 D5110 F5110 H5110 D5113 F5113 H5113 D5116 F5116 H5116 D5119 F5119 H5119 D5123 F5123 H5123 D5126 F5126 H5126 D5130 F5130 H5130 D5133 F5133 H5133 D5136 F5136 H5136 D5139 F5139 H5139 D5142 F5142 H5142 D5145 F5145 H5145 D5148 F5148 H5148 D5151 F5151 H5151 D5154 F5154 H5154 D5157 F5157 H5157 D5160 F5160 H5160 D5163 F5163 H5163 D5166 F5166 H5166 D5169 F5169 H5169 D5172 F5172 H5172 D5175 F5175 H5175 D5178 F5178 H5178 D5181 F5181 H5181 D5184 F5184 H5184 D5187 F5187 H5187 D5190 F5190 H5190 D5193 F5193 H5193 D5196 F5196 H5196 D5199 F5199 H5199 D5202 F5202 H5202 D5205 F5205 H5205 D5208 F5208 H5208 D5211 F5211 H5211 D5214 F5214 H5214 D5217 F5217 H5217 D5220 F5220 H5220 D5223 F5223 H5223 D5226 F5226 H5226 D5229 F5229 H5229 D5232 F5232 H5232 D5235 F5235 H5235 D5238 F5238 H5238 D5241 F5241 H5241 D5244 F5244 H5244 D5247 F5247 H5247 D5253 F5253 H5253 D5256 F5256 H5256 D5259 F5259 H5259 D5262 F5262 H5262 D5265 F5265 H5265 D5268 F5268 H5268 D5271 F5271 H5271 D5274 F5274 H5274 D5277 F5277 H5277 D5280 F5280 H5280 D5283 F5283 H5283 D5286 F5286 H5286 D5289 F5289 H5289 D5292 F5292 H5292 D5295 F5295 H5295 D5298 F5298 H5298 D5301 F5301 H5301 D5304 F5304 H5304 D5307 F5307 H5307 D5310 F5310 H5310 D5313 F5313 H5313 D5316 F5316 H5316 D5319 F5319 H5319 D5322 F5322 H5322 D5325 F5325 H5325 D5328 F5328 H5328 D5331 F5331 H5331 D5334 F5334 H5334 D5337 F5337 H5337 D5340 F5340 H5340 D5343 F5343 H5343 D5346 F5346 H5346 D5349 F5349 H5349 D5352 F5352 H5352 D5355 F5355 H5355 D5358 F5358 H5358 D5361 F5361 H5361 D5364 F5364 H5364 D5367 F5367 H5367 D5370 F5370 H5370 D5377 F5377 H5377 D5380 F5380 H5380 D5383 F5383 H5383 D5386 F5386 H5386 D5389 F5389 H5389 D5392 F5392 H5392 D5395 F5395 H5395 D5398 F5398 H5398 D5401 F5401 H5401 D5404 F5404 H5404 D5407 F5407 H5407 D5410 F5410 H5410 D5413 F5413 H5413 D5416 F5416 H5416 D5419 F5419 H5419 D5422 F5422 H5422 D5425 F5425 H5425 D5428 F5428 H5428 D5431 F5431 H5431 D5434 F5434 H5434 D5437 F5437 H5437 D5440 F5440 H5440 D5443 F5443 H5443 D5446 F5446 H5446 D5449 F5449 H5449 D5452 F5452 H5452 D5455 F5455 H5455 D5458 F5458 H5458 D5461 F5461 H5461 D5464 F5464 H5464 D5467 F5467 H5467 D5470 F5470 H5470 D5473 F5473 H5473 D5476 F5476 H5476 D5479 F5479 H5479 D5482 F5482 H5482 D5485 F5485 H5485 D5488 F5488 H5488 D5491 F5491 H5491 D5494 F5494 H5494 D5497 F5497 H5497 D5500 F5500 H5500 D5503 F5503 H5503 D5506 F5506 H5506 D5509 F5509 H5509 D5512 F5512 H5512 D5515 F5515 H5515 D5518 F5518 H5518 D5521 F5521 H5521 D5524 F5524 H5524 D5527 F5527 H5527 D5530 F5530 H5530 D5533 F5533 H5533 D5536 F5536 H5536 D5539 F5539 H5539 D5542 F5542 H5542 D5545 F5545 H5545 D5548 F5548 H5548 D5551 F5551 H5551 D5554 F5554 H5554 D5557 F5557 H5557 D5560 F5560 H5560 D5563 F5563 H5563 D5566 F5566 H5566 D5569 F5569 H5569 D5572 F5572 H5572 D5575 F5575 H5575 D5578 F5578 H5578 D5581 F5581 H5581 D5584 F5584 H5584 D5587 F5587 H5587 D5590 F5590 H5590 D5593 F5593 H5593 D5596 F5596 H5596 D5599 F5599 H5599 D5602 F5602 H5602 D5605 F5605 H5605 D5608 F5608 H5608 D5611 F5611 H5611 D5614 F5614 H5614 D5617 F5617 H5617 D5620 F5620 H5620 D5623 F5623 H5623 D5626 F5626 H5626 D5629 F5629 H5629 D5632 F5632 H5632 D5635 F5635 H5635 D5638 F5638 H5638 D5641 F5641 H5641 D5644 F5644 H5644 D5647 F5647 H5647 D5650 F5650 H5650 D5653 F5653 H5653 D5656 F5656 H5656 D5659 F5659 H5659 D5662 F5662 H5662 D5665 F5665 H5665 D5668 F5668 H5668 D5671 F5671 H5671 D5674 F5674 H5674 D5677 F5677 H5677 D5680 F5680 H5680 D5683 F5683 H5683 D5686 F5686 H5686 D5689 F5689 H5689 D5692 F5692 H5692 D5695 F5695 H5695 D5698 F5698 H5698 D5701 F5701 H5701 D5704 F5704 H5704 D5707 F5707 H5707 D5710 F5710 H5710 D5713 F5713 H5713 D5716 F5716 H5716 D5719 F5719 H5719 D5722 F5722 H5722 D5725 F5725 H5725 D5728 F5728 H5728 D5731 F5731 H5731 D5734 F5734 H5734 D5737 F5737 H5737 D5740 F5740 H5740 D5743 F5743 H5743 D5746 F5746 H5746 D5749 F5749 H5749 D5752 F5752 H5752 D5755 F5755 H5755 D5758 F5758 H5758 D5761 F5761 H5761 D5764 F5764 H5764 D5767 F5767 H5767 D5770 F5770 H5770 D5773 F5773 H5773 D5776 F5776 H5776 D5779 F5779 H5779 D5782 F5782 H5782 D5785 F5785 H5785 D5788 F5788 H5788 D5791 F5791 H5791 D5794 F5794 H5794 D5797 F5797 H5797 D5800 F5800 H5800 D5803 F5803 H5803 D5806 F5806 H5806 D5809 F5809 H5809 D5812 F5812 H5812 D5816 F5816 H5816 D5819 F5819 H5819 D5822 F5822 H5822 D5826 F5826 H5826 D5829 F5829 H5829 D5832 F5832 H5832 D5835 F5835 H5835 D5839 F5839 H5839 D5842 F5842 H5842 D5845 F5845 H5845 D5848 F5848 H5848 D5851 F5851 H5851 D5854 F5854 H5854 D5857 F5857 H5857 D5860 F5860 H5860 D5863 F5863 H5863 D5866 F5866 H5866 D5869 F5869 H5869 D5872 F5872 H5872 D5875 F5875 H5875 D5878 F5878 H5878 D5881 F5881 H5881 D5884 F5884 H5884 D5887 F5887 H5887 D5890 F5890 H5890 D5893 F5893 H5893 D5896 F5896 H5896 D5899 F5899 H5899 D5902 F5902 H5902 D5905 F5905 H5905 D5908 F5908 H5908 D5911 F5911 H5911 D5914 F5914 H5914 D5917 F5917 H5917 D5920 F5920 H5920 D5923 F5923 H5923 D5926 F5926 H5926 D5929 F5929 H5929 D5933 F5933 H5933 D5936 F5936 H5936 D5939 F5939 H5939 D5942 F5942 H5942 D5945 F5945 H5945 D5948 F5948 H5948 D5951 F5951 H5951 D5957 F5957 H5957 D5960 F5960 H5960 D5963 F5963 H5963 D5966 F5966 H5966 D5969 F5969 H5969 D5972 F5972 H5972 D5975 F5975 H5975 D5978 F5978 H5978 D5981 F5981 H5981 D5984 F5984 H5984 D5987 F5987 H5987 D5990 F5990 H5990 D5993 F5993 H5993 D5996 F5996 H5996 D5999 F5999 H5999 D6002 F6002 H6002 D6005 F6005 H6005 D6008 F6008 H6008 D6011 F6011 H6011 D6014 F6014 H6014 D6017 F6017 H6017 D6020 F6020 H6020 D6023 F6023 H6023 D6026 F6026 H6026 D6030 F6030 H6030 D6033 F6033 H6033 D6036 F6036 H6036 D6040 F6040 H6040 D6043 F6043 H6043 D6046 F6046 H6046 D6049 F6049 H6049 D6052 F6052 H6052 D6055 F6055 H6055 D6058 F6058 H6058 D6061 F6061 H6061 D6064 F6064 H6064 D6067 F6067 H6067 D6070 F6070 H6070 D6074 F6074 H6074 D6077 F6077 H6077 D6080 F6080 H6080 D6083 F6083 H6083 D6086 F6086 H6086 D6089 F6089 H6089 D6092 F6092 H6092 D6095 F6095 H6095 D6098 F6098 H6098 D6101 F6101 H6101 D6104 F6104 H6104 D6107 F6107 H6107 D6110 F6110 H6110 D6113 F6113 H6113 D6116 F6116 H6116 D6119 F6119 H6119 D6122 F6122 H6122 D6125 F6125 H6125 D6128 F6128 H6128 D6131 F6131 H6131 D6134 F6134 H6134 D6137 F6137 H6137 D6140 F6140 H6140 D6143 F6143 H6143 D6146 F6146 H6146 D6150 F6150 H6150 D6153 F6153 H6153 D6156 F6156 H6156 D6159 F6159 H6159 D6162 F6162 H6162 D6165 F6165 H6165 D6168 F6168 H6168 D6171 F6171 H6171 D6175 F6175 H6175 D6179 F6179 H6179 D6182 F6182 H6182 D6185 F6185 H6185 D6188 F6188 H6188 D6191 F6191 H6191 D6194 F6194 H6194 D6197 F6197 H6197 D6200 F6200 H6200 D6204 F6204 H6204 D6207 F6207 H6207 D6210 F6210 H6210 D6213 F6213 H6213 D6216 F6216 H6216 D6219 F6219 H6219 D6222 F6222 H6222 D6225 F6225 H6225 D6228 F6228 H6228 D6231 F6231 H6231 D6234 F6234 H6234 D6237 F6237 H6237 D6240 F6240 H6240 D6243 F6243 H6243 D6247 F6247 H6247 D6250 F6250 H6250 D6253 F6253 H6253 D6256 F6256 H6256 D6259 F6259 H6259 D6262 F6262 H6262 D6265 F6265 H6265 D6268 F6268 H6268 D6271 F6271 H6271 D6274 F6274 H6274 D6277 F6277 H6277 D6280 F6280 H6280 D6283 F6283 H6283 D6286 F6286 H6286 D6289 F6289 H6289 D6292 F6292 H6292 D6295 F6295 H6295 D6301 F6301 H6301 D6304 F6304 H6304 D6307 F6307 H6307 D6310 F6310 H6310 D6313 F6313 H6313 D6316 F6316 H6316 D6319 F6319 H6319 D6322 F6322 H6322 D6325 F6325 H6325 D6328 F6328 H6328 D6331 F6331 H6331 D6334 F6334 H6334 D6337 F6337 H6337 D6340 F6340 H6340 D6343 F6343 H6343 D6346 F6346 H6346 D6350 F6350 H6350 D6353 F6353 H6353 D6356 F6356 H6356 D6359 F6359 H6359 D6362 F6362 H6362 D6365 F6365 H6365 D6368 F6368 H6368 D6371 F6371 H6371 D6374 F6374 H6374 D6377 F6377 H6377 D6380 F6380 H6380 D6383 F6383 H6383 D6386 F6386 H6386 D6389 F6389 H6389 D6392 F6392 H6392 D6395 F6395 H6395 D6398 F6398 H6398 D6401 F6401 H6401 D6404 F6404 H6404 D6407 F6407 H6407 D6410 F6410 H6410 D6413 F6413 H6413 D6416 F6416 H6416 D6421 F6421 H6421 D6425 F6425 H6425 D6428 F6428 H6428 D6431 F6431 H6431 D6434 F6434 H6434 D6437 F6437 H6437 D6440 F6440 H6440 D6443 F6443 H6443 D6446 F6446 H6446 D6449 F6449 H6449 D6452 F6452 H6452 D6455 F6455 H6455 D6458 F6458 H6458 D6461 F6461 H6461 D6464 F6464 H6464 D6467 F6467 H6467 D6470 F6470 H6470 D6473 F6473 H6473 D6476 F6476 H6476 D6479 F6479 H6479 D6482 F6482 H6482 D6485 F6485 H6485 D6488 F6488 H6488 D6491 F6491 H6491 D6494 F6494 H6494 D6497 F6497 H6497 D6500 F6500 H6500 D6503 F6503 H6503 D6506 F6506 H6506 D6509 F6509 H6509 D6512 F6512 H6512 D6516 F6516 H6516 D6519 F6519 H6519 D6522 F6522 H6522 D6525 F6525 H6525 D6528 F6528 H6528 D6531 F6531 H6531 D6534 F6534 H6534 D6537 F6537 H6537 D6540 F6540 H6540 D6543 F6543 H6543 D6546 F6546 H6546 D6549 F6549 H6549 D6552 F6552 H6552 D6555 F6555 H6555 D6558 F6558 H6558 D6561 F6561 H6561 D6564 F6564 H6564 D6567 F6567 H6567 D6570 F6570 H6570 D6573 F6573 H6573 D6576 F6576 H6576 D6579 F6579 H6579 D6582 F6582 H6582 D6585 F6585 H6585 D6588 F6588 H6588 D6591 F6591 H6591 D6594 F6594 H6594 D6597 F6597 H6597 D6600 F6600 H6600 D6603 F6603 H6603 D6607 F6607 H6607 D6610 F6610 H6610 D6614 F6614 H6614 D6617 F6617 H6617 D6620 F6620 H6620 D6623 F6623 H6623 D6626 F6626 H6626 D6629 F6629 H6629 D6632 F6632 H6632 D6635 F6635 H6635 D6638 F6638 H6638 D6641 F6641 H6641 D6645 F6645 H6645 D6648 F6648 H6648 D6652 F6652 H6652 D6655 F6655 H6655 D6658 F6658 H6658 D6661 F6661 H6661 D6664 F6664 H6664 D6667 F6667 H6667 D6671 F6671 H6671 D6674 F6674 H6674 D6678 F6678 H6678 D6682 F6682 H6682 D6685 F6685 H6685 D6688 F6688 H6688 D6692 F6692 H6692 D6695 F6695 H6695 D6698 F6698 H6698 D6701 F6701 H6701 D6704 F6704 H6704 D6707 F6707 H6707 D6710 F6710 H6710 D6714 F6714 H6714 D6717 F6717 H6717 D6720 F6720 H6720 D6723 F6723 H6723 D6726 F6726 H6726 D6729 F6729 H6729 D6732 F6732 H6732 D6735 F6735 H6735 D6738 F6738 H6738 D6741 F6741 H6741 D6744 F6744 H6744 D6747 F6747 H6747 D6750 F6750 H6750 D6753 F6753 H6753 D6756 F6756 H6756 D6759 F6759 H6759 D6765 F6765 H6765 D6768 F6768 H6768 D6771 F6771 H6771 D6774 F6774 H6774 D6777 F6777 H6777 D6780 F6780 H6780 D6783 F6783 H6783 D6786 F6786 H6786 D6789 F6789 H6789 D6792 F6792 H6792 D6796 F6796 H6796 D6799 F6799 H6799 D6802 F6802 H6802 D6806 F6806 H6806 D6809 F6809 H6809 D6812 F6812 H6812 D6815 F6815 H6815 D6818 F6818 H6818 D6821 F6821 H6821 D6824 F6824 H6824 D6827 F6827 H6827 D6830 F6830 H6830 D6833 F6833 H6833 D6836 F6836 H6836 D6839 F6839 H6839 D6842 F6842 H6842 D6845 F6845 H6845 D6848 F6848 H6848 D6851 F6851 H6851 D6854 F6854 H6854 D6857 F6857 H6857 D6860 F6860 H6860 D6863 F6863 H6863 D6867 F6867 H6867 D6871 F6871 H6871 D6874 F6874 H6874 D6877 F6877 H6877 D6880 F6880 H6880 D6883 F6883 H6883 D6886 F6886 H6886 D6889 F6889 H6889 D6892 F6892 H6892 D6895 F6895 H6895 D6898 F6898 H6898 D6901 F6901 H6901 D6905 F6905 H6905 D6908 F6908 H6908 D6912 F6912 H6912 D6915 F6915 H6915 D6918 F6918 H6918 D6921 F6921 H6921 D6924 F6924 H6924 D6927 F6927 H6927 D6930 F6930 H6930 D6933 F6933 H6933 D6936 F6936 H6936 D6939 F6939 H6939 D6942 F6942 H6942 D6945 F6945 H6945 D6948 F6948 H6948 D6951 F6951 H6951 D6954 F6954 H6954 D6957 F6957 H6957 D6961 F6961 H6961 D6964 F6964 H6964 D6967 F6967 H6967 D6970 F6970 H6970 D6973 F6973 H6973 D6976 F6976 H6976 D6979 F6979 H6979 D6982 F6982 H6982 D6985 F6985 H6985 D6988 F6988 H6988 D6991 F6991 H6991 D6994 F6994 H6994 D6997 F6997 H6997 D7000 F7000 H7000 D7003 F7003 H7003 D7007 F7007 H7007 D7010 F7010 H7010 D7013 F7013 H7013 D7016 F7016 H7016 D7019 F7019 H7019 D7022 F7022 H7022 D7025 F7025 H7025 D7029 F7029 H7029 D7032 F7032 H7032 D7035 F7035 H7035 D7039 F7039 H7039 D7042 F7042 H7042 D7045 F7045 H7045 D7048 F7048 H7048 D7051 F7051 H7051 D7054 F7054 H7054 D7057 F7057 H7057 D7060 F7060 H7060 D7063 F7063 H7063 D7066 F7066 H7066 D7069 F7069 H7069 D7072 F7072 H7072 D7075 F7075 H7075 D7078 F7078 H7078 D7081 F7081 H7081 D7084 F7084 H7084 D7087 F7087 H7087 D7091 F7091 H7091 D7094 F7094 H7094 D7097 F7097 H7097 D7101 F7101 H7101 D7104 F7104 H7104 D7107 F7107 H7107 D7110 F7110 H7110 D7116 F7116 H7116 D7119 F7119 H7119 D7124 F7124 H7124 D7127 F7127 H7127 D7131 F7131 H7131 D7134 F7134 H7134 D7137 F7137 H7137 D7140 F7140 H7140 D7143 F7143 H7143 D7147 F7147 H7147 D7150 F7150 H7150 D7153 F7153 H7153 D7157 F7157 H7157 D7160 F7160 H7160 D7163 F7163 H7163 D7167 F7167 H7167 D7170 F7170 H7170 D7173 F7173 H7173 D7176 F7176 H7176 D7179 F7179 H7179 D7183 F7183 H7183 D7186 F7186 H7186 D7189 F7189 H7189 D7192 F7192 H7192 D7195 F7195 H7195 D7198 F7198 H7198 D7201 F7201 H7201 D7204 F7204 H7204 D7207 F7207 H7207 D7210 F7210 H7210 D7213 F7213 H7213 D7216 F7216 H7216 D7219 F7219 H7219 D7222 F7222 H7222 D7225 F7225 H7225 D7228 F7228 H7228 D7231 F7231 H7231 D7234 F7234 H7234 D7237 F7237 H7237 D7240 F7240 H7240 D7243 F7243 H7243 D7246 F7246 H7246 D7249 F7249 H7249 D7252 F7252 H7252 D7255 F7255 H7255 D7258 F7258 H7258 D7261 F7261 H7261 D7264 F7264 H7264 D7267 F7267 H7267 D7270 F7270 H7270 D7273 F7273 H7273 D7276 F7276 H7276 D7279 F7279 H7279 D7282 F7282 H7282 D7285 F7285 H7285 D7288 F7288 H7288 D7292 F7292 H7292 D7296 F7296 H7296 D7300 F7300 H7300 D7303 F7303 H7303 D7306 F7306 H7306 D7309 F7309 H7309 D7313 F7313 H7313 D7316 F7316 H7316 D7319 F7319 H7319 D7322 F7322 H7322 D7325 F7325 H7325 D7328 F7328 H7328 D7331 F7331 H7331 D7334 F7334 H7334 D7337 F7337 H7337 D7340 F7340 H7340 D7343 F7343 H7343 D7346 F7346 H7346 D7349 F7349 H7349 D7352 F7352 H7352 D7355 F7355 H7355 D7358 F7358 H7358 D7361 F7361 H7361 D7364 F7364 H7364 D7367 F7367 H7367 D7370 F7370 H7370 D7373 F7373 H7373 D7376 F7376 H7376 D7379 F7379 H7379 D7382 F7382 H7382 D7385 F7385 H7385 D7388 F7388 H7388 D7391 F7391 H7391 D7394 F7394 H7394 D7397 F7397 H7397 D7400 F7400 H7400 D7403 F7403 H7403 D7408 F7408 H7408 D7411 F7411 H7411 D7414 F7414 H7414 D7417 F7417 H7417 D7421 F7421 H7421 D7424 F7424 H7424 D7427 F7427 H7427 D7430 F7430 H7430 D7433 F7433 H7433 D7436 F7436 H7436 D7439 F7439 H7439 D7442 F7442 H7442 D7445 F7445 H7445 D7448 F7448 H7448 D7451 F7451 H7451 D7454 F7454 H7454 D7457 F7457 H7457 D7461 F7461 H7461 D7464 F7464 H7464 D7467 F7467 H7467 D7470 F7470 H7470 D7473 F7473 H7473 D7476 F7476 H7476 D7479 F7479 H7479 D7483 F7483 H7483 D7486 F7486 H7486 D7489 F7489 H7489 D7492 F7492 H7492 D7495 F7495 H7495 D7498 F7498 H7498 D7501 F7501 H7501 D7504 F7504 H7504 D7507 F7507 H7507 D7510 F7510 H7510 D7513 F7513 H7513 D7516 F7516 H7516 D7519 F7519 H7519 D7522 F7522 H7522 D7525 F7525 H7525 D7529 F7529 H7529 D7532 F7532 H7532 D7535 F7535 H7535 D7538 F7538 H7538 D7542 F7542 H7542 D7545 F7545 H7545 D7548 F7548 H7548 D7551 F7551 H7551 D7554 F7554 H7554 D7557 F7557 H7557 D7560 F7560 H7560 D7563 F7563 H7563 D7566 F7566 H7566 D7569 F7569 H7569 D7572 F7572 H7572 D7575 F7575 H7575 D7578 F7578 H7578 D7581 F7581 H7581 D7584 F7584 H7584 D7588 F7588 H7588 D7591 F7591 H7591 D7594 F7594 H7594 D7597 F7597 H7597 D7600 F7600 H7600 D7603 F7603 H7603 D7606 F7606 H7606 D7609 F7609 H7609 D7614 F7614 H7614 D7617 F7617 H7617 D7620 F7620 H7620 D7623 F7623 H7623 D7626 F7626 H7626 D7630 F7630 H7630 D7633 F7633 H7633 D7636 F7636 H7636 D7639 F7639 H7639 D7642 F7642 H7642 D7645 F7645 H7645 D7649 F7649 H7649 D7653 F7653 H7653 D7656 F7656 H7656 D7659 F7659 H7659 D7663 F7663 H7663 D7667 F7667 H7667 D7670 F7670 H7670 D7673 F7673 H7673 D7677 F7677 H7677 D7680 F7680 H7680 D7683 F7683 H7683 D7686 F7686 H7686 D7689 F7689 H7689 D7692 F7692 H7692 D7695 F7695 H7695 D7698 F7698 H7698 D7701 F7701 H7701 D7704 F7704 H7704 D7707 F7707 H7707 D7710 F7710 H7710 D7716 F7716 H7716 D7719 F7719 H7719 D7722 F7722 H7722 D7725 F7725 H7725 D7728 F7728 H7728 D7731 F7731 H7731 D7734 F7734 H7734 D7737 F7737 H7737 D7740 F7740 H7740 D7743 F7743 H7743 D7746 F7746 H7746 D7750 F7750 H7750 D7753 F7753 H7753 D7756 F7756 H7756 D7759 F7759 H7759 D7762 F7762 H7762 D7765 F7765 H7765 D7768 F7768 H7768 D7771 F7771 H7771 D7774 F7774 H7774 D7777 F7777 H7777 D7780 F7780 H7780 D7783 F7783 H7783 D7786 F7786 H7786 D7789 F7789 H7789 D7792 F7792 H7792 D7795 F7795 H7795 D7798 F7798 H7798 D7801 F7801 H7801 D7804 F7804 H7804 D7807 F7807 H7807 D7810 F7810 H7810 D7813 F7813 H7813 D7816 F7816 H7816 D7820 F7820 H7820 D7823 F7823 H7823 D7826 F7826 H7826 D7829 F7829 H7829 D7832 F7832 H7832 D7835 F7835 H7835 D7838 F7838 H7838 D7841 F7841 H7841 D7844 F7844 H7844 D7848 F7848 H7848 D7851 F7851 H7851 D7854 F7854 H7854 D7857 F7857 H7857 D7860 F7860 H7860 D7863 F7863 H7863 D7866 F7866 H7866 D7869 F7869 H7869 D7872 F7872 H7872 D7875 F7875 H7875 D7878 F7878 H7878 D7881 F7881 H7881 D7884 F7884 H7884 D7887 F7887 H7887 D7890 F7890 H7890 D7893 F7893 H7893 D7897 F7897 H7897 D7900 F7900 H7900 D7903 F7903 H7903 D7906 F7906 H7906 D7909 F7909 H7909 D7912 F7912 H7912 D7915 F7915 H7915 D7918 F7918 H7918 D7921 F7921 H7921 D7924 F7924 H7924 D7927 F7927 H7927 D7931 F7931 H7931 D7934 F7934 H7934 D7937 F7937 H7937 D7940 F7940 H7940 D7943 F7943 H7943 D7946 F7946 H7946 D7949 F7949 H7949 D7952 F7952 H7952 D7956 F7956 H7956 D7959 F7959 H7959 D7962 F7962 H7962 D7965 F7965 H7965 D7968 F7968 H7968 D7971 F7971 H7971 D7974 F7974 H7974 D7977 F7977 H7977 D7980 F7980 H7980 D7983 F7983 H7983 D7986 F7986 H7986 D7989 F7989 H7989 D7992 F7992 H7992 D7995 F7995 H7995 D7998 F7998 H7998 D8001 F8001 H8001 D8004 F8004 H8004 D8007 F8007 H8007 D8010 F8010 H8010 D8013 F8013 H8013 D8016 F8016 H8016 D8019 F8019 H8019 D8022 F8022 H8022 D8025 F8025 H8025 D8028 F8028 H8028 D8031 F8031 H8031 D8034 F8034 H8034 D8037 F8037 H8037 D8040 F8040 H8040 D8043 F8043 H8043 D8046 F8046 H8046 D8049 F8049 H8049 D8052 F8052 H8052 D8055 F8055 H8055 D8058 F8058 H8058 D8061 F8061 H8061 D8064 F8064 H8064 D8067 F8067 H8067 D8070 F8070 H8070 D8073 F8073 H8073 D8076 F8076 H8076 D8079 F8079 H8079 D8082 F8082 H8082 D8085 F8085 H8085 D8089 F8089 H8089 D8092 F8092 H8092 D8095 F8095 H8095 D8098 F8098 H8098 D8101 F8101 H8101 D8104 F8104 H8104 D8107 F8107 H8107 D8110 F8110 H8110 D8114 F8114 H8114 D8117 F8117 H8117 D8120 F8120 H8120 D8123 F8123 H8123 D8126 F8126 H8126 D8129 F8129 H8129 D8132 F8132 H8132 D8136 F8136 H8136 D8139 F8139 H8139 D8142 F8142 H8142 D8145 F8145 H8145 D8148 F8148 H8148 D8151 F8151 H8151 D8154 F8154 H8154 D8157 F8157 H8157 D8160 F8160 H8160 D8163 F8163 H8163 D8166 F8166 H8166 D8169 F8169 H8169 D8172 F8172 H8172 D8175 F8175 H8175 D8178 F8178 H8178 D8182 F8182 H8182 D8185 F8185 H8185 D8188 F8188 H8188 D8191 F8191 H8191 D8194 F8194 H8194 D8197 F8197 H8197 D8200 F8200 H8200 D8203 F8203 H8203 D8206 F8206 H8206 D8209 F8209 H8209 D8212 F8212 H8212 D8216 F8216 H8216 D8220 F8220 H8220 D8223 F8223 H8223 D8226 F8226 H8226 D8229 F8229 H8229 D8232 F8232 H8232 D8235 F8235 H8235 D8238 F8238 H8238 D8241 F8241 H8241 D8244 F8244 H8244 D8247 F8247 H8247 D8250 F8250 H8250 D8253 F8253 H8253 D8256 F8256 H8256 D8259 F8259 H8259 D8262 F8262 H8262 D8265 F8265 H8265 D8268 F8268 H8268 D8272 F8272 H8272 D8276 F8276 H8276 D8279 F8279 H8279 D8283 F8283 H8283 D8287 F8287 H8287 D8291 F8291 H8291 D8294 F8294 H8294 D8298 F8298 H8298 D8302 F8302 H8302 D8306 F8306 H8306 D8309 F8309 H8309 D8315 F8315 H8315 D8318 F8318 H8318 D8321 F8321 H8321 D8324 F8324 H8324 D8328 F8328 H8328 D8331 F8331 H8331 D8334 F8334 H8334 D8337 F8337 H8337 D8340 F8340 H8340 D8343 F8343 H8343 D8346 F8346 H8346 D8349 F8349 H8349 D8352 F8352 H8352 D8355 F8355 H8355 D8358 F8358 H8358 D8361 F8361 H8361 D8364 F8364 H8364 D8367 F8367 H8367 D8370 F8370 H8370 D8373 F8373 H8373 D8377 F8377 H8377 D8380 F8380 H8380 D8383 F8383 H8383 D8386 F8386 H8386 D8389 F8389 H8389 D8392 F8392 H8392 D8395 F8395 H8395 D8398 F8398 H8398 D8402 F8402 H8402 D8405 F8405 H8405 D8408 F8408 H8408 D8411 F8411 H8411 D8414 F8414 H8414 D8417 F8417 H8417 D8422 F8422 H8422 D8425 F8425 H8425 D8428 F8428 H8428 D8431 F8431 H8431 D8434 F8434 H8434 D8437 F8437 H8437 D8440 F8440 H8440 D8443 F8443 H8443 D8446 F8446 H8446 D8449 F8449 H8449 D8452 F8452 H8452 D8455 F8455 H8455 D8458 F8458 H8458 D8461 F8461 H8461 D8464 F8464 H8464 D8467 F8467 H8467 D8470 F8470 H8470 D8473 F8473 H8473 D8476 F8476 H8476 D8480 F8480 H8480 D8483 F8483 H8483 D8486 F8486 H8486 D8489 F8489 H8489 D8492 F8492 H8492 D8495 F8495 H8495 D8498 F8498 H8498 D8502 F8502 H8502 D8506 F8506 H8506 D8509 F8509 H8509 D8512 F8512 H8512 D8515 F8515 H8515 D8518 F8518 H8518 D8521 F8521 H8521 D8525 F8525 H8525 D8528 F8528 H8528 D8531 F8531 H8531 D8535 F8535 H8535 D8538 F8538 H8538 D8541 F8541 H8541 D8544 F8544 H8544 D8547 F8547 H8547 D8550 F8550 H8550 D8553 F8553 H8553 D8556 F8556 H8556 D8559 F8559 H8559 D8562 F8562 H8562 D8565 F8565 H8565 D8568 F8568 H8568 D8572 F8572 H8572 D8575 F8575 H8575 D8578 F8578 H8578 D8581 F8581 H8581 D8584 F8584 H8584 D8587 F8587 H8587 D8590 F8590 H8590 D8593 F8593 H8593 D8596 F8596 H8596 D8599 F8599 H8599 D8602 F8602 H8602 D8605 F8605 H8605 D8608 F8608 H8608 D8611 F8611 H8611 D8614 F8614 H8614 D8617 F8617 H8617 D8620 F8620 H8620 D8623 F8623 H8623 D8626 F8626 H8626 D8629 F8629 H8629 D8632 F8632 H8632 D8635 F8635 H8635 D8638 F8638 H8638 D8642 F8642 H8642 D8645 F8645 H8645 D8648 F8648 H8648 D8651 F8651 H8651 D8654 F8654 H8654 D8657 F8657 H8657 D8660 F8660 H8660 D8663 F8663 H8663 D8666 F8666 H8666 D8669 F8669 H8669 D8672 F8672 H8672 D8675 F8675 H8675 D8679 F8679 H8679 D8682 F8682 H8682 D8685 F8685 H8685 D8688 F8688 H8688 D8691 F8691 H8691 D8694 F8694 H8694 D8697 F8697 H8697 D8700 F8700 H8700 D8703 F8703 H8703 D8706 F8706 H8706 D8709 F8709 H8709 D8712 F8712 H8712 D8715 F8715 H8715 D8718 F8718 H8718 D8721 F8721 H8721 D8724 F8724 H8724 D8727 F8727 H8727 D8730 F8730 H8730 D8733 F8733 H8733 D8736 F8736 H8736 D8739 F8739 H8739 D8742 F8742 H8742 D8745 F8745 H8745 D8748 F8748 H8748 D8751 F8751 H8751 D8754 F8754 H8754 D8757 F8757 H8757 D8760 F8760 H8760 D8763 F8763 H8763 D8766 F8766 H8766 D8769 F8769 H8769 D8772 F8772 H8772 D8776 F8776 H8776 D8779 F8779 H8779 D8782 F8782 H8782 D8786 F8786 H8786 D8789 F8789 H8789 D8792 F8792 H8792 D8796 F8796 H8796 D8799 F8799 H8799 D8802 F8802 H8802 D8805 F8805 H8805 D8808 F8808 H8808 D8811 F8811 H8811 D8814 F8814 H8814 D8817 F8817 H8817 D8820 F8820 H8820 D8823 F8823 H8823 D8826 F8826 H8826 D8829 F8829 H8829 D8832 F8832 H8832 D8835 F8835 H8835 D8838 F8838 H8838 D8841 F8841 H8841 D8844 F8844 H8844 D8847 F8847 H8847 D8850 F8850 H8850 D8853 F8853 H8853 D8856 F8856 H8856 D8860 F8860 H8860 D8863 F8863 H8863 D8866 F8866 H8866 D8870 F8870 H8870 D8874 F8874 H8874 D8878 F8878 H8878 D8881 F8881 H8881 D8884 F8884 H8884 D8887 F8887 H8887 D8890 F8890 H8890 D8893 F8893 H8893 D8896 F8896 H8896 D8899 F8899 H8899 D8902 F8902 H8902 D8905 F8905 H8905 D8908 F8908 H8908 D8911 F8911 H8911 D8914 F8914 H8914 D8918 F8918 H8918 D8921 F8921 H8921 D8924 F8924 H8924 D8927 F8927 H8927 D8930 F8930 H8930 D8934 F8934 H8934 D8937 F8937 H8937 D8940 F8940 H8940 D8943 F8943 H8943 D8946 F8946 H8946 D8949 F8949 H8949 D8952 F8952 H8952 D8956 F8956 H8956 D8959 F8959 H8959 D8962 F8962 H8962 D8965 F8965 H8965 D8968 F8968 H8968 D8971 F8971 H8971 D8974 F8974 H8974 D8977 F8977 H8977 D8980 F8980 H8980 D8983 F8983 H8983 D8986 F8986 H8986 D8989 F8989 H8989 D8992 F8992 H8992 D8995 F8995 H8995 D8998 F8998 H8998 D9001 F9001 H9001 D9004 F9004 H9004 D9007 F9007 H9007 D9010 F9010 H9010 D9014 F9014 H9014 D9017 F9017 H9017 D9020 F9020 H9020 D9023 F9023 H9023 D9026 F9026 H9026 D9029 F9029 H9029 D9032 F9032 H9032 D9035 F9035 H9035 D9038 F9038 H9038 D9041 F9041 H9041 D9044 F9044 H9044 D9047 F9047 H9047 D9050 F9050 H9050 D9054 F9054 H9054 D9057 F9057 H9057 D9060 F9060 H9060 D9063 F9063 H9063 D9066 F9066 H9066 D9069 F9069 H9069 D9072 F9072 H9072 D9075 F9075 H9075 D9078 F9078 H9078 D9082 F9082 H9082 D9085 F9085 H9085 D9088 F9088 H9088 D9091 F9091 H9091 D9094 F9094 H9094 D9098 F9098 H9098 D9101 F9101 H9101 D9104 F9104 H9104 D9107 F9107 H9107 D9110 F9110 H9110 D9113 F9113 H9113 D9116 F9116 H9116 D9120 F9120 H9120 D9123 F9123 H9123 D9126 F9126 H9126 D9129 F9129 H9129 D9132 F9132 H9132 D9135 F9135 H9135 D9139 F9139 H9139 D9142 F9142 H9142 D9145 F9145 H9145 D9148 F9148 H9148 D9151 F9151 H9151 D9154 F9154 H9154 D9157 F9157 H9157 D9160 F9160 H9160 D9163 F9163 H9163 D9166 F9166 H9166 D9169 F9169 H9169 D9173 F9173 H9173 D9176 F9176 H9176 D9179 F9179 H9179 D9182 F9182 H9182 D9185 F9185 H9185 D9188 F9188 H9188 D9192 F9192 H9192 D9196 F9196 H9196 D9199 F9199 H9199 D9203 F9203 H9203 D9206 F9206 H9206 D9209 F9209 H9209 D9212 F9212 H9212 D9215 F9215 H9215 D9218 F9218 H9218 D9221 F9221 H9221 D9224 F9224 H9224 D9228 F9228 H9228 D9234 F9234 H9234 D9237 F9237 H9237 D9241 F9241 H9241 D9244 F9244 H9244 D9247 F9247 H9247 D9250 F9250 H9250 D9253 F9253 H9253 D9256 F9256 H9256 D9259 F9259 H9259 D9262 F9262 H9262 D9265 F9265 H9265 D9268 F9268 H9268 D9271 F9271 H9271 D9274 F9274 H9274 D9278 F9278 H9278 D9281 F9281 H9281 D9284 F9284 H9284 D9287 F9287 H9287 D9290 F9290 H9290 D9293 F9293 H9293 D9296 F9296 H9296 D9299 F9299 H9299 D9302 F9302 H9302 D9305 F9305 H9305 D9308 F9308 H9308 D9311 F9311 H9311 D9314 F9314 H9314 D9317 F9317 H9317 D9320 F9320 H9320 D9323 F9323 H9323 D9327 F9327 H9327 D9331 F9331 H9331 D9334 F9334 H9334 D9337 F9337 H9337 D9340 F9340 H9340 D9343 F9343 H9343 D9346 F9346 H9346 D9349 F9349 H9349 D9352 F9352 H9352 D9355 F9355 H9355 D9358 F9358 H9358 D9361 F9361 H9361 D9364 F9364 H9364 D9368 F9368 H9368 D9371 F9371 H9371 D9374 F9374 H9374 D9377 F9377 H9377 D9380 F9380 H9380 D9383 F9383 H9383 D9386 F9386 H9386 D9389 F9389 H9389 D9392 F9392 H9392 D9395 F9395 H9395 D9398 F9398 H9398 D9401 F9401 H9401 D9404 F9404 H9404 D9407 F9407 H9407 D9410 F9410 H9410 D9413 F9413 H9413 D9416 F9416 H9416 D9419 F9419 H9419 D9422 F9422 H9422 D9425 F9425 H9425 D9428 F9428 H9428 D9431 F9431 H9431 D9434 F9434 H9434 D9437 F9437 H9437 D9440 F9440 H9440 D9443 F9443 H9443 D9446 F9446 H9446 D9449 F9449 H9449 D9452 F9452 H9452 D9455 F9455 H9455 D9458 F9458 H9458 D9461 F9461 H9461 D9464 F9464 H9464 D9467 F9467 H9467 D9470 F9470 H9470 D9473 F9473 H9473 D9476 F9476 H9476 D9479 F9479 H9479 D9482 F9482 H9482 D9485 F9485 H9485 D9488 F9488 H9488 D9491 F9491 H9491 D9494 F9494 H9494 D9497 F9497 H9497 D9500 F9500 H9500 D9503 F9503 H9503 D9506 F9506 H9506 D9509 F9509 H9509 D9512 F9512 H9512 D9515 F9515 H9515 D9518 F9518 H9518 D9521 F9521 H9521 D9524 F9524 H9524 D9527 F9527 H9527 D9530 F9530 H9530 D9533 F9533 H9533 D9536 F9536 H9536 D9539 F9539 H9539 D9542 F9542 H9542 D9545 F9545 H9545 D9548 F9548 H9548 D9551 F9551 H9551 D9554 F9554 H9554 D9557 F9557 H9557 D9560 F9560 H9560 D9563 F9563 H9563 D9566 F9566 H9566 D9569 F9569 H9569 D9572 F9572 H9572 D9575 F9575 H9575 D9579 F9579 H9579 D9582 F9582 H9582 D9585 F9585 H9585 D9588 F9588 H9588 D9591 F9591 H9591 D9594 F9594 H9594 D9597 F9597 H9597 D9600 F9600 H9600 D9603 F9603 H9603 D9606 F9606 H9606 D9609 F9609 H9609 D9612 F9612 H9612 D9615 F9615 H9615 D9619 F9619 H9619 D9623 F9623 H9623 D9626 F9626 H9626 D9629 F9629 H9629 D9632 F9632 H9632 D9635 F9635 H9635 D9638 F9638 H9638 D9641 F9641 H9641 D9644 F9644 H9644 D9647 F9647 H9647 D9650 F9650 H9650 D9653 F9653 H9653 D9656 F9656 H9656 D9659 F9659 H9659 D9662 F9662 H9662 D9665 F9665 H9665 D9668 F9668 H9668 D9671 F9671 H9671 D9674 F9674 H9674 D9677 F9677 H9677 D9680 F9680 H9680 D9683 F9683 H9683 D9686 F9686 H9686 D9689 F9689 H9689 D9692 F9692 H9692 D9695 F9695 H9695 D9698 F9698 H9698 D9701 F9701 H9701 D9704 F9704 H9704 D9708 F9708 H9708 D9712 F9712 H9712 D9715 F9715 H9715 D9718 F9718 H9718 D9721 F9721 H9721 D9724 F9724 H9724 D9727 F9727 H9727 D9730 F9730 H9730 D9733 F9733 H9733 D9736 F9736 H9736 D9739 F9739 H9739 D9743 F9743 H9743 D9746 F9746 H9746 D9749 F9749 H9749 D9752 F9752 H9752 D9756 F9756 H9756 D9759 F9759 H9759 D9762 F9762 H9762 D9765 F9765 H9765 D9768 F9768 H9768 D9771 F9771 H9771 D9774 F9774 H9774 D9777 F9777 H9777 D9780 F9780 H9780 D9783 F9783 H9783 D9786 F9786 H9786 D9789 F9789 H9789 D9792 F9792 H9792 D9795 F9795 H9795 D9798 F9798 H9798 D9801 F9801 H9801 D9804 F9804 H9804 D9807 F9807 H9807 D9810 F9810 H9810 D9813 F9813 H9813 D9816 F9816 H9816 D9819 F9819 H9819 D9822 F9822 H9822 D9825 F9825 H9825 D9828 F9828 H9828 D9831 F9831 H9831 D9834 F9834 H9834 D9837 F9837 H9837 D9840 F9840 H9840 D9843 F9843 H9843 D9846 F9846 H9846 D9849 F9849 H9849 D9852 F9852 H9852 D9855 F9855 H9855 D9858 F9858 H9858 D9861 F9861 H9861 D9864 F9864 H9864 D9867 F9867 H9867 D9870 F9870 H9870 D9873 F9873 H9873 D9876 F9876 H9876 D9879 F9879 H9879 D9882 F9882 H9882 D9885 F9885 H9885 D9888 F9888 H9888 D9891 F9891 H9891 D9895 F9895 H9895 D9898 F9898 H9898 D9901 F9901 H9901 D9904 F9904 H9904 D9907 F9907 H9907 D9910 F9910 H9910 D9913 F9913 H9913 D9916 F9916 H9916 D9919 F9919 H9919 D9922 F9922 H9922 D9925 F9925 H9925 D9928 F9928 H9928 D9931 F9931 H9931 D9934 F9934 H9934 D9937 F9937 H9937 D9940 F9940 H9940 D9943 F9943 H9943 D9946 F9946 H9946 D9949 F9949 H9949 D9952 F9952 H9952 D9955 F9955 H9955 D9958 F9958 H9958 D9961 F9961 H9961 D9964 F9964 H9964 D9967 F9967 H9967 D9970 F9970 H9970 D9973 F9973 H9973 D9976 F9976 H9976 D9979 F9979 H9979 D9982 F9982 H9982 D9985 F9985 H9985 D9988 F9988 H9988 D9991 F9991 H9991 D9994 F9994 H9994 D9997 F9997 H9997 D10000 F10000 H10000 D10003 F10003 H10003 D10006 F10006 H10006 D10009 F10009 H10009 D10012 F10012 H10012 D10015 F10015 H10015 D10018 F10018 H10018 D10021 F10021 H10021 D10024 F10024 H10024 D10027 F10027 H10027 D10030 F10030 H10030 D10033 F10033 H10033 D10036 F10036 H10036 D10039 F10039 H10039 D10042 F10042 H10042 D10045 F10045 H10045 D10048 F10048 H10048 D10051 F10051 H10051 D10054 F10054 H10054 D10057 F10057 H10057 D10060 F10060 H10060 D10063 F10063 H10063 D10066 F10066 H10066 D10069 F10069 H10069 D10072 F10072 H10072 D10075 F10075 H10075 D10078 F10078 H10078 D10081 F10081 H10081 D10084 F10084 H10084 D10088 F10088 H10088 D10091 F10091 H10091 D10094 F10094 H10094 D10097 F10097 H10097 D10100 F10100 H10100 D10104 F10104 H10104 D10107 F10107 H10107 D10110 F10110 H10110 D10113 F10113 H10113 D10116 F10116 H10116 D10119 F10119 H10119 D10125 F10125 H10125 D10128 F10128 H10128 D10131 F10131 H10131 D10134 F10134 H10134 D10137 F10137 H10137 D10143 F10143 H10143 D10146 F10146 H10146 D10150 F10150 H10150 D10153 F10153 H10153 D10156 F10156 H10156 D10159 F10159 H10159 D10162 F10162 H10162 D10165 F10165 H10165 D10168 F10168 H10168 D10171 F10171 H10171 D10174 F10174 H10174 D10177 F10177 H10177 D10180 F10180 H10180 D10183 F10183 H10183 D10186 F10186 H10186 D10189 F10189 H10189 D10192 F10192 H10192 D10195 F10195 H10195 D10198 F10198 H10198 D10201 F10201 H10201 D10204 F10204 H10204 D10207 F10207 H10207 D10210 F10210 H10210 D10213 F10213 H10213 D10216 F10216 H10216 D10219 F10219 H10219 D10222 F10222 H10222 D10225 F10225 H10225 D10228 F10228 H10228 D10231 F10231 H10231 D10234 F10234 H10234 D10237 F10237 H10237 D10240 F10240 H10240 D10243 F10243 H10243 D10246 F10246 H10246 D10249 F10249 H10249 D10252 F10252 H10252 D10255 F10255 H10255 D10258 F10258 H10258 D10261 F10261 H10261 D10264 F10264 H10264 D10267 F10267 H10267 D10270 F10270 H10270 D10273 F10273 H10273 D10276 F10276 H10276 D10279 F10279 H10279 D10282 F10282 H10282 D10285 F10285 H10285 D10288 F10288 H10288 D10291 F10291 H10291 D10294 F10294 H10294 D10297 F10297 H10297 D10300 F10300 H10300 D10303 F10303 H10303 D10306 F10306 H10306 D10309 F10309 H10309 D10312 F10312 H10312 D10315 F10315 H10315 D10318 F10318 H10318 D10321 F10321 H10321 D10324 F10324 H10324 D10327 F10327 H10327 D10330 F10330 H10330 D10333 F10333 H10333 D10336 F10336 H10336 D10339 F10339 H10339 D10342 F10342 H10342 D10345 F10345 H10345 D10348 F10348 H10348 D10351 F10351 H10351 D10354 F10354 H10354 D10357 F10357 H10357 D10360 F10360 H10360 D10363 F10363 H10363 D10366 F10366 H10366 D10369 F10369 H10369 D10372 F10372 H10372 D10375 F10375 H10375 D10378 F10378 H10378 D10381 F10381 H10381 D10384 F10384 H10384 D10387 F10387 H10387 D10390 F10390 H10390 D10393 F10393 H10393 D10396 F10396 H10396 D10399 F10399 H10399 D10402 F10402 H10402 D10405 F10405 H10405 D10408 F10408 H10408 D10411 F10411 H10411 D10414 F10414 H10414 D10417 F10417 H10417 D10420 F10420 H10420 D10423 F10423 H10423 D10426 F10426 H10426 D10429 F10429 H10429 D10432 F10432 H10432 D10435 F10435 H10435 D10438 F10438 H10438 D10441 F10441 H10441 D10444 F10444 H10444 D10447 F10447 H10447 D10450 F10450 H10450 D10454 F10454 H10454 D10457 F10457 H10457 D10460 F10460 H10460 D10463 F10463 H10463 D10466 F10466 H10466 D10469 F10469 H10469 D10472 F10472 H10472 D10475 F10475 H10475 D10478 F10478 H10478 D10481 F10481 H10481 D10484 F10484 H10484 D10487 F10487 H10487 D10490 F10490 H10490 D10493 F10493 H10493 D10496 F10496 H10496 D10499 F10499 H10499 D10502 F10502 H10502 D10505 F10505 H10505 D10508 F10508 H10508 D10511 F10511 H10511 D10514 F10514 H10514 D10517 F10517 H10517 D10520 F10520 H10520 D10523 F10523 H10523 D10526 F10526 H10526 D10529 F10529 H10529 D10532 F10532 H10532 D10535 F10535 H10535 D10538 F10538 H10538 D10541 F10541 H10541 D10544 F10544 H10544 D10547 F10547 H10547 D10550 F10550 H10550 D10553 F10553 H10553 D10556 F10556 H10556 D10559 F10559 H10559 D10562 F10562 H10562 D10565 F10565 H10565 D10568 F10568 H10568 D10571 F10571 H10571 D10574 F10574 H10574 D10577 F10577 H10577 D10580 F10580 H10580 D10583 F10583 H10583 D10586 F10586 H10586 D10590 F10590 H10590 D10593 F10593 H10593 D10596 F10596 H10596 D10599 F10599 H10599 D10602 F10602 H10602 D10605 F10605 H10605 D10608 F10608 H10608 D10611 F10611 H10611 D10614 F10614 H10614 D10618 F10618 H10618 D10621 F10621 H10621 D10624 F10624 H10624 D10627 F10627 H10627 D10630 F10630 H10630 D10633 F10633 H10633 D10636 F10636 H10636 D10640 F10640 H10640 D10643 F10643 H10643 D10646 F10646 H10646 D10649 F10649 H10649 D10652 F10652 H10652 D10655 F10655 H10655 D10658 F10658 H10658 D10661 F10661 H10661 D10664 F10664 H10664 D10667 F10667 H10667 D10670 F10670 H10670 D10673 F10673 H10673 D10676 F10676 H10676 D10679 F10679 H10679 D10682 F10682 H10682 D10685 F10685 H10685 D10688 F10688 H10688 D10691 F10691 H10691 D10694 F10694 H10694 D10697 F10697 H10697 D10700 F10700 H10700 D10703 F10703 H10703 D10706 F10706 H10706 D10709 F10709 H10709 D10712 F10712 H10712 D10715 F10715 H10715 D10718 F10718 H10718 D10721 F10721 H10721 D10724 F10724 H10724 D10727 F10727 H10727 D10731 F10731 H10731 D10734 F10734 H10734 D10737 F10737 H10737 D10740 F10740 H10740 D10743 F10743 H10743 D10746 F10746 H10746 D10749 F10749 H10749 D10752 F10752 H10752 D10755 F10755 H10755 D10758 F10758 H10758 D10761 F10761 H10761 D10764 F10764 H10764 D10767 F10767 H10767 D10770 F10770 H10770 D10773 F10773 H10773 D10776 F10776 H10776 D10779 F10779 H10779 D10782 F10782 H10782 D10785 F10785 H10785 D10788 F10788 H10788 D10791 F10791 H10791 D10794 F10794 H10794 D10797 F10797 H10797 D10800 F10800 H10800 D10803 F10803 H10803 D10806 F10806 H10806 D10809 F10809 H10809 D10812 F10812 H10812 D10815 F10815 H10815 D10818 F10818 H10818 D10821 F10821 H10821 D10824 F10824 H10824 D10827 F10827 H10827 D10833 F10833 H10833 D10836 F10836 H10836 D10839 F10839 H10839 D10842 F10842 H10842 D10845 F10845 H10845 D10848 F10848 H10848 D10851 F10851 H10851 D10854 F10854 H10854 D10857 F10857 H10857 D10860 F10860 H10860 D10863 F10863 H10863 D10866 F10866 H10866 D10869 F10869 H10869 D10872 F10872 H10872 D10875 F10875 H10875 D10878 F10878 H10878 D10881 F10881 H10881 D10884 F10884 H10884 D10887 F10887 H10887 D10890 F10890 H10890 D10893 F10893 H10893 D10896 F10896 H10896 D10899 F10899 H10899 D10902 F10902 H10902 D10905 F10905 H10905 D10908 F10908 H10908 D10911 F10911 H10911 D10914 F10914 H10914 D10917 F10917 H10917 D10920 F10920 H10920 D10923 F10923 H10923 D10926 F10926 H10926 D10929 F10929 H10929 D10932 F10932 H10932 D10935 F10935 H10935 D10938 F10938 H10938 D10941 F10941 H10941 D10944 F10944 H10944 D10947 F10947 H10947 D10950 F10950 H10950 D10953 F10953 H10953 D10956 F10956 H10956 D10959 F10959 H10959 D10962 F10962 H10962 D10965 F10965 H10965 D10968 F10968 H10968 D10971 F10971 H10971 D10974 F10974 H10974 D10977 F10977 H10977 D10980 F10980 H10980 D10983 F10983 H10983 D10987 F10987 H10987 D10990 F10990 H10990 D10993 F10993 H10993 D10996 F10996 H10996 D10999 F10999 H10999 D11002 F11002 H11002 D11005 F11005 H11005 D11008 F11008 H11008 D11011 F11011 H11011 D11014 F11014 H11014 D11017 F11017 H11017 D11020 F11020 H11020 D11023 F11023 H11023 D11029 F11029 H11029 D11032 F11032 H11032 D11035 F11035 H11035 D11038 F11038 H11038 D11041 F11041 H11041 D11044 F11044 H11044 D11047 F11047 H11047 D11050 F11050 H11050 D11053 F11053 H11053 D11056 F11056 H11056 D11059 F11059 H11059 D11062 F11062 H11062 D11065 F11065 H11065 D11068 F11068 H11068 D11071 F11071 H11071 D11074 F11074 H11074 D11077 F11077 H11077 D11080 F11080 H11080 D11083 F11083 H11083 D11086 F11086 H11086 D11089 F11089 H11089 D11092 F11092 H11092 D11095 F11095 H11095 D11098 F11098 H11098 D11101 F11101 H11101 D11104 F11104 H11104 D11107 F11107 H11107 D11110 F11110 H11110 D11113 F11113 H11113 D11116 F11116 H11116 D11119 F11119 H11119 D11122 F11122 H11122 D11125 F11125 H11125 D11128 F11128 H11128 D11133 F11133 H11133 D11136 F11136 H11136 D11140 F11140 H11140 D11143 F11143 H11143 D11146 F11146 H11146 D11149 F11149 H11149 D11152 F11152 H11152 D11155 F11155 H11155 D11158 F11158 H11158 D11161 F11161 H11161 D11164 F11164 H11164 D11167 F11167 H11167 D11170 F11170 H11170 D11173 F11173 H11173 D11176 F11176 H11176 D11179 F11179 H11179 D11182 F11182 H11182 D11185 F11185 H11185 D11188 F11188 H11188 D11191 F11191 H11191 D11194 F11194 H11194 D11197 F11197 H11197 D11200 F11200 H11200 D11203 F11203 H11203 D11206 F11206 H11206 D11209 F11209 H11209 D11212 F11212 H11212 D11215 F11215 H11215 D11218 F11218 H11218 D11221 F11221 H11221 D11224 F11224 H11224 D11227 F11227 H11227 D11230 F11230 H11230 D11234 F11234 H11234 D11237 F11237 H11237 D11240 F11240 H11240 D11243 F11243 H11243 D11246 F11246 H11246 D11249 F11249 H11249 D11253 F11253 H11253 D11256 F11256 H11256 D11259 F11259 H11259 D11262 F11262 H11262 D11265 F11265 H11265 D11268 F11268 H11268 D11271 F11271 H11271 D11274 F11274 H11274 D11277 F11277 H11277 D11280 F11280 H11280 D11283 F11283 H11283 D11289 F11289 H11289 D11292 F11292 H11292 D11295 F11295 H11295 D11298 F11298 H11298 D11301 F11301 H11301 D11306 F11306 H11306 D11309 F11309 H11309 D11312 F11312 H11312 D11315 F11315 H11315 D11318 F11318 H11318 D11323 F11323 H11323 D11326 F11326 H11326 D11329 F11329 H11329 D11333 F11333 H11333 D11336 F11336 H11336 D11341 F11341 H11341 D11344 F11344 H11344 D11347 F11347 H11347 D11350 F11350 H11350 D11353 F11353 H11353 D11357 F11357 H11357 D11360 F11360 H11360 D11363 F11363 H11363 D11366 F11366 H11366 D11369 F11369 H11369 D11372 F11372 H11372 D11375 F11375 H11375 D11378 F11378 H11378 D11381 F11381 H11381 D11384 F11384 H11384 D11387 F11387 H11387 D11390 F11390 H11390 D11393 F11393 H11393 D11396 F11396 H11396 D11399 F11399 H11399 D11402 F11402 H11402 D11405 F11405 H11405 D11408 F11408 H11408 D11411 F11411 H11411 D11414 F11414 H11414 D11417 F11417 H11417 D11420 F11420 H11420 D11423 F11423 H11423 D11426 F11426 H11426 D11429 F11429 H11429 D11432 F11432 H11432 D11435 F11435 H11435 D11438 F11438 H11438 D11441 F11441 H11441 D11444 F11444 H11444 D11447 F11447 H11447 D11450 F11450 H11450 D11453 F11453 H11453 D11456 F11456 H11456 D11459 F11459 H11459 D11462 F11462 H11462 D11465 F11465 H11465 D11468 F11468 H11468 D11471 F11471 H11471 D11474 F11474 H11474 D11477 F11477 H11477 D11480 F11480 H11480 D11483 F11483 H11483 D11486 F11486 H11486 D11489 F11489 H11489 D11492 F11492 H11492 D11495 F11495 H11495 D11498 F11498 H11498 D11501 F11501 H11501 D11504 F11504 H11504 D11507 F11507 H11507 D11510 F11510 H11510 D11513 F11513 H11513 D11516 F11516 H11516 D11519 F11519 H11519 D11522 F11522 H11522 D11525 F11525 H11525 D11528 F11528 H11528 D11531 F11531 H11531 D11534 F11534 H11534 D11537 F11537 H11537 D11541 F11541 H11541 D11544 F11544 H11544 D11547 F11547 H11547 D11550 F11550 H11550 D11553 F11553 H11553 D11556 F11556 H11556 D11560 F11560 H11560 D11563 F11563 H11563 D11566 F11566 H11566 D11569 F11569 H11569 D11572 F11572 H11572 D11575 F11575 H11575 D11578 F11578 H11578 D11581 F11581 H11581 D11584 F11584 H11584 D11587 F11587 H11587 D11590 F11590 H11590 D11593 F11593 H11593 D11596 F11596 H11596 D11600 F11600 H11600 D11603 F11603 H11603 D11606 F11606 H11606 D11609 F11609 H11609 D11612 F11612 H11612 D11615 F11615 H11615 D11618 F11618 H11618 D11621 F11621 H11621 D11624 F11624 H11624 D11627 F11627 H11627 D11630 F11630 H11630 D11633 F11633 H11633 D11636 F11636 H11636 D11639 F11639 H11639 D11648 F11648 H11648 D11651 F11651 H11651 D11654 F11654 H11654 D11657 F11657 H11657 D11660 F11660 H11660 D11666 F11666 H11666 D11669 F11669 H11669 D11672 F11672 H11672 D11675 F11675 H11675 D11678 F11678 H11678 D11681 F11681 H11681 D11684 F11684 H11684 D11687 F11687 H11687 D11690 F11690 H11690 D11693 F11693 H11693 D11696 F11696 H11696 D11699 F11699 H11699 D11702 F11702 H11702 D11705 F11705 H11705 D11708 F11708 H11708 D11711 F11711 H11711 D11714 F11714 H11714 D11717 F11717 H11717 D11720 F11720 H11720 D11723 F11723 H11723 D11726 F11726 H11726 D11729 F11729 H11729 D11732 F11732 H11732">
    <cfRule type="cellIs" dxfId="0" priority="1" operator="equal" stopIfTrue="1">
      <formula>E4</formula>
    </cfRule>
    <cfRule type="cellIs" dxfId="1" priority="2" operator="notEqual" stopIfTrue="1">
      <formula>E4</formula>
    </cfRule>
  </conditionalFormatting>
  <conditionalFormatting sqref="E4 G4 I4 E7 G7 I7 E10 G10 I10 E13 G13 I13 E16 G16 I16 E19 G19 I19 E22 G22 I22 E25 G25 I25 E29 G29 I29 E32 G32 I32 E35 G35 I35 E38 G38 I38 E41 G41 I41 E44 G44 I44 E47 G47 I47 E50 G50 I50 E53 G53 I53 E56 G56 I56 E59 G59 I59 E62 G62 I62 E65 G65 I65 E68 G68 I68 E71 G71 I71 E74 G74 I74 E77 G77 I77 E80 G80 I80 E86 G86 I86 E89 G89 I89 E92 G92 I92 E95 G95 I95 E98 G98 I98 E101 G101 I101 E104 G104 I104 E107 G107 I107 E110 G110 I110 E113 G113 I113 E116 G116 I116 E119 G119 I119 E122 G122 I122 E125 G125 I125 E129 G129 I129 E132 G132 I132 E136 G136 I136 E139 G139 I139 E143 G143 I143 E146 G146 I146 E149 G149 I149 E152 G152 I152 E155 G155 I155 E158 G158 I158 E161 G161 I161 E164 G164 I164 E167 G167 I167 E173 G173 I173 E176 G176 I176 E179 G179 I179 E182 G182 I182 E185 G185 I185 E189 G189 I189 E192 G192 I192 E198 G198 I198 E201 G201 I201 E204 G204 I204 E208 G208 I208 E211 G211 I211 E215 G215 I215 E218 G218 I218 E221 G221 I221 E224 G224 I224 E227 G227 I227 E230 G230 I230 E233 G233 I233 E236 G236 I236 E242 G242 I242 E245 G245 I245 E248 G248 I248 E251 G251 I251 E254 G254 I254 E257 G257 I257 E260 G260 I260 E263 G263 I263 E266 G266 I266 E269 G269 I269 E272 G272 I272 E275 G275 I275 E278 G278 I278 E281 G281 I281 E284 G284 I284 E287 G287 I287 E290 G290 I290 E293 G293 I293 E296 G296 I296 E299 G299 I299 E302 G302 I302 E305 G305 I305 E308 G308 I308 E311 G311 I311 E315 G315 I315 E318 G318 I318 E321 G321 I321 E324 G324 I324 E327 G327 I327 E330 G330 I330 E333 G333 I333 E336 G336 I336 E339 G339 I339 E343 G343 I343 E346 G346 I346 E349 G349 I349 E353 G353 I353 E356 G356 I356 E359 G359 I359 E363 G363 I363 E367 G367 I367 E370 G370 I370 E373 G373 I373 E377 G377 I377 E380 G380 I380 E383 G383 I383 E386 G386 I386 E389 G389 I389 E392 G392 I392 E395 G395 I395 E398 G398 I398 E401 G401 I401 E404 G404 I404 E408 G408 I408 E411 G411 I411 E417 G417 I417 E420 G420 I420 E423 G423 I423 E426 G426 I426 E430 G430 I430 E433 G433 I433 E436 G436 I436 E439 G439 I439 E442 G442 I442 E445 G445 I445 E448 G448 I448 E451 G451 I451 E454 G454 I454 E457 G457 I457 E460 G460 I460 E463 G463 I463 E466 G466 I466 E469 G469 I469 E472 G472 I472 E475 G475 I475 E479 G479 I479 E483 G483 I483 E487 G487 I487 E490 G490 I490 E493 G493 I493 E496 G496 I496 E499 G499 I499 E503 G503 I503 E506 G506 I506 E509 G509 I509 E512 G512 I512 E515 G515 I515 E518 G518 I518 E521 G521 I521 E524 G524 I524 E527 G527 I527 E531 G531 I531 E535 G535 I535 E539 G539 I539 E542 G542 I542 E546 G546 I546 E550 G550 I550 E554 G554 I554 E558 G558 I558 E561 G561 I561 E565 G565 I565 E568 G568 I568 E571 G571 I571 E575 G575 I575 E579 G579 I579 E582 G582 I582 E586 G586 I586 E590 G590 I590 E593 G593 I593 E596 G596 I596 E599 G599 I599 E602 G602 I602 E605 G605 I605 E608 G608 I608 E611 G611 I611 E614 G614 I614 E617 G617 I617 E620 G620 I620 E623 G623 I623 E626 G626 I626 E629 G629 I629 E632 G632 I632 E636 G636 I636 E640 G640 I640 E643 G643 I643 E646 G646 I646 E649 G649 I649 E652 G652 I652 E655 G655 I655 E658 G658 I658 E661 G661 I661 E667 G667 I667 E670 G670 I670 E673 G673 I673 E676 G676 I676 E679 G679 I679 E682 G682 I682 E685 G685 I685 E688 G688 I688 E692 G692 I692 E695 G695 I695 E698 G698 I698 E701 G701 I701 E704 G704 I704 E708 G708 I708 E711 G711 I711 E714 G714 I714 E717 G717 I717 E720 G720 I720 E723 G723 I723 E726 G726 I726 E729 G729 I729 E732 G732 I732 E735 G735 I735 E738 G738 I738 E741 G741 I741 E744 G744 I744 E747 G747 I747 E751 G751 I751 E754 G754 I754 E757 G757 I757 E760 G760 I760 E763 G763 I763 E766 G766 I766 E769 G769 I769 E772 G772 I772 E775 G775 I775 E778 G778 I778 E781 G781 I781 E785 G785 I785 E788 G788 I788 E791 G791 I791 E794 G794 I794 E798 G798 I798 E801 G801 I801 E804 G804 I804 E807 G807 I807 E810 G810 I810 E814 G814 I814 E817 G817 I817 E820 G820 I820 E823 G823 I823 E826 G826 I826 E829 G829 I829 E832 G832 I832 E835 G835 I835 E838 G838 I838 E841 G841 I841 E844 G844 I844 E847 G847 I847 E850 G850 I850 E853 G853 I853 E856 G856 I856 E859 G859 I859 E862 G862 I862 E866 G866 I866 E869 G869 I869 E873 G873 I873 E876 G876 I876 E879 G879 I879 E885 G885 I885 E889 G889 I889 E892 G892 I892 E895 I895 E898 G898 I898 E901 G901 I901 E905 G905 I905 E909 G909 I909 E912 G912 I912 E915 G915 I915 E918 G918 I918 E922 G922 I922 E925 G925 I925 E928 G928 I928 E932 G932 I932 E935 G935 I935 E938 G938 I938 E941 G941 I941 E944 G944 I944 E947 G947 I947 E950 G950 I950 E953 G953 I953 E956 G956 I956 E959 G959 I959 E962 G962 I962 E965 G965 I965 E968 G968 I968 E971 G971 I971 E974 G974 I974 E980 G980 I980 E983 G983 I983 E986 G986 I986 E989 G989 I989 E992 G992 I992 E995 G995 I995 E1001 G1001 I1001 E1004 G1004 I1004 E1007 G1007 I1007 E1010 G1010 I1010 E1013 G1013 I1013 E1016 G1016 I1016 E1019 G1019 I1019 E1022 G1022 I1022 E1025 G1025 I1025 E1028 G1028 I1028 E1031 G1031 I1031 E1034 G1034 I1034 E1037 G1037 I1037 E1040 G1040 I1040 E1043 G1043 I1043 E1046 G1046 I1046 E1050 G1050 I1050 E1053 G1053 I1053 E1056 G1056 I1056 E1059 G1059 I1059 E1062 G1062 I1062 E1065 G1065 I1065 E1068 G1068 I1068 E1071 G1071 I1071 E1074 G1074 I1074 E1077 G1077 I1077 E1080 G1080 I1080 E1083 G1083 I1083 E1086 G1086 I1086 E1089 G1089 I1089 E1092 G1092 I1092 E1095 G1095 I1095 E1098 G1098 I1098 E1101 G1101 I1101 E1104 G1104 I1104 E1107 G1107 I1107 E1110 G1110 I1110 E1113 G1113 I1113 E1116 G1116 I1116 E1119 G1119 I1119 E1122 G1122 I1122 E1125 G1125 I1125 E1128 G1128 I1128 E1131 G1131 I1131 E1134 G1134 I1134 E1137 G1137 I1137 E1140 G1140 I1140 E1146 G1146 I1146 E1154 G1154 I1154 E1157 G1157 I1157 E1160 G1160 I1160 E1163 G1163 I1163 E1166 G1166 I1166 E1169 G1169 I1169 E1172 G1172 I1172 E1175 G1175 I1175 E1178 G1178 I1178 E1181 G1181 I1181 E1184 G1184 I1184 E1187 G1187 I1187 E1190 G1190 I1190 E1193 G1193 I1193 E1196 G1196 I1196 E1199 G1199 I1199 E1202 G1202 I1202 E1205 G1205 I1205 E1208 G1208 I1208 E1211 G1211 I1211 E1214 G1214 I1214 E1217 G1217 I1217 E1220 G1220 I1220 E1223 G1223 I1223 E1227 G1227 I1227 E1230 G1230 I1230 E1239 G1239 I1239 E1242 G1242 I1242 E1245 G1245 I1245 E1248 G1248 I1248 E1251 G1251 I1251 E1254 G1254 I1254 E1258 G1258 I1258 E1261 G1261 I1261 E1264 G1264 I1264 E1268 G1268 I1268 E1271 G1271 I1271 E1274 G1274 I1274 E1277 G1277 I1277 E1280 G1280 I1280 E1283 G1283 I1283 E1286 G1286 I1286 E1289 G1289 I1289 E1292 G1292 I1292 E1295 G1295 I1295 E1298 G1298 I1298 E1304 G1304 I1304 E1307 G1307 I1307 E1310 G1310 I1310 E1313 G1313 I1313 E1316 G1316 I1316 E1319 G1319 I1319 E1322 G1322 I1322 E1325 G1325 I1325 E1328 G1328 I1328 E1331 G1331 I1331 E1334 G1334 I1334 E1337 G1337 I1337 E1340 G1340 I1340 E1343 G1343 I1343 E1346 G1346 I1346 E1349 G1349 I1349 E1352 G1352 I1352 E1356 G1356 I1356 E1359 G1359 I1359 E1362 G1362 I1362 E1365 G1365 I1365 E1368 G1368 I1368 E1372 G1372 I1372 E1375 G1375 I1375 E1378 G1378 I1378 E1381 G1381 I1381 E1384 G1384 I1384 E1388 G1388 I1388 E1391 G1391 I1391 E1394 G1394 I1394 E1397 G1397 I1397 E1400 G1400 I1400 E1403 G1403 I1403 E1409 G1409 I1409 E1412 G1412 I1412 E1415 G1415 I1415 E1418 G1418 I1418 E1426 G1426 I1426 E1429 G1429 I1429 E1432 G1432 I1432 E1435 G1435 I1435 E1438 G1438 I1438 E1441 G1441 I1441 E1444 G1444 I1444 E1448 G1448 I1448 E1451 G1451 I1451 E1454 G1454 I1454 E1457 G1457 I1457 E1460 G1460 I1460 E1463 G1463 I1463 E1466 G1466 I1466 E1469 G1469 I1469 E1476 G1476 I1476 E1479 G1479 I1479 E1482 G1482 I1482 E1485 G1485 I1485 E1488 G1488 I1488 E1491 G1491 I1491 E1494 G1494 I1494 E1497 G1497 I1497 E1500 G1500 I1500 E1503 G1503 I1503 E1506 G1506 I1506 E1509 G1509 I1509 E1512 G1512 I1512 E1515 G1515 I1515 E1518 G1518 I1518 E1521 G1521 I1521 E1524 G1524 I1524 E1527 G1527 I1527 E1530 G1530 I1530 E1533 G1533 I1533 E1536 G1536 I1536 E1539 G1539 I1539 E1542 G1542 I1542 E1545 G1545 I1545 E1548 G1548 I1548 E1551 G1551 I1551 E1554 G1554 I1554 E1557 G1557 I1557 E1560 G1560 I1560 E1563 G1563 I1563 E1567 G1567 I1567 E1570 G1570 I1570 E1573 G1573 I1573 E1576 G1576 I1576 E1580 G1580 I1580 E1583 G1583 I1583 E1586 G1586 I1586 E1589 G1589 I1589 E1592 G1592 I1592 E1595 G1595 I1595 E1598 G1598 I1598 E1601 G1601 I1601 E1604 G1604 I1604 E1607 G1607 I1607 E1610 G1610 I1610 E1613 G1613 I1613 E1616 G1616 I1616 E1619 G1619 I1619 E1622 G1622 I1622 E1625 G1625 I1625 E1628 G1628 I1628 E1631 G1631 I1631 E1634 G1634 I1634 E1637 G1637 I1637 E1640 G1640 I1640 E1643 G1643 I1643 E1646 G1646 I1646 E1649 G1649 I1649 E1652 G1652 I1652 E1655 G1655 I1655 E1658 G1658 I1658 E1661 G1661 I1661 E1665 G1665 I1665 E1668 G1668 I1668 E1671 G1671 I1671 E1674 G1674 I1674 E1680 G1680 I1680 E1683 G1683 I1683 E1686 G1686 I1686 E1689 G1689 I1689 E1692 G1692 I1692 E1695 G1695 I1695 E1698 G1698 I1698 E1701 G1701 I1701 E1704 G1704 I1704 E1710 G1710 I1710 E1713 G1713 I1713 E1716 G1716 I1716 E1720 G1720 I1720 E1724 G1724 I1724 E1727 G1727 I1727 E1730 G1730 I1730 E1733 G1733 I1733 E1736 G1736 I1736 E1739 G1739 I1739 E1743 G1743 I1743 E1746 G1746 I1746 E1749 G1749 I1749 E1752 G1752 I1752 E1755 G1755 I1755 E1758 G1758 I1758 E1761 G1761 I1761 E1764 G1764 I1764 E1768 G1768 I1768 E1771 G1771 I1771 E1774 G1774 I1774 E1778 G1778 I1778 E1781 G1781 I1781 E1784 G1784 I1784 E1787 G1787 I1787 E1790 G1790 I1790 E1793 G1793 I1793 E1796 G1796 I1796 E1800 G1800 I1800 E1803 G1803 I1803 E1807 G1807 I1807 E1810 G1810 I1810 E1813 G1813 I1813 E1816 G1816 I1816 E1820 G1820 I1820 E1823 G1823 I1823 E1826 G1826 I1826 E1829 G1829 I1829 E1832 G1832 I1832 E1835 G1835 I1835 E1838 G1838 I1838 E1841 G1841 I1841 E1844 G1844 I1844 E1847 G1847 I1847 E1850 G1850 I1850 E1853 G1853 I1853 E1856 G1856 I1856 E1859 G1859 I1859 E1862 G1862 I1862 E1865 G1865 I1865 E1868 G1868 I1868 E1871 G1871 I1871 E1874 G1874 I1874 E1877 G1877 I1877 E1880 G1880 I1880 E1883 G1883 I1883 E1886 G1886 I1886 E1889 G1889 I1889 E1892 G1892 I1892 E1895 G1895 I1895 E1898 G1898 I1898 E1901 G1901 I1901 E1904 G1904 I1904 E1907 G1907 I1907 E1910 G1910 I1910 E1913 G1913 I1913 E1916 G1916 I1916 E1920 G1920 I1920 E1924 G1924 I1924 E1928 G1928 I1928 E1932 G1932 I1932 E1935 G1935 I1935 E1938 G1938 I1938 E1942 G1942 I1942 E1946 G1946 I1946 E1950 G1950 I1950 E1954 G1954 I1954 E1957 G1957 I1957 E1960 G1960 I1960 E1964 G1964 I1964 E1967 G1967 I1967 E1970 G1970 I1970 E1973 G1973 I1973 E1976 G1976 I1976 E1979 G1979 I1979 E1982 G1982 I1982 E1985 G1985 I1985 E1988 G1988 I1988 E1991 G1991 I1991 E1994 G1994 I1994 E1997 G1997 I1997 E2001 G2001 I2001 E2004 G2004 I2004 E2007 G2007 I2007 E2010 G2010 I2010 E2014 G2014 I2014 E2017 G2017 I2017 E2020 G2020 I2020 E2023 G2023 I2023 E2026 G2026 I2026 E2029 G2029 I2029 E2032 G2032 I2032 E2035 G2035 I2035 E2038 G2038 I2038 E2041 G2041 I2041 E2045 G2045 I2045 E2048 G2048 I2048 E2051 G2051 I2051 E2054 G2054 I2054 E2057 G2057 I2057 E2060 G2060 I2060 E2063 G2063 I2063 E2066 G2066 I2066 E2069 G2069 I2069 E2072 G2072 I2072 E2075 G2075 I2075 E2078 G2078 I2078 E2081 G2081 I2081 E2084 G2084 I2084 E2087 G2087 I2087 E2090 G2090 I2090 E2093 G2093 I2093 E2096 G2096 I2096 E2099 G2099 I2099 E2102 G2102 I2102 E2105 G2105 I2105 E2108 G2108 I2108 E2111 G2111 I2111 E2114 G2114 I2114 E2117 G2117 I2117 E2120 G2120 I2120 E2123 G2123 I2123 E2126 G2126 I2126 E2129 G2129 I2129 E2132 G2132 I2132 E2135 G2135 I2135 E2138 G2138 I2138 E2141 G2141 I2141 E2144 G2144 I2144 E2147 G2147 I2147 E2151 G2151 I2151 E2154 G2154 I2154 E2157 G2157 I2157 E2160 G2160 I2160 E2163 G2163 I2163 E2166 G2166 I2166 E2170 G2170 I2170 E2173 G2173 I2173 E2177 G2177 I2177 E2180 G2180 I2180 E2183 G2183 I2183 E2186 G2186 I2186 E2189 G2189 I2189 E2192 G2192 I2192 E2198 G2198 I2198 E2206 G2206 I2206 E2214 G2214 I2214 E2217 G2217 I2217 E2221 G2221 I2221 E2224 G2224 I2224 E2227 G2227 I2227 E2230 G2230 I2230 E2233 G2233 I2233 E2236 G2236 I2236 E2239 G2239 I2239 E2243 G2243 I2243 E2247 G2247 I2247 E2251 G2251 I2251 E2254 G2254 I2254 E2258 G2258 I2258 E2261 G2261 I2261 E2264 G2264 I2264 E2267 G2267 I2267 E2271 G2271 I2271 E2275 G2275 I2275 E2278 G2278 I2278 E2282 G2282 I2282 E2285 G2285 I2285 E2288 G2288 I2288 E2291 G2291 I2291 E2294 G2294 I2294 E2297 G2297 I2297 E2300 G2300 I2300 E2303 G2303 I2303 E2306 G2306 I2306 E2310 G2310 I2310 E2314 G2314 I2314 E2317 G2317 I2317 E2320 G2320 I2320 E2323 G2323 I2323 E2326 G2326 I2326 E2329 G2329 I2329 E2332 G2332 I2332 E2335 G2335 I2335 E2338 G2338 I2338 E2341 G2341 I2341 E2344 G2344 I2344 E2348 G2348 I2348 E2351 G2351 I2351 E2354 G2354 I2354 E2357 G2357 I2357 E2361 G2361 I2361 E2364 G2364 I2364 E2367 G2367 I2367 E2370 G2370 I2370 E2373 G2373 I2373 E2376 G2376 I2376 E2380 G2380 I2380 E2383 G2383 I2383 E2386 G2386 I2386 E2389 G2389 I2389 E2392 G2392 I2392 E2396 G2396 I2396 E2399 G2399 I2399 E2402 G2402 I2402 E2405 G2405 I2405 E2408 G2408 I2408 E2411 G2411 I2411 E2415 G2415 I2415 E2418 G2418 I2418 E2421 G2421 I2421 E2425 G2425 I2425 E2428 G2428 I2428 E2432 G2432 I2432 E2435 G2435 I2435 E2438 G2438 I2438 E2441 G2441 I2441 E2444 G2444 I2444 E2447 G2447 I2447 E2450 G2450 I2450 E2453 G2453 I2453 E2456 G2456 I2456 E2459 G2459 I2459 E2462 G2462 I2462 E2465 G2465 I2465 E2468 G2468 I2468 E2471 G2471 I2471 E2475 G2475 I2475 E2479 G2479 I2479 E2482 G2482 I2482 E2485 G2485 I2485 E2488 G2488 I2488 E2491 G2491 I2491 E2495 G2495 I2495 E2499 G2499 I2499 E2502 G2502 I2502 E2505 G2505 I2505 E2508 G2508 I2508 E2512 G2512 I2512 E2515 G2515 I2515 E2518 G2518 I2518 E2521 G2521 I2521 E2525 G2525 I2525 E2529 G2529 I2529 E2532 G2532 I2532 E2535 G2535 I2535 E2538 G2538 I2538 E2541 G2541 I2541 E2545 G2545 I2545 E2548 G2548 I2548 E2552 G2552 I2552 E2555 G2555 I2555 E2559 G2559 I2559 E2563 G2563 I2563 E2566 G2566 I2566 E2569 G2569 I2569 E2573 G2573 I2573 E2576 G2576 I2576 E2579 G2579 I2579 E2582 G2582 I2582 E2585 G2585 I2585 E2588 G2588 I2588 E2591 G2591 I2591 E2594 G2594 I2594 E2598 G2598 I2598 E2601 G2601 I2601 E2604 G2604 I2604 E2607 G2607 I2607 E2610 G2610 I2610 E2613 G2613 I2613 E2616 G2616 I2616 E2619 G2619 I2619 E2623 G2623 I2623 E2627 G2627 I2627 E2630 G2630 I2630 E2633 G2633 I2633 E2636 G2636 I2636 E2640 G2640 I2640 E2643 G2643 I2643 E2646 G2646 I2646 E2650 G2650 I2650 E2654 G2654 I2654 E2657 G2657 I2657 E2660 G2660 I2660 E2663 G2663 I2663 E2666 G2666 I2666 E2670 G2670 I2670 E2673 G2673 I2673 E2676 G2676 I2676 E2680 G2680 I2680 E2683 G2683 I2683 E2686 G2686 I2686 E2689 G2689 I2689 E2693 G2693 I2693 E2697 G2697 I2697 E2701 G2701 I2701 E2704 G2704 I2704 E2707 G2707 I2707 E2710 G2710 I2710 E2713 G2713 I2713 E2716 G2716 I2716 E2720 G2720 I2720 E2724 G2724 I2724 E2728 G2728 I2728 E2731 G2731 I2731 E2734 G2734 I2734 E2737 G2737 I2737 E2740 G2740 I2740 E2743 G2743 I2743 E2746 G2746 I2746 E2749 G2749 I2749 E2752 G2752 I2752 E2755 G2755 I2755 E2758 G2758 I2758 E2761 G2761 I2761 E2765 G2765 I2765 E2769 G2769 I2769 E2772 G2772 I2772 E2775 G2775 I2775 E2778 G2778 I2778 E2781 G2781 I2781 E2785 G2785 I2785 E2788 G2788 I2788 E2792 G2792 I2792 E2795 G2795 I2795 E2798 G2798 I2798 E2801 G2801 I2801 E2804 G2804 I2804 E2808 G2808 I2808 E2811 G2811 I2811 E2820 G2820 I2820 E2824 G2824 I2824 E2827 G2827 I2827 E2831 G2831 I2831 E2834 G2834 I2834 E2838 G2838 I2838 E2841 G2841 I2841 E2844 G2844 I2844 E2847 G2847 I2847 E2850 G2850 I2850 E2853 G2853 I2853 E2856 G2856 I2856 E2859 G2859 I2859 E2862 G2862 I2862 E2865 G2865 I2865 E2868 G2868 I2868 E2871 G2871 I2871 E2874 G2874 I2874 E2877 G2877 I2877 E2881 G2881 I2881 E2884 G2884 I2884 E2887 G2887 I2887 E2890 G2890 I2890 E2894 G2894 I2894 E2898 G2898 I2898 E2901 G2901 I2901 E2905 G2905 I2905 E2908 G2908 I2908 E2911 G2911 I2911 E2914 G2914 I2914 E2917 G2917 I2917 E2920 G2920 I2920 E2923 G2923 I2923 E2927 G2927 I2927 E2933 G2933 I2933 E2936 G2936 I2936 E2939 G2939 I2939 E2942 G2942 I2942 E2946 G2946 I2946 E2949 G2949 I2949 E2953 G2953 I2953 E2958 G2958 I2958 E2961 G2961 I2961 E2964 G2964 I2964 E2967 G2967 I2967 E2970 G2970 I2970 E2973 G2973 I2973 E2976 G2976 I2976 E2979 G2979 I2979 E2982 G2982 I2982 E2986 G2986 I2986 E2990 G2990 I2990 E2993 G2993 I2993 E2997 G2997 I2997 E3000 G3000 I3000 E3003 G3003 I3003 E3006 G3006 I3006 E3009 G3009 I3009 E3013 G3013 I3013 E3016 G3016 I3016 E3019 G3019 I3019 E3022 G3022 I3022 E3025 G3025 I3025 E3029 G3029 I3029 E3032 G3032 I3032 E3035 G3035 I3035 E3038 G3038 I3038 E3042 G3042 I3042 E3045 G3045 I3045 E3048 G3048 I3048 E3052 G3052 I3052 E3056 G3056 I3056 E3059 G3059 I3059 E3065 G3065 I3065 E3068 G3068 I3068 E3071 G3071 I3071 E3074 G3074 I3074 E3077 G3077 I3077 E3080 G3080 I3080 E3083 G3083 I3083 E3087 G3087 I3087 E3091 G3091 I3091 E3095 G3095 I3095 E3098 G3098 I3098 E3101 G3101 I3101 E3104 G3104 I3104 E3107 G3107 I3107 E3110 G3110 I3110 E3113 G3113 I3113 E3116 G3116 I3116 E3119 G3119 I3119 E3122 G3122 I3122 E3125 G3125 I3125 E3128 G3128 I3128 E3131 G3131 I3131 E3134 G3134 I3134 E3137 G3137 I3137 E3141 G3141 I3141 E3144 G3144 I3144 E3147 G3147 I3147 E3151 G3151 I3151 E3154 G3154 I3154 E3157 G3157 I3157 E3160 G3160 I3160 E3164 G3164 I3164 E3167 G3167 I3167 E3170 G3170 I3170 E3173 G3173 I3173 E3176 G3176 I3176 E3180 G3180 I3180 E3183 G3183 I3183 E3186 G3186 I3186 E3189 G3189 I3189 E3192 G3192 I3192 E3195 G3195 I3195 E3199 G3199 I3199 E3202 G3202 I3202 E3205 G3205 I3205 E3208 G3208 I3208 E3211 G3211 I3211 E3214 G3214 I3214 E3217 G3217 I3217 E3220 G3220 I3220 E3223 G3223 I3223 E3226 G3226 I3226 E3229 G3229 I3229 E3232 G3232 I3232 E3235 G3235 I3235 E3238 G3238 I3238 E3241 G3241 I3241 E3244 G3244 I3244 E3247 G3247 I3247 E3250 G3250 I3250 E3253 G3253 I3253 E3256 G3256 I3256 E3259 G3259 I3259 E3262 G3262 I3262 E3265 G3265 I3265 E3268 G3268 I3268 E3271 G3271 I3271 E3275 G3275 I3275 E3278 G3278 I3278 E3281 G3281 I3281 E3284 G3284 I3284 E3287 G3287 I3287 E3290 G3290 I3290 E3293 G3293 I3293 E3296 G3296 I3296 E3299 G3299 I3299 E3302 G3302 I3302 E3305 G3305 I3305 E3308 G3308 I3308 E3311 G3311 I3311 E3315 G3315 I3315 E3318 G3318 I3318 E3321 G3321 I3321 E3324 G3324 I3324 E3327 G3327 I3327 E3330 G3330 I3330 E3333 G3333 I3333 E3336 G3336 I3336 E3339 G3339 I3339 E3342 G3342 I3342 E3345 G3345 I3345 E3348 G3348 I3348 E3351 G3351 I3351 E3354 G3354 I3354 E3357 G3357 I3357 E3360 G3360 I3360 E3364 G3364 I3364 E3367 G3367 I3367 E3370 G3370 I3370 E3373 G3373 I3373 E3376 G3376 I3376 E3379 G3379 I3379 E3382 G3382 I3382 E3385 G3385 I3385 E3388 G3388 I3388 E3391 G3391 I3391 E3394 G3394 I3394 E3397 G3397 I3397 E3400 G3400 I3400 E3403 G3403 I3403 E3407 G3407 I3407 E3410 G3410 I3410 E3413 G3413 I3413 E3416 G3416 I3416 E3420 G3420 I3420 E3425 G3425 I3425 E3429 G3429 I3429 E3432 G3432 I3432 E3435 G3435 I3435 E3438 G3438 I3438 E3441 G3441 I3441 E3444 G3444 I3444 E3447 G3447 I3447 E3450 G3450 I3450 E3456 G3456 I3456 E3459 G3459 I3459 E3462 G3462 I3462 E3465 G3465 I3465 E3469 G3469 I3469 E3472 G3472 I3472 E3475 G3475 I3475 E3478 G3478 I3478 E3481 G3481 I3481 E3484 G3484 I3484 E3487 G3487 I3487 E3490 G3490 I3490 E3493 G3493 I3493 E3496 G3496 I3496 E3499 G3499 I3499 E3502 G3502 I3502 E3505 G3505 I3505 E3508 G3508 I3508 E3513 G3513 I3513 E3518 G3518 I3518 E3523 G3523 I3523 E3528 G3528 I3528 E3531 G3531 I3531 E3535 G3535 I3535 E3538 G3538 I3538 E3541 G3541 I3541 E3547 G3547 I3547 E3550 G3550 I3550 E3553 G3553 I3553 E3556 G3556 I3556 E3559 G3559 I3559 E3562 G3562 I3562 E3565 G3565 I3565 E3568 G3568 I3568 E3572 G3572 I3572 E3575 G3575 I3575 E3578 G3578 I3578 E3581 G3581 I3581 E3584 G3584 I3584 E3587 G3587 I3587 E3590 G3590 I3590 E3593 G3593 I3593 E3596 G3596 I3596 E3599 G3599 I3599 E3602 G3602 I3602 E3605 G3605 I3605 E3608 G3608 I3608 E3611 G3611 I3611 E3614 G3614 I3614 E3617 G3617 I3617 E3620 G3620 I3620 E3623 G3623 I3623 E3626 G3626 I3626 E3629 G3629 I3629 E3632 G3632 I3632 E3635 G3635 I3635 E3638 G3638 I3638 E3641 G3641 I3641 E3644 G3644 I3644 E3647 G3647 I3647 E3650 G3650 I3650 E3653 G3653 I3653 E3656 G3656 I3656 E3659 G3659 I3659 E3662 G3662 I3662 E3665 G3665 I3665 E3668 G3668 I3668 E3671 G3671 I3671 E3674 G3674 I3674 E3677 G3677 I3677 E3680 G3680 I3680 E3683 G3683 I3683 E3687 G3687 I3687 E3690 G3690 I3690 E3694 G3694 I3694 E3697 G3697 I3697 E3700 G3700 I3700 E3703 G3703 I3703 E3706 G3706 I3706 E3709 G3709 I3709 E3712 G3712 I3712 E3715 G3715 I3715 E3718 G3718 I3718 E3721 G3721 I3721 E3724 G3724 I3724 E3727 G3727 I3727 E3730 G3730 I3730 E3733 G3733 I3733 E3736 G3736 I3736 E3739 G3739 I3739 E3742 G3742 I3742 E3745 G3745 I3745 E3748 G3748 I3748 E3752 G3752 I3752 E3755 G3755 I3755 E3758 G3758 I3758 E3761 G3761 I3761 E3764 G3764 I3764 E3767 G3767 I3767 E3770 G3770 I3770 E3773 G3773 I3773 E3777 G3777 I3777 E3781 G3781 I3781 E3784 G3784 I3784 E3787 G3787 I3787 E3790 G3790 I3790 E3793 G3793 I3793 E3796 G3796 I3796 E3799 G3799 I3799 E3803 G3803 I3803 E3806 G3806 I3806 E3809 G3809 I3809 E3812 G3812 I3812 E3815 G3815 I3815 E3818 G3818 I3818 E3822 G3822 I3822 E3826 G3826 I3826 E3829 G3829 I3829 E3832 G3832 I3832 E3835 G3835 I3835 E3838 G3838 I3838 E3842 G3842 I3842 E3845 G3845 I3845 E3849 G3849 I3849 E3852 G3852 I3852 E3855 G3855 I3855 E3858 G3858 I3858 E3861 G3861 I3861 E3864 G3864 I3864 E3867 G3867 I3867 E3870 G3870 I3870 E3873 G3873 I3873 E3879 G3879 I3879 E3882 G3882 I3882 E3885 G3885 I3885 E3888 G3888 I3888 E3891 G3891 I3891 E3894 G3894 I3894 E3897 G3897 I3897 E3900 G3900 I3900 E3903 G3903 I3903 E3906 G3906 I3906 E3909 G3909 I3909 E3912 G3912 I3912 E3915 G3915 I3915 E3918 G3918 I3918 E3922 G3922 I3922 E3925 G3925 I3925 E3928 G3928 I3928 E3932 G3932 I3932 E3935 G3935 I3935 E3938 G3938 I3938 E3942 G3942 I3942 E3945 G3945 I3945 E3948 G3948 I3948 E3951 G3951 I3951 E3954 G3954 I3954 E3957 G3957 I3957 E3961 G3961 I3961 E3964 G3964 I3964 E3967 G3967 I3967 E3970 G3970 I3970 E3973 G3973 I3973 E3976 G3976 I3976 E3979 G3979 I3979 E3982 G3982 I3982 E3986 G3986 I3986 E3990 G3990 I3990 E3993 G3993 I3993 E3996 G3996 I3996 E3999 G3999 I3999 E4002 G4002 I4002 E4005 G4005 I4005 E4008 G4008 I4008 E4011 G4011 I4011 E4014 G4014 I4014 E4017 G4017 I4017 E4020 G4020 I4020 E4023 G4023 I4023 E4026 G4026 I4026 E4029 G4029 I4029 E4032 G4032 I4032 E4035 G4035 I4035 E4038 G4038 I4038 E4041 G4041 I4041 E4044 G4044 I4044 E4047 G4047 I4047 E4050 G4050 I4050 E4053 G4053 I4053 E4056 G4056 I4056 E4059 G4059 I4059 E4063 G4063 I4063 E4066 G4066 I4066 E4069 G4069 I4069 E4072 G4072 I4072 E4075 G4075 I4075 E4078 G4078 I4078 E4082 G4082 I4082 E4085 G4085 I4085 E4088 G4088 I4088 E4091 G4091 I4091 E4094 G4094 I4094 E4097 G4097 I4097 E4100 G4100 I4100 E4103 G4103 I4103 E4106 G4106 I4106 E4109 G4109 I4109 E4112 G4112 I4112 E4115 G4115 I4115 E4118 G4118 I4118 E4121 G4121 I4121 E4124 G4124 I4124 E4127 G4127 I4127 E4130 G4130 I4130 E4135 G4135 I4135 E4140 G4140 I4140 E4145 G4145 I4145 E4148 G4148 I4148 E4151 G4151 I4151 E4154 G4154 I4154 E4157 G4157 I4157 E4160 G4160 I4160 E4163 G4163 I4163 E4166 G4166 I4166 E4169 G4169 I4169 E4172 G4172 I4172 E4175 G4175 I4175 E4178 G4178 I4178 E4181 G4181 I4181 E4184 G4184 I4184 E4187 G4187 I4187 E4190 G4190 I4190 E4193 G4193 I4193 E4196 G4196 I4196 E4199 G4199 I4199 E4202 G4202 I4202 E4205 G4205 I4205 E4208 G4208 I4208 E4212 G4212 I4212 E4215 G4215 I4215 E4219 G4219 I4219 E4222 G4222 I4222 E4225 G4225 I4225 E4228 G4228 I4228 E4231 G4231 I4231 E4234 G4234 I4234 E4237 G4237 I4237 E4240 G4240 I4240 E4243 G4243 I4243 E4246 G4246 I4246 E4249 G4249 I4249 E4252 G4252 I4252 E4255 G4255 I4255 E4258 G4258 I4258 E4261 G4261 I4261 E4264 G4264 I4264 E4267 G4267 I4267 E4270 G4270 I4270 E4273 G4273 I4273 E4276 G4276 I4276 E4279 G4279 I4279 E4282 G4282 I4282 E4285 G4285 I4285 E4288 G4288 I4288 E4291 G4291 I4291 E4294 G4294 I4294 E4297 G4297 I4297 E4300 G4300 I4300 E4303 G4303 I4303 E4306 G4306 I4306 E4309 G4309 I4309 E4312 G4312 I4312 E4315 G4315 I4315 E4318 G4318 I4318 E4321 G4321 I4321 E4324 G4324 I4324 E4327 G4327 I4327 E4330 G4330 I4330 E4333 G4333 I4333 E4336 G4336 I4336 E4339 G4339 I4339 E4342 G4342 I4342 E4345 G4345 I4345 E4348 G4348 I4348 E4352 G4352 I4352 E4355 G4355 I4355 E4359 G4359 I4359 E4362 G4362 I4362 E4365 G4365 I4365 E4368 G4368 I4368 E4371 G4371 I4371 E4374 G4374 I4374 E4377 G4377 I4377 E4380 G4380 I4380 E4383 G4383 I4383 E4389 G4389 I4389 E4392 G4392 I4392 E4395 G4395 I4395 E4398 G4398 I4398 E4401 G4401 I4401 E4404 G4404 I4404 E4407 G4407 I4407 E4410 G4410 I4410 E4413 G4413 I4413 E4416 G4416 I4416 E4419 G4419 I4419 E4422 G4422 I4422 E4425 G4425 I4425 E4428 G4428 I4428 E4431 G4431 I4431 E4434 G4434 I4434 E4437 G4437 I4437 E4440 G4440 I4440 E4443 G4443 I4443 E4446 G4446 I4446 E4449 G4449 I4449 E4452 G4452 I4452 E4455 G4455 I4455 E4458 G4458 I4458 E4461 G4461 I4461 E4464 G4464 I4464 E4467 G4467 I4467 E4470 G4470 I4470 E4473 G4473 I4473 E4476 G4476 I4476 E4479 G4479 I4479 E4482 G4482 I4482 E4485 G4485 I4485 E4488 G4488 I4488 E4491 G4491 I4491 E4494 G4494 I4494 E4497 G4497 I4497 E4500 G4500 I4500 E4503 G4503 I4503 E4506 G4506 I4506 E4509 G4509 I4509 E4512 G4512 I4512 E4515 G4515 I4515 E4518 G4518 I4518 E4521 G4521 I4521 E4524 G4524 I4524 E4527 G4527 I4527 E4530 G4530 I4530 E4533 G4533 I4533 E4536 G4536 I4536 E4539 G4539 I4539 E4542 G4542 I4542 E4545 G4545 I4545 E4548 G4548 I4548 E4551 G4551 I4551 E4554 G4554 I4554 E4560 G4560 I4560 E4563 G4563 I4563 E4566 G4566 I4566 E4569 G4569 I4569 E4572 G4572 I4572 E4575 G4575 I4575 E4578 G4578 I4578 E4581 G4581 I4581 E4584 G4584 I4584 E4587 G4587 I4587 E4590 G4590 I4590 E4593 G4593 I4593 E4596 G4596 I4596 E4599 G4599 I4599 E4602 G4602 I4602 E4605 G4605 I4605 E4608 G4608 I4608 E4611 G4611 I4611 E4614 G4614 I4614 E4617 G4617 I4617 E4620 G4620 I4620 E4623 G4623 I4623 E4626 G4626 I4626 E4629 G4629 I4629 E4632 G4632 I4632 E4635 G4635 I4635 E4638 G4638 I4638 E4641 G4641 I4641 E4644 G4644 I4644 E4647 G4647 I4647 E4650 G4650 I4650 E4653 G4653 I4653 E4656 G4656 I4656 E4659 G4659 I4659 E4662 G4662 I4662 E4665 G4665 I4665 E4668 G4668 I4668 E4671 G4671 I4671 E4674 G4674 I4674 E4677 G4677 I4677 E4680 G4680 I4680 E4683 G4683 I4683 E4686 G4686 I4686 E4689 G4689 I4689 E4692 G4692 I4692 E4695 G4695 I4695 E4698 G4698 I4698 E4701 G4701 I4701 E4704 G4704 I4704 E4707 G4707 I4707 E4710 G4710 I4710 E4713 G4713 I4713 E4716 G4716 I4716 E4719 G4719 I4719 E4722 G4722 I4722 E4725 G4725 I4725 E4728 G4728 I4728 E4731 G4731 I4731 E4734 G4734 I4734 E4737 G4737 I4737 E4740 G4740 I4740 E4743 G4743 I4743 E4746 G4746 I4746 E4749 G4749 I4749 E4752 G4752 I4752 E4755 G4755 I4755 E4758 G4758 I4758 E4761 G4761 I4761 E4765 G4765 I4765 E4768 G4768 I4768 E4771 G4771 I4771 E4774 G4774 I4774 E4777 G4777 I4777 E4780 G4780 I4780 E4783 G4783 I4783 E4786 G4786 I4786 E4789 G4789 I4789 E4793 G4793 I4793 E4796 G4796 I4796 E4799 G4799 I4799 E4802 G4802 I4802 E4805 G4805 I4805 E4808 G4808 I4808 E4811 G4811 I4811 E4814 G4814 I4814 E4817 G4817 I4817 E4820 G4820 I4820 E4823 G4823 I4823 E4826 G4826 I4826 E4829 G4829 I4829 E4854 G4854 I4854 E4857 G4857 I4857 E4860 G4860 I4860 E4863 G4863 I4863 E4866 G4866 I4866 E4869 G4869 I4869 E4872 G4872 I4872 E4876 G4876 I4876 E4879 G4879 I4879 E4882 G4882 I4882 E4885 G4885 I4885 E4888 G4888 I4888 E4891 G4891 I4891 E4894 G4894 I4894 E4897 G4897 I4897 E4900 G4900 I4900 E4903 G4903 I4903 E4906 G4906 I4906 E4909 G4909 I4909 E4912 G4912 I4912 E4915 G4915 I4915 E4918 G4918 I4918 E4921 G4921 I4921 E4924 G4924 I4924 E4927 G4927 I4927 E4930 G4930 I4930 E4933 G4933 I4933 E4936 G4936 I4936 E4939 G4939 I4939 E4942 G4942 I4942 E4945 G4945 I4945 E4948 G4948 I4948 E4951 G4951 I4951 E4954 G4954 I4954 E4957 G4957 I4957 E4960 G4960 I4960 E4963 G4963 I4963 E4966 G4966 I4966 E4969 G4969 I4969 E4972 G4972 I4972 E4975 G4975 I4975 E4978 G4978 I4978 E4981 G4981 I4981 E4984 G4984 I4984 E4987 G4987 I4987 E4990 G4990 I4990 E4993 G4993 I4993 E4996 G4996 I4996 E4999 G4999 I4999 E5002 G5002 I5002 E5005 G5005 I5005 E5008 G5008 I5008 E5011 G5011 I5011 E5014 G5014 I5014 E5017 G5017 I5017 E5020 G5020 I5020 E5023 G5023 I5023 E5026 G5026 I5026 E5029 G5029 I5029 E5032 G5032 I5032 E5035 G5035 I5035 E5038 G5038 I5038 E5041 G5041 I5041 E5044 G5044 I5044 E5047 G5047 I5047 E5050 G5050 I5050 E5053 G5053 I5053 E5056 G5056 I5056 E5059 G5059 I5059 E5062 G5062 I5062 E5065 G5065 I5065 E5068 G5068 I5068 E5071 G5071 I5071 E5074 G5074 I5074 E5077 G5077 I5077 E5080 G5080 I5080 E5083 G5083 I5083 E5086 G5086 I5086 E5089 G5089 I5089 E5092 G5092 I5092 E5095 G5095 I5095 E5098 G5098 I5098 E5101 G5101 I5101 E5104 G5104 I5104 E5107 G5107 I5107 E5110 G5110 I5110 E5113 G5113 I5113 E5116 G5116 I5116 E5119 G5119 I5119 E5123 G5123 I5123 E5126 G5126 I5126 E5130 G5130 I5130 E5133 G5133 I5133 E5136 G5136 I5136 E5139 G5139 I5139 E5142 G5142 I5142 E5145 G5145 I5145 E5148 G5148 I5148 E5151 G5151 I5151 E5154 G5154 I5154 E5157 G5157 I5157 E5160 G5160 I5160 E5163 G5163 I5163 E5166 G5166 I5166 E5169 G5169 I5169 E5172 G5172 I5172 E5175 G5175 I5175 E5178 G5178 I5178 E5181 G5181 I5181 E5184 G5184 I5184 E5187 G5187 I5187 E5190 G5190 I5190 E5193 G5193 I5193 E5196 G5196 I5196 E5199 G5199 I5199 E5202 G5202 I5202 E5205 G5205 I5205 E5208 G5208 I5208 E5211 G5211 I5211 E5214 G5214 I5214 E5217 G5217 I5217 E5220 G5220 I5220 E5223 G5223 I5223 E5226 G5226 I5226 E5229 G5229 I5229 E5232 G5232 I5232 E5235 G5235 I5235 E5238 G5238 I5238 E5241 G5241 I5241 E5244 G5244 I5244 E5247 G5247 I5247 E5253 G5253 I5253 E5256 G5256 I5256 E5259 G5259 I5259 E5262 G5262 I5262 E5265 G5265 I5265 E5268 G5268 I5268 E5271 G5271 I5271 E5274 G5274 I5274 E5277 G5277 I5277 E5280 G5280 I5280 E5283 G5283 I5283 E5286 G5286 I5286 E5289 G5289 I5289 E5292 G5292 I5292 E5295 G5295 I5295 E5298 G5298 I5298 E5301 G5301 I5301 E5304 G5304 I5304 E5307 G5307 I5307 E5310 G5310 I5310 E5313 G5313 I5313 E5316 G5316 I5316 E5319 G5319 I5319 E5322 G5322 I5322 E5325 G5325 I5325 E5328 G5328 I5328 E5331 G5331 I5331 E5334 G5334 I5334 E5337 G5337 I5337 E5340 G5340 I5340 E5343 G5343 I5343 E5346 G5346 I5346 E5349 G5349 I5349 E5352 G5352 I5352 E5355 G5355 I5355 E5358 G5358 I5358 E5361 G5361 I5361 E5364 G5364 I5364 E5367 G5367 I5367 E5370 G5370 I5370 E5377 G5377 I5377 E5380 G5380 I5380 E5383 G5383 I5383 E5386 G5386 I5386 E5389 G5389 I5389 E5392 G5392 I5392 E5395 G5395 I5395 E5398 G5398 I5398 E5401 G5401 I5401 E5404 G5404 I5404 E5407 G5407 I5407 E5410 G5410 I5410 E5413 G5413 I5413 E5416 G5416 I5416 E5419 G5419 I5419 E5422 G5422 I5422 E5425 G5425 I5425 E5428 G5428 I5428 E5431 G5431 I5431 E5434 G5434 I5434 E5437 G5437 I5437 E5440 G5440 I5440 E5443 G5443 I5443 E5446 G5446 I5446 E5449 G5449 I5449 E5452 G5452 I5452 E5455 G5455 I5455 E5458 G5458 I5458 E5461 G5461 I5461 E5464 G5464 I5464 E5467 G5467 I5467 E5470 G5470 I5470 E5473 G5473 I5473 E5476 G5476 I5476 E5479 G5479 I5479 E5482 G5482 I5482 E5485 G5485 I5485 E5488 G5488 I5488 E5491 G5491 I5491 E5494 G5494 I5494 E5497 G5497 I5497 E5500 G5500 I5500 E5503 G5503 I5503 E5506 G5506 I5506 E5509 G5509 I5509 E5512 G5512 I5512 E5515 G5515 I5515 E5518 G5518 I5518 E5521 G5521 I5521 E5524 G5524 I5524 E5527 G5527 I5527 E5530 G5530 I5530 E5533 G5533 I5533 E5536 G5536 I5536 E5539 G5539 I5539 E5542 G5542 I5542 E5545 G5545 I5545 E5548 G5548 I5548 E5551 G5551 I5551 E5554 G5554 I5554 E5557 G5557 I5557 E5560 G5560 I5560 E5563 G5563 I5563 E5566 G5566 I5566 E5569 G5569 I5569 E5572 G5572 I5572 E5575 G5575 I5575 E5578 G5578 I5578 E5581 G5581 I5581 E5584 G5584 I5584 E5587 G5587 I5587 E5590 G5590 I5590 E5593 G5593 I5593 E5596 G5596 I5596 E5599 G5599 I5599 E5602 G5602 I5602 E5605 G5605 I5605 E5608 G5608 I5608 E5611 G5611 I5611 E5614 G5614 I5614 E5617 G5617 I5617 E5620 G5620 I5620 E5623 G5623 I5623 E5626 G5626 I5626 E5629 G5629 I5629 E5632 G5632 I5632 E5635 G5635 I5635 E5638 G5638 I5638 E5641 G5641 I5641 E5644 G5644 I5644 E5647 G5647 I5647 E5650 G5650 I5650 E5653 G5653 I5653 E5656 G5656 I5656 E5659 G5659 I5659 E5662 G5662 I5662 E5665 G5665 I5665 E5668 G5668 I5668 E5671 G5671 I5671 E5674 G5674 I5674 E5677 G5677 I5677 E5680 G5680 I5680 E5683 G5683 I5683 E5686 G5686 I5686 E5689 G5689 I5689 E5692 G5692 I5692 E5695 G5695 I5695 E5698 G5698 I5698 E5701 G5701 I5701 E5704 G5704 I5704 E5707 G5707 I5707 E5710 G5710 I5710 E5713 G5713 I5713 E5716 G5716 I5716 E5719 G5719 I5719 E5722 G5722 I5722 E5725 G5725 I5725 E5728 G5728 I5728 E5731 G5731 I5731 E5734 G5734 I5734 E5737 G5737 I5737 E5740 G5740 I5740 E5743 G5743 I5743 E5746 G5746 I5746 E5749 G5749 I5749 E5752 G5752 I5752 E5755 G5755 I5755 E5758 G5758 I5758 E5761 G5761 I5761 E5764 G5764 I5764 E5767 G5767 I5767 E5770 G5770 I5770 E5773 G5773 I5773 E5776 G5776 I5776 E5779 G5779 I5779 E5782 G5782 I5782 E5785 G5785 I5785 E5788 G5788 I5788 E5791 G5791 I5791 E5794 G5794 I5794 E5797 G5797 I5797 E5800 G5800 I5800 E5803 G5803 I5803 E5806 G5806 I5806 E5809 G5809 I5809 E5812 G5812 I5812 E5816 G5816 I5816 E5819 G5819 I5819 E5822 G5822 I5822 E5826 G5826 I5826 E5829 G5829 I5829 E5832 G5832 I5832 E5835 G5835 I5835 E5839 G5839 I5839 E5842 G5842 I5842 E5845 G5845 I5845 E5848 G5848 I5848 E5851 G5851 I5851 E5854 G5854 I5854 E5857 G5857 I5857 E5860 G5860 I5860 E5863 G5863 I5863 E5866 G5866 I5866 E5869 G5869 I5869 E5872 G5872 I5872 E5875 G5875 I5875 E5878 G5878 I5878 E5881 G5881 I5881 E5884 G5884 I5884 E5887 G5887 I5887 E5890 G5890 I5890 E5893 G5893 I5893 E5896 G5896 I5896 E5899 G5899 I5899 E5902 G5902 I5902 E5905 G5905 I5905 E5908 G5908 I5908 E5911 G5911 I5911 E5914 G5914 I5914 E5917 G5917 I5917 E5920 G5920 I5920 E5923 G5923 I5923 E5926 G5926 I5926 E5929 G5929 I5929 E5933 G5933 I5933 E5936 G5936 I5936 E5939 G5939 I5939 E5942 G5942 I5942 E5945 G5945 I5945 E5948 G5948 I5948 E5951 G5951 I5951 E5957 G5957 I5957 E5960 G5960 I5960 E5963 G5963 I5963 E5966 G5966 I5966 E5969 G5969 I5969 E5972 G5972 I5972 E5975 G5975 I5975 E5978 G5978 I5978 E5981 G5981 I5981 E5984 G5984 I5984 E5987 G5987 I5987 E5990 G5990 I5990 E5993 G5993 I5993 E5996 G5996 I5996 E5999 G5999 I5999 E6002 G6002 I6002 E6005 G6005 I6005 E6008 G6008 I6008 E6011 G6011 I6011 E6014 G6014 I6014 E6017 G6017 I6017 E6020 G6020 I6020 E6023 G6023 I6023 E6026 G6026 I6026 E6030 G6030 I6030 E6033 G6033 I6033 E6036 G6036 I6036 E6040 G6040 I6040 E6043 G6043 I6043 E6046 G6046 I6046 E6049 G6049 I6049 E6052 G6052 I6052 E6055 G6055 I6055 E6058 G6058 I6058 E6061 G6061 I6061 E6064 G6064 I6064 E6067 G6067 I6067 E6070 G6070 I6070 E6074 G6074 I6074 E6077 G6077 I6077 E6080 G6080 I6080 E6083 G6083 I6083 E6086 G6086 I6086 E6089 G6089 I6089 E6092 G6092 I6092 E6095 G6095 I6095 E6098 G6098 I6098 E6101 G6101 I6101 E6104 G6104 I6104 E6107 G6107 I6107 E6110 G6110 I6110 E6113 G6113 I6113 E6116 G6116 I6116 E6119 G6119 I6119 E6122 G6122 I6122 E6125 G6125 I6125 E6128 G6128 I6128 E6131 G6131 I6131 E6134 G6134 I6134 E6137 G6137 I6137 E6140 G6140 I6140 E6143 G6143 I6143 E6146 G6146 I6146 E6150 G6150 I6150 E6153 G6153 I6153 E6156 G6156 I6156 E6159 G6159 I6159 E6162 G6162 I6162 E6165 G6165 I6165 E6168 G6168 I6168 E6171 G6171 I6171 E6175 G6175 I6175 E6179 G6179 I6179 E6182 G6182 I6182 E6185 G6185 I6185 E6188 G6188 I6188 E6191 G6191 I6191 E6194 G6194 I6194 E6197 G6197 I6197 E6200 G6200 I6200 E6204 G6204 I6204 E6207 G6207 I6207 E6210 G6210 I6210 E6213 G6213 I6213 E6216 G6216 I6216 E6219 G6219 I6219 E6222 G6222 I6222 E6225 G6225 I6225 E6228 G6228 I6228 E6231 G6231 I6231 E6234 G6234 I6234 E6237 G6237 I6237 E6240 G6240 I6240 E6243 G6243 I6243 E6247 G6247 I6247 E6250 G6250 I6250 E6253 G6253 I6253 E6256 G6256 I6256 E6259 G6259 I6259 E6262 G6262 I6262 E6265 G6265 I6265 E6268 G6268 I6268 E6271 G6271 I6271 E6274 G6274 I6274 E6277 G6277 I6277 E6280 G6280 I6280 E6283 G6283 I6283 E6286 G6286 I6286 E6289 G6289 I6289 E6292 G6292 I6292 E6295 G6295 I6295 E6301 G6301 I6301 E6304 G6304 I6304 E6307 G6307 I6307 E6310 G6310 I6310 E6313 G6313 I6313 E6316 G6316 I6316 E6319 G6319 I6319 E6322 G6322 I6322 E6325 G6325 I6325 E6328 G6328 I6328 E6331 G6331 I6331 E6334 G6334 I6334 E6337 G6337 I6337 E6340 G6340 I6340 E6343 G6343 I6343 E6346 G6346 I6346 E6350 G6350 I6350 E6353 G6353 I6353 E6356 G6356 I6356 E6359 G6359 I6359 E6362 G6362 I6362 E6365 G6365 I6365 E6368 G6368 I6368 E6371 G6371 I6371 E6374 G6374 I6374 E6377 G6377 I6377 E6380 G6380 I6380 E6383 G6383 I6383 E6386 G6386 I6386 E6389 G6389 I6389 E6392 G6392 I6392 E6395 G6395 I6395 E6398 G6398 I6398 E6401 G6401 I6401 E6404 G6404 I6404 E6407 G6407 I6407 E6410 G6410 I6410 E6413 G6413 I6413 E6416 G6416 I6416 E6421 G6421 I6421 E6425 G6425 I6425 E6428 G6428 I6428 E6431 G6431 I6431 E6434 G6434 I6434 E6437 G6437 I6437 E6440 G6440 I6440 E6443 G6443 I6443 E6446 G6446 I6446 E6449 G6449 I6449 E6452 G6452 I6452 E6455 G6455 I6455 E6458 G6458 I6458 E6461 G6461 I6461 E6464 G6464 I6464 E6467 G6467 I6467 E6470 G6470 I6470 E6473 G6473 I6473 E6476 G6476 I6476 E6479 G6479 I6479 E6482 G6482 I6482 E6485 G6485 I6485 E6488 G6488 I6488 E6491 G6491 I6491 E6494 G6494 I6494 E6497 G6497 I6497 E6500 G6500 I6500 E6503 G6503 I6503 E6506 G6506 I6506 E6509 G6509 I6509 E6512 G6512 I6512 E6516 G6516 I6516 E6519 G6519 I6519 E6522 G6522 I6522 E6525 G6525 I6525 E6528 G6528 I6528 E6531 G6531 I6531 E6534 G6534 I6534 E6537 G6537 I6537 E6540 G6540 I6540 E6543 G6543 I6543 E6546 G6546 I6546 E6549 G6549 I6549 E6552 G6552 I6552 E6555 G6555 I6555 E6558 G6558 I6558 E6561 G6561 I6561 E6564 G6564 I6564 E6567 G6567 I6567 E6570 G6570 I6570 E6573 G6573 I6573 E6576 G6576 I6576 E6579 G6579 I6579 E6582 G6582 I6582 E6585 G6585 I6585 E6588 G6588 I6588 E6591 G6591 I6591 E6594 G6594 I6594 E6597 G6597 I6597 E6600 G6600 I6600 E6603 G6603 I6603 E6607 G6607 I6607 E6610 G6610 I6610 E6614 G6614 I6614 E6617 G6617 I6617 E6620 G6620 I6620 E6623 G6623 I6623 E6626 G6626 I6626 E6629 G6629 I6629 E6632 G6632 I6632 E6635 G6635 I6635 E6638 G6638 I6638 E6641 G6641 I6641 E6645 G6645 I6645 E6648 G6648 I6648 E6652 G6652 I6652 E6655 G6655 I6655 E6658 G6658 I6658 E6661 G6661 I6661 E6664 G6664 I6664 E6667 G6667 I6667 E6671 G6671 I6671 E6674 G6674 I6674 E6678 G6678 I6678 E6682 G6682 I6682 E6685 G6685 I6685 E6688 G6688 I6688 E6692 G6692 I6692 E6695 G6695 I6695 E6698 G6698 I6698 E6701 G6701 I6701 E6704 G6704 I6704 E6707 G6707 I6707 E6710 G6710 I6710 E6714 G6714 I6714 E6717 G6717 I6717 E6720 G6720 I6720 E6723 G6723 I6723 E6726 G6726 I6726 E6729 G6729 I6729 E6732 G6732 I6732 E6735 G6735 I6735 E6738 G6738 I6738 E6741 G6741 I6741 E6744 G6744 I6744 E6747 G6747 I6747 E6750 G6750 I6750 E6753 G6753 I6753 E6756 G6756 I6756 E6759 G6759 I6759 E6765 G6765 I6765 E6768 G6768 I6768 E6771 G6771 I6771 E6774 G6774 I6774 E6777 G6777 I6777 E6780 G6780 I6780 E6783 G6783 I6783 E6786 G6786 I6786 E6789 G6789 I6789 E6792 G6792 I6792 E6796 G6796 I6796 E6799 G6799 I6799 E6802 G6802 I6802 E6806 G6806 I6806 E6809 G6809 I6809 E6812 G6812 I6812 E6815 G6815 I6815 E6818 G6818 I6818 E6821 G6821 I6821 E6824 G6824 I6824 E6827 G6827 I6827 E6830 G6830 I6830 E6833 G6833 I6833 E6836 G6836 I6836 E6839 G6839 I6839 E6842 G6842 I6842 E6845 G6845 I6845 E6848 G6848 I6848 E6851 G6851 I6851 E6854 G6854 I6854 E6857 G6857 I6857 E6860 G6860 I6860 E6863 G6863 I6863 E6867 G6867 I6867 E6871 G6871 I6871 E6874 G6874 I6874 E6877 G6877 I6877 E6880 G6880 I6880 E6883 G6883 I6883 E6886 G6886 I6886 E6889 G6889 I6889 E6892 G6892 I6892 E6895 G6895 I6895 E6898 G6898 I6898 E6901 G6901 I6901 E6905 G6905 I6905 E6908 G6908 I6908 E6912 G6912 I6912 E6915 G6915 I6915 E6918 G6918 I6918 E6921 G6921 I6921 E6924 G6924 I6924 E6927 G6927 I6927 E6930 G6930 I6930 E6933 G6933 I6933 E6936 G6936 I6936 E6939 G6939 I6939 E6942 G6942 I6942 E6945 G6945 I6945 E6948 G6948 I6948 E6951 G6951 I6951 E6954 G6954 I6954 E6957 G6957 I6957 E6961 G6961 I6961 E6964 G6964 I6964 E6967 G6967 I6967 E6970 G6970 I6970 E6973 G6973 I6973 E6976 G6976 I6976 E6979 G6979 I6979 E6982 G6982 I6982 E6985 G6985 I6985 E6988 G6988 I6988 E6991 G6991 I6991 E6994 G6994 I6994 E6997 G6997 I6997 E7000 G7000 I7000 E7003 G7003 I7003 E7007 G7007 I7007 E7010 G7010 I7010 E7013 G7013 I7013 E7016 G7016 I7016 E7019 G7019 I7019 E7022 G7022 I7022 E7025 G7025 I7025 E7029 G7029 I7029 E7032 G7032 I7032 E7035 G7035 I7035 E7039 G7039 I7039 E7042 G7042 I7042 E7045 G7045 I7045 E7048 G7048 I7048 E7051 G7051 I7051 E7054 G7054 I7054 E7057 G7057 I7057 E7060 G7060 I7060 E7063 G7063 I7063 E7066 G7066 I7066 E7069 G7069 I7069 E7072 G7072 I7072 E7075 G7075 I7075 E7078 G7078 I7078 E7081 G7081 I7081 E7084 G7084 I7084 E7087 G7087 I7087 E7091 G7091 I7091 E7094 G7094 I7094 E7097 G7097 I7097 E7101 G7101 I7101 E7104 G7104 I7104 E7107 G7107 I7107 E7110 G7110 I7110 E7116 G7116 I7116 E7119 G7119 I7119 E7124 G7124 I7124 E7127 G7127 I7127 E7131 G7131 I7131 E7134 G7134 I7134 E7137 G7137 I7137 E7140 G7140 I7140 E7143 G7143 I7143 E7147 G7147 I7147 E7150 G7150 I7150 E7153 G7153 I7153 E7157 G7157 I7157 E7160 G7160 I7160 E7163 G7163 I7163 E7167 G7167 I7167 E7170 G7170 I7170 E7173 G7173 I7173 E7176 G7176 I7176 E7179 G7179 I7179 E7183 G7183 I7183 E7186 G7186 I7186 E7189 G7189 I7189 E7192 G7192 I7192 E7195 G7195 I7195 E7198 G7198 I7198 E7201 G7201 I7201 E7204 G7204 I7204 E7207 G7207 I7207 E7210 G7210 I7210 E7213 G7213 I7213 E7216 G7216 I7216 E7219 G7219 I7219 E7222 G7222 I7222 E7225 G7225 I7225 E7228 G7228 I7228 E7231 G7231 I7231 E7234 G7234 I7234 E7237 G7237 I7237 E7240 G7240 I7240 E7243 G7243 I7243 E7246 G7246 I7246 G7249 I7249 E7252 G7252 I7252 E7255 G7255 I7255 E7258 G7258 I7258 E7261 G7261 I7261 E7264 G7264 I7264 E7267 G7267 I7267 E7270 G7270 I7270 E7273 G7273 I7273 E7276 G7276 I7276 E7279 G7279 I7279 E7282 G7282 I7282 E7285 G7285 I7285 E7288 G7288 I7288 E7292 G7292 I7292 E7296 G7296 I7296 E7300 G7300 I7300 E7303 G7303 I7303 E7306 G7306 I7306 E7309 G7309 I7309 E7313 G7313 I7313 G7316 I7316 E7319 G7319 I7319 E7322 G7322 I7322 E7325 G7325 I7325 E7328 G7328 I7328 E7331 G7331 I7331 E7334 G7334 I7334 E7337 G7337 I7337 E7340 G7340 I7340 E7343 G7343 I7343 E7346 G7346 I7346 E7349 G7349 I7349 E7352 G7352 I7352 E7355 G7355 I7355 E7358 G7358 I7358 E7361 G7361 I7361 E7364 G7364 I7364 E7367 G7367 I7367 E7370 G7370 I7370 E7373 G7373 I7373 E7376 G7376 I7376 E7379 G7379 I7379 E7382 G7382 I7382 E7385 G7385 I7385 E7388 G7388 I7388 E7391 G7391 I7391 E7394 G7394 I7394 E7397 G7397 I7397 E7400 G7400 I7400 E7403 G7403 I7403 E7408 G7408 I7408 G7411 I7411 E7414 G7414 I7414 E7417 G7417 I7417 E7421 G7421 I7421 E7424 G7424 I7424 E7427 G7427 I7427 E7430 G7430 I7430 E7433 G7433 I7433 E7436 G7436 I7436 E7439 G7439 I7439 E7442 G7442 I7442 E7445 G7445 I7445 E7448 G7448 I7448 E7451 G7451 I7451 E7454 G7454 I7454 E7457 G7457 I7457 E7461 G7461 I7461 E7464 G7464 I7464 E7467 G7467 I7467 E7470 G7470 I7470 E7473 G7473 I7473 E7476 G7476 I7476 E7479 G7479 I7479 E7483 G7483 I7483 E7486 G7486 I7486 E7489 G7489 I7489 E7492 G7492 I7492 E7495 G7495 I7495 E7498 G7498 I7498 E7501 G7501 I7501 E7504 G7504 I7504 E7507 G7507 I7507 E7510 G7510 I7510 E7513 G7513 I7513 E7516 G7516 I7516 E7519 G7519 I7519 E7522 G7522 I7522 E7525 G7525 I7525 E7529 G7529 I7529 E7532 G7532 I7532 E7535 G7535 I7535 E7538 G7538 I7538 E7542 G7542 I7542 E7545 G7545 I7545 E7548 G7548 I7548 E7551 G7551 I7551 E7554 G7554 I7554 E7557 G7557 I7557 E7560 G7560 I7560 E7563 G7563 I7563 E7566 G7566 I7566 E7569 G7569 I7569 E7572 G7572 I7572 E7575 G7575 I7575 E7578 G7578 I7578 E7581 G7581 I7581 E7584 G7584 I7584 E7588 G7588 I7588 E7591 G7591 I7591 E7594 G7594 I7594 E7597 G7597 I7597 E7600 G7600 I7600 E7603 G7603 I7603 E7606 G7606 I7606 E7609 G7609 I7609 E7614 G7614 I7614 E7617 G7617 I7617 E7620 G7620 I7620 E7623 G7623 I7623 E7626 G7626 I7626 E7630 G7630 I7630 E7633 G7633 I7633 E7636 G7636 I7636 E7639 G7639 I7639 E7642 G7642 I7642 E7645 G7645 I7645 E7649 G7649 I7649 E7653 G7653 I7653 E7656 G7656 I7656 E7659 G7659 I7659 E7663 G7663 I7663 E7667 G7667 I7667 E7670 G7670 I7670 E7673 G7673 I7673 E7677 G7677 I7677 E7680 G7680 I7680 E7683 G7683 I7683 E7686 G7686 I7686 E7689 G7689 I7689 E7692 G7692 I7692 E7695 G7695 I7695 E7698 G7698 I7698 E7701 G7701 I7701 E7704 G7704 I7704 E7707 G7707 I7707 E7710 G7710 I7710 E7716 G7716 I7716 E7719 G7719 I7719 E7722 G7722 I7722 E7725 G7725 I7725 E7728 G7728 I7728 E7731 G7731 I7731 E7734 G7734 I7734 E7737 G7737 I7737 E7740 G7740 I7740 E7743 G7743 I7743 E7746 G7746 I7746 E7750 G7750 I7750 E7753 G7753 I7753 E7756 G7756 I7756 E7759 G7759 I7759 E7762 G7762 I7762 E7765 G7765 I7765 E7768 G7768 I7768 E7771 G7771 I7771 E7774 G7774 I7774 E7777 G7777 I7777 E7780 G7780 I7780 E7783 G7783 I7783 E7786 G7786 I7786 E7789 G7789 I7789 E7792 G7792 I7792 E7795 G7795 I7795 E7798 G7798 I7798 E7801 G7801 I7801 E7804 G7804 I7804 E7807 G7807 I7807 E7810 G7810 I7810 E7813 G7813 I7813 E7816 G7816 I7816 E7820 G7820 I7820 E7823 G7823 I7823 E7826 G7826 I7826 E7829 G7829 I7829 E7832 G7832 I7832 E7835 G7835 I7835 E7838 G7838 I7838 E7841 G7841 I7841 E7844 G7844 I7844 E7848 G7848 I7848 E7851 G7851 I7851 E7854 G7854 I7854 E7857 G7857 I7857 E7860 G7860 I7860 E7863 G7863 I7863 E7866 G7866 I7866 E7869 G7869 I7869 E7872 G7872 I7872 E7875 G7875 I7875 E7878 G7878 I7878 E7881 G7881 I7881 E7884 G7884 I7884 E7887 G7887 I7887 E7890 G7890 I7890 E7893 G7893 I7893 E7897 G7897 I7897 E7900 G7900 I7900 E7903 G7903 I7903 E7906 G7906 I7906 E7909 G7909 I7909 E7912 G7912 I7912 E7915 G7915 I7915 E7918 G7918 I7918 E7921 G7921 I7921 E7924 G7924 I7924 E7927 G7927 I7927 E7931 G7931 I7931 E7934 G7934 I7934 E7937 G7937 I7937 E7940 G7940 I7940 E7943 G7943 I7943 E7946 G7946 I7946 E7949 G7949 I7949 E7952 G7952 I7952 E7956 G7956 I7956 E7959 G7959 I7959 E7962 G7962 I7962 E7965 G7965 I7965 E7968 G7968 I7968 E7971 G7971 I7971 E7974 G7974 I7974 E7977 G7977 I7977 E7980 G7980 I7980 E7983 G7983 I7983 E7986 G7986 I7986 E7989 G7989 I7989 E7992 G7992 I7992 E7995 G7995 I7995 E7998 G7998 I7998 E8001 G8001 I8001 E8004 G8004 I8004 E8007 G8007 I8007 E8010 G8010 I8010 E8013 G8013 I8013 E8016 G8016 I8016 E8019 G8019 I8019 E8022 G8022 I8022 E8025 G8025 I8025 E8028 G8028 I8028 E8031 G8031 I8031 E8034 G8034 I8034 E8037 G8037 I8037 E8040 G8040 I8040 E8043 G8043 I8043 E8046 G8046 I8046 E8049 G8049 I8049 E8052 G8052 I8052 E8055 G8055 I8055 E8058 G8058 I8058 E8061 G8061 I8061 E8064 G8064 I8064 E8067 G8067 I8067 E8070 G8070 I8070 E8073 G8073 I8073 E8076 G8076 I8076 E8079 G8079 I8079 E8082 G8082 I8082 E8085 G8085 I8085 E8089 G8089 I8089 E8092 G8092 I8092 E8095 G8095 I8095 E8098 G8098 I8098 E8101 G8101 I8101 E8104 G8104 I8104 E8107 G8107 I8107 E8110 G8110 I8110 E8114 G8114 I8114 E8117 G8117 I8117 E8120 G8120 I8120 E8123 G8123 I8123 E8126 G8126 I8126 E8129 G8129 I8129 E8132 G8132 I8132 E8136 G8136 I8136 E8139 G8139 I8139 E8142 G8142 I8142 E8145 G8145 I8145 E8148 G8148 I8148 E8151 G8151 I8151 E8154 G8154 I8154 E8157 G8157 I8157 E8160 G8160 I8160 E8163 G8163 I8163 E8166 G8166 I8166 E8169 G8169 I8169 E8172 G8172 I8172 E8175 G8175 I8175 E8178 G8178 I8178 E8182 G8182 I8182 E8185 G8185 I8185 E8188 G8188 I8188 E8191 G8191 I8191 E8194 G8194 I8194 E8197 G8197 I8197 E8200 G8200 I8200 E8203 G8203 I8203 E8206 G8206 I8206 E8209 G8209 I8209 E8212 G8212 I8212 E8216 G8216 I8216 E8220 G8220 I8220 E8223 G8223 I8223 E8226 G8226 I8226 E8229 G8229 I8229 E8232 G8232 I8232 E8235 G8235 I8235 E8238 G8238 I8238 E8241 G8241 I8241 E8244 G8244 I8244 E8247 G8247 I8247 E8250 G8250 I8250 E8253 G8253 I8253 E8256 G8256 I8256 E8259 G8259 I8259 E8262 G8262 I8262 E8265 G8265 I8265 E8268 G8268 I8268 E8272 G8272 I8272 E8276 G8276 I8276 E8279 G8279 I8279 E8283 G8283 I8283 E8287 G8287 I8287 E8291 G8291 I8291 E8294 G8294 I8294 E8298 G8298 I8298 E8302 G8302 I8302 E8306 G8306 I8306 E8309 G8309 I8309 E8315 G8315 I8315 E8318 G8318 I8318 E8321 G8321 I8321 E8324 G8324 I8324 E8328 G8328 I8328 E8331 G8331 I8331 E8334 G8334 I8334 E8337 G8337 I8337 E8340 G8340 I8340 E8343 G8343 I8343 E8346 G8346 I8346 E8349 G8349 I8349 E8352 G8352 I8352 E8355 G8355 I8355 E8358 G8358 I8358 E8361 G8361 I8361 E8364 G8364 I8364 E8367 G8367 I8367 E8370 G8370 I8370 E8373 G8373 I8373 E8377 G8377 I8377 E8380 G8380 I8380 E8383 G8383 I8383 E8386 G8386 I8386 E8389 G8389 I8389 E8392 G8392 I8392 E8395 G8395 I8395 E8398 G8398 I8398 E8402 G8402 I8402 E8405 G8405 I8405 E8408 G8408 I8408 E8411 G8411 I8411 E8414 G8414 I8414 E8417 G8417 I8417 E8422 G8422 I8422 E8425 G8425 I8425 E8428 G8428 I8428 E8431 G8431 I8431 E8434 G8434 I8434 E8437 G8437 I8437 E8440 G8440 I8440 E8443 G8443 I8443 E8446 G8446 I8446 E8449 G8449 I8449 E8452 G8452 I8452 E8455 G8455 I8455 E8458 G8458 I8458 E8461 G8461 I8461 E8464 G8464 I8464 E8467 G8467 I8467 E8470 G8470 I8470 E8473 G8473 I8473 E8476 G8476 I8476 E8480 G8480 I8480 E8483 G8483 I8483 E8486 G8486 I8486 E8489 G8489 I8489 E8492 G8492 I8492 E8495 G8495 I8495 E8498 G8498 I8498 E8502 G8502 I8502 E8506 G8506 I8506 E8509 G8509 I8509 E8512 G8512 I8512 E8515 G8515 I8515 E8518 G8518 I8518 E8521 G8521 I8521 E8525 G8525 I8525 E8528 G8528 I8528 E8531 G8531 I8531 E8535 G8535 I8535 E8538 G8538 I8538 E8541 G8541 I8541 E8544 G8544 I8544 E8547 G8547 I8547 E8550 G8550 I8550 E8553 G8553 I8553 E8556 G8556 I8556 E8559 G8559 I8559 E8562 G8562 I8562 E8565 G8565 I8565 E8568 G8568 I8568 E8572 G8572 I8572 E8575 G8575 I8575 E8578 G8578 I8578 E8581 G8581 I8581 E8584 G8584 I8584 E8587 G8587 I8587 E8590 G8590 I8590 E8593 G8593 I8593 E8596 G8596 I8596 E8599 G8599 I8599 E8602 G8602 I8602 E8605 G8605 I8605 E8608 G8608 I8608 E8611 G8611 I8611 E8614 G8614 I8614 E8617 G8617 I8617 E8620 G8620 I8620 E8623 G8623 I8623 E8626 G8626 I8626 E8629 G8629 I8629 E8632 G8632 I8632 E8635 G8635 I8635 E8638 G8638 I8638 E8642 G8642 I8642 E8645 G8645 I8645 E8648 G8648 I8648 E8651 G8651 I8651 E8654 G8654 I8654 E8657 G8657 I8657 E8660 G8660 I8660 E8663 G8663 I8663 E8666 G8666 I8666 E8669 G8669 I8669 E8672 G8672 I8672 E8675 G8675 I8675 E8679 G8679 I8679 E8682 G8682 I8682 E8685 G8685 I8685 E8688 G8688 I8688 E8691 G8691 I8691 E8694 G8694 I8694 E8697 G8697 I8697 E8700 G8700 I8700 E8703 G8703 I8703 E8706 G8706 I8706 E8709 G8709 I8709 E8712 G8712 I8712 E8715 G8715 I8715 E8718 G8718 I8718 E8721 G8721 I8721 E8724 G8724 I8724 E8727 G8727 I8727 E8730 G8730 I8730 E8733 G8733 I8733 E8736 G8736 I8736 E8739 G8739 I8739 E8742 G8742 I8742 E8745 G8745 I8745 E8748 G8748 I8748 E8751 G8751 I8751 E8754 G8754 I8754 E8757 G8757 I8757 E8760 G8760 I8760 E8763 G8763 I8763 E8766 G8766 I8766 E8769 G8769 I8769 E8772 G8772 I8772 E8776 G8776 I8776 E8779 G8779 I8779 E8782 G8782 I8782 E8786 G8786 I8786 E8789 G8789 I8789 E8792 G8792 I8792 E8796 G8796 I8796 E8799 G8799 I8799 E8802 G8802 I8802 E8805 G8805 I8805 E8808 G8808 I8808 E8811 G8811 I8811 E8814 G8814 I8814 E8817 G8817 I8817 E8820 G8820 I8820 E8823 G8823 I8823 E8826 G8826 I8826 E8829 G8829 I8829 E8832 G8832 I8832 E8835 G8835 I8835 E8838 G8838 I8838 E8841 G8841 I8841 E8844 G8844 I8844 E8847 G8847 I8847 E8850 G8850 I8850 E8853 G8853 I8853 E8856 G8856 I8856 E8860 G8860 I8860 E8863 G8863 I8863 E8866 G8866 I8866 E8870 G8870 I8870 E8874 G8874 I8874 E8878 G8878 I8878 E8881 G8881 I8881 E8884 G8884 I8884 E8887 G8887 I8887 E8890 G8890 I8890 E8893 G8893 I8893 E8896 G8896 I8896 E8899 G8899 I8899 E8902 G8902 I8902 E8905 G8905 I8905 E8908 G8908 I8908 E8911 G8911 I8911 E8914 G8914 I8914 E8918 G8918 I8918 E8921 G8921 I8921 E8924 G8924 I8924 E8927 G8927 I8927 E8930 G8930 I8930 E8934 G8934 I8934 E8937 G8937 I8937 E8940 G8940 I8940 E8943 G8943 I8943 E8946 G8946 I8946 E8949 G8949 I8949 E8952 G8952 I8952 E8956 G8956 I8956 E8959 G8959 I8959 E8962 G8962 I8962 E8965 G8965 I8965 E8968 G8968 I8968 E8971 G8971 I8971 E8974 G8974 I8974 E8977 G8977 I8977 E8980 G8980 I8980 E8983 G8983 I8983 E8986 G8986 I8986 E8989 G8989 I8989 E8992 G8992 I8992 E8995 G8995 I8995 E8998 G8998 I8998 E9001 G9001 I9001 E9004 G9004 I9004 E9007 G9007 I9007 E9010 G9010 I9010 E9014 G9014 I9014 E9017 G9017 I9017 E9020 G9020 I9020 E9023 G9023 I9023 E9026 G9026 I9026 E9029 G9029 I9029 E9032 G9032 I9032 E9035 G9035 I9035 E9038 G9038 I9038 E9041 G9041 I9041 E9044 G9044 I9044 E9047 G9047 I9047 E9050 G9050 I9050 E9054 G9054 I9054 E9057 G9057 I9057 E9060 G9060 I9060 E9063 G9063 I9063 E9066 G9066 I9066 E9069 G9069 I9069 E9072 G9072 I9072 E9075 G9075 I9075 E9078 G9078 I9078 E9082 G9082 I9082 E9085 G9085 I9085 E9088 G9088 I9088 E9091 G9091 I9091 E9094 G9094 I9094 E9098 G9098 I9098 E9101 G9101 I9101 E9104 G9104 I9104 E9107 G9107 I9107 E9110 G9110 I9110 E9113 G9113 I9113 E9116 G9116 I9116 E9120 G9120 I9120 E9123 G9123 I9123 E9126 G9126 I9126 E9129 G9129 I9129 E9132 G9132 I9132 E9135 G9135 I9135 E9139 G9139 I9139 E9142 G9142 I9142 E9145 G9145 I9145 E9148 G9148 I9148 E9151 G9151 I9151 E9154 G9154 I9154 E9157 G9157 I9157 E9160 G9160 I9160 E9163 G9163 I9163 E9166 G9166 I9166 E9169 G9169 I9169 E9173 G9173 I9173 E9176 G9176 I9176 E9179 G9179 I9179 E9182 G9182 I9182 E9185 G9185 I9185 E9188 G9188 I9188 E9192 G9192 I9192 E9196 G9196 I9196 E9199 G9199 I9199 E9203 G9203 I9203 E9206 G9206 I9206 E9209 G9209 I9209 E9212 G9212 I9212 E9215 G9215 I9215 E9218 G9218 I9218 E9221 G9221 I9221 E9224 G9224 I9224 E9228 G9228 I9228 E9234 G9234 I9234 E9237 G9237 I9237 E9241 G9241 I9241 E9244 G9244 I9244 E9247 G9247 I9247 E9250 G9250 I9250 E9253 G9253 I9253 E9256 G9256 I9256 E9259 G9259 I9259 E9262 G9262 I9262 E9265 G9265 I9265 E9268 G9268 I9268 E9271 G9271 I9271 E9274 G9274 I9274 E9278 G9278 I9278 E9281 G9281 I9281 E9284 G9284 I9284 E9287 G9287 I9287 E9290 G9290 I9290 E9293 G9293 I9293 E9296 G9296 I9296 E9299 G9299 I9299 E9302 G9302 I9302 E9305 G9305 I9305 E9308 G9308 I9308 E9311 G9311 I9311 E9314 G9314 I9314 E9317 G9317 I9317 E9320 G9320 I9320 E9323 G9323 I9323 E9327 G9327 I9327 E9331 G9331 I9331 E9334 G9334 I9334 E9337 G9337 I9337 E9340 G9340 I9340 E9343 G9343 I9343 E9346 G9346 I9346 E9349 G9349 I9349 E9352 G9352 I9352 E9355 G9355 I9355 E9358 G9358 I9358 E9361 G9361 I9361 E9364 G9364 I9364 E9368 G9368 I9368 E9371 G9371 I9371 E9374 G9374 I9374 E9377 G9377 I9377 E9380 G9380 I9380 E9383 G9383 I9383 E9386 G9386 I9386 E9389 G9389 I9389 E9392 G9392 I9392 E9395 G9395 I9395 E9398 G9398 I9398 E9401 G9401 I9401 E9404 G9404 I9404 E9407 G9407 I9407 E9410 G9410 I9410 E9413 G9413 I9413 E9416 G9416 I9416 E9419 G9419 I9419 E9422 G9422 I9422 E9425 G9425 I9425 E9428 G9428 I9428 E9431 G9431 I9431 E9434 G9434 I9434 E9437 G9437 I9437 E9440 G9440 I9440 E9443 G9443 I9443 E9446 G9446 I9446 E9449 G9449 I9449 E9452 G9452 I9452 E9455 G9455 I9455 E9458 G9458 I9458 E9461 G9461 I9461 E9464 G9464 I9464 E9467 G9467 I9467 E9470 G9470 I9470 E9473 G9473 I9473 E9476 G9476 I9476 E9479 G9479 I9479 E9482 G9482 I9482 E9485 G9485 I9485 E9488 G9488 I9488 E9491 G9491 I9491 E9494 G9494 I9494 E9497 G9497 I9497 E9500 G9500 I9500 E9503 G9503 I9503 E9506 G9506 I9506 E9509 G9509 I9509 E9512 G9512 I9512 E9515 G9515 I9515 E9518 G9518 I9518 E9521 G9521 I9521 E9524 G9524 I9524 E9527 G9527 I9527 E9530 G9530 I9530 E9533 G9533 I9533 E9536 G9536 I9536 E9539 G9539 I9539 E9542 G9542 I9542 E9545 G9545 I9545 E9548 G9548 I9548 E9551 G9551 I9551 E9554 G9554 I9554 E9557 G9557 I9557 E9560 G9560 I9560 E9563 G9563 I9563 E9566 G9566 I9566 E9569 G9569 I9569 E9572 G9572 I9572 E9575 G9575 I9575 E9579 G9579 I9579 E9582 G9582 I9582 E9585 G9585 I9585 E9588 G9588 I9588 E9591 G9591 I9591 E9594 G9594 I9594 E9597 G9597 I9597 E9600 G9600 I9600 E9603 G9603 I9603 E9606 G9606 I9606 E9609 G9609 I9609 E9612 G9612 I9612 E9615 G9615 I9615 E9619 G9619 I9619 E9623 G9623 I9623 E9626 G9626 I9626 E9629 G9629 I9629 E9632 G9632 I9632 E9635 G9635 I9635 E9638 G9638 I9638 E9641 G9641 I9641 E9644 G9644 I9644 E9647 G9647 I9647 E9650 G9650 I9650 E9653 G9653 I9653 E9656 G9656 I9656 E9659 G9659 I9659 E9662 G9662 I9662 E9665 G9665 I9665 E9668 G9668 I9668 E9671 G9671 I9671 E9674 G9674 I9674 E9677 G9677 I9677 E9680 G9680 I9680 E9683 G9683 I9683 E9686 G9686 I9686 E9689 G9689 I9689 E9692 G9692 I9692 E9695 G9695 I9695 E9698 G9698 I9698 E9701 G9701 I9701 E9704 G9704 I9704 E9708 G9708 I9708 E9712 G9712 I9712 E9715 G9715 I9715 E9718 G9718 I9718 E9721 G9721 I9721 E9724 G9724 I9724 E9727 G9727 I9727 E9730 G9730 I9730 E9733 G9733 I9733 E9736 G9736 I9736 E9739 G9739 I9739 E9743 G9743 I9743 E9746 G9746 I9746 E9749 G9749 I9749 E9752 G9752 I9752 E9756 G9756 I9756 E9759 G9759 I9759 E9762 G9762 I9762 E9765 G9765 I9765 E9768 G9768 I9768 E9771 G9771 I9771 E9774 G9774 I9774 E9777 G9777 I9777 E9780 G9780 I9780 E9783 G9783 I9783 E9786 G9786 I9786 E9789 G9789 I9789 E9792 G9792 I9792 E9795 G9795 I9795 E9798 G9798 I9798 E9801 G9801 I9801 E9804 G9804 I9804 E9807 G9807 I9807 E9810 G9810 I9810 E9813 G9813 I9813 E9816 G9816 I9816 E9819 G9819 I9819 E9822 G9822 I9822 E9825 G9825 I9825 E9828 G9828 I9828 E9831 G9831 I9831 E9834 G9834 I9834 E9837 G9837 I9837 E9840 G9840 I9840 E9843 G9843 I9843 E9846 G9846 I9846 E9849 G9849 I9849 E9852 G9852 I9852 E9855 G9855 I9855 E9858 G9858 I9858 E9861 G9861 I9861 E9864 G9864 I9864 E9867 G9867 I9867 E9870 G9870 I9870 E9873 G9873 I9873 E9876 G9876 I9876 E9879 G9879 I9879 E9882 G9882 I9882 E9885 G9885 I9885 E9888 G9888 I9888 E9891 G9891 I9891 E9895 G9895 I9895 E9898 G9898 I9898 E9901 G9901 I9901 E9904 G9904 I9904 E9907 G9907 I9907 E9910 G9910 I9910 E9913 G9913 I9913 E9916 G9916 I9916 E9919 G9919 I9919 E9922 G9922 I9922 E9925 G9925 I9925 E9928 G9928 I9928 E9931 G9931 I9931 E9934 G9934 I9934 E9937 G9937 I9937 E9940 G9940 I9940 E9943 G9943 I9943 E9946 G9946 I9946 E9949 G9949 I9949 E9952 G9952 I9952 E9955 G9955 I9955 E9958 G9958 I9958 E9961 G9961 I9961 E9964 G9964 I9964 E9967 G9967 I9967 E9970 G9970 I9970 E9973 G9973 I9973 E9976 G9976 I9976 E9979 G9979 I9979 E9982 G9982 I9982 E9985 G9985 I9985 E9988 G9988 I9988 E9991 G9991 I9991 E9994 G9994 I9994 E9997 G9997 I9997 E10000 G10000 I10000 E10003 G10003 I10003 E10006 G10006 I10006 E10009 G10009 I10009 E10012 G10012 I10012 E10015 G10015 I10015 E10018 G10018 I10018 E10021 G10021 I10021 E10024 G10024 I10024 E10027 G10027 I10027 E10030 G10030 I10030 E10033 G10033 I10033 E10036 G10036 I10036 E10039 G10039 I10039 E10042 G10042 I10042 E10045 G10045 I10045 E10048 G10048 I10048 E10051 G10051 I10051 E10054 G10054 I10054 E10057 G10057 I10057 E10060 G10060 I10060 E10063 G10063 I10063 E10066 G10066 I10066 E10069 G10069 I10069 E10072 G10072 I10072 E10075 G10075 I10075 E10078 G10078 I10078 E10081 G10081 I10081 E10084 G10084 I10084 E10088 G10088 I10088 E10091 G10091 I10091 E10094 G10094 I10094 E10097 G10097 I10097 E10100 G10100 I10100 E10104 G10104 I10104 E10107 G10107 I10107 E10110 G10110 I10110 E10113 G10113 I10113 E10116 G10116 I10116 E10119 G10119 I10119 E10125 G10125 I10125 E10128 G10128 I10128 E10131 G10131 I10131 E10134 G10134 I10134 E10137 G10137 I10137 E10143 G10143 I10143 E10146 G10146 I10146 E10150 G10150 I10150 E10153 G10153 I10153 E10156 G10156 I10156 E10159 G10159 I10159 E10162 G10162 I10162 E10165 G10165 I10165 E10168 G10168 I10168 E10171 G10171 I10171 E10174 G10174 I10174 E10177 G10177 I10177 E10180 G10180 I10180 E10183 G10183 I10183 E10186 G10186 I10186 E10189 G10189 I10189 E10192 G10192 I10192 E10195 G10195 I10195 E10198 G10198 I10198 E10201 G10201 I10201 E10204 G10204 I10204 E10207 G10207 I10207 E10210 G10210 I10210 E10213 G10213 I10213 E10216 G10216 I10216 E10219 G10219 I10219 E10222 G10222 I10222 E10225 G10225 I10225 E10228 G10228 I10228 E10231 G10231 I10231 E10234 G10234 I10234 E10237 G10237 I10237 E10240 G10240 I10240 E10243 G10243 I10243 E10246 G10246 I10246 E10249 G10249 I10249 E10252 G10252 I10252 E10255 G10255 I10255 E10258 G10258 I10258 E10261 G10261 I10261 E10264 G10264 I10264 E10267 G10267 I10267 E10270 G10270 I10270 E10273 G10273 I10273 E10276 G10276 I10276 E10279 G10279 I10279 E10282 G10282 I10282 E10285 G10285 I10285 E10288 G10288 I10288 E10291 G10291 I10291 E10294 G10294 I10294 E10297 G10297 I10297 E10300 G10300 I10300 E10303 G10303 I10303 E10306 G10306 I10306 E10309 G10309 I10309 E10312 G10312 I10312 E10315 G10315 I10315 E10318 G10318 I10318 E10321 G10321 I10321 E10324 G10324 I10324 E10327 G10327 I10327 E10330 G10330 I10330 E10333 G10333 I10333 E10336 G10336 I10336 E10339 G10339 I10339 E10342 G10342 I10342 E10345 G10345 I10345 E10348 G10348 I10348 E10351 G10351 I10351 E10354 G10354 I10354 E10357 G10357 I10357 E10360 G10360 I10360 E10363 G10363 I10363 E10366 G10366 I10366 E10369 G10369 I10369 E10372 G10372 I10372 E10375 G10375 I10375 E10378 G10378 I10378 E10381 G10381 I10381 E10384 G10384 I10384 E10387 G10387 I10387 E10390 G10390 I10390 E10393 G10393 I10393 E10396 G10396 I10396 E10399 G10399 I10399 E10402 G10402 I10402 E10405 G10405 I10405 E10408 G10408 I10408 E10411 G10411 I10411 E10414 G10414 I10414 E10417 G10417 I10417 E10420 G10420 I10420 E10423 G10423 I10423 E10426 G10426 I10426 E10429 G10429 I10429 E10432 G10432 I10432 E10435 G10435 I10435 E10438 G10438 I10438 E10441 G10441 I10441 E10444 G10444 I10444 E10447 G10447 I10447 E10450 G10450 I10450 E10454 G10454 I10454 E10457 G10457 I10457 E10460 G10460 I10460 E10463 G10463 I10463 E10466 G10466 I10466 E10469 G10469 I10469 E10472 G10472 I10472 E10475 G10475 I10475 E10478 G10478 I10478 E10481 G10481 I10481 E10484 G10484 I10484 E10487 G10487 I10487 E10490 G10490 I10490 E10493 G10493 I10493 E10496 G10496 I10496 E10499 G10499 I10499 E10502 G10502 I10502 E10505 G10505 I10505 E10508 G10508 I10508 E10511 G10511 I10511 E10514 G10514 I10514 E10517 G10517 I10517 E10520 G10520 I10520 E10523 G10523 I10523 E10526 G10526 I10526 E10529 G10529 I10529 E10532 G10532 I10532 E10535 G10535 I10535 E10538 G10538 I10538 E10541 G10541 I10541 E10544 G10544 I10544 E10547 G10547 I10547 E10550 G10550 I10550 E10553 G10553 I10553 E10556 G10556 I10556 E10559 G10559 I10559 E10562 G10562 I10562 E10565 G10565 I10565 E10568 G10568 I10568 E10571 G10571 I10571 E10574 G10574 I10574 E10577 G10577 I10577 E10580 G10580 I10580 E10583 G10583 I10583 E10586 G10586 I10586 E10590 G10590 I10590 E10593 G10593 I10593 E10596 G10596 I10596 E10599 G10599 I10599 E10602 G10602 I10602 E10605 G10605 I10605 E10608 G10608 I10608 E10611 G10611 I10611 E10614 G10614 I10614 E10618 G10618 I10618 E10621 G10621 I10621 E10624 G10624 I10624 E10627 G10627 I10627 E10630 G10630 I10630 E10633 G10633 I10633 E10636 G10636 I10636 E10640 G10640 I10640 E10643 G10643 I10643 E10646 G10646 I10646 E10649 G10649 I10649 E10652 G10652 I10652 E10655 G10655 I10655 E10658 G10658 I10658 E10661 G10661 I10661 E10664 G10664 I10664 E10667 G10667 I10667 E10670 G10670 I10670 E10673 G10673 I10673 E10676 G10676 I10676 E10679 G10679 I10679 E10682 G10682 I10682 E10685 G10685 I10685 E10688 G10688 I10688 E10691 G10691 I10691 E10694 G10694 I10694 E10697 G10697 I10697 E10700 G10700 I10700 E10703 G10703 I10703 E10706 G10706 I10706 E10709 G10709 I10709 E10712 G10712 I10712 E10715 G10715 I10715 E10718 G10718 I10718 E10721 G10721 I10721 E10724 G10724 I10724 E10727 G10727 I10727 E10731 G10731 I10731 E10734 G10734 I10734 E10737 G10737 I10737 E10740 G10740 I10740 E10743 G10743 I10743 E10746 G10746 I10746 E10749 G10749 I10749 E10752 G10752 I10752 E10755 G10755 I10755 E10758 G10758 I10758 E10761 G10761 I10761 E10764 G10764 I10764 E10767 G10767 I10767 E10770 G10770 I10770 E10773 G10773 I10773 E10776 G10776 I10776 E10779 G10779 I10779 E10782 G10782 I10782 E10785 G10785 I10785 E10788 G10788 I10788 E10791 G10791 I10791 E10794 G10794 I10794 E10797 G10797 I10797 E10800 G10800 I10800 E10803 G10803 I10803 E10806 G10806 I10806 E10809 G10809 I10809 E10812 G10812 I10812 E10815 G10815 I10815 E10818 G10818 I10818 E10821 G10821 I10821 E10824 G10824 I10824 E10827 G10827 I10827 E10833 G10833 I10833 E10836 G10836 I10836 E10839 G10839 I10839 E10842 G10842 I10842 E10845 G10845 I10845 E10848 G10848 I10848 E10851 G10851 I10851 E10854 G10854 I10854 E10857 G10857 I10857 E10860 G10860 I10860 E10863 G10863 I10863 E10866 G10866 I10866 E10869 G10869 I10869 E10872 G10872 I10872 E10875 G10875 I10875 E10878 G10878 I10878 E10881 G10881 I10881 E10884 G10884 I10884 E10887 G10887 I10887 E10890 G10890 I10890 E10893 G10893 I10893 E10896 G10896 I10896 E10899 G10899 I10899 E10902 G10902 I10902 E10905 G10905 I10905 E10908 G10908 I10908 E10911 G10911 I10911 E10914 G10914 I10914 E10917 G10917 I10917 E10920 G10920 I10920 E10923 G10923 I10923 E10926 G10926 I10926 E10929 G10929 I10929 E10932 G10932 I10932 E10935 G10935 I10935 E10938 G10938 I10938 E10941 G10941 I10941 E10944 G10944 I10944 E10947 G10947 I10947 E10950 G10950 I10950 E10953 G10953 I10953 E10956 G10956 I10956 E10959 G10959 I10959 E10962 G10962 I10962 E10965 G10965 I10965 E10968 G10968 I10968 E10971 G10971 I10971 E10974 G10974 I10974 E10977 G10977 I10977 E10980 G10980 I10980 E10983 G10983 I10983 E10987 G10987 I10987 E10990 G10990 I10990 E10993 G10993 I10993 E10996 G10996 I10996 E10999 G10999 I10999 E11002 G11002 I11002 E11005 G11005 I11005 E11008 G11008 I11008 E11011 G11011 I11011 E11014 G11014 I11014 E11017 G11017 I11017 E11020 G11020 I11020 E11023 G11023 I11023 E11029 G11029 I11029 E11032 G11032 I11032 E11035 G11035 I11035 E11038 G11038 I11038 E11041 G11041 I11041 E11044 G11044 I11044 E11047 G11047 I11047 E11050 G11050 I11050 E11053 G11053 I11053 E11056 G11056 I11056 E11059 G11059 I11059 E11062 G11062 I11062 E11065 G11065 I11065 E11068 G11068 I11068 E11071 G11071 I11071 E11074 G11074 I11074 E11077 G11077 I11077 E11080 G11080 I11080 E11083 G11083 I11083 E11086 G11086 I11086 E11089 G11089 I11089 E11092 G11092 I11092 E11095 G11095 I11095 E11098 G11098 I11098 E11101 G11101 I11101 E11104 G11104 I11104 E11107 G11107 I11107 E11110 G11110 I11110 E11113 G11113 I11113 E11116 G11116 I11116 E11119 G11119 I11119 E11122 G11122 I11122 E11125 G11125 I11125 E11128 G11128 I11128 E11133 G11133 I11133 E11136 G11136 I11136 E11140 G11140 I11140 E11143 G11143 I11143 E11146 G11146 I11146 E11149 G11149 I11149 E11152 G11152 I11152 E11155 G11155 I11155 E11158 G11158 I11158 E11161 G11161 I11161 E11164 G11164 I11164 E11167 G11167 I11167 E11170 G11170 I11170 E11173 G11173 I11173 E11176 G11176 I11176 E11179 G11179 I11179 E11182 G11182 I11182 E11185 G11185 I11185 E11188 G11188 I11188 E11191 G11191 I11191 E11194 G11194 I11194 E11197 G11197 I11197 E11200 G11200 I11200 E11203 G11203 I11203 E11206 G11206 I11206 E11209 G11209 I11209 E11212 G11212 I11212 E11215 G11215 I11215 E11218 G11218 I11218 E11221 G11221 I11221 E11224 G11224 I11224 E11227 G11227 I11227 E11230 G11230 I11230 E11234 G11234 I11234 E11237 G11237 I11237 E11240 G11240 I11240 E11243 G11243 I11243 E11246 G11246 I11246 E11249 G11249 I11249 E11253 G11253 I11253 E11256 G11256 I11256 E11259 G11259 I11259 E11262 G11262 I11262 E11265 G11265 I11265 E11268 G11268 I11268 E11271 G11271 I11271 E11274 G11274 I11274 E11277 G11277 I11277 E11280 G11280 I11280 E11283 G11283 I11283 E11289 G11289 I11289 E11292 G11292 I11292 E11295 G11295 I11295 E11298 G11298 I11298 E11301 G11301 I11301 E11306 G11306 I11306 E11309 G11309 I11309 E11312 G11312 I11312 E11315 G11315 I11315 E11318 G11318 I11318 E11323 G11323 I11323 E11326 G11326 I11326 E11329 G11329 I11329 E11333 G11333 I11333 E11336 G11336 I11336 E11341 G11341 I11341 E11344 G11344 I11344 E11347 G11347 I11347 E11350 G11350 I11350 E11353 G11353 I11353 E11357 G11357 I11357 E11360 G11360 I11360 E11363 G11363 I11363 E11366 G11366 I11366 E11369 G11369 I11369 E11372 G11372 I11372 E11375 G11375 I11375 E11378 G11378 I11378 E11381 G11381 I11381 E11384 G11384 I11384 E11387 G11387 I11387 E11390 G11390 I11390 E11393 G11393 I11393 E11396 G11396 I11396 E11399 G11399 I11399 E11402 G11402 I11402 E11405 G11405 I11405 E11408 G11408 I11408 E11411 G11411 I11411 E11414 G11414 I11414 E11417 G11417 I11417 E11420 G11420 I11420 E11423 G11423 I11423 E11426 G11426 I11426 E11429 G11429 I11429 E11432 G11432 I11432 E11435 G11435 I11435 E11438 G11438 I11438 E11441 G11441 I11441 E11444 G11444 I11444 E11447 G11447 I11447 E11450 G11450 I11450 E11453 G11453 I11453 E11456 G11456 I11456 E11459 G11459 I11459 E11462 G11462 I11462 E11465 G11465 I11465 E11468 G11468 I11468 E11471 G11471 I11471 E11474 G11474 I11474 E11477 G11477 I11477 E11480 G11480 I11480 E11483 G11483 I11483 E11486 G11486 I11486 E11489 G11489 I11489 E11492 G11492 I11492 E11495 G11495 I11495 E11498 G11498 I11498 E11501 G11501 I11501 E11504 G11504 I11504 E11507 G11507 I11507 E11510 G11510 I11510 E11513 G11513 I11513 E11516 G11516 I11516 E11519 G11519 I11519 E11522 G11522 I11522 E11525 G11525 I11525 E11528 G11528 I11528 E11531 G11531 I11531 E11534 G11534 I11534 E11537 G11537 I11537 E11541 G11541 I11541 E11544 G11544 I11544 E11547 G11547 I11547 E11550 G11550 I11550 E11553 G11553 I11553 E11556 G11556 I11556 E11560 G11560 I11560 E11563 G11563 I11563 E11566 G11566 I11566 E11569 G11569 I11569 E11572 G11572 I11572 E11575 G11575 I11575 E11578 G11578 I11578 E11581 G11581 I11581 E11584 G11584 I11584 E11587 G11587 I11587 E11590 G11590 I11590 E11593 G11593 I11593 E11596 G11596 I11596 E11600 G11600 I11600 E11603 G11603 I11603 E11606 G11606 I11606 E11609 G11609 I11609 E11612 G11612 I11612 E11615 G11615 I11615 E11618 G11618 I11618 E11621 G11621 I11621 E11624 G11624 I11624 E11627 G11627 I11627 E11630 G11630 I11630 E11633 G11633 I11633 E11636 G11636 I11636 E11639 G11639 I11639 E11648 G11648 I11648 E11651 G11651 I11651 E11654 G11654 I11654 E11657 G11657 I11657 E11660 G11660 I11660 E11666 G11666 I11666 E11669 G11669 I11669 E11672 G11672 I11672 E11675 G11675 I11675 E11678 G11678 I11678 E11681 G11681 I11681 E11684 G11684 I11684 E11687 G11687 I11687 E11690 G11690 I11690 E11693 G11693 I11693 E11696 G11696 I11696 E11699 G11699 I11699 E11702 G11702 I11702 E11705 G11705 I11705 E11708 G11708 I11708 E11711 G11711 I11711 E11714 G11714 I11714 E11717 G11717 I11717 E11720 G11720 I11720 E11723 G11723 I11723 E11726 G11726 I11726 E11729 G11729 I11729 E11732 G11732 I11732">
    <cfRule type="cellIs" dxfId="2" priority="1" operator="equal" stopIfTrue="1">
      <formula>D$4</formula>
    </cfRule>
    <cfRule type="cellIs" dxfId="3" priority="2" operator="notEqual" stopIfTrue="1">
      <formula>D$4</formula>
    </cfRule>
  </conditionalFormatting>
  <conditionalFormatting sqref="G895">
    <cfRule type="cellIs" dxfId="4" priority="1" operator="notEqual" stopIfTrue="1">
      <formula>F$890</formula>
    </cfRule>
  </conditionalFormatting>
  <conditionalFormatting sqref="E7249 E7316">
    <cfRule type="cellIs" dxfId="5" priority="1" operator="equal" stopIfTrue="1">
      <formula>D$7249</formula>
    </cfRule>
    <cfRule type="cellIs" dxfId="6" priority="2" operator="notEqual" stopIfTrue="1">
      <formula>D$7250</formula>
    </cfRule>
  </conditionalFormatting>
  <conditionalFormatting sqref="E7411">
    <cfRule type="cellIs" dxfId="7" priority="1" operator="equal" stopIfTrue="1">
      <formula>D$7411</formula>
    </cfRule>
    <cfRule type="cellIs" dxfId="8" priority="2" operator="notEqual" stopIfTrue="1">
      <formula>D$7404</formula>
    </cfRule>
  </conditionalFormatting>
  <pageMargins left="0.5" right="0.5" top="0.75" bottom="0.75" header="0" footer="0"/>
  <pageSetup firstPageNumber="1" fitToHeight="1" fitToWidth="1" scale="72" useFirstPageNumber="0" orientation="portrait" pageOrder="downThenOver"/>
  <headerFooter>
    <oddFooter>&amp;C&amp;"Helvetica Neue,Regular"&amp;10&amp;K000000000000&amp;P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